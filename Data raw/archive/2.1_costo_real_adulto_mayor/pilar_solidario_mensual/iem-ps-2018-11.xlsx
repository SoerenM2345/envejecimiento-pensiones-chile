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Z:\Informes Mensuales del Pilar Solidario\Excel\"/>
    </mc:Choice>
  </mc:AlternateContent>
  <xr:revisionPtr revIDLastSave="0" documentId="8_{DB3F83C8-7487-4F1C-B7D1-4CF68EF77856}" xr6:coauthVersionLast="31" xr6:coauthVersionMax="31" xr10:uidLastSave="{00000000-0000-0000-0000-000000000000}"/>
  <bookViews>
    <workbookView xWindow="0" yWindow="0" windowWidth="20490" windowHeight="7755" tabRatio="825" firstSheet="1" activeTab="2" xr2:uid="{00000000-000D-0000-FFFF-FFFF00000000}"/>
  </bookViews>
  <sheets>
    <sheet name="datos" sheetId="21" state="hidden" r:id="rId1"/>
    <sheet name="Índice" sheetId="23" r:id="rId2"/>
    <sheet name="Índice Pensiones Solidarias" sheetId="20" r:id="rId3"/>
    <sheet name="Solicitudes Nacional" sheetId="1" r:id="rId4"/>
    <sheet name="Concesiones Nacional" sheetId="2" r:id="rId5"/>
    <sheet name="Solicitudes Regiones" sheetId="3" r:id="rId6"/>
    <sheet name="Concesiones Regiones" sheetId="4" r:id="rId7"/>
    <sheet name="XV" sheetId="5" r:id="rId8"/>
    <sheet name="I" sheetId="6" r:id="rId9"/>
    <sheet name="II" sheetId="7" r:id="rId10"/>
    <sheet name="III" sheetId="8" r:id="rId11"/>
    <sheet name="IV" sheetId="9" r:id="rId12"/>
    <sheet name="V" sheetId="10" r:id="rId13"/>
    <sheet name="VI" sheetId="11" r:id="rId14"/>
    <sheet name="VII" sheetId="12" r:id="rId15"/>
    <sheet name="XVI" sheetId="34" r:id="rId16"/>
    <sheet name="VIII" sheetId="13" r:id="rId17"/>
    <sheet name="IX" sheetId="14" r:id="rId18"/>
    <sheet name="XIV" sheetId="15" r:id="rId19"/>
    <sheet name="X" sheetId="16" r:id="rId20"/>
    <sheet name="XI" sheetId="17" r:id="rId21"/>
    <sheet name="XII" sheetId="18" r:id="rId22"/>
    <sheet name="XIII" sheetId="19" r:id="rId23"/>
    <sheet name="Índice BxH" sheetId="22" r:id="rId24"/>
    <sheet name="Concesiones Mensuales BxH" sheetId="25" r:id="rId25"/>
    <sheet name="Solicitudes y Rechazos BxH" sheetId="26" r:id="rId26"/>
    <sheet name="Concesiones Mensuales Regional" sheetId="27" r:id="rId27"/>
    <sheet name="Índice STJ" sheetId="24" r:id="rId28"/>
    <sheet name="Contratación Solicitudes" sheetId="29" r:id="rId29"/>
    <sheet name="Contratación Trámite" sheetId="30" r:id="rId30"/>
    <sheet name="Cotización Solicitudes" sheetId="31" r:id="rId31"/>
    <sheet name="Cotización Trámite" sheetId="32" r:id="rId32"/>
    <sheet name="Subsidios Pagados" sheetId="33" r:id="rId33"/>
  </sheets>
  <definedNames>
    <definedName name="_xlnm.Print_Area" localSheetId="8">I!$B$1:$L$37</definedName>
    <definedName name="_xlnm.Print_Area" localSheetId="9">II!$B$1:$L$41</definedName>
    <definedName name="_xlnm.Print_Area" localSheetId="10">III!$B$1:$L$41</definedName>
    <definedName name="_xlnm.Print_Area" localSheetId="11">IV!$B$1:$L$53</definedName>
    <definedName name="_xlnm.Print_Area" localSheetId="17">IX!$B$1:$L$86</definedName>
    <definedName name="_xlnm.Print_Area" localSheetId="12">V!$B$1:$L$99</definedName>
    <definedName name="_xlnm.Print_Area" localSheetId="13">VI!$B$1:$L$89</definedName>
    <definedName name="_xlnm.Print_Area" localSheetId="14">VII!$B$1:$L$82</definedName>
    <definedName name="_xlnm.Print_Area" localSheetId="16">VIII!$B$1:$L$88</definedName>
    <definedName name="_xlnm.Print_Area" localSheetId="19">X!$B$1:$L$82</definedName>
    <definedName name="_xlnm.Print_Area" localSheetId="20">XI!$B$1:$L$42</definedName>
    <definedName name="_xlnm.Print_Area" localSheetId="21">XII!$B$1:$L$44</definedName>
    <definedName name="_xlnm.Print_Area" localSheetId="22">XIII!$B$1:$L$127</definedName>
    <definedName name="_xlnm.Print_Area" localSheetId="18">XIV!$B$1:$L$46</definedName>
    <definedName name="_xlnm.Print_Area" localSheetId="15">XVI!$B$1:$L$64</definedName>
  </definedNames>
  <calcPr calcId="17901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7" i="19" l="1"/>
  <c r="H127" i="33"/>
  <c r="H126" i="33"/>
  <c r="H125" i="33"/>
  <c r="K88" i="32"/>
  <c r="H88" i="32"/>
  <c r="E88" i="32"/>
  <c r="L88" i="32" s="1"/>
  <c r="K87" i="32"/>
  <c r="H87" i="32"/>
  <c r="E87" i="32"/>
  <c r="L87" i="32" s="1"/>
  <c r="E86" i="32"/>
  <c r="L86" i="32" s="1"/>
  <c r="H86" i="32"/>
  <c r="K86" i="32"/>
  <c r="D88" i="31"/>
  <c r="C88" i="31"/>
  <c r="E87" i="31"/>
  <c r="E86" i="31"/>
  <c r="E87" i="30"/>
  <c r="D87" i="30"/>
  <c r="C87" i="30"/>
  <c r="F86" i="30"/>
  <c r="F85" i="30"/>
  <c r="E92" i="29"/>
  <c r="D92" i="29"/>
  <c r="C92" i="29"/>
  <c r="C93" i="29" s="1"/>
  <c r="F91" i="29"/>
  <c r="F90" i="29"/>
  <c r="F92" i="29" s="1"/>
  <c r="F93" i="29" s="1"/>
  <c r="F91" i="25" l="1"/>
  <c r="G91" i="25"/>
  <c r="H91" i="25"/>
  <c r="C91" i="25"/>
  <c r="D91" i="25"/>
  <c r="E91" i="25"/>
  <c r="J89" i="25"/>
  <c r="I89" i="25"/>
  <c r="I27" i="25"/>
  <c r="J27" i="25"/>
  <c r="I35" i="25"/>
  <c r="J35" i="25"/>
  <c r="I36" i="25"/>
  <c r="J36" i="25"/>
  <c r="I37" i="25"/>
  <c r="J37" i="25"/>
  <c r="I38" i="25"/>
  <c r="J38" i="25"/>
  <c r="I39" i="25"/>
  <c r="J39" i="25"/>
  <c r="C40" i="25"/>
  <c r="D40" i="25"/>
  <c r="E40" i="25"/>
  <c r="F40" i="25"/>
  <c r="G40" i="25"/>
  <c r="H40" i="25"/>
  <c r="I40" i="25"/>
  <c r="J40" i="25"/>
  <c r="I41" i="25"/>
  <c r="J41" i="25"/>
  <c r="I42" i="25"/>
  <c r="J42" i="25"/>
  <c r="J53" i="25" s="1"/>
  <c r="I43" i="25"/>
  <c r="J43" i="25"/>
  <c r="I44" i="25"/>
  <c r="J44" i="25"/>
  <c r="I45" i="25"/>
  <c r="J45" i="25"/>
  <c r="I46" i="25"/>
  <c r="J46" i="25"/>
  <c r="I47" i="25"/>
  <c r="J47" i="25"/>
  <c r="I48" i="25"/>
  <c r="J48" i="25"/>
  <c r="I49" i="25"/>
  <c r="J49" i="25"/>
  <c r="I50" i="25"/>
  <c r="J50" i="25"/>
  <c r="I51" i="25"/>
  <c r="J51" i="25"/>
  <c r="I52" i="25"/>
  <c r="J52" i="25"/>
  <c r="C53" i="25"/>
  <c r="D53" i="25"/>
  <c r="E53" i="25"/>
  <c r="F53" i="25"/>
  <c r="G53" i="25"/>
  <c r="H53" i="25"/>
  <c r="I54" i="25"/>
  <c r="I66" i="25" s="1"/>
  <c r="J54" i="25"/>
  <c r="I55" i="25"/>
  <c r="J55" i="25"/>
  <c r="I56" i="25"/>
  <c r="J56" i="25"/>
  <c r="I57" i="25"/>
  <c r="J57" i="25"/>
  <c r="I58" i="25"/>
  <c r="J58" i="25"/>
  <c r="I59" i="25"/>
  <c r="J59" i="25"/>
  <c r="I60" i="25"/>
  <c r="J60" i="25"/>
  <c r="I61" i="25"/>
  <c r="J61" i="25"/>
  <c r="I62" i="25"/>
  <c r="J62" i="25"/>
  <c r="I63" i="25"/>
  <c r="J63" i="25"/>
  <c r="I64" i="25"/>
  <c r="J64" i="25"/>
  <c r="I65" i="25"/>
  <c r="J65" i="25"/>
  <c r="C66" i="25"/>
  <c r="D66" i="25"/>
  <c r="E66" i="25"/>
  <c r="F66" i="25"/>
  <c r="G66" i="25"/>
  <c r="H66" i="25"/>
  <c r="J66" i="25"/>
  <c r="I67" i="25"/>
  <c r="I79" i="25" s="1"/>
  <c r="J67" i="25"/>
  <c r="I68" i="25"/>
  <c r="J68" i="25"/>
  <c r="I69" i="25"/>
  <c r="J69" i="25"/>
  <c r="I70" i="25"/>
  <c r="J70" i="25"/>
  <c r="I71" i="25"/>
  <c r="J71" i="25"/>
  <c r="I72" i="25"/>
  <c r="J72" i="25"/>
  <c r="I73" i="25"/>
  <c r="J73" i="25"/>
  <c r="I74" i="25"/>
  <c r="J74" i="25"/>
  <c r="I75" i="25"/>
  <c r="J75" i="25"/>
  <c r="I76" i="25"/>
  <c r="J76" i="25"/>
  <c r="I77" i="25"/>
  <c r="J77" i="25"/>
  <c r="I78" i="25"/>
  <c r="J78" i="25"/>
  <c r="C79" i="25"/>
  <c r="D79" i="25"/>
  <c r="E79" i="25"/>
  <c r="F79" i="25"/>
  <c r="G79" i="25"/>
  <c r="H79" i="25"/>
  <c r="J79" i="25"/>
  <c r="I80" i="25"/>
  <c r="J80" i="25"/>
  <c r="I81" i="25"/>
  <c r="J81" i="25"/>
  <c r="I82" i="25"/>
  <c r="J82" i="25"/>
  <c r="I83" i="25"/>
  <c r="J83" i="25"/>
  <c r="I84" i="25"/>
  <c r="J84" i="25"/>
  <c r="I85" i="25"/>
  <c r="J85" i="25"/>
  <c r="I86" i="25"/>
  <c r="J86" i="25"/>
  <c r="I87" i="25"/>
  <c r="J87" i="25"/>
  <c r="I88" i="25"/>
  <c r="J88" i="25"/>
  <c r="I53" i="25" l="1"/>
  <c r="I91" i="25"/>
  <c r="J91" i="25"/>
  <c r="E12" i="2" l="1"/>
  <c r="H13" i="2"/>
  <c r="E17" i="2"/>
  <c r="H17" i="2"/>
  <c r="E18" i="2"/>
  <c r="H18" i="2"/>
  <c r="H19" i="2"/>
  <c r="E20" i="2"/>
  <c r="H21" i="2"/>
  <c r="E24" i="2"/>
  <c r="E25" i="2"/>
  <c r="H26" i="2"/>
  <c r="H29" i="2"/>
  <c r="E31" i="2"/>
  <c r="H33" i="2"/>
  <c r="E35" i="2" l="1"/>
  <c r="H28" i="2"/>
  <c r="E23" i="2"/>
  <c r="M32" i="2"/>
  <c r="E21" i="2"/>
  <c r="H20" i="2"/>
  <c r="I20" i="2" s="1"/>
  <c r="E15" i="2"/>
  <c r="H11" i="2"/>
  <c r="E28" i="2"/>
  <c r="I28" i="2" s="1"/>
  <c r="H27" i="2"/>
  <c r="E26" i="2"/>
  <c r="H25" i="2"/>
  <c r="I25" i="2" s="1"/>
  <c r="E16" i="2"/>
  <c r="I16" i="2" s="1"/>
  <c r="K32" i="2"/>
  <c r="H35" i="2"/>
  <c r="I35" i="2" s="1"/>
  <c r="E34" i="2"/>
  <c r="H31" i="2"/>
  <c r="I31" i="2" s="1"/>
  <c r="E30" i="2"/>
  <c r="E27" i="2"/>
  <c r="I27" i="2" s="1"/>
  <c r="F32" i="2"/>
  <c r="E22" i="2"/>
  <c r="I22" i="2" s="1"/>
  <c r="L32" i="2"/>
  <c r="E19" i="2"/>
  <c r="I17" i="2"/>
  <c r="H15" i="2"/>
  <c r="E14" i="2"/>
  <c r="E11" i="2"/>
  <c r="O32" i="2"/>
  <c r="H34" i="2"/>
  <c r="H30" i="2"/>
  <c r="H24" i="2"/>
  <c r="H22" i="2"/>
  <c r="H16" i="2"/>
  <c r="H14" i="2"/>
  <c r="E33" i="2"/>
  <c r="I33" i="2" s="1"/>
  <c r="E29" i="2"/>
  <c r="I29" i="2" s="1"/>
  <c r="I26" i="2"/>
  <c r="N32" i="2"/>
  <c r="J32" i="2"/>
  <c r="D32" i="2"/>
  <c r="I18" i="2"/>
  <c r="I15" i="2"/>
  <c r="E13" i="2"/>
  <c r="I13" i="2" s="1"/>
  <c r="H12" i="2"/>
  <c r="I24" i="2"/>
  <c r="I21" i="2"/>
  <c r="I34" i="2"/>
  <c r="I19" i="2"/>
  <c r="I12" i="2"/>
  <c r="G32" i="2"/>
  <c r="C32" i="2"/>
  <c r="H23" i="2"/>
  <c r="I23" i="2" s="1"/>
  <c r="E19" i="4"/>
  <c r="H19" i="4"/>
  <c r="E21" i="4"/>
  <c r="H21" i="4"/>
  <c r="E22" i="4"/>
  <c r="H22" i="4"/>
  <c r="E23" i="4"/>
  <c r="H23" i="4"/>
  <c r="E24" i="4"/>
  <c r="H24" i="4"/>
  <c r="E25" i="4"/>
  <c r="H25" i="4"/>
  <c r="I25" i="4"/>
  <c r="H26" i="4"/>
  <c r="H26" i="3"/>
  <c r="H25" i="3"/>
  <c r="I25" i="3"/>
  <c r="H23" i="3"/>
  <c r="I22" i="3"/>
  <c r="H21" i="3"/>
  <c r="H20" i="3"/>
  <c r="H19" i="3"/>
  <c r="E85" i="31"/>
  <c r="F84" i="30"/>
  <c r="E32" i="2" l="1"/>
  <c r="I14" i="2"/>
  <c r="I30" i="2"/>
  <c r="I11" i="2"/>
  <c r="I32" i="2"/>
  <c r="H32" i="2"/>
  <c r="I19" i="3"/>
  <c r="I19" i="4"/>
  <c r="I21" i="3"/>
  <c r="H22" i="3"/>
  <c r="I26" i="3"/>
  <c r="I21" i="4"/>
  <c r="E20" i="4"/>
  <c r="I24" i="3"/>
  <c r="E26" i="4"/>
  <c r="I20" i="3"/>
  <c r="I23" i="3"/>
  <c r="H24" i="3"/>
  <c r="I23" i="4"/>
  <c r="H20" i="4"/>
  <c r="I26" i="4"/>
  <c r="I24" i="4"/>
  <c r="I22" i="4"/>
  <c r="I20" i="4"/>
  <c r="E19" i="3"/>
  <c r="E21" i="3"/>
  <c r="E23" i="3"/>
  <c r="E25" i="3"/>
  <c r="E20" i="3"/>
  <c r="E22" i="3"/>
  <c r="E24" i="3"/>
  <c r="E26" i="3"/>
  <c r="F89" i="29" l="1"/>
  <c r="E76" i="26"/>
  <c r="I58" i="34" l="1"/>
  <c r="I50" i="34"/>
  <c r="I48" i="34"/>
  <c r="I47" i="34"/>
  <c r="K47" i="34" s="1"/>
  <c r="I46" i="34"/>
  <c r="I42" i="34"/>
  <c r="I31" i="34"/>
  <c r="I30" i="34"/>
  <c r="I28" i="34"/>
  <c r="I27" i="34"/>
  <c r="I24" i="34"/>
  <c r="I23" i="34"/>
  <c r="I20" i="34"/>
  <c r="I19" i="34"/>
  <c r="I16" i="34"/>
  <c r="I15" i="34"/>
  <c r="I12" i="34"/>
  <c r="I11" i="34"/>
  <c r="E31" i="34"/>
  <c r="E28" i="34"/>
  <c r="E27" i="34"/>
  <c r="E26" i="34"/>
  <c r="E24" i="34"/>
  <c r="E23" i="34"/>
  <c r="E22" i="34"/>
  <c r="E21" i="34"/>
  <c r="E20" i="34"/>
  <c r="E19" i="34"/>
  <c r="E18" i="34"/>
  <c r="E16" i="34"/>
  <c r="E15" i="34"/>
  <c r="E14" i="34"/>
  <c r="E12" i="34"/>
  <c r="B36" i="34"/>
  <c r="B6" i="34"/>
  <c r="D32" i="34" l="1"/>
  <c r="I51" i="34"/>
  <c r="K51" i="34" s="1"/>
  <c r="I52" i="34"/>
  <c r="I53" i="34"/>
  <c r="K53" i="34" s="1"/>
  <c r="I54" i="34"/>
  <c r="K54" i="34" s="1"/>
  <c r="I59" i="34"/>
  <c r="K59" i="34" s="1"/>
  <c r="G62" i="34"/>
  <c r="I43" i="34"/>
  <c r="K43" i="34" s="1"/>
  <c r="I44" i="34"/>
  <c r="K44" i="34" s="1"/>
  <c r="I45" i="34"/>
  <c r="K45" i="34" s="1"/>
  <c r="E11" i="34"/>
  <c r="K11" i="34" s="1"/>
  <c r="H32" i="34"/>
  <c r="I55" i="34"/>
  <c r="K55" i="34" s="1"/>
  <c r="I56" i="34"/>
  <c r="K56" i="34" s="1"/>
  <c r="I57" i="34"/>
  <c r="K57" i="34" s="1"/>
  <c r="E30" i="34"/>
  <c r="K30" i="34" s="1"/>
  <c r="E29" i="34"/>
  <c r="I18" i="34"/>
  <c r="K18" i="34" s="1"/>
  <c r="I17" i="34"/>
  <c r="I14" i="34"/>
  <c r="K14" i="34" s="1"/>
  <c r="C62" i="34"/>
  <c r="I60" i="34"/>
  <c r="K60" i="34" s="1"/>
  <c r="I61" i="34"/>
  <c r="K61" i="34" s="1"/>
  <c r="I26" i="34"/>
  <c r="K26" i="34" s="1"/>
  <c r="I25" i="34"/>
  <c r="I22" i="34"/>
  <c r="K22" i="34" s="1"/>
  <c r="I49" i="34"/>
  <c r="K49" i="34" s="1"/>
  <c r="E13" i="34"/>
  <c r="K20" i="34"/>
  <c r="K28" i="34"/>
  <c r="K12" i="34"/>
  <c r="C32" i="34"/>
  <c r="K31" i="34"/>
  <c r="I29" i="34"/>
  <c r="E25" i="34"/>
  <c r="K24" i="34"/>
  <c r="K23" i="34"/>
  <c r="I21" i="34"/>
  <c r="E17" i="34"/>
  <c r="K16" i="34"/>
  <c r="K15" i="34"/>
  <c r="G32" i="34"/>
  <c r="K27" i="34"/>
  <c r="K19" i="34"/>
  <c r="I13" i="34"/>
  <c r="K42" i="34"/>
  <c r="K52" i="34"/>
  <c r="K58" i="34"/>
  <c r="D62" i="34"/>
  <c r="K48" i="34"/>
  <c r="K50" i="34"/>
  <c r="H62" i="34"/>
  <c r="I41" i="34"/>
  <c r="K46" i="34"/>
  <c r="H124" i="33"/>
  <c r="H123" i="33"/>
  <c r="H122" i="33"/>
  <c r="K85" i="32"/>
  <c r="H85" i="32"/>
  <c r="E85" i="32"/>
  <c r="L85" i="32" s="1"/>
  <c r="E84" i="31"/>
  <c r="F83" i="30"/>
  <c r="F88" i="29"/>
  <c r="E75" i="26"/>
  <c r="K84" i="32"/>
  <c r="H84" i="32"/>
  <c r="E84" i="32"/>
  <c r="L84" i="32" s="1"/>
  <c r="E83" i="31"/>
  <c r="F82" i="30"/>
  <c r="F87" i="29"/>
  <c r="I62" i="34" l="1"/>
  <c r="J54" i="34" s="1"/>
  <c r="J44" i="34"/>
  <c r="J50" i="34"/>
  <c r="K21" i="34"/>
  <c r="K25" i="34"/>
  <c r="K29" i="34"/>
  <c r="K13" i="34"/>
  <c r="I32" i="34"/>
  <c r="J13" i="34" s="1"/>
  <c r="E32" i="34"/>
  <c r="F17" i="34" s="1"/>
  <c r="K17" i="34"/>
  <c r="E62" i="34"/>
  <c r="K41" i="34"/>
  <c r="J41" i="34"/>
  <c r="J61" i="34"/>
  <c r="J59" i="34"/>
  <c r="J57" i="34"/>
  <c r="J55" i="34"/>
  <c r="E74" i="26"/>
  <c r="J48" i="34" l="1"/>
  <c r="J42" i="34"/>
  <c r="J43" i="34"/>
  <c r="J51" i="34"/>
  <c r="J56" i="34"/>
  <c r="J47" i="34"/>
  <c r="J49" i="34"/>
  <c r="J53" i="34"/>
  <c r="J45" i="34"/>
  <c r="J62" i="34"/>
  <c r="J58" i="34"/>
  <c r="J46" i="34"/>
  <c r="J60" i="34"/>
  <c r="J52" i="34"/>
  <c r="J29" i="34"/>
  <c r="J21" i="34"/>
  <c r="F32" i="34"/>
  <c r="F11" i="34"/>
  <c r="K32" i="34"/>
  <c r="F15" i="34"/>
  <c r="F22" i="34"/>
  <c r="F23" i="34"/>
  <c r="F30" i="34"/>
  <c r="F31" i="34"/>
  <c r="F14" i="34"/>
  <c r="F24" i="34"/>
  <c r="F21" i="34"/>
  <c r="F26" i="34"/>
  <c r="F13" i="34"/>
  <c r="F16" i="34"/>
  <c r="F29" i="34"/>
  <c r="F27" i="34"/>
  <c r="F20" i="34"/>
  <c r="F28" i="34"/>
  <c r="F18" i="34"/>
  <c r="F12" i="34"/>
  <c r="F19" i="34"/>
  <c r="J32" i="34"/>
  <c r="J11" i="34"/>
  <c r="J22" i="34"/>
  <c r="J30" i="34"/>
  <c r="J15" i="34"/>
  <c r="J23" i="34"/>
  <c r="J31" i="34"/>
  <c r="J16" i="34"/>
  <c r="J12" i="34"/>
  <c r="J24" i="34"/>
  <c r="J14" i="34"/>
  <c r="J18" i="34"/>
  <c r="J26" i="34"/>
  <c r="J27" i="34"/>
  <c r="J28" i="34"/>
  <c r="J17" i="34"/>
  <c r="J19" i="34"/>
  <c r="J20" i="34"/>
  <c r="J25" i="34"/>
  <c r="F25" i="34"/>
  <c r="F62" i="34"/>
  <c r="F60" i="34"/>
  <c r="F56" i="34"/>
  <c r="F52" i="34"/>
  <c r="F48" i="34"/>
  <c r="F44" i="34"/>
  <c r="F61" i="34"/>
  <c r="F57" i="34"/>
  <c r="F53" i="34"/>
  <c r="F49" i="34"/>
  <c r="F45" i="34"/>
  <c r="F41" i="34"/>
  <c r="F58" i="34"/>
  <c r="F54" i="34"/>
  <c r="F50" i="34"/>
  <c r="F46" i="34"/>
  <c r="F42" i="34"/>
  <c r="K62" i="34"/>
  <c r="F59" i="34"/>
  <c r="F43" i="34"/>
  <c r="F47" i="34"/>
  <c r="F51" i="34"/>
  <c r="F55" i="34"/>
  <c r="H121" i="33"/>
  <c r="H120" i="33"/>
  <c r="H119" i="33"/>
  <c r="H118" i="33"/>
  <c r="H117" i="33"/>
  <c r="K83" i="32"/>
  <c r="H83" i="32"/>
  <c r="E83" i="32"/>
  <c r="L83" i="32" s="1"/>
  <c r="K82" i="32"/>
  <c r="H82" i="32"/>
  <c r="E82" i="32"/>
  <c r="L82" i="32" s="1"/>
  <c r="K81" i="32"/>
  <c r="H81" i="32"/>
  <c r="E81" i="32"/>
  <c r="K80" i="32"/>
  <c r="H80" i="32"/>
  <c r="E80" i="32"/>
  <c r="K79" i="32"/>
  <c r="H79" i="32"/>
  <c r="E79" i="32"/>
  <c r="L79" i="32" s="1"/>
  <c r="K78" i="32"/>
  <c r="H78" i="32"/>
  <c r="E78" i="32"/>
  <c r="E82" i="31"/>
  <c r="F81" i="30"/>
  <c r="F86" i="29"/>
  <c r="E89" i="32" l="1"/>
  <c r="H89" i="32"/>
  <c r="K89" i="32"/>
  <c r="L78" i="32"/>
  <c r="L89" i="32" s="1"/>
  <c r="L81" i="32"/>
  <c r="L80" i="32"/>
  <c r="D33" i="34"/>
  <c r="H33" i="34"/>
  <c r="G33" i="34"/>
  <c r="C33" i="34"/>
  <c r="G63" i="34"/>
  <c r="C63" i="34"/>
  <c r="D63" i="34"/>
  <c r="H63" i="34"/>
  <c r="E73" i="26"/>
  <c r="E33" i="34" l="1"/>
  <c r="I33" i="34"/>
  <c r="E63" i="34"/>
  <c r="I63" i="34"/>
  <c r="K33" i="34" l="1"/>
  <c r="K63" i="34"/>
  <c r="E81" i="31"/>
  <c r="F80" i="30"/>
  <c r="E72" i="26"/>
  <c r="E80" i="31" l="1"/>
  <c r="F79" i="30"/>
  <c r="F84" i="29"/>
  <c r="F83" i="29"/>
  <c r="E71" i="26"/>
  <c r="I123" i="19"/>
  <c r="E123" i="19"/>
  <c r="I122" i="19"/>
  <c r="E122" i="19"/>
  <c r="I121" i="19"/>
  <c r="E121" i="19"/>
  <c r="I120" i="19"/>
  <c r="E120" i="19"/>
  <c r="I119" i="19"/>
  <c r="E119" i="19"/>
  <c r="I118" i="19"/>
  <c r="E118" i="19"/>
  <c r="I117" i="19"/>
  <c r="E117" i="19"/>
  <c r="I116" i="19"/>
  <c r="E116" i="19"/>
  <c r="I115" i="19"/>
  <c r="E115" i="19"/>
  <c r="I114" i="19"/>
  <c r="E114" i="19"/>
  <c r="I113" i="19"/>
  <c r="E113" i="19"/>
  <c r="I112" i="19"/>
  <c r="E112" i="19"/>
  <c r="I111" i="19"/>
  <c r="E111" i="19"/>
  <c r="I110" i="19"/>
  <c r="E110" i="19"/>
  <c r="I109" i="19"/>
  <c r="E109" i="19"/>
  <c r="I108" i="19"/>
  <c r="E108" i="19"/>
  <c r="I107" i="19"/>
  <c r="E107" i="19"/>
  <c r="I106" i="19"/>
  <c r="E106" i="19"/>
  <c r="I105" i="19"/>
  <c r="E105" i="19"/>
  <c r="I104" i="19"/>
  <c r="E104" i="19"/>
  <c r="I103" i="19"/>
  <c r="E103" i="19"/>
  <c r="I102" i="19"/>
  <c r="E102" i="19"/>
  <c r="I101" i="19"/>
  <c r="E101" i="19"/>
  <c r="I100" i="19"/>
  <c r="E100" i="19"/>
  <c r="I99" i="19"/>
  <c r="E99" i="19"/>
  <c r="I98" i="19"/>
  <c r="E98" i="19"/>
  <c r="I97" i="19"/>
  <c r="E97" i="19"/>
  <c r="I96" i="19"/>
  <c r="E96" i="19"/>
  <c r="I95" i="19"/>
  <c r="E95" i="19"/>
  <c r="I94" i="19"/>
  <c r="E94" i="19"/>
  <c r="I93" i="19"/>
  <c r="E93" i="19"/>
  <c r="I92" i="19"/>
  <c r="E92" i="19"/>
  <c r="I91" i="19"/>
  <c r="E91" i="19"/>
  <c r="I90" i="19"/>
  <c r="E90" i="19"/>
  <c r="I89" i="19"/>
  <c r="E89" i="19"/>
  <c r="I88" i="19"/>
  <c r="E88" i="19"/>
  <c r="I87" i="19"/>
  <c r="E87" i="19"/>
  <c r="I86" i="19"/>
  <c r="E86" i="19"/>
  <c r="I85" i="19"/>
  <c r="E85" i="19"/>
  <c r="I84" i="19"/>
  <c r="E84" i="19"/>
  <c r="I83" i="19"/>
  <c r="E83" i="19"/>
  <c r="I82" i="19"/>
  <c r="E82" i="19"/>
  <c r="I81" i="19"/>
  <c r="E81" i="19"/>
  <c r="I80" i="19"/>
  <c r="E80" i="19"/>
  <c r="I79" i="19"/>
  <c r="E79" i="19"/>
  <c r="I78" i="19"/>
  <c r="E78" i="19"/>
  <c r="I77" i="19"/>
  <c r="E77" i="19"/>
  <c r="I76" i="19"/>
  <c r="E76" i="19"/>
  <c r="I75" i="19"/>
  <c r="E75" i="19"/>
  <c r="I74" i="19"/>
  <c r="E74" i="19"/>
  <c r="I73" i="19"/>
  <c r="E73" i="19"/>
  <c r="I72" i="19"/>
  <c r="E72" i="19"/>
  <c r="I62" i="19"/>
  <c r="E62" i="19"/>
  <c r="I61" i="19"/>
  <c r="E61" i="19"/>
  <c r="I60" i="19"/>
  <c r="E60" i="19"/>
  <c r="I59" i="19"/>
  <c r="E59" i="19"/>
  <c r="I58" i="19"/>
  <c r="E58" i="19"/>
  <c r="I57" i="19"/>
  <c r="E57" i="19"/>
  <c r="I56" i="19"/>
  <c r="E56" i="19"/>
  <c r="I55" i="19"/>
  <c r="E55" i="19"/>
  <c r="I54" i="19"/>
  <c r="E54" i="19"/>
  <c r="I53" i="19"/>
  <c r="E53" i="19"/>
  <c r="I52" i="19"/>
  <c r="E52" i="19"/>
  <c r="I51" i="19"/>
  <c r="E51" i="19"/>
  <c r="I50" i="19"/>
  <c r="E50" i="19"/>
  <c r="I49" i="19"/>
  <c r="E49" i="19"/>
  <c r="I48" i="19"/>
  <c r="E48" i="19"/>
  <c r="I47" i="19"/>
  <c r="E47" i="19"/>
  <c r="I46" i="19"/>
  <c r="E46" i="19"/>
  <c r="I45" i="19"/>
  <c r="E45" i="19"/>
  <c r="I44" i="19"/>
  <c r="E44" i="19"/>
  <c r="I43" i="19"/>
  <c r="E43" i="19"/>
  <c r="I42" i="19"/>
  <c r="E42" i="19"/>
  <c r="I41" i="19"/>
  <c r="E41" i="19"/>
  <c r="I40" i="19"/>
  <c r="E40" i="19"/>
  <c r="I39" i="19"/>
  <c r="E39" i="19"/>
  <c r="I38" i="19"/>
  <c r="E38" i="19"/>
  <c r="I37" i="19"/>
  <c r="E37" i="19"/>
  <c r="I36" i="19"/>
  <c r="E36" i="19"/>
  <c r="I35" i="19"/>
  <c r="E35" i="19"/>
  <c r="I34" i="19"/>
  <c r="E34" i="19"/>
  <c r="I33" i="19"/>
  <c r="E33" i="19"/>
  <c r="I32" i="19"/>
  <c r="E32" i="19"/>
  <c r="I31" i="19"/>
  <c r="E31" i="19"/>
  <c r="I30" i="19"/>
  <c r="E30" i="19"/>
  <c r="I29" i="19"/>
  <c r="E29" i="19"/>
  <c r="I28" i="19"/>
  <c r="E28" i="19"/>
  <c r="I27" i="19"/>
  <c r="E27" i="19"/>
  <c r="I26" i="19"/>
  <c r="E26" i="19"/>
  <c r="I25" i="19"/>
  <c r="E25" i="19"/>
  <c r="I24" i="19"/>
  <c r="E24" i="19"/>
  <c r="I23" i="19"/>
  <c r="E23" i="19"/>
  <c r="I22" i="19"/>
  <c r="E22" i="19"/>
  <c r="I21" i="19"/>
  <c r="E21" i="19"/>
  <c r="I20" i="19"/>
  <c r="E20" i="19"/>
  <c r="I19" i="19"/>
  <c r="E19" i="19"/>
  <c r="I18" i="19"/>
  <c r="E18" i="19"/>
  <c r="I17" i="19"/>
  <c r="E17" i="19"/>
  <c r="I16" i="19"/>
  <c r="E16" i="19"/>
  <c r="I15" i="19"/>
  <c r="E15" i="19"/>
  <c r="I14" i="19"/>
  <c r="E14" i="19"/>
  <c r="I13" i="19"/>
  <c r="E13" i="19"/>
  <c r="I12" i="19"/>
  <c r="E12" i="19"/>
  <c r="I11" i="19"/>
  <c r="E11" i="19"/>
  <c r="I41" i="18"/>
  <c r="E41" i="18"/>
  <c r="I40" i="18"/>
  <c r="E40" i="18"/>
  <c r="I39" i="18"/>
  <c r="E39" i="18"/>
  <c r="I38" i="18"/>
  <c r="E38" i="18"/>
  <c r="I37" i="18"/>
  <c r="E37" i="18"/>
  <c r="I36" i="18"/>
  <c r="E36" i="18"/>
  <c r="I35" i="18"/>
  <c r="E35" i="18"/>
  <c r="I34" i="18"/>
  <c r="E34" i="18"/>
  <c r="I33" i="18"/>
  <c r="E33" i="18"/>
  <c r="I32" i="18"/>
  <c r="E32" i="18"/>
  <c r="I31" i="18"/>
  <c r="E31" i="18"/>
  <c r="I21" i="18"/>
  <c r="E21" i="18"/>
  <c r="I20" i="18"/>
  <c r="E20" i="18"/>
  <c r="I19" i="18"/>
  <c r="E19" i="18"/>
  <c r="I18" i="18"/>
  <c r="E18" i="18"/>
  <c r="I17" i="18"/>
  <c r="E17" i="18"/>
  <c r="I16" i="18"/>
  <c r="E16" i="18"/>
  <c r="I15" i="18"/>
  <c r="E15" i="18"/>
  <c r="I14" i="18"/>
  <c r="E14" i="18"/>
  <c r="I13" i="18"/>
  <c r="E13" i="18"/>
  <c r="I12" i="18"/>
  <c r="E12" i="18"/>
  <c r="I11" i="18"/>
  <c r="E11" i="18"/>
  <c r="I39" i="17"/>
  <c r="E39" i="17"/>
  <c r="I38" i="17"/>
  <c r="E38" i="17"/>
  <c r="I37" i="17"/>
  <c r="E37" i="17"/>
  <c r="I36" i="17"/>
  <c r="E36" i="17"/>
  <c r="I35" i="17"/>
  <c r="E35" i="17"/>
  <c r="I34" i="17"/>
  <c r="E34" i="17"/>
  <c r="I33" i="17"/>
  <c r="E33" i="17"/>
  <c r="I32" i="17"/>
  <c r="E32" i="17"/>
  <c r="I31" i="17"/>
  <c r="E31" i="17"/>
  <c r="I30" i="17"/>
  <c r="E30" i="17"/>
  <c r="I20" i="17"/>
  <c r="E20" i="17"/>
  <c r="I19" i="17"/>
  <c r="E19" i="17"/>
  <c r="I18" i="17"/>
  <c r="E18" i="17"/>
  <c r="I17" i="17"/>
  <c r="E17" i="17"/>
  <c r="I16" i="17"/>
  <c r="E16" i="17"/>
  <c r="I15" i="17"/>
  <c r="E15" i="17"/>
  <c r="I14" i="17"/>
  <c r="E14" i="17"/>
  <c r="I13" i="17"/>
  <c r="E13" i="17"/>
  <c r="I12" i="17"/>
  <c r="E12" i="17"/>
  <c r="I11" i="17"/>
  <c r="E11" i="17"/>
  <c r="I79" i="16"/>
  <c r="E79" i="16"/>
  <c r="I78" i="16"/>
  <c r="E78" i="16"/>
  <c r="I77" i="16"/>
  <c r="E77" i="16"/>
  <c r="I76" i="16"/>
  <c r="E76" i="16"/>
  <c r="I75" i="16"/>
  <c r="E75" i="16"/>
  <c r="I74" i="16"/>
  <c r="E74" i="16"/>
  <c r="I73" i="16"/>
  <c r="E73" i="16"/>
  <c r="I72" i="16"/>
  <c r="E72" i="16"/>
  <c r="I71" i="16"/>
  <c r="E71" i="16"/>
  <c r="I70" i="16"/>
  <c r="E70" i="16"/>
  <c r="I69" i="16"/>
  <c r="E69" i="16"/>
  <c r="I68" i="16"/>
  <c r="E68" i="16"/>
  <c r="I67" i="16"/>
  <c r="E67" i="16"/>
  <c r="I66" i="16"/>
  <c r="E66" i="16"/>
  <c r="I65" i="16"/>
  <c r="E65" i="16"/>
  <c r="I64" i="16"/>
  <c r="E64" i="16"/>
  <c r="I63" i="16"/>
  <c r="E63" i="16"/>
  <c r="I62" i="16"/>
  <c r="E62" i="16"/>
  <c r="I61" i="16"/>
  <c r="E61" i="16"/>
  <c r="I60" i="16"/>
  <c r="E60" i="16"/>
  <c r="I59" i="16"/>
  <c r="E59" i="16"/>
  <c r="I58" i="16"/>
  <c r="E58" i="16"/>
  <c r="I57" i="16"/>
  <c r="E57" i="16"/>
  <c r="I56" i="16"/>
  <c r="E56" i="16"/>
  <c r="I55" i="16"/>
  <c r="E55" i="16"/>
  <c r="I54" i="16"/>
  <c r="E54" i="16"/>
  <c r="I53" i="16"/>
  <c r="E53" i="16"/>
  <c r="I52" i="16"/>
  <c r="E52" i="16"/>
  <c r="I51" i="16"/>
  <c r="E51" i="16"/>
  <c r="I50" i="16"/>
  <c r="E50" i="16"/>
  <c r="I40" i="16"/>
  <c r="E40" i="16"/>
  <c r="I39" i="16"/>
  <c r="E39" i="16"/>
  <c r="I38" i="16"/>
  <c r="E38" i="16"/>
  <c r="I37" i="16"/>
  <c r="E37" i="16"/>
  <c r="I36" i="16"/>
  <c r="E36" i="16"/>
  <c r="I35" i="16"/>
  <c r="E35" i="16"/>
  <c r="I34" i="16"/>
  <c r="E34" i="16"/>
  <c r="I33" i="16"/>
  <c r="E33" i="16"/>
  <c r="I32" i="16"/>
  <c r="E32" i="16"/>
  <c r="I31" i="16"/>
  <c r="E31" i="16"/>
  <c r="I30" i="16"/>
  <c r="E30" i="16"/>
  <c r="I29" i="16"/>
  <c r="E29" i="16"/>
  <c r="I28" i="16"/>
  <c r="E28" i="16"/>
  <c r="I27" i="16"/>
  <c r="E27" i="16"/>
  <c r="I26" i="16"/>
  <c r="E26" i="16"/>
  <c r="I25" i="16"/>
  <c r="E25" i="16"/>
  <c r="I24" i="16"/>
  <c r="E24" i="16"/>
  <c r="I23" i="16"/>
  <c r="E23" i="16"/>
  <c r="I22" i="16"/>
  <c r="E22" i="16"/>
  <c r="I21" i="16"/>
  <c r="E21" i="16"/>
  <c r="I20" i="16"/>
  <c r="E20" i="16"/>
  <c r="I19" i="16"/>
  <c r="E19" i="16"/>
  <c r="I18" i="16"/>
  <c r="E18" i="16"/>
  <c r="I17" i="16"/>
  <c r="E17" i="16"/>
  <c r="I16" i="16"/>
  <c r="E16" i="16"/>
  <c r="I15" i="16"/>
  <c r="E15" i="16"/>
  <c r="I14" i="16"/>
  <c r="E14" i="16"/>
  <c r="I13" i="16"/>
  <c r="E13" i="16"/>
  <c r="I12" i="16"/>
  <c r="E12" i="16"/>
  <c r="I11" i="16"/>
  <c r="E11" i="16"/>
  <c r="I43" i="15"/>
  <c r="E43" i="15"/>
  <c r="I42" i="15"/>
  <c r="E42" i="15"/>
  <c r="I41" i="15"/>
  <c r="E41" i="15"/>
  <c r="I40" i="15"/>
  <c r="E40" i="15"/>
  <c r="I39" i="15"/>
  <c r="E39" i="15"/>
  <c r="I38" i="15"/>
  <c r="E38" i="15"/>
  <c r="I37" i="15"/>
  <c r="E37" i="15"/>
  <c r="I36" i="15"/>
  <c r="E36" i="15"/>
  <c r="I35" i="15"/>
  <c r="E35" i="15"/>
  <c r="I34" i="15"/>
  <c r="E34" i="15"/>
  <c r="I33" i="15"/>
  <c r="E33" i="15"/>
  <c r="I32" i="15"/>
  <c r="E32" i="15"/>
  <c r="I22" i="15"/>
  <c r="E22" i="15"/>
  <c r="I21" i="15"/>
  <c r="E21" i="15"/>
  <c r="I20" i="15"/>
  <c r="E20" i="15"/>
  <c r="I19" i="15"/>
  <c r="E19" i="15"/>
  <c r="I18" i="15"/>
  <c r="E18" i="15"/>
  <c r="I17" i="15"/>
  <c r="E17" i="15"/>
  <c r="I16" i="15"/>
  <c r="E16" i="15"/>
  <c r="I15" i="15"/>
  <c r="E15" i="15"/>
  <c r="I14" i="15"/>
  <c r="E14" i="15"/>
  <c r="I13" i="15"/>
  <c r="E13" i="15"/>
  <c r="I12" i="15"/>
  <c r="E12" i="15"/>
  <c r="I11" i="15"/>
  <c r="E11" i="15"/>
  <c r="I83" i="14"/>
  <c r="E83" i="14"/>
  <c r="I82" i="14"/>
  <c r="E82" i="14"/>
  <c r="I81" i="14"/>
  <c r="E81" i="14"/>
  <c r="I80" i="14"/>
  <c r="E80" i="14"/>
  <c r="I79" i="14"/>
  <c r="E79" i="14"/>
  <c r="I78" i="14"/>
  <c r="E78" i="14"/>
  <c r="I77" i="14"/>
  <c r="E77" i="14"/>
  <c r="I76" i="14"/>
  <c r="E76" i="14"/>
  <c r="I75" i="14"/>
  <c r="E75" i="14"/>
  <c r="I74" i="14"/>
  <c r="E74" i="14"/>
  <c r="I73" i="14"/>
  <c r="E73" i="14"/>
  <c r="I72" i="14"/>
  <c r="E72" i="14"/>
  <c r="I71" i="14"/>
  <c r="E71" i="14"/>
  <c r="I70" i="14"/>
  <c r="E70" i="14"/>
  <c r="I69" i="14"/>
  <c r="E69" i="14"/>
  <c r="I68" i="14"/>
  <c r="E68" i="14"/>
  <c r="I67" i="14"/>
  <c r="E67" i="14"/>
  <c r="I66" i="14"/>
  <c r="E66" i="14"/>
  <c r="I65" i="14"/>
  <c r="E65" i="14"/>
  <c r="I64" i="14"/>
  <c r="E64" i="14"/>
  <c r="I63" i="14"/>
  <c r="E63" i="14"/>
  <c r="I62" i="14"/>
  <c r="E62" i="14"/>
  <c r="I61" i="14"/>
  <c r="E61" i="14"/>
  <c r="I60" i="14"/>
  <c r="E60" i="14"/>
  <c r="I59" i="14"/>
  <c r="E59" i="14"/>
  <c r="I58" i="14"/>
  <c r="E58" i="14"/>
  <c r="I57" i="14"/>
  <c r="E57" i="14"/>
  <c r="I56" i="14"/>
  <c r="E56" i="14"/>
  <c r="I55" i="14"/>
  <c r="E55" i="14"/>
  <c r="I54" i="14"/>
  <c r="E54" i="14"/>
  <c r="I53" i="14"/>
  <c r="E53" i="14"/>
  <c r="I52" i="14"/>
  <c r="E52" i="14"/>
  <c r="I42" i="14"/>
  <c r="E42" i="14"/>
  <c r="I41" i="14"/>
  <c r="E41" i="14"/>
  <c r="I40" i="14"/>
  <c r="E40" i="14"/>
  <c r="I39" i="14"/>
  <c r="E39" i="14"/>
  <c r="I38" i="14"/>
  <c r="E38" i="14"/>
  <c r="I37" i="14"/>
  <c r="E37" i="14"/>
  <c r="I36" i="14"/>
  <c r="E36" i="14"/>
  <c r="I35" i="14"/>
  <c r="E35" i="14"/>
  <c r="I34" i="14"/>
  <c r="E34" i="14"/>
  <c r="I33" i="14"/>
  <c r="E33" i="14"/>
  <c r="I32" i="14"/>
  <c r="E32" i="14"/>
  <c r="I31" i="14"/>
  <c r="E31" i="14"/>
  <c r="I30" i="14"/>
  <c r="E30" i="14"/>
  <c r="I29" i="14"/>
  <c r="E29" i="14"/>
  <c r="I28" i="14"/>
  <c r="E28" i="14"/>
  <c r="I27" i="14"/>
  <c r="E27" i="14"/>
  <c r="I26" i="14"/>
  <c r="E26" i="14"/>
  <c r="I25" i="14"/>
  <c r="E25" i="14"/>
  <c r="I24" i="14"/>
  <c r="E24" i="14"/>
  <c r="I23" i="14"/>
  <c r="E23" i="14"/>
  <c r="I22" i="14"/>
  <c r="E22" i="14"/>
  <c r="I21" i="14"/>
  <c r="E21" i="14"/>
  <c r="I20" i="14"/>
  <c r="E20" i="14"/>
  <c r="I19" i="14"/>
  <c r="E19" i="14"/>
  <c r="I18" i="14"/>
  <c r="E18" i="14"/>
  <c r="I17" i="14"/>
  <c r="E17" i="14"/>
  <c r="I16" i="14"/>
  <c r="E16" i="14"/>
  <c r="I15" i="14"/>
  <c r="E15" i="14"/>
  <c r="I14" i="14"/>
  <c r="E14" i="14"/>
  <c r="I13" i="14"/>
  <c r="E13" i="14"/>
  <c r="I12" i="14"/>
  <c r="E12" i="14"/>
  <c r="I11" i="14"/>
  <c r="E11" i="14"/>
  <c r="I85" i="13"/>
  <c r="E85" i="13"/>
  <c r="I84" i="13"/>
  <c r="E84" i="13"/>
  <c r="I83" i="13"/>
  <c r="E83" i="13"/>
  <c r="I82" i="13"/>
  <c r="E82" i="13"/>
  <c r="I81" i="13"/>
  <c r="E81" i="13"/>
  <c r="I80" i="13"/>
  <c r="E80" i="13"/>
  <c r="I79" i="13"/>
  <c r="E79" i="13"/>
  <c r="I78" i="13"/>
  <c r="E78" i="13"/>
  <c r="I77" i="13"/>
  <c r="E77" i="13"/>
  <c r="I76" i="13"/>
  <c r="E76" i="13"/>
  <c r="I75" i="13"/>
  <c r="E75" i="13"/>
  <c r="I74" i="13"/>
  <c r="E74" i="13"/>
  <c r="I73" i="13"/>
  <c r="E73" i="13"/>
  <c r="I72" i="13"/>
  <c r="E72" i="13"/>
  <c r="I71" i="13"/>
  <c r="E71" i="13"/>
  <c r="I70" i="13"/>
  <c r="E70" i="13"/>
  <c r="I69" i="13"/>
  <c r="E69" i="13"/>
  <c r="I68" i="13"/>
  <c r="E68" i="13"/>
  <c r="I67" i="13"/>
  <c r="E67" i="13"/>
  <c r="I66" i="13"/>
  <c r="E66" i="13"/>
  <c r="I65" i="13"/>
  <c r="E65" i="13"/>
  <c r="I64" i="13"/>
  <c r="E64" i="13"/>
  <c r="I63" i="13"/>
  <c r="E63" i="13"/>
  <c r="I62" i="13"/>
  <c r="E62" i="13"/>
  <c r="I61" i="13"/>
  <c r="E61" i="13"/>
  <c r="I60" i="13"/>
  <c r="E60" i="13"/>
  <c r="I59" i="13"/>
  <c r="E59" i="13"/>
  <c r="I58" i="13"/>
  <c r="E58" i="13"/>
  <c r="I57" i="13"/>
  <c r="E57" i="13"/>
  <c r="I56" i="13"/>
  <c r="E56" i="13"/>
  <c r="I55" i="13"/>
  <c r="E55" i="13"/>
  <c r="I54" i="13"/>
  <c r="E54" i="13"/>
  <c r="I53" i="13"/>
  <c r="E53" i="13"/>
  <c r="I43" i="13"/>
  <c r="E43" i="13"/>
  <c r="I42" i="13"/>
  <c r="E42" i="13"/>
  <c r="I41" i="13"/>
  <c r="E41" i="13"/>
  <c r="I40" i="13"/>
  <c r="E40" i="13"/>
  <c r="I39" i="13"/>
  <c r="E39" i="13"/>
  <c r="I38" i="13"/>
  <c r="E38" i="13"/>
  <c r="I37" i="13"/>
  <c r="E37" i="13"/>
  <c r="I36" i="13"/>
  <c r="E36" i="13"/>
  <c r="I35" i="13"/>
  <c r="E35" i="13"/>
  <c r="I34" i="13"/>
  <c r="E34" i="13"/>
  <c r="I33" i="13"/>
  <c r="E33" i="13"/>
  <c r="I32" i="13"/>
  <c r="E32" i="13"/>
  <c r="I31" i="13"/>
  <c r="E31" i="13"/>
  <c r="I30" i="13"/>
  <c r="E30" i="13"/>
  <c r="I29" i="13"/>
  <c r="E29" i="13"/>
  <c r="I28" i="13"/>
  <c r="E28" i="13"/>
  <c r="I27" i="13"/>
  <c r="E27" i="13"/>
  <c r="I26" i="13"/>
  <c r="E26" i="13"/>
  <c r="I25" i="13"/>
  <c r="E25" i="13"/>
  <c r="I24" i="13"/>
  <c r="E24" i="13"/>
  <c r="I23" i="13"/>
  <c r="E23" i="13"/>
  <c r="I22" i="13"/>
  <c r="E22" i="13"/>
  <c r="I21" i="13"/>
  <c r="E21" i="13"/>
  <c r="I20" i="13"/>
  <c r="E20" i="13"/>
  <c r="I19" i="13"/>
  <c r="E19" i="13"/>
  <c r="I18" i="13"/>
  <c r="E18" i="13"/>
  <c r="I17" i="13"/>
  <c r="E17" i="13"/>
  <c r="I16" i="13"/>
  <c r="E16" i="13"/>
  <c r="I15" i="13"/>
  <c r="E15" i="13"/>
  <c r="I14" i="13"/>
  <c r="E14" i="13"/>
  <c r="I13" i="13"/>
  <c r="E13" i="13"/>
  <c r="I12" i="13"/>
  <c r="E12" i="13"/>
  <c r="I11" i="13"/>
  <c r="E11" i="13"/>
  <c r="I79" i="12"/>
  <c r="K79" i="12" s="1"/>
  <c r="I78" i="12"/>
  <c r="K78" i="12" s="1"/>
  <c r="I77" i="12"/>
  <c r="K77" i="12" s="1"/>
  <c r="I76" i="12"/>
  <c r="K76" i="12" s="1"/>
  <c r="I75" i="12"/>
  <c r="K75" i="12" s="1"/>
  <c r="I74" i="12"/>
  <c r="K74" i="12" s="1"/>
  <c r="I73" i="12"/>
  <c r="K73" i="12" s="1"/>
  <c r="I72" i="12"/>
  <c r="K72" i="12" s="1"/>
  <c r="I71" i="12"/>
  <c r="K71" i="12" s="1"/>
  <c r="I70" i="12"/>
  <c r="K70" i="12" s="1"/>
  <c r="I69" i="12"/>
  <c r="K69" i="12" s="1"/>
  <c r="I68" i="12"/>
  <c r="K68" i="12" s="1"/>
  <c r="I67" i="12"/>
  <c r="K67" i="12" s="1"/>
  <c r="I66" i="12"/>
  <c r="K66" i="12" s="1"/>
  <c r="I65" i="12"/>
  <c r="K65" i="12" s="1"/>
  <c r="I64" i="12"/>
  <c r="K64" i="12" s="1"/>
  <c r="I63" i="12"/>
  <c r="K63" i="12" s="1"/>
  <c r="I62" i="12"/>
  <c r="K62" i="12" s="1"/>
  <c r="I61" i="12"/>
  <c r="K61" i="12" s="1"/>
  <c r="I60" i="12"/>
  <c r="K60" i="12" s="1"/>
  <c r="I59" i="12"/>
  <c r="K59" i="12" s="1"/>
  <c r="I58" i="12"/>
  <c r="K58" i="12" s="1"/>
  <c r="I57" i="12"/>
  <c r="K57" i="12" s="1"/>
  <c r="I56" i="12"/>
  <c r="K56" i="12" s="1"/>
  <c r="I55" i="12"/>
  <c r="K55" i="12" s="1"/>
  <c r="I54" i="12"/>
  <c r="K54" i="12" s="1"/>
  <c r="I53" i="12"/>
  <c r="K53" i="12" s="1"/>
  <c r="I52" i="12"/>
  <c r="K52" i="12" s="1"/>
  <c r="I51" i="12"/>
  <c r="K51" i="12" s="1"/>
  <c r="I50" i="12"/>
  <c r="K50" i="12" s="1"/>
  <c r="I40" i="12"/>
  <c r="E40" i="12"/>
  <c r="I39" i="12"/>
  <c r="E39" i="12"/>
  <c r="I38" i="12"/>
  <c r="E38" i="12"/>
  <c r="I37" i="12"/>
  <c r="E37" i="12"/>
  <c r="I36" i="12"/>
  <c r="E36" i="12"/>
  <c r="I35" i="12"/>
  <c r="E35" i="12"/>
  <c r="I34" i="12"/>
  <c r="E34" i="12"/>
  <c r="I33" i="12"/>
  <c r="E33" i="12"/>
  <c r="I32" i="12"/>
  <c r="E32" i="12"/>
  <c r="I31" i="12"/>
  <c r="E31" i="12"/>
  <c r="I30" i="12"/>
  <c r="E30" i="12"/>
  <c r="I29" i="12"/>
  <c r="E29" i="12"/>
  <c r="I28" i="12"/>
  <c r="E28" i="12"/>
  <c r="I27" i="12"/>
  <c r="E27" i="12"/>
  <c r="I26" i="12"/>
  <c r="E26" i="12"/>
  <c r="I25" i="12"/>
  <c r="E25" i="12"/>
  <c r="I24" i="12"/>
  <c r="E24" i="12"/>
  <c r="I23" i="12"/>
  <c r="E23" i="12"/>
  <c r="I22" i="12"/>
  <c r="E22" i="12"/>
  <c r="I21" i="12"/>
  <c r="E21" i="12"/>
  <c r="I20" i="12"/>
  <c r="E20" i="12"/>
  <c r="I19" i="12"/>
  <c r="E19" i="12"/>
  <c r="I18" i="12"/>
  <c r="E18" i="12"/>
  <c r="I17" i="12"/>
  <c r="E17" i="12"/>
  <c r="I16" i="12"/>
  <c r="E16" i="12"/>
  <c r="I15" i="12"/>
  <c r="E15" i="12"/>
  <c r="I14" i="12"/>
  <c r="E14" i="12"/>
  <c r="I13" i="12"/>
  <c r="E13" i="12"/>
  <c r="I12" i="12"/>
  <c r="E12" i="12"/>
  <c r="I11" i="12"/>
  <c r="E11" i="12"/>
  <c r="I85" i="11"/>
  <c r="E85" i="11"/>
  <c r="I84" i="11"/>
  <c r="E84" i="11"/>
  <c r="I83" i="11"/>
  <c r="E83" i="11"/>
  <c r="I82" i="11"/>
  <c r="E82" i="11"/>
  <c r="I81" i="11"/>
  <c r="E81" i="11"/>
  <c r="I80" i="11"/>
  <c r="E80" i="11"/>
  <c r="I79" i="11"/>
  <c r="E79" i="11"/>
  <c r="I78" i="11"/>
  <c r="E78" i="11"/>
  <c r="I77" i="11"/>
  <c r="E77" i="11"/>
  <c r="I76" i="11"/>
  <c r="E76" i="11"/>
  <c r="I75" i="11"/>
  <c r="E75" i="11"/>
  <c r="I74" i="11"/>
  <c r="E74" i="11"/>
  <c r="I73" i="11"/>
  <c r="E73" i="11"/>
  <c r="I72" i="11"/>
  <c r="E72" i="11"/>
  <c r="I71" i="11"/>
  <c r="E71" i="11"/>
  <c r="I70" i="11"/>
  <c r="E70" i="11"/>
  <c r="I69" i="11"/>
  <c r="E69" i="11"/>
  <c r="I68" i="11"/>
  <c r="E68" i="11"/>
  <c r="I67" i="11"/>
  <c r="E67" i="11"/>
  <c r="I66" i="11"/>
  <c r="E66" i="11"/>
  <c r="I65" i="11"/>
  <c r="E65" i="11"/>
  <c r="I64" i="11"/>
  <c r="E64" i="11"/>
  <c r="I63" i="11"/>
  <c r="E63" i="11"/>
  <c r="I62" i="11"/>
  <c r="E62" i="11"/>
  <c r="I61" i="11"/>
  <c r="E61" i="11"/>
  <c r="I60" i="11"/>
  <c r="E60" i="11"/>
  <c r="I59" i="11"/>
  <c r="E59" i="11"/>
  <c r="I58" i="11"/>
  <c r="E58" i="11"/>
  <c r="I57" i="11"/>
  <c r="E57" i="11"/>
  <c r="I56" i="11"/>
  <c r="E56" i="11"/>
  <c r="I55" i="11"/>
  <c r="E55" i="11"/>
  <c r="I54" i="11"/>
  <c r="E54" i="11"/>
  <c r="I53" i="11"/>
  <c r="E53" i="11"/>
  <c r="I43" i="11"/>
  <c r="E43" i="11"/>
  <c r="I42" i="11"/>
  <c r="E42" i="11"/>
  <c r="I41" i="11"/>
  <c r="E41" i="11"/>
  <c r="I40" i="11"/>
  <c r="E40" i="11"/>
  <c r="I39" i="11"/>
  <c r="E39" i="11"/>
  <c r="I38" i="11"/>
  <c r="E38" i="11"/>
  <c r="I37" i="11"/>
  <c r="E37" i="11"/>
  <c r="I36" i="11"/>
  <c r="E36" i="11"/>
  <c r="I35" i="11"/>
  <c r="E35" i="11"/>
  <c r="I34" i="11"/>
  <c r="E34" i="11"/>
  <c r="I33" i="11"/>
  <c r="E33" i="11"/>
  <c r="I32" i="11"/>
  <c r="E32" i="11"/>
  <c r="I31" i="11"/>
  <c r="E31" i="11"/>
  <c r="I30" i="11"/>
  <c r="E30" i="11"/>
  <c r="I29" i="11"/>
  <c r="E29" i="11"/>
  <c r="I28" i="11"/>
  <c r="E28" i="11"/>
  <c r="I27" i="11"/>
  <c r="E27" i="11"/>
  <c r="I26" i="11"/>
  <c r="E26" i="11"/>
  <c r="I25" i="11"/>
  <c r="E25" i="11"/>
  <c r="I24" i="11"/>
  <c r="E24" i="11"/>
  <c r="I23" i="11"/>
  <c r="E23" i="11"/>
  <c r="I22" i="11"/>
  <c r="E22" i="11"/>
  <c r="I21" i="11"/>
  <c r="E21" i="11"/>
  <c r="I20" i="11"/>
  <c r="E20" i="11"/>
  <c r="I19" i="11"/>
  <c r="E19" i="11"/>
  <c r="I18" i="11"/>
  <c r="E18" i="11"/>
  <c r="I17" i="11"/>
  <c r="E17" i="11"/>
  <c r="I16" i="11"/>
  <c r="E16" i="11"/>
  <c r="I15" i="11"/>
  <c r="E15" i="11"/>
  <c r="I14" i="11"/>
  <c r="E14" i="11"/>
  <c r="I13" i="11"/>
  <c r="E13" i="11"/>
  <c r="I12" i="11"/>
  <c r="E12" i="11"/>
  <c r="I11" i="11"/>
  <c r="E11" i="11"/>
  <c r="K14" i="11" l="1"/>
  <c r="K38" i="11"/>
  <c r="K42" i="11"/>
  <c r="K57" i="11"/>
  <c r="K16" i="13"/>
  <c r="K55" i="13"/>
  <c r="K34" i="15"/>
  <c r="K36" i="15"/>
  <c r="K38" i="15"/>
  <c r="K40" i="15"/>
  <c r="K11" i="18"/>
  <c r="K13" i="18"/>
  <c r="K15" i="18"/>
  <c r="K17" i="18"/>
  <c r="K19" i="18"/>
  <c r="K21" i="18"/>
  <c r="K58" i="11"/>
  <c r="K17" i="12"/>
  <c r="K58" i="13"/>
  <c r="K60" i="13"/>
  <c r="K32" i="18"/>
  <c r="K79" i="13"/>
  <c r="K54" i="11"/>
  <c r="K32" i="13"/>
  <c r="K18" i="11"/>
  <c r="K22" i="11"/>
  <c r="K26" i="11"/>
  <c r="K30" i="11"/>
  <c r="K34" i="11"/>
  <c r="K19" i="13"/>
  <c r="K23" i="13"/>
  <c r="K64" i="13"/>
  <c r="K72" i="13"/>
  <c r="K82" i="13"/>
  <c r="K84" i="13"/>
  <c r="K63" i="13"/>
  <c r="K67" i="13"/>
  <c r="K71" i="13"/>
  <c r="K75" i="13"/>
  <c r="K34" i="13"/>
  <c r="K40" i="13"/>
  <c r="K42" i="13"/>
  <c r="K59" i="13"/>
  <c r="K74" i="13"/>
  <c r="K76" i="13"/>
  <c r="K15" i="13"/>
  <c r="K80" i="13"/>
  <c r="K61" i="11"/>
  <c r="K65" i="11"/>
  <c r="K69" i="11"/>
  <c r="K73" i="11"/>
  <c r="K77" i="11"/>
  <c r="K81" i="11"/>
  <c r="K85" i="11"/>
  <c r="K31" i="13"/>
  <c r="K56" i="13"/>
  <c r="K66" i="13"/>
  <c r="K68" i="13"/>
  <c r="K83" i="13"/>
  <c r="K12" i="14"/>
  <c r="K14" i="14"/>
  <c r="K16" i="14"/>
  <c r="K18" i="14"/>
  <c r="K20" i="14"/>
  <c r="K22" i="14"/>
  <c r="K24" i="14"/>
  <c r="K26" i="14"/>
  <c r="K28" i="14"/>
  <c r="K30" i="14"/>
  <c r="K32" i="14"/>
  <c r="K34" i="14"/>
  <c r="K36" i="14"/>
  <c r="K15" i="16"/>
  <c r="K38" i="14"/>
  <c r="K40" i="14"/>
  <c r="K42" i="14"/>
  <c r="K53" i="14"/>
  <c r="K55" i="14"/>
  <c r="K57" i="14"/>
  <c r="K59" i="14"/>
  <c r="K61" i="14"/>
  <c r="K63" i="14"/>
  <c r="K65" i="14"/>
  <c r="K67" i="14"/>
  <c r="K69" i="14"/>
  <c r="K71" i="14"/>
  <c r="K73" i="14"/>
  <c r="K75" i="14"/>
  <c r="K77" i="14"/>
  <c r="K79" i="14"/>
  <c r="K81" i="14"/>
  <c r="K83" i="14"/>
  <c r="K35" i="15"/>
  <c r="K39" i="15"/>
  <c r="K43" i="15"/>
  <c r="K14" i="16"/>
  <c r="K18" i="16"/>
  <c r="K22" i="16"/>
  <c r="K26" i="16"/>
  <c r="K30" i="16"/>
  <c r="K34" i="16"/>
  <c r="K38" i="16"/>
  <c r="K53" i="16"/>
  <c r="K57" i="16"/>
  <c r="K61" i="16"/>
  <c r="K65" i="16"/>
  <c r="K69" i="16"/>
  <c r="K73" i="16"/>
  <c r="K77" i="16"/>
  <c r="K33" i="18"/>
  <c r="K35" i="18"/>
  <c r="K37" i="18"/>
  <c r="K39" i="18"/>
  <c r="K41" i="18"/>
  <c r="K14" i="19"/>
  <c r="K16" i="19"/>
  <c r="K18" i="19"/>
  <c r="K20" i="19"/>
  <c r="K22" i="19"/>
  <c r="K26" i="19"/>
  <c r="K28" i="19"/>
  <c r="K30" i="19"/>
  <c r="K32" i="19"/>
  <c r="K34" i="19"/>
  <c r="K36" i="19"/>
  <c r="K38" i="19"/>
  <c r="K40" i="19"/>
  <c r="K42" i="19"/>
  <c r="K44" i="19"/>
  <c r="K46" i="19"/>
  <c r="K50" i="19"/>
  <c r="K54" i="19"/>
  <c r="K56" i="19"/>
  <c r="K58" i="19"/>
  <c r="K60" i="19"/>
  <c r="K62" i="19"/>
  <c r="K73" i="19"/>
  <c r="K75" i="19"/>
  <c r="K77" i="19"/>
  <c r="K79" i="19"/>
  <c r="K81" i="19"/>
  <c r="K83" i="19"/>
  <c r="K85" i="19"/>
  <c r="K87" i="19"/>
  <c r="K91" i="19"/>
  <c r="K95" i="19"/>
  <c r="K97" i="19"/>
  <c r="K99" i="19"/>
  <c r="K103" i="19"/>
  <c r="K105" i="19"/>
  <c r="K107" i="19"/>
  <c r="K109" i="19"/>
  <c r="K111" i="19"/>
  <c r="K113" i="19"/>
  <c r="K115" i="19"/>
  <c r="K117" i="19"/>
  <c r="K119" i="19"/>
  <c r="K123" i="19"/>
  <c r="K80" i="19"/>
  <c r="K88" i="19"/>
  <c r="K96" i="19"/>
  <c r="K104" i="19"/>
  <c r="K112" i="19"/>
  <c r="K116" i="19"/>
  <c r="K120" i="19"/>
  <c r="K122" i="19"/>
  <c r="K11" i="19"/>
  <c r="K15" i="19"/>
  <c r="K31" i="19"/>
  <c r="K35" i="19"/>
  <c r="K39" i="19"/>
  <c r="K43" i="19"/>
  <c r="K51" i="19"/>
  <c r="K31" i="18"/>
  <c r="K12" i="18"/>
  <c r="K30" i="17"/>
  <c r="K34" i="17"/>
  <c r="K31" i="17"/>
  <c r="K33" i="17"/>
  <c r="K35" i="17"/>
  <c r="K39" i="17"/>
  <c r="K14" i="17"/>
  <c r="K18" i="17"/>
  <c r="K50" i="16"/>
  <c r="K54" i="16"/>
  <c r="K32" i="15"/>
  <c r="K42" i="15"/>
  <c r="K13" i="15"/>
  <c r="K17" i="15"/>
  <c r="K21" i="15"/>
  <c r="K11" i="13"/>
  <c r="K18" i="13"/>
  <c r="K24" i="13"/>
  <c r="K26" i="13"/>
  <c r="K39" i="13"/>
  <c r="K12" i="12"/>
  <c r="K16" i="12"/>
  <c r="K20" i="12"/>
  <c r="K24" i="12"/>
  <c r="K28" i="12"/>
  <c r="K32" i="12"/>
  <c r="K36" i="12"/>
  <c r="K40" i="12"/>
  <c r="K53" i="11"/>
  <c r="K70" i="11"/>
  <c r="K15" i="11"/>
  <c r="K19" i="11"/>
  <c r="K72" i="19"/>
  <c r="K76" i="19"/>
  <c r="K84" i="19"/>
  <c r="K92" i="19"/>
  <c r="K100" i="19"/>
  <c r="K108" i="19"/>
  <c r="K89" i="19"/>
  <c r="K93" i="19"/>
  <c r="K101" i="19"/>
  <c r="K121" i="19"/>
  <c r="K74" i="19"/>
  <c r="K78" i="19"/>
  <c r="K82" i="19"/>
  <c r="K86" i="19"/>
  <c r="K90" i="19"/>
  <c r="K94" i="19"/>
  <c r="K98" i="19"/>
  <c r="K102" i="19"/>
  <c r="K106" i="19"/>
  <c r="K110" i="19"/>
  <c r="K114" i="19"/>
  <c r="K118" i="19"/>
  <c r="K19" i="19"/>
  <c r="K23" i="19"/>
  <c r="K27" i="19"/>
  <c r="K55" i="19"/>
  <c r="K12" i="19"/>
  <c r="K24" i="19"/>
  <c r="K48" i="19"/>
  <c r="K52" i="19"/>
  <c r="K13" i="19"/>
  <c r="K17" i="19"/>
  <c r="K21" i="19"/>
  <c r="K25" i="19"/>
  <c r="K29" i="19"/>
  <c r="K33" i="19"/>
  <c r="K37" i="19"/>
  <c r="K41" i="19"/>
  <c r="K45" i="19"/>
  <c r="K49" i="19"/>
  <c r="K53" i="19"/>
  <c r="K57" i="19"/>
  <c r="K61" i="19"/>
  <c r="K47" i="19"/>
  <c r="K59" i="19"/>
  <c r="K34" i="18"/>
  <c r="K36" i="18"/>
  <c r="K40" i="18"/>
  <c r="K38" i="18"/>
  <c r="K14" i="18"/>
  <c r="K16" i="18"/>
  <c r="K20" i="18"/>
  <c r="K18" i="18"/>
  <c r="K32" i="17"/>
  <c r="K36" i="17"/>
  <c r="K37" i="17"/>
  <c r="K38" i="17"/>
  <c r="K11" i="17"/>
  <c r="K15" i="17"/>
  <c r="K19" i="17"/>
  <c r="K12" i="17"/>
  <c r="K16" i="17"/>
  <c r="K20" i="17"/>
  <c r="K13" i="17"/>
  <c r="K17" i="17"/>
  <c r="K58" i="16"/>
  <c r="K62" i="16"/>
  <c r="K66" i="16"/>
  <c r="K70" i="16"/>
  <c r="K74" i="16"/>
  <c r="K78" i="16"/>
  <c r="K51" i="16"/>
  <c r="K55" i="16"/>
  <c r="K59" i="16"/>
  <c r="K63" i="16"/>
  <c r="K67" i="16"/>
  <c r="K71" i="16"/>
  <c r="K75" i="16"/>
  <c r="K79" i="16"/>
  <c r="K52" i="16"/>
  <c r="K56" i="16"/>
  <c r="K60" i="16"/>
  <c r="K64" i="16"/>
  <c r="K68" i="16"/>
  <c r="K72" i="16"/>
  <c r="K76" i="16"/>
  <c r="K11" i="16"/>
  <c r="K19" i="16"/>
  <c r="K23" i="16"/>
  <c r="K27" i="16"/>
  <c r="K31" i="16"/>
  <c r="K35" i="16"/>
  <c r="K39" i="16"/>
  <c r="K12" i="16"/>
  <c r="K16" i="16"/>
  <c r="K20" i="16"/>
  <c r="K24" i="16"/>
  <c r="K28" i="16"/>
  <c r="K32" i="16"/>
  <c r="K36" i="16"/>
  <c r="K40" i="16"/>
  <c r="K13" i="16"/>
  <c r="K17" i="16"/>
  <c r="K21" i="16"/>
  <c r="K25" i="16"/>
  <c r="K29" i="16"/>
  <c r="K33" i="16"/>
  <c r="K37" i="16"/>
  <c r="K33" i="15"/>
  <c r="K37" i="15"/>
  <c r="K41" i="15"/>
  <c r="K14" i="15"/>
  <c r="K18" i="15"/>
  <c r="K22" i="15"/>
  <c r="K11" i="15"/>
  <c r="K15" i="15"/>
  <c r="K19" i="15"/>
  <c r="K12" i="15"/>
  <c r="K16" i="15"/>
  <c r="K20" i="15"/>
  <c r="K52" i="14"/>
  <c r="K56" i="14"/>
  <c r="K60" i="14"/>
  <c r="K64" i="14"/>
  <c r="K68" i="14"/>
  <c r="K72" i="14"/>
  <c r="K76" i="14"/>
  <c r="K80" i="14"/>
  <c r="K54" i="14"/>
  <c r="K58" i="14"/>
  <c r="K62" i="14"/>
  <c r="K66" i="14"/>
  <c r="K70" i="14"/>
  <c r="K74" i="14"/>
  <c r="K78" i="14"/>
  <c r="K82" i="14"/>
  <c r="K11" i="14"/>
  <c r="K15" i="14"/>
  <c r="K19" i="14"/>
  <c r="K23" i="14"/>
  <c r="K27" i="14"/>
  <c r="K31" i="14"/>
  <c r="K35" i="14"/>
  <c r="K39" i="14"/>
  <c r="K13" i="14"/>
  <c r="K17" i="14"/>
  <c r="K21" i="14"/>
  <c r="K25" i="14"/>
  <c r="K29" i="14"/>
  <c r="K33" i="14"/>
  <c r="K37" i="14"/>
  <c r="K41" i="14"/>
  <c r="K54" i="13"/>
  <c r="K62" i="13"/>
  <c r="K70" i="13"/>
  <c r="K78" i="13"/>
  <c r="K53" i="13"/>
  <c r="K57" i="13"/>
  <c r="K61" i="13"/>
  <c r="K65" i="13"/>
  <c r="K69" i="13"/>
  <c r="K73" i="13"/>
  <c r="K77" i="13"/>
  <c r="K81" i="13"/>
  <c r="K85" i="13"/>
  <c r="K28" i="13"/>
  <c r="K43" i="13"/>
  <c r="K12" i="13"/>
  <c r="K36" i="13"/>
  <c r="K27" i="13"/>
  <c r="K20" i="13"/>
  <c r="K35" i="13"/>
  <c r="K14" i="13"/>
  <c r="K22" i="13"/>
  <c r="K30" i="13"/>
  <c r="K38" i="13"/>
  <c r="K13" i="13"/>
  <c r="K17" i="13"/>
  <c r="K21" i="13"/>
  <c r="K25" i="13"/>
  <c r="K29" i="13"/>
  <c r="K33" i="13"/>
  <c r="K37" i="13"/>
  <c r="K41" i="13"/>
  <c r="K13" i="12"/>
  <c r="K21" i="12"/>
  <c r="K25" i="12"/>
  <c r="K29" i="12"/>
  <c r="K33" i="12"/>
  <c r="K37" i="12"/>
  <c r="K14" i="12"/>
  <c r="K18" i="12"/>
  <c r="K22" i="12"/>
  <c r="K26" i="12"/>
  <c r="K30" i="12"/>
  <c r="K34" i="12"/>
  <c r="K38" i="12"/>
  <c r="K11" i="12"/>
  <c r="K15" i="12"/>
  <c r="K19" i="12"/>
  <c r="K23" i="12"/>
  <c r="K27" i="12"/>
  <c r="K31" i="12"/>
  <c r="K35" i="12"/>
  <c r="K39" i="12"/>
  <c r="K66" i="11"/>
  <c r="K62" i="11"/>
  <c r="K74" i="11"/>
  <c r="K78" i="11"/>
  <c r="K82" i="11"/>
  <c r="K55" i="11"/>
  <c r="K59" i="11"/>
  <c r="K63" i="11"/>
  <c r="K67" i="11"/>
  <c r="K71" i="11"/>
  <c r="K75" i="11"/>
  <c r="K79" i="11"/>
  <c r="K83" i="11"/>
  <c r="K56" i="11"/>
  <c r="K60" i="11"/>
  <c r="K64" i="11"/>
  <c r="K68" i="11"/>
  <c r="K72" i="11"/>
  <c r="K76" i="11"/>
  <c r="K80" i="11"/>
  <c r="K84" i="11"/>
  <c r="K11" i="11"/>
  <c r="K27" i="11"/>
  <c r="K23" i="11"/>
  <c r="K31" i="11"/>
  <c r="K35" i="11"/>
  <c r="K39" i="11"/>
  <c r="K43" i="11"/>
  <c r="K12" i="11"/>
  <c r="K16" i="11"/>
  <c r="K20" i="11"/>
  <c r="K24" i="11"/>
  <c r="K28" i="11"/>
  <c r="K32" i="11"/>
  <c r="K36" i="11"/>
  <c r="K40" i="11"/>
  <c r="K13" i="11"/>
  <c r="K17" i="11"/>
  <c r="K21" i="11"/>
  <c r="K25" i="11"/>
  <c r="K29" i="11"/>
  <c r="K33" i="11"/>
  <c r="K37" i="11"/>
  <c r="K41" i="11"/>
  <c r="I95" i="10"/>
  <c r="E95" i="10"/>
  <c r="I94" i="10"/>
  <c r="E94" i="10"/>
  <c r="I93" i="10"/>
  <c r="E93" i="10"/>
  <c r="I92" i="10"/>
  <c r="E92" i="10"/>
  <c r="I91" i="10"/>
  <c r="E91" i="10"/>
  <c r="I90" i="10"/>
  <c r="E90" i="10"/>
  <c r="I89" i="10"/>
  <c r="E89" i="10"/>
  <c r="I88" i="10"/>
  <c r="E88" i="10"/>
  <c r="I87" i="10"/>
  <c r="E87" i="10"/>
  <c r="I86" i="10"/>
  <c r="E86" i="10"/>
  <c r="I85" i="10"/>
  <c r="E85" i="10"/>
  <c r="I84" i="10"/>
  <c r="E84" i="10"/>
  <c r="I83" i="10"/>
  <c r="E83" i="10"/>
  <c r="I82" i="10"/>
  <c r="E82" i="10"/>
  <c r="I81" i="10"/>
  <c r="E81" i="10"/>
  <c r="I80" i="10"/>
  <c r="E80" i="10"/>
  <c r="I79" i="10"/>
  <c r="E79" i="10"/>
  <c r="I78" i="10"/>
  <c r="E78" i="10"/>
  <c r="I77" i="10"/>
  <c r="E77" i="10"/>
  <c r="I76" i="10"/>
  <c r="E76" i="10"/>
  <c r="I75" i="10"/>
  <c r="E75" i="10"/>
  <c r="I74" i="10"/>
  <c r="E74" i="10"/>
  <c r="I73" i="10"/>
  <c r="E73" i="10"/>
  <c r="I72" i="10"/>
  <c r="E72" i="10"/>
  <c r="I71" i="10"/>
  <c r="E71" i="10"/>
  <c r="I70" i="10"/>
  <c r="E70" i="10"/>
  <c r="I69" i="10"/>
  <c r="E69" i="10"/>
  <c r="I68" i="10"/>
  <c r="E68" i="10"/>
  <c r="I67" i="10"/>
  <c r="E67" i="10"/>
  <c r="I66" i="10"/>
  <c r="E66" i="10"/>
  <c r="I65" i="10"/>
  <c r="E65" i="10"/>
  <c r="I64" i="10"/>
  <c r="E64" i="10"/>
  <c r="I63" i="10"/>
  <c r="E63" i="10"/>
  <c r="I62" i="10"/>
  <c r="E62" i="10"/>
  <c r="I61" i="10"/>
  <c r="E61" i="10"/>
  <c r="I60" i="10"/>
  <c r="E60" i="10"/>
  <c r="I59" i="10"/>
  <c r="E59" i="10"/>
  <c r="I58" i="10"/>
  <c r="E58" i="10"/>
  <c r="I48" i="10"/>
  <c r="E48" i="10"/>
  <c r="I47" i="10"/>
  <c r="E47" i="10"/>
  <c r="I46" i="10"/>
  <c r="E46" i="10"/>
  <c r="I45" i="10"/>
  <c r="E45" i="10"/>
  <c r="I44" i="10"/>
  <c r="E44" i="10"/>
  <c r="I43" i="10"/>
  <c r="E43" i="10"/>
  <c r="I42" i="10"/>
  <c r="E42" i="10"/>
  <c r="I41" i="10"/>
  <c r="E41" i="10"/>
  <c r="I40" i="10"/>
  <c r="E40" i="10"/>
  <c r="I39" i="10"/>
  <c r="E39" i="10"/>
  <c r="I38" i="10"/>
  <c r="E38" i="10"/>
  <c r="I37" i="10"/>
  <c r="E37" i="10"/>
  <c r="I36" i="10"/>
  <c r="E36" i="10"/>
  <c r="I35" i="10"/>
  <c r="E35" i="10"/>
  <c r="I34" i="10"/>
  <c r="E34" i="10"/>
  <c r="I33" i="10"/>
  <c r="E33" i="10"/>
  <c r="I32" i="10"/>
  <c r="E32" i="10"/>
  <c r="I31" i="10"/>
  <c r="E31" i="10"/>
  <c r="I30" i="10"/>
  <c r="E30" i="10"/>
  <c r="I29" i="10"/>
  <c r="E29" i="10"/>
  <c r="I28" i="10"/>
  <c r="E28" i="10"/>
  <c r="I27" i="10"/>
  <c r="E27" i="10"/>
  <c r="I26" i="10"/>
  <c r="E26" i="10"/>
  <c r="I25" i="10"/>
  <c r="E25" i="10"/>
  <c r="I24" i="10"/>
  <c r="E24" i="10"/>
  <c r="I23" i="10"/>
  <c r="E23" i="10"/>
  <c r="I22" i="10"/>
  <c r="E22" i="10"/>
  <c r="I21" i="10"/>
  <c r="E21" i="10"/>
  <c r="I20" i="10"/>
  <c r="E20" i="10"/>
  <c r="I19" i="10"/>
  <c r="E19" i="10"/>
  <c r="I18" i="10"/>
  <c r="E18" i="10"/>
  <c r="I17" i="10"/>
  <c r="E17" i="10"/>
  <c r="I16" i="10"/>
  <c r="E16" i="10"/>
  <c r="I15" i="10"/>
  <c r="E15" i="10"/>
  <c r="I14" i="10"/>
  <c r="E14" i="10"/>
  <c r="I13" i="10"/>
  <c r="E13" i="10"/>
  <c r="I12" i="10"/>
  <c r="E12" i="10"/>
  <c r="I11" i="10"/>
  <c r="E11" i="10"/>
  <c r="I49" i="9"/>
  <c r="E49" i="9"/>
  <c r="I48" i="9"/>
  <c r="E48" i="9"/>
  <c r="I47" i="9"/>
  <c r="E47" i="9"/>
  <c r="I46" i="9"/>
  <c r="E46" i="9"/>
  <c r="I45" i="9"/>
  <c r="E45" i="9"/>
  <c r="I44" i="9"/>
  <c r="E44" i="9"/>
  <c r="I43" i="9"/>
  <c r="E43" i="9"/>
  <c r="I42" i="9"/>
  <c r="E42" i="9"/>
  <c r="I41" i="9"/>
  <c r="E41" i="9"/>
  <c r="I40" i="9"/>
  <c r="E40" i="9"/>
  <c r="I39" i="9"/>
  <c r="E39" i="9"/>
  <c r="I38" i="9"/>
  <c r="E38" i="9"/>
  <c r="I37" i="9"/>
  <c r="E37" i="9"/>
  <c r="I36" i="9"/>
  <c r="E36" i="9"/>
  <c r="I35" i="9"/>
  <c r="E35" i="9"/>
  <c r="I25" i="9"/>
  <c r="E25" i="9"/>
  <c r="I24" i="9"/>
  <c r="E24" i="9"/>
  <c r="I23" i="9"/>
  <c r="E23" i="9"/>
  <c r="I22" i="9"/>
  <c r="E22" i="9"/>
  <c r="I21" i="9"/>
  <c r="E21" i="9"/>
  <c r="I20" i="9"/>
  <c r="E20" i="9"/>
  <c r="I19" i="9"/>
  <c r="E19" i="9"/>
  <c r="I18" i="9"/>
  <c r="E18" i="9"/>
  <c r="I17" i="9"/>
  <c r="E17" i="9"/>
  <c r="I16" i="9"/>
  <c r="E16" i="9"/>
  <c r="I15" i="9"/>
  <c r="E15" i="9"/>
  <c r="I14" i="9"/>
  <c r="E14" i="9"/>
  <c r="I13" i="9"/>
  <c r="E13" i="9"/>
  <c r="I12" i="9"/>
  <c r="E12" i="9"/>
  <c r="I11" i="9"/>
  <c r="E11" i="9"/>
  <c r="I37" i="8"/>
  <c r="E37" i="8"/>
  <c r="I36" i="8"/>
  <c r="E36" i="8"/>
  <c r="I35" i="8"/>
  <c r="E35" i="8"/>
  <c r="I34" i="8"/>
  <c r="E34" i="8"/>
  <c r="I33" i="8"/>
  <c r="E33" i="8"/>
  <c r="I32" i="8"/>
  <c r="E32" i="8"/>
  <c r="I31" i="8"/>
  <c r="E31" i="8"/>
  <c r="I30" i="8"/>
  <c r="E30" i="8"/>
  <c r="I29" i="8"/>
  <c r="E29" i="8"/>
  <c r="I19" i="8"/>
  <c r="E19" i="8"/>
  <c r="I18" i="8"/>
  <c r="E18" i="8"/>
  <c r="I17" i="8"/>
  <c r="E17" i="8"/>
  <c r="I16" i="8"/>
  <c r="E16" i="8"/>
  <c r="I15" i="8"/>
  <c r="E15" i="8"/>
  <c r="I14" i="8"/>
  <c r="E14" i="8"/>
  <c r="I13" i="8"/>
  <c r="E13" i="8"/>
  <c r="I12" i="8"/>
  <c r="E12" i="8"/>
  <c r="I11" i="8"/>
  <c r="E11" i="8"/>
  <c r="I37" i="7"/>
  <c r="E37" i="7"/>
  <c r="I36" i="7"/>
  <c r="E36" i="7"/>
  <c r="I35" i="7"/>
  <c r="E35" i="7"/>
  <c r="I34" i="7"/>
  <c r="E34" i="7"/>
  <c r="I33" i="7"/>
  <c r="E33" i="7"/>
  <c r="I32" i="7"/>
  <c r="E32" i="7"/>
  <c r="I31" i="7"/>
  <c r="E31" i="7"/>
  <c r="I30" i="7"/>
  <c r="E30" i="7"/>
  <c r="I29" i="7"/>
  <c r="E29" i="7"/>
  <c r="I19" i="7"/>
  <c r="E19" i="7"/>
  <c r="I18" i="7"/>
  <c r="E18" i="7"/>
  <c r="I17" i="7"/>
  <c r="E17" i="7"/>
  <c r="I16" i="7"/>
  <c r="E16" i="7"/>
  <c r="I15" i="7"/>
  <c r="E15" i="7"/>
  <c r="I14" i="7"/>
  <c r="E14" i="7"/>
  <c r="I13" i="7"/>
  <c r="E13" i="7"/>
  <c r="I12" i="7"/>
  <c r="E12" i="7"/>
  <c r="I11" i="7"/>
  <c r="E11" i="7"/>
  <c r="I33" i="6"/>
  <c r="E33" i="6"/>
  <c r="I32" i="6"/>
  <c r="E32" i="6"/>
  <c r="I31" i="6"/>
  <c r="E31" i="6"/>
  <c r="I30" i="6"/>
  <c r="E30" i="6"/>
  <c r="I29" i="6"/>
  <c r="E29" i="6"/>
  <c r="I28" i="6"/>
  <c r="E28" i="6"/>
  <c r="I27" i="6"/>
  <c r="E27" i="6"/>
  <c r="I17" i="6"/>
  <c r="E17" i="6"/>
  <c r="I16" i="6"/>
  <c r="E16" i="6"/>
  <c r="I15" i="6"/>
  <c r="E15" i="6"/>
  <c r="I14" i="6"/>
  <c r="E14" i="6"/>
  <c r="I13" i="6"/>
  <c r="E13" i="6"/>
  <c r="I12" i="6"/>
  <c r="E12" i="6"/>
  <c r="I11" i="6"/>
  <c r="E11" i="6"/>
  <c r="H29" i="5"/>
  <c r="G29" i="5"/>
  <c r="D29" i="5"/>
  <c r="C29" i="5"/>
  <c r="I28" i="5"/>
  <c r="K28" i="5" s="1"/>
  <c r="I27" i="5"/>
  <c r="I26" i="5"/>
  <c r="K26" i="5" s="1"/>
  <c r="I25" i="5"/>
  <c r="K25" i="5" s="1"/>
  <c r="H15" i="5"/>
  <c r="G15" i="5"/>
  <c r="D15" i="5"/>
  <c r="C15" i="5"/>
  <c r="I14" i="5"/>
  <c r="E14" i="5"/>
  <c r="I13" i="5"/>
  <c r="E13" i="5"/>
  <c r="I12" i="5"/>
  <c r="E12" i="5"/>
  <c r="I11" i="5"/>
  <c r="E11" i="5"/>
  <c r="I18" i="4"/>
  <c r="H18" i="4"/>
  <c r="E18" i="4"/>
  <c r="I17" i="4"/>
  <c r="H17" i="4"/>
  <c r="E17" i="4"/>
  <c r="I16" i="4"/>
  <c r="H16" i="4"/>
  <c r="E16" i="4"/>
  <c r="I15" i="4"/>
  <c r="H15" i="4"/>
  <c r="E15" i="4"/>
  <c r="I14" i="4"/>
  <c r="H14" i="4"/>
  <c r="E14" i="4"/>
  <c r="I13" i="4"/>
  <c r="H13" i="4"/>
  <c r="E13" i="4"/>
  <c r="I12" i="4"/>
  <c r="H12" i="4"/>
  <c r="E12" i="4"/>
  <c r="I11" i="4"/>
  <c r="H11" i="4"/>
  <c r="E11" i="4"/>
  <c r="I18" i="3"/>
  <c r="H18" i="3"/>
  <c r="E18" i="3"/>
  <c r="I17" i="3"/>
  <c r="H17" i="3"/>
  <c r="E17" i="3"/>
  <c r="I16" i="3"/>
  <c r="H16" i="3"/>
  <c r="E16" i="3"/>
  <c r="I15" i="3"/>
  <c r="H15" i="3"/>
  <c r="E15" i="3"/>
  <c r="I14" i="3"/>
  <c r="H14" i="3"/>
  <c r="E14" i="3"/>
  <c r="I13" i="3"/>
  <c r="H13" i="3"/>
  <c r="E13" i="3"/>
  <c r="I12" i="3"/>
  <c r="H12" i="3"/>
  <c r="E12" i="3"/>
  <c r="I11" i="3"/>
  <c r="H11" i="3"/>
  <c r="E11" i="3"/>
  <c r="B6" i="2"/>
  <c r="E29" i="5" l="1"/>
  <c r="K11" i="6"/>
  <c r="K13" i="6"/>
  <c r="K15" i="6"/>
  <c r="K17" i="6"/>
  <c r="K13" i="7"/>
  <c r="K15" i="7"/>
  <c r="K17" i="7"/>
  <c r="K11" i="8"/>
  <c r="K13" i="8"/>
  <c r="I15" i="5"/>
  <c r="J12" i="5" s="1"/>
  <c r="K11" i="5"/>
  <c r="K13" i="5"/>
  <c r="I29" i="5"/>
  <c r="J25" i="5" s="1"/>
  <c r="K27" i="6"/>
  <c r="K29" i="6"/>
  <c r="K31" i="6"/>
  <c r="K33" i="6"/>
  <c r="K29" i="7"/>
  <c r="K31" i="7"/>
  <c r="K33" i="7"/>
  <c r="K35" i="7"/>
  <c r="K37" i="7"/>
  <c r="K18" i="8"/>
  <c r="K29" i="8"/>
  <c r="K33" i="8"/>
  <c r="K37" i="8"/>
  <c r="K37" i="9"/>
  <c r="K39" i="9"/>
  <c r="K41" i="9"/>
  <c r="K43" i="9"/>
  <c r="K45" i="9"/>
  <c r="K47" i="9"/>
  <c r="K49" i="9"/>
  <c r="K59" i="10"/>
  <c r="K61" i="10"/>
  <c r="K63" i="10"/>
  <c r="K65" i="10"/>
  <c r="K67" i="10"/>
  <c r="K69" i="10"/>
  <c r="K71" i="10"/>
  <c r="K73" i="10"/>
  <c r="K75" i="10"/>
  <c r="K77" i="10"/>
  <c r="K79" i="10"/>
  <c r="K81" i="10"/>
  <c r="K83" i="10"/>
  <c r="K85" i="10"/>
  <c r="K87" i="10"/>
  <c r="K89" i="10"/>
  <c r="K91" i="10"/>
  <c r="K93" i="10"/>
  <c r="K95" i="10"/>
  <c r="K12" i="10"/>
  <c r="K14" i="10"/>
  <c r="K16" i="10"/>
  <c r="K18" i="10"/>
  <c r="K20" i="10"/>
  <c r="K22" i="10"/>
  <c r="K24" i="10"/>
  <c r="K26" i="10"/>
  <c r="K28" i="10"/>
  <c r="K30" i="10"/>
  <c r="K32" i="10"/>
  <c r="K34" i="10"/>
  <c r="K36" i="10"/>
  <c r="K38" i="10"/>
  <c r="K40" i="10"/>
  <c r="K42" i="10"/>
  <c r="K44" i="10"/>
  <c r="K46" i="10"/>
  <c r="K48" i="10"/>
  <c r="K21" i="10"/>
  <c r="K37" i="10"/>
  <c r="K45" i="10"/>
  <c r="K39" i="10"/>
  <c r="K42" i="9"/>
  <c r="K46" i="9"/>
  <c r="K48" i="9"/>
  <c r="K11" i="9"/>
  <c r="K13" i="9"/>
  <c r="K15" i="9"/>
  <c r="K17" i="9"/>
  <c r="K19" i="9"/>
  <c r="K21" i="9"/>
  <c r="K23" i="9"/>
  <c r="K25" i="9"/>
  <c r="K15" i="8"/>
  <c r="K17" i="8"/>
  <c r="K19" i="8"/>
  <c r="K11" i="7"/>
  <c r="K19" i="7"/>
  <c r="K27" i="5"/>
  <c r="E15" i="5"/>
  <c r="F12" i="5" s="1"/>
  <c r="K60" i="10"/>
  <c r="K64" i="10"/>
  <c r="K68" i="10"/>
  <c r="K72" i="10"/>
  <c r="K76" i="10"/>
  <c r="K80" i="10"/>
  <c r="K84" i="10"/>
  <c r="K88" i="10"/>
  <c r="K92" i="10"/>
  <c r="K58" i="10"/>
  <c r="K62" i="10"/>
  <c r="K66" i="10"/>
  <c r="K70" i="10"/>
  <c r="K74" i="10"/>
  <c r="K78" i="10"/>
  <c r="K82" i="10"/>
  <c r="K86" i="10"/>
  <c r="K90" i="10"/>
  <c r="K94" i="10"/>
  <c r="K13" i="10"/>
  <c r="K17" i="10"/>
  <c r="K25" i="10"/>
  <c r="K29" i="10"/>
  <c r="K33" i="10"/>
  <c r="K41" i="10"/>
  <c r="K15" i="10"/>
  <c r="K19" i="10"/>
  <c r="K11" i="10"/>
  <c r="K23" i="10"/>
  <c r="K27" i="10"/>
  <c r="K31" i="10"/>
  <c r="K35" i="10"/>
  <c r="K43" i="10"/>
  <c r="K47" i="10"/>
  <c r="K38" i="9"/>
  <c r="K35" i="9"/>
  <c r="K36" i="9"/>
  <c r="K40" i="9"/>
  <c r="K44" i="9"/>
  <c r="K14" i="9"/>
  <c r="K18" i="9"/>
  <c r="K22" i="9"/>
  <c r="K12" i="9"/>
  <c r="K16" i="9"/>
  <c r="K20" i="9"/>
  <c r="K24" i="9"/>
  <c r="K30" i="8"/>
  <c r="K34" i="8"/>
  <c r="K31" i="8"/>
  <c r="K35" i="8"/>
  <c r="K32" i="8"/>
  <c r="K36" i="8"/>
  <c r="K14" i="8"/>
  <c r="K12" i="8"/>
  <c r="K16" i="8"/>
  <c r="K30" i="7"/>
  <c r="K34" i="7"/>
  <c r="K32" i="7"/>
  <c r="K36" i="7"/>
  <c r="K12" i="7"/>
  <c r="K16" i="7"/>
  <c r="K14" i="7"/>
  <c r="K18" i="7"/>
  <c r="K30" i="6"/>
  <c r="K28" i="6"/>
  <c r="K32" i="6"/>
  <c r="K14" i="6"/>
  <c r="K12" i="6"/>
  <c r="K16" i="6"/>
  <c r="K12" i="5"/>
  <c r="K14" i="5"/>
  <c r="F13" i="5" l="1"/>
  <c r="K29" i="5"/>
  <c r="D30" i="5" s="1"/>
  <c r="J26" i="5"/>
  <c r="F15" i="5"/>
  <c r="J13" i="5"/>
  <c r="F27" i="5"/>
  <c r="F11" i="5"/>
  <c r="F14" i="5"/>
  <c r="J28" i="5"/>
  <c r="J29" i="5"/>
  <c r="J15" i="5"/>
  <c r="F25" i="5"/>
  <c r="F28" i="5"/>
  <c r="F29" i="5"/>
  <c r="J11" i="5"/>
  <c r="F26" i="5"/>
  <c r="K15" i="5"/>
  <c r="J27" i="5"/>
  <c r="J14" i="5"/>
  <c r="E30" i="5" l="1"/>
  <c r="G30" i="5"/>
  <c r="H30" i="5"/>
  <c r="C30" i="5"/>
  <c r="I30" i="5"/>
  <c r="K30" i="5"/>
  <c r="B26" i="18"/>
  <c r="B25" i="17"/>
  <c r="B45" i="16"/>
  <c r="B27" i="15"/>
  <c r="B47" i="14"/>
  <c r="B48" i="13"/>
  <c r="B45" i="12"/>
  <c r="B48" i="11"/>
  <c r="B53" i="10"/>
  <c r="B30" i="9"/>
  <c r="B24" i="8"/>
  <c r="B24" i="7"/>
  <c r="B6" i="7"/>
  <c r="B6" i="8"/>
  <c r="B6" i="9"/>
  <c r="B6" i="10"/>
  <c r="B6" i="11"/>
  <c r="B6" i="12"/>
  <c r="B6" i="13"/>
  <c r="B6" i="14"/>
  <c r="B6" i="15"/>
  <c r="B6" i="16"/>
  <c r="B6" i="17"/>
  <c r="B6" i="18"/>
  <c r="B6" i="19"/>
  <c r="B6" i="6"/>
  <c r="B22" i="6" l="1"/>
  <c r="B20" i="5"/>
  <c r="B6" i="5"/>
  <c r="B6" i="4"/>
  <c r="H116" i="33" l="1"/>
  <c r="H115" i="33"/>
  <c r="H114" i="33"/>
  <c r="H113" i="33"/>
  <c r="H112" i="33"/>
  <c r="H111" i="33"/>
  <c r="H110" i="33"/>
  <c r="H109" i="33"/>
  <c r="H108" i="33"/>
  <c r="H107" i="33"/>
  <c r="H106" i="33"/>
  <c r="H105" i="33"/>
  <c r="H104" i="33"/>
  <c r="H103" i="33"/>
  <c r="H102" i="33"/>
  <c r="H101" i="33"/>
  <c r="H100" i="33"/>
  <c r="H99" i="33"/>
  <c r="H98" i="33"/>
  <c r="H97" i="33"/>
  <c r="K76" i="32"/>
  <c r="H76" i="32"/>
  <c r="E76" i="32"/>
  <c r="K75" i="32"/>
  <c r="L75" i="32" s="1"/>
  <c r="H75" i="32"/>
  <c r="E75" i="32"/>
  <c r="K74" i="32"/>
  <c r="H74" i="32"/>
  <c r="E74" i="32"/>
  <c r="K73" i="32"/>
  <c r="H73" i="32"/>
  <c r="E73" i="32"/>
  <c r="K72" i="32"/>
  <c r="H72" i="32"/>
  <c r="E72" i="32"/>
  <c r="K71" i="32"/>
  <c r="L71" i="32" s="1"/>
  <c r="H71" i="32"/>
  <c r="E71" i="32"/>
  <c r="K70" i="32"/>
  <c r="H70" i="32"/>
  <c r="E70" i="32"/>
  <c r="K69" i="32"/>
  <c r="H69" i="32"/>
  <c r="E69" i="32"/>
  <c r="K68" i="32"/>
  <c r="H68" i="32"/>
  <c r="E68" i="32"/>
  <c r="K67" i="32"/>
  <c r="L67" i="32" s="1"/>
  <c r="H67" i="32"/>
  <c r="E67" i="32"/>
  <c r="K66" i="32"/>
  <c r="H66" i="32"/>
  <c r="E66" i="32"/>
  <c r="K65" i="32"/>
  <c r="H65" i="32"/>
  <c r="E65" i="32"/>
  <c r="E77" i="32" s="1"/>
  <c r="K63" i="32"/>
  <c r="H63" i="32"/>
  <c r="E63" i="32"/>
  <c r="K62" i="32"/>
  <c r="L62" i="32" s="1"/>
  <c r="H62" i="32"/>
  <c r="E62" i="32"/>
  <c r="K61" i="32"/>
  <c r="H61" i="32"/>
  <c r="E61" i="32"/>
  <c r="K60" i="32"/>
  <c r="H60" i="32"/>
  <c r="E60" i="32"/>
  <c r="K59" i="32"/>
  <c r="H59" i="32"/>
  <c r="E59" i="32"/>
  <c r="K58" i="32"/>
  <c r="L58" i="32" s="1"/>
  <c r="H58" i="32"/>
  <c r="E58" i="32"/>
  <c r="K57" i="32"/>
  <c r="H57" i="32"/>
  <c r="E57" i="32"/>
  <c r="K56" i="32"/>
  <c r="H56" i="32"/>
  <c r="E56" i="32"/>
  <c r="E64" i="32" s="1"/>
  <c r="L55" i="32"/>
  <c r="L54" i="32"/>
  <c r="L53" i="32"/>
  <c r="L52" i="32"/>
  <c r="K51" i="32"/>
  <c r="H51" i="32"/>
  <c r="E51" i="32"/>
  <c r="L50" i="32"/>
  <c r="L49" i="32"/>
  <c r="L48" i="32"/>
  <c r="L47" i="32"/>
  <c r="L46" i="32"/>
  <c r="L45" i="32"/>
  <c r="L44" i="32"/>
  <c r="L43" i="32"/>
  <c r="L42" i="32"/>
  <c r="L41" i="32"/>
  <c r="L40" i="32"/>
  <c r="L39" i="32"/>
  <c r="K38" i="32"/>
  <c r="H38" i="32"/>
  <c r="E38" i="32"/>
  <c r="L37" i="32"/>
  <c r="L36" i="32"/>
  <c r="L35" i="32"/>
  <c r="L34" i="32"/>
  <c r="L33" i="32"/>
  <c r="L32" i="32"/>
  <c r="L31" i="32"/>
  <c r="L30" i="32"/>
  <c r="L29" i="32"/>
  <c r="L28" i="32"/>
  <c r="L38" i="32" s="1"/>
  <c r="L27" i="32"/>
  <c r="L26" i="32"/>
  <c r="K25" i="32"/>
  <c r="H25" i="32"/>
  <c r="E25" i="32"/>
  <c r="L24" i="32"/>
  <c r="L23" i="32"/>
  <c r="L22" i="32"/>
  <c r="L21" i="32"/>
  <c r="L20" i="32"/>
  <c r="L19" i="32"/>
  <c r="L18" i="32"/>
  <c r="L17" i="32"/>
  <c r="L16" i="32"/>
  <c r="L15" i="32"/>
  <c r="L14" i="32"/>
  <c r="L13" i="32"/>
  <c r="L12" i="32"/>
  <c r="K11" i="32"/>
  <c r="H11" i="32"/>
  <c r="E11" i="32"/>
  <c r="E79" i="31"/>
  <c r="E78" i="31"/>
  <c r="E77" i="31"/>
  <c r="E88" i="31" s="1"/>
  <c r="D76" i="31"/>
  <c r="C76" i="31"/>
  <c r="E75" i="31"/>
  <c r="E74" i="31"/>
  <c r="E73" i="31"/>
  <c r="E72" i="31"/>
  <c r="E71" i="31"/>
  <c r="E70" i="31"/>
  <c r="E69" i="31"/>
  <c r="E68" i="31"/>
  <c r="E67" i="31"/>
  <c r="E66" i="31"/>
  <c r="E65" i="31"/>
  <c r="E64" i="31"/>
  <c r="E62" i="31"/>
  <c r="E61" i="31"/>
  <c r="E60" i="31"/>
  <c r="E59" i="31"/>
  <c r="E58" i="31"/>
  <c r="E57" i="31"/>
  <c r="E56" i="31"/>
  <c r="E55" i="31"/>
  <c r="E50" i="31"/>
  <c r="E37" i="31"/>
  <c r="E24" i="31"/>
  <c r="E10" i="31"/>
  <c r="F78" i="30"/>
  <c r="F77" i="30"/>
  <c r="F76" i="30"/>
  <c r="E75" i="30"/>
  <c r="D75" i="30"/>
  <c r="C75" i="30"/>
  <c r="F74" i="30"/>
  <c r="F73" i="30"/>
  <c r="F72" i="30"/>
  <c r="F71" i="30"/>
  <c r="F70" i="30"/>
  <c r="F69" i="30"/>
  <c r="F68" i="30"/>
  <c r="F67" i="30"/>
  <c r="F66" i="30"/>
  <c r="F65" i="30"/>
  <c r="F64" i="30"/>
  <c r="F63" i="30"/>
  <c r="E62" i="30"/>
  <c r="D62" i="30"/>
  <c r="C62" i="30"/>
  <c r="F61" i="30"/>
  <c r="F60" i="30"/>
  <c r="F59" i="30"/>
  <c r="F58" i="30"/>
  <c r="F57" i="30"/>
  <c r="F56" i="30"/>
  <c r="F55" i="30"/>
  <c r="F54" i="30"/>
  <c r="F53" i="30"/>
  <c r="F52" i="30"/>
  <c r="F51" i="30"/>
  <c r="F50" i="30"/>
  <c r="E49" i="30"/>
  <c r="D49" i="30"/>
  <c r="C49" i="30"/>
  <c r="F48" i="30"/>
  <c r="F47" i="30"/>
  <c r="F46" i="30"/>
  <c r="F45" i="30"/>
  <c r="F44" i="30"/>
  <c r="F43" i="30"/>
  <c r="F42" i="30"/>
  <c r="F41" i="30"/>
  <c r="F40" i="30"/>
  <c r="F39" i="30"/>
  <c r="F38" i="30"/>
  <c r="F37" i="30"/>
  <c r="E36" i="30"/>
  <c r="D36" i="30"/>
  <c r="C36" i="30"/>
  <c r="F35" i="30"/>
  <c r="F34" i="30"/>
  <c r="F33" i="30"/>
  <c r="F32" i="30"/>
  <c r="F31" i="30"/>
  <c r="F30" i="30"/>
  <c r="F29" i="30"/>
  <c r="F28" i="30"/>
  <c r="F27" i="30"/>
  <c r="F26" i="30"/>
  <c r="F25" i="30"/>
  <c r="F24" i="30"/>
  <c r="E23" i="30"/>
  <c r="D23" i="30"/>
  <c r="C23" i="30"/>
  <c r="F22" i="30"/>
  <c r="F21" i="30"/>
  <c r="F20" i="30"/>
  <c r="F19" i="30"/>
  <c r="F18" i="30"/>
  <c r="F17" i="30"/>
  <c r="F16" i="30"/>
  <c r="F15" i="30"/>
  <c r="F14" i="30"/>
  <c r="F13" i="30"/>
  <c r="F12" i="30"/>
  <c r="F11" i="30"/>
  <c r="F10" i="30"/>
  <c r="F82" i="29"/>
  <c r="F81" i="29"/>
  <c r="E80" i="29"/>
  <c r="D80" i="29"/>
  <c r="C80" i="29"/>
  <c r="F79" i="29"/>
  <c r="F78" i="29"/>
  <c r="F77" i="29"/>
  <c r="F76" i="29"/>
  <c r="F75" i="29"/>
  <c r="F74" i="29"/>
  <c r="F73" i="29"/>
  <c r="F72" i="29"/>
  <c r="F71" i="29"/>
  <c r="F80" i="29" s="1"/>
  <c r="F70" i="29"/>
  <c r="F69" i="29"/>
  <c r="F68" i="29"/>
  <c r="C67" i="29"/>
  <c r="F66" i="29"/>
  <c r="F65" i="29"/>
  <c r="F64" i="29"/>
  <c r="F63" i="29"/>
  <c r="F62" i="29"/>
  <c r="F61" i="29"/>
  <c r="F59" i="29"/>
  <c r="F54" i="29"/>
  <c r="C54" i="29"/>
  <c r="F41" i="29"/>
  <c r="C41" i="29"/>
  <c r="F28" i="29"/>
  <c r="C28" i="29"/>
  <c r="F15" i="29"/>
  <c r="E69" i="26"/>
  <c r="E68" i="26"/>
  <c r="D67" i="26"/>
  <c r="E66" i="26"/>
  <c r="E65" i="26"/>
  <c r="E64" i="26"/>
  <c r="E63" i="26"/>
  <c r="E62" i="26"/>
  <c r="E61" i="26"/>
  <c r="C67" i="26"/>
  <c r="E59" i="26"/>
  <c r="E58" i="26"/>
  <c r="E57" i="26"/>
  <c r="E56" i="26"/>
  <c r="E55" i="26"/>
  <c r="D54" i="26"/>
  <c r="C54" i="26"/>
  <c r="E53" i="26"/>
  <c r="E52" i="26"/>
  <c r="E51" i="26"/>
  <c r="E50" i="26"/>
  <c r="E49" i="26"/>
  <c r="E48" i="26"/>
  <c r="E47" i="26"/>
  <c r="E46" i="26"/>
  <c r="E45" i="26"/>
  <c r="E44" i="26"/>
  <c r="E43" i="26"/>
  <c r="E42" i="26"/>
  <c r="D41" i="26"/>
  <c r="C41" i="26"/>
  <c r="E40" i="26"/>
  <c r="E39" i="26"/>
  <c r="E38" i="26"/>
  <c r="E37" i="26"/>
  <c r="E36" i="26"/>
  <c r="E35" i="26"/>
  <c r="E34" i="26"/>
  <c r="E33" i="26"/>
  <c r="E32" i="26"/>
  <c r="E31" i="26"/>
  <c r="E30" i="26"/>
  <c r="E29" i="26"/>
  <c r="E28" i="26"/>
  <c r="D28" i="26"/>
  <c r="C28" i="26"/>
  <c r="E15" i="26"/>
  <c r="E14" i="26"/>
  <c r="E13" i="26"/>
  <c r="E12" i="26"/>
  <c r="E11" i="26"/>
  <c r="L11" i="32" l="1"/>
  <c r="F62" i="30"/>
  <c r="F87" i="30"/>
  <c r="E54" i="26"/>
  <c r="E63" i="31"/>
  <c r="E89" i="31" s="1"/>
  <c r="H64" i="32"/>
  <c r="L66" i="32"/>
  <c r="L74" i="32"/>
  <c r="F36" i="30"/>
  <c r="E76" i="31"/>
  <c r="L56" i="32"/>
  <c r="L60" i="32"/>
  <c r="L65" i="32"/>
  <c r="L69" i="32"/>
  <c r="L73" i="32"/>
  <c r="F67" i="29"/>
  <c r="F49" i="30"/>
  <c r="L25" i="32"/>
  <c r="L57" i="32"/>
  <c r="L61" i="32"/>
  <c r="H77" i="32"/>
  <c r="L70" i="32"/>
  <c r="E41" i="26"/>
  <c r="F23" i="30"/>
  <c r="F75" i="30"/>
  <c r="L51" i="32"/>
  <c r="L59" i="32"/>
  <c r="L63" i="32"/>
  <c r="L68" i="32"/>
  <c r="L72" i="32"/>
  <c r="L76" i="32"/>
  <c r="K64" i="32"/>
  <c r="K77" i="32"/>
  <c r="E60" i="26"/>
  <c r="E67" i="26" s="1"/>
  <c r="L77" i="32" l="1"/>
  <c r="L64" i="32"/>
  <c r="H63" i="19"/>
  <c r="D63" i="19"/>
  <c r="G124" i="19"/>
  <c r="G63" i="19"/>
  <c r="C63" i="19"/>
  <c r="C124" i="19"/>
  <c r="D124" i="19"/>
  <c r="H124" i="19"/>
  <c r="D42" i="18"/>
  <c r="H42" i="18"/>
  <c r="G42" i="18"/>
  <c r="G22" i="18"/>
  <c r="C22" i="18"/>
  <c r="H22" i="18"/>
  <c r="C42" i="18"/>
  <c r="D22" i="18"/>
  <c r="H21" i="17"/>
  <c r="D40" i="17"/>
  <c r="C21" i="17"/>
  <c r="H40" i="17"/>
  <c r="D21" i="17"/>
  <c r="C40" i="17"/>
  <c r="G40" i="17"/>
  <c r="G21" i="17"/>
  <c r="C41" i="16"/>
  <c r="G80" i="16"/>
  <c r="H41" i="16"/>
  <c r="D41" i="16"/>
  <c r="H80" i="16"/>
  <c r="C80" i="16"/>
  <c r="D80" i="16"/>
  <c r="G41" i="16"/>
  <c r="H44" i="15"/>
  <c r="H23" i="15"/>
  <c r="D44" i="15"/>
  <c r="D23" i="15"/>
  <c r="C44" i="15"/>
  <c r="C23" i="15"/>
  <c r="G44" i="15"/>
  <c r="G23" i="15"/>
  <c r="H43" i="14"/>
  <c r="H84" i="14"/>
  <c r="D84" i="14"/>
  <c r="D43" i="14"/>
  <c r="C43" i="14"/>
  <c r="G84" i="14"/>
  <c r="G43" i="14"/>
  <c r="C84" i="14"/>
  <c r="H44" i="13"/>
  <c r="D44" i="13"/>
  <c r="H86" i="13"/>
  <c r="G44" i="13"/>
  <c r="C44" i="13"/>
  <c r="D86" i="13"/>
  <c r="C86" i="13"/>
  <c r="G86" i="13"/>
  <c r="G41" i="12"/>
  <c r="H41" i="12"/>
  <c r="D80" i="12"/>
  <c r="H80" i="12"/>
  <c r="D41" i="12"/>
  <c r="C41" i="12"/>
  <c r="C80" i="12"/>
  <c r="G80" i="12"/>
  <c r="D44" i="11"/>
  <c r="G44" i="11"/>
  <c r="D86" i="11"/>
  <c r="C86" i="11"/>
  <c r="C44" i="11"/>
  <c r="H86" i="11"/>
  <c r="G86" i="11"/>
  <c r="H44" i="11"/>
  <c r="G49" i="10"/>
  <c r="C49" i="10"/>
  <c r="H96" i="10"/>
  <c r="D96" i="10"/>
  <c r="C96" i="10"/>
  <c r="D49" i="10"/>
  <c r="H49" i="10"/>
  <c r="G96" i="10"/>
  <c r="H50" i="9"/>
  <c r="H26" i="9"/>
  <c r="G26" i="9"/>
  <c r="C26" i="9"/>
  <c r="C50" i="9"/>
  <c r="D50" i="9"/>
  <c r="D26" i="9"/>
  <c r="G50" i="9"/>
  <c r="H20" i="8"/>
  <c r="H38" i="8"/>
  <c r="D20" i="8"/>
  <c r="C20" i="8"/>
  <c r="D38" i="8"/>
  <c r="G38" i="8"/>
  <c r="G20" i="8"/>
  <c r="C38" i="8"/>
  <c r="H38" i="7"/>
  <c r="H20" i="7"/>
  <c r="D20" i="7"/>
  <c r="G20" i="7"/>
  <c r="C38" i="7"/>
  <c r="C20" i="7"/>
  <c r="D38" i="7"/>
  <c r="G38" i="7"/>
  <c r="D34" i="6"/>
  <c r="H18" i="6"/>
  <c r="H34" i="6"/>
  <c r="G34" i="6"/>
  <c r="C34" i="6"/>
  <c r="D18" i="6"/>
  <c r="C18" i="6"/>
  <c r="G18" i="6"/>
  <c r="E44" i="15" l="1"/>
  <c r="F42" i="15" s="1"/>
  <c r="F32" i="15"/>
  <c r="F37" i="15"/>
  <c r="F39" i="15"/>
  <c r="E41" i="16"/>
  <c r="L27" i="3"/>
  <c r="P27" i="3"/>
  <c r="G27" i="4"/>
  <c r="N27" i="4"/>
  <c r="C27" i="3"/>
  <c r="K27" i="3"/>
  <c r="O27" i="3"/>
  <c r="O27" i="4"/>
  <c r="L27" i="4"/>
  <c r="F27" i="3"/>
  <c r="M27" i="3"/>
  <c r="M27" i="4"/>
  <c r="C27" i="4"/>
  <c r="K27" i="4"/>
  <c r="P27" i="4"/>
  <c r="G27" i="3"/>
  <c r="N27" i="3"/>
  <c r="D27" i="3"/>
  <c r="F27" i="4"/>
  <c r="E63" i="19"/>
  <c r="E124" i="19"/>
  <c r="I124" i="19"/>
  <c r="I63" i="19"/>
  <c r="I42" i="18"/>
  <c r="E42" i="18"/>
  <c r="E22" i="18"/>
  <c r="I22" i="18"/>
  <c r="E40" i="17"/>
  <c r="E21" i="17"/>
  <c r="I21" i="17"/>
  <c r="I40" i="17"/>
  <c r="I80" i="16"/>
  <c r="E80" i="16"/>
  <c r="I41" i="16"/>
  <c r="I23" i="15"/>
  <c r="I44" i="15"/>
  <c r="E23" i="15"/>
  <c r="F44" i="15"/>
  <c r="I84" i="14"/>
  <c r="E84" i="14"/>
  <c r="E43" i="14"/>
  <c r="I43" i="14"/>
  <c r="I86" i="13"/>
  <c r="I44" i="13"/>
  <c r="E86" i="13"/>
  <c r="E44" i="13"/>
  <c r="I41" i="12"/>
  <c r="I80" i="12"/>
  <c r="E41" i="12"/>
  <c r="E80" i="12"/>
  <c r="E44" i="11"/>
  <c r="I86" i="11"/>
  <c r="E86" i="11"/>
  <c r="I44" i="11"/>
  <c r="E49" i="10"/>
  <c r="I96" i="10"/>
  <c r="E96" i="10"/>
  <c r="I49" i="10"/>
  <c r="I50" i="9"/>
  <c r="E50" i="9"/>
  <c r="E26" i="9"/>
  <c r="I26" i="9"/>
  <c r="E20" i="8"/>
  <c r="E38" i="8"/>
  <c r="I38" i="8"/>
  <c r="I20" i="8"/>
  <c r="I20" i="7"/>
  <c r="I38" i="7"/>
  <c r="E20" i="7"/>
  <c r="E38" i="7"/>
  <c r="E34" i="6"/>
  <c r="I34" i="6"/>
  <c r="E18" i="6"/>
  <c r="I18" i="6"/>
  <c r="D27" i="4"/>
  <c r="F43" i="15" l="1"/>
  <c r="F40" i="15"/>
  <c r="F41" i="15"/>
  <c r="F34" i="15"/>
  <c r="F33" i="15"/>
  <c r="F38" i="15"/>
  <c r="F35" i="15"/>
  <c r="F36" i="15"/>
  <c r="J29" i="6"/>
  <c r="J27" i="6"/>
  <c r="J33" i="6"/>
  <c r="J31" i="6"/>
  <c r="J28" i="6"/>
  <c r="J30" i="6"/>
  <c r="J32" i="6"/>
  <c r="F33" i="6"/>
  <c r="F29" i="6"/>
  <c r="F31" i="6"/>
  <c r="F27" i="6"/>
  <c r="F28" i="6"/>
  <c r="F32" i="6"/>
  <c r="F30" i="6"/>
  <c r="J120" i="19"/>
  <c r="J117" i="19"/>
  <c r="J109" i="19"/>
  <c r="J105" i="19"/>
  <c r="J101" i="19"/>
  <c r="J97" i="19"/>
  <c r="J93" i="19"/>
  <c r="J85" i="19"/>
  <c r="J77" i="19"/>
  <c r="J73" i="19"/>
  <c r="J115" i="19"/>
  <c r="J111" i="19"/>
  <c r="J103" i="19"/>
  <c r="J83" i="19"/>
  <c r="J79" i="19"/>
  <c r="J75" i="19"/>
  <c r="J121" i="19"/>
  <c r="J113" i="19"/>
  <c r="J89" i="19"/>
  <c r="J81" i="19"/>
  <c r="J76" i="19"/>
  <c r="J84" i="19"/>
  <c r="J92" i="19"/>
  <c r="J100" i="19"/>
  <c r="J108" i="19"/>
  <c r="J116" i="19"/>
  <c r="J91" i="19"/>
  <c r="J119" i="19"/>
  <c r="J107" i="19"/>
  <c r="J78" i="19"/>
  <c r="J86" i="19"/>
  <c r="J94" i="19"/>
  <c r="J102" i="19"/>
  <c r="J110" i="19"/>
  <c r="J118" i="19"/>
  <c r="J95" i="19"/>
  <c r="J123" i="19"/>
  <c r="J74" i="19"/>
  <c r="J82" i="19"/>
  <c r="J98" i="19"/>
  <c r="J114" i="19"/>
  <c r="J87" i="19"/>
  <c r="J72" i="19"/>
  <c r="J80" i="19"/>
  <c r="J88" i="19"/>
  <c r="J96" i="19"/>
  <c r="J104" i="19"/>
  <c r="J112" i="19"/>
  <c r="J122" i="19"/>
  <c r="J99" i="19"/>
  <c r="J90" i="19"/>
  <c r="J106" i="19"/>
  <c r="F122" i="19"/>
  <c r="F115" i="19"/>
  <c r="F99" i="19"/>
  <c r="F95" i="19"/>
  <c r="F87" i="19"/>
  <c r="F117" i="19"/>
  <c r="F113" i="19"/>
  <c r="F109" i="19"/>
  <c r="F105" i="19"/>
  <c r="F97" i="19"/>
  <c r="F85" i="19"/>
  <c r="F81" i="19"/>
  <c r="F77" i="19"/>
  <c r="F73" i="19"/>
  <c r="F119" i="19"/>
  <c r="F107" i="19"/>
  <c r="F103" i="19"/>
  <c r="F83" i="19"/>
  <c r="F123" i="19"/>
  <c r="F111" i="19"/>
  <c r="F91" i="19"/>
  <c r="F79" i="19"/>
  <c r="F75" i="19"/>
  <c r="F74" i="19"/>
  <c r="F92" i="19"/>
  <c r="F110" i="19"/>
  <c r="F118" i="19"/>
  <c r="F121" i="19"/>
  <c r="F94" i="19"/>
  <c r="F80" i="19"/>
  <c r="F96" i="19"/>
  <c r="F116" i="19"/>
  <c r="F106" i="19"/>
  <c r="F101" i="19"/>
  <c r="F76" i="19"/>
  <c r="F98" i="19"/>
  <c r="F114" i="19"/>
  <c r="F89" i="19"/>
  <c r="F72" i="19"/>
  <c r="F100" i="19"/>
  <c r="F88" i="19"/>
  <c r="F120" i="19"/>
  <c r="F82" i="19"/>
  <c r="F102" i="19"/>
  <c r="F93" i="19"/>
  <c r="F84" i="19"/>
  <c r="F108" i="19"/>
  <c r="F104" i="19"/>
  <c r="F86" i="19"/>
  <c r="F78" i="19"/>
  <c r="F90" i="19"/>
  <c r="F112" i="19"/>
  <c r="J60" i="19"/>
  <c r="J56" i="19"/>
  <c r="J52" i="19"/>
  <c r="J44" i="19"/>
  <c r="J28" i="19"/>
  <c r="J24" i="19"/>
  <c r="J20" i="19"/>
  <c r="J48" i="19"/>
  <c r="J40" i="19"/>
  <c r="J36" i="19"/>
  <c r="J32" i="19"/>
  <c r="J16" i="19"/>
  <c r="J12" i="19"/>
  <c r="J31" i="19"/>
  <c r="J51" i="19"/>
  <c r="J11" i="19"/>
  <c r="J23" i="19"/>
  <c r="J37" i="19"/>
  <c r="J49" i="19"/>
  <c r="J61" i="19"/>
  <c r="J26" i="19"/>
  <c r="J42" i="19"/>
  <c r="J58" i="19"/>
  <c r="J41" i="19"/>
  <c r="J29" i="19"/>
  <c r="J55" i="19"/>
  <c r="J18" i="19"/>
  <c r="J50" i="19"/>
  <c r="J45" i="19"/>
  <c r="J21" i="19"/>
  <c r="J33" i="19"/>
  <c r="J47" i="19"/>
  <c r="J22" i="19"/>
  <c r="J38" i="19"/>
  <c r="J13" i="19"/>
  <c r="J35" i="19"/>
  <c r="J59" i="19"/>
  <c r="J15" i="19"/>
  <c r="J27" i="19"/>
  <c r="J39" i="19"/>
  <c r="J53" i="19"/>
  <c r="J14" i="19"/>
  <c r="J30" i="19"/>
  <c r="J46" i="19"/>
  <c r="J62" i="19"/>
  <c r="J19" i="19"/>
  <c r="J17" i="19"/>
  <c r="J43" i="19"/>
  <c r="J34" i="19"/>
  <c r="J25" i="19"/>
  <c r="J57" i="19"/>
  <c r="J54" i="19"/>
  <c r="F62" i="19"/>
  <c r="F58" i="19"/>
  <c r="F50" i="19"/>
  <c r="F46" i="19"/>
  <c r="F54" i="19"/>
  <c r="F42" i="19"/>
  <c r="F38" i="19"/>
  <c r="F34" i="19"/>
  <c r="F30" i="19"/>
  <c r="F26" i="19"/>
  <c r="F22" i="19"/>
  <c r="F18" i="19"/>
  <c r="F14" i="19"/>
  <c r="F19" i="19"/>
  <c r="F59" i="19"/>
  <c r="F48" i="19"/>
  <c r="F21" i="19"/>
  <c r="F37" i="19"/>
  <c r="F53" i="19"/>
  <c r="F15" i="19"/>
  <c r="F39" i="19"/>
  <c r="F20" i="19"/>
  <c r="F29" i="19"/>
  <c r="F12" i="19"/>
  <c r="F13" i="19"/>
  <c r="F45" i="19"/>
  <c r="F57" i="19"/>
  <c r="F11" i="19"/>
  <c r="F31" i="19"/>
  <c r="F49" i="19"/>
  <c r="F24" i="19"/>
  <c r="F17" i="19"/>
  <c r="F33" i="19"/>
  <c r="F47" i="19"/>
  <c r="F61" i="19"/>
  <c r="F35" i="19"/>
  <c r="F51" i="19"/>
  <c r="F36" i="19"/>
  <c r="F56" i="19"/>
  <c r="F25" i="19"/>
  <c r="F52" i="19"/>
  <c r="F23" i="19"/>
  <c r="F41" i="19"/>
  <c r="F55" i="19"/>
  <c r="F43" i="19"/>
  <c r="F32" i="19"/>
  <c r="F40" i="19"/>
  <c r="F60" i="19"/>
  <c r="F27" i="19"/>
  <c r="F16" i="19"/>
  <c r="F28" i="19"/>
  <c r="F44" i="19"/>
  <c r="F37" i="18"/>
  <c r="F39" i="18"/>
  <c r="F33" i="18"/>
  <c r="F31" i="18"/>
  <c r="F34" i="18"/>
  <c r="F36" i="18"/>
  <c r="F38" i="18"/>
  <c r="F40" i="18"/>
  <c r="J39" i="18"/>
  <c r="J33" i="18"/>
  <c r="J31" i="18"/>
  <c r="J37" i="18"/>
  <c r="J34" i="18"/>
  <c r="J36" i="18"/>
  <c r="J38" i="18"/>
  <c r="J40" i="18"/>
  <c r="J19" i="18"/>
  <c r="J13" i="18"/>
  <c r="J11" i="18"/>
  <c r="J17" i="18"/>
  <c r="J14" i="18"/>
  <c r="J20" i="18"/>
  <c r="J16" i="18"/>
  <c r="J18" i="18"/>
  <c r="F17" i="18"/>
  <c r="F19" i="18"/>
  <c r="F13" i="18"/>
  <c r="F11" i="18"/>
  <c r="F14" i="18"/>
  <c r="F16" i="18"/>
  <c r="F20" i="18"/>
  <c r="F18" i="18"/>
  <c r="J32" i="17"/>
  <c r="J37" i="17"/>
  <c r="J33" i="17"/>
  <c r="J36" i="17"/>
  <c r="J31" i="17"/>
  <c r="J38" i="17"/>
  <c r="J35" i="17"/>
  <c r="J30" i="17"/>
  <c r="J39" i="17"/>
  <c r="J34" i="17"/>
  <c r="F34" i="17"/>
  <c r="F30" i="17"/>
  <c r="F31" i="17"/>
  <c r="F39" i="17"/>
  <c r="F35" i="17"/>
  <c r="F32" i="17"/>
  <c r="F36" i="17"/>
  <c r="F38" i="17"/>
  <c r="F37" i="17"/>
  <c r="F33" i="17"/>
  <c r="J20" i="17"/>
  <c r="J16" i="17"/>
  <c r="J12" i="17"/>
  <c r="J14" i="17"/>
  <c r="J13" i="17"/>
  <c r="J18" i="17"/>
  <c r="J15" i="17"/>
  <c r="J17" i="17"/>
  <c r="J11" i="17"/>
  <c r="J19" i="17"/>
  <c r="F18" i="17"/>
  <c r="F14" i="17"/>
  <c r="F15" i="17"/>
  <c r="F12" i="17"/>
  <c r="F17" i="17"/>
  <c r="F16" i="17"/>
  <c r="F11" i="17"/>
  <c r="F19" i="17"/>
  <c r="F20" i="17"/>
  <c r="F13" i="17"/>
  <c r="F77" i="16"/>
  <c r="F73" i="16"/>
  <c r="F69" i="16"/>
  <c r="F65" i="16"/>
  <c r="F61" i="16"/>
  <c r="F57" i="16"/>
  <c r="F53" i="16"/>
  <c r="F58" i="16"/>
  <c r="F66" i="16"/>
  <c r="F74" i="16"/>
  <c r="F54" i="16"/>
  <c r="F71" i="16"/>
  <c r="F60" i="16"/>
  <c r="F68" i="16"/>
  <c r="F76" i="16"/>
  <c r="F55" i="16"/>
  <c r="F59" i="16"/>
  <c r="F75" i="16"/>
  <c r="F62" i="16"/>
  <c r="F70" i="16"/>
  <c r="F78" i="16"/>
  <c r="F51" i="16"/>
  <c r="F63" i="16"/>
  <c r="F79" i="16"/>
  <c r="F56" i="16"/>
  <c r="F64" i="16"/>
  <c r="F72" i="16"/>
  <c r="F52" i="16"/>
  <c r="F67" i="16"/>
  <c r="F50" i="16"/>
  <c r="J80" i="16"/>
  <c r="J79" i="16"/>
  <c r="J75" i="16"/>
  <c r="J71" i="16"/>
  <c r="J67" i="16"/>
  <c r="J63" i="16"/>
  <c r="J59" i="16"/>
  <c r="J55" i="16"/>
  <c r="J51" i="16"/>
  <c r="J53" i="16"/>
  <c r="J64" i="16"/>
  <c r="J62" i="16"/>
  <c r="J72" i="16"/>
  <c r="J54" i="16"/>
  <c r="J69" i="16"/>
  <c r="J76" i="16"/>
  <c r="J66" i="16"/>
  <c r="J74" i="16"/>
  <c r="J57" i="16"/>
  <c r="J73" i="16"/>
  <c r="J50" i="16"/>
  <c r="J58" i="16"/>
  <c r="J68" i="16"/>
  <c r="J78" i="16"/>
  <c r="J61" i="16"/>
  <c r="J77" i="16"/>
  <c r="J60" i="16"/>
  <c r="J52" i="16"/>
  <c r="J56" i="16"/>
  <c r="J70" i="16"/>
  <c r="J65" i="16"/>
  <c r="J40" i="16"/>
  <c r="J36" i="16"/>
  <c r="J32" i="16"/>
  <c r="J28" i="16"/>
  <c r="J24" i="16"/>
  <c r="J20" i="16"/>
  <c r="J12" i="16"/>
  <c r="J16" i="16"/>
  <c r="J15" i="16"/>
  <c r="J30" i="16"/>
  <c r="J17" i="16"/>
  <c r="J25" i="16"/>
  <c r="J33" i="16"/>
  <c r="J18" i="16"/>
  <c r="J34" i="16"/>
  <c r="J19" i="16"/>
  <c r="J27" i="16"/>
  <c r="J35" i="16"/>
  <c r="J13" i="16"/>
  <c r="J22" i="16"/>
  <c r="J38" i="16"/>
  <c r="J14" i="16"/>
  <c r="J21" i="16"/>
  <c r="J29" i="16"/>
  <c r="J37" i="16"/>
  <c r="J26" i="16"/>
  <c r="J11" i="16"/>
  <c r="J23" i="16"/>
  <c r="J31" i="16"/>
  <c r="J39" i="16"/>
  <c r="F38" i="16"/>
  <c r="F34" i="16"/>
  <c r="F30" i="16"/>
  <c r="F26" i="16"/>
  <c r="F22" i="16"/>
  <c r="F18" i="16"/>
  <c r="F14" i="16"/>
  <c r="F17" i="16"/>
  <c r="F25" i="16"/>
  <c r="F33" i="16"/>
  <c r="F12" i="16"/>
  <c r="F24" i="16"/>
  <c r="F40" i="16"/>
  <c r="F19" i="16"/>
  <c r="F27" i="16"/>
  <c r="F35" i="16"/>
  <c r="F13" i="16"/>
  <c r="F28" i="16"/>
  <c r="F21" i="16"/>
  <c r="F29" i="16"/>
  <c r="F37" i="16"/>
  <c r="F15" i="16"/>
  <c r="F32" i="16"/>
  <c r="F11" i="16"/>
  <c r="F23" i="16"/>
  <c r="F31" i="16"/>
  <c r="F39" i="16"/>
  <c r="F16" i="16"/>
  <c r="F20" i="16"/>
  <c r="F36" i="16"/>
  <c r="K44" i="15"/>
  <c r="G45" i="15" s="1"/>
  <c r="J40" i="15"/>
  <c r="J36" i="15"/>
  <c r="J32" i="15"/>
  <c r="J42" i="15"/>
  <c r="J38" i="15"/>
  <c r="J34" i="15"/>
  <c r="J35" i="15"/>
  <c r="J43" i="15"/>
  <c r="J37" i="15"/>
  <c r="J39" i="15"/>
  <c r="J33" i="15"/>
  <c r="J41" i="15"/>
  <c r="J19" i="15"/>
  <c r="J15" i="15"/>
  <c r="J11" i="15"/>
  <c r="J13" i="15"/>
  <c r="J12" i="15"/>
  <c r="J20" i="15"/>
  <c r="J17" i="15"/>
  <c r="J14" i="15"/>
  <c r="J22" i="15"/>
  <c r="J21" i="15"/>
  <c r="J16" i="15"/>
  <c r="J18" i="15"/>
  <c r="F21" i="15"/>
  <c r="F17" i="15"/>
  <c r="F13" i="15"/>
  <c r="F14" i="15"/>
  <c r="F16" i="15"/>
  <c r="F11" i="15"/>
  <c r="F18" i="15"/>
  <c r="F15" i="15"/>
  <c r="F20" i="15"/>
  <c r="F19" i="15"/>
  <c r="F12" i="15"/>
  <c r="F22" i="15"/>
  <c r="F81" i="14"/>
  <c r="F77" i="14"/>
  <c r="F73" i="14"/>
  <c r="F69" i="14"/>
  <c r="F65" i="14"/>
  <c r="F61" i="14"/>
  <c r="F57" i="14"/>
  <c r="F53" i="14"/>
  <c r="F83" i="14"/>
  <c r="F79" i="14"/>
  <c r="F75" i="14"/>
  <c r="F71" i="14"/>
  <c r="F67" i="14"/>
  <c r="F63" i="14"/>
  <c r="F59" i="14"/>
  <c r="F55" i="14"/>
  <c r="F52" i="14"/>
  <c r="F60" i="14"/>
  <c r="F68" i="14"/>
  <c r="F76" i="14"/>
  <c r="F54" i="14"/>
  <c r="F62" i="14"/>
  <c r="F70" i="14"/>
  <c r="F78" i="14"/>
  <c r="F56" i="14"/>
  <c r="F64" i="14"/>
  <c r="F72" i="14"/>
  <c r="F80" i="14"/>
  <c r="F58" i="14"/>
  <c r="F66" i="14"/>
  <c r="F74" i="14"/>
  <c r="F82" i="14"/>
  <c r="J83" i="14"/>
  <c r="J79" i="14"/>
  <c r="J75" i="14"/>
  <c r="J71" i="14"/>
  <c r="J67" i="14"/>
  <c r="J63" i="14"/>
  <c r="J59" i="14"/>
  <c r="J55" i="14"/>
  <c r="J81" i="14"/>
  <c r="J77" i="14"/>
  <c r="J73" i="14"/>
  <c r="J69" i="14"/>
  <c r="J65" i="14"/>
  <c r="J61" i="14"/>
  <c r="J57" i="14"/>
  <c r="J53" i="14"/>
  <c r="J52" i="14"/>
  <c r="J60" i="14"/>
  <c r="J68" i="14"/>
  <c r="J76" i="14"/>
  <c r="J54" i="14"/>
  <c r="J62" i="14"/>
  <c r="J70" i="14"/>
  <c r="J78" i="14"/>
  <c r="J56" i="14"/>
  <c r="J64" i="14"/>
  <c r="J72" i="14"/>
  <c r="J80" i="14"/>
  <c r="J58" i="14"/>
  <c r="J66" i="14"/>
  <c r="J74" i="14"/>
  <c r="J82" i="14"/>
  <c r="J42" i="14"/>
  <c r="J38" i="14"/>
  <c r="J34" i="14"/>
  <c r="J30" i="14"/>
  <c r="J26" i="14"/>
  <c r="J22" i="14"/>
  <c r="J18" i="14"/>
  <c r="J14" i="14"/>
  <c r="J40" i="14"/>
  <c r="J36" i="14"/>
  <c r="J32" i="14"/>
  <c r="J28" i="14"/>
  <c r="J24" i="14"/>
  <c r="J20" i="14"/>
  <c r="J16" i="14"/>
  <c r="J12" i="14"/>
  <c r="J11" i="14"/>
  <c r="J19" i="14"/>
  <c r="J27" i="14"/>
  <c r="J35" i="14"/>
  <c r="J13" i="14"/>
  <c r="J21" i="14"/>
  <c r="J29" i="14"/>
  <c r="J37" i="14"/>
  <c r="J17" i="14"/>
  <c r="J25" i="14"/>
  <c r="J33" i="14"/>
  <c r="J41" i="14"/>
  <c r="J15" i="14"/>
  <c r="J23" i="14"/>
  <c r="J31" i="14"/>
  <c r="J39" i="14"/>
  <c r="F40" i="14"/>
  <c r="F36" i="14"/>
  <c r="F32" i="14"/>
  <c r="F28" i="14"/>
  <c r="F24" i="14"/>
  <c r="F20" i="14"/>
  <c r="F16" i="14"/>
  <c r="F12" i="14"/>
  <c r="F42" i="14"/>
  <c r="F38" i="14"/>
  <c r="F34" i="14"/>
  <c r="F30" i="14"/>
  <c r="F26" i="14"/>
  <c r="F22" i="14"/>
  <c r="F18" i="14"/>
  <c r="F14" i="14"/>
  <c r="F11" i="14"/>
  <c r="F19" i="14"/>
  <c r="F27" i="14"/>
  <c r="F35" i="14"/>
  <c r="F13" i="14"/>
  <c r="F21" i="14"/>
  <c r="F29" i="14"/>
  <c r="F37" i="14"/>
  <c r="F17" i="14"/>
  <c r="F25" i="14"/>
  <c r="F33" i="14"/>
  <c r="F41" i="14"/>
  <c r="F15" i="14"/>
  <c r="F23" i="14"/>
  <c r="F31" i="14"/>
  <c r="F39" i="14"/>
  <c r="J80" i="13"/>
  <c r="J72" i="13"/>
  <c r="J64" i="13"/>
  <c r="J56" i="13"/>
  <c r="J84" i="13"/>
  <c r="J76" i="13"/>
  <c r="J68" i="13"/>
  <c r="J60" i="13"/>
  <c r="J69" i="13"/>
  <c r="J81" i="13"/>
  <c r="J62" i="13"/>
  <c r="J75" i="13"/>
  <c r="J58" i="13"/>
  <c r="J74" i="13"/>
  <c r="J71" i="13"/>
  <c r="J77" i="13"/>
  <c r="J57" i="13"/>
  <c r="J70" i="13"/>
  <c r="J67" i="13"/>
  <c r="J63" i="13"/>
  <c r="J53" i="13"/>
  <c r="J85" i="13"/>
  <c r="J65" i="13"/>
  <c r="J78" i="13"/>
  <c r="J59" i="13"/>
  <c r="J66" i="13"/>
  <c r="J82" i="13"/>
  <c r="J55" i="13"/>
  <c r="J61" i="13"/>
  <c r="J73" i="13"/>
  <c r="J54" i="13"/>
  <c r="J83" i="13"/>
  <c r="J79" i="13"/>
  <c r="F78" i="13"/>
  <c r="F70" i="13"/>
  <c r="F62" i="13"/>
  <c r="F54" i="13"/>
  <c r="F82" i="13"/>
  <c r="F74" i="13"/>
  <c r="F66" i="13"/>
  <c r="F58" i="13"/>
  <c r="F83" i="13"/>
  <c r="F75" i="13"/>
  <c r="F67" i="13"/>
  <c r="F59" i="13"/>
  <c r="F55" i="13"/>
  <c r="F56" i="13"/>
  <c r="F65" i="13"/>
  <c r="F61" i="13"/>
  <c r="F84" i="13"/>
  <c r="F63" i="13"/>
  <c r="F57" i="13"/>
  <c r="F80" i="13"/>
  <c r="F53" i="13"/>
  <c r="F76" i="13"/>
  <c r="F85" i="13"/>
  <c r="F71" i="13"/>
  <c r="F72" i="13"/>
  <c r="F81" i="13"/>
  <c r="F68" i="13"/>
  <c r="F77" i="13"/>
  <c r="F79" i="13"/>
  <c r="F64" i="13"/>
  <c r="F73" i="13"/>
  <c r="F60" i="13"/>
  <c r="F69" i="13"/>
  <c r="J36" i="13"/>
  <c r="J28" i="13"/>
  <c r="J20" i="13"/>
  <c r="J12" i="13"/>
  <c r="J25" i="13"/>
  <c r="J24" i="13"/>
  <c r="J41" i="13"/>
  <c r="J40" i="13"/>
  <c r="J17" i="13"/>
  <c r="J16" i="13"/>
  <c r="J33" i="13"/>
  <c r="J32" i="13"/>
  <c r="J13" i="13"/>
  <c r="J31" i="13"/>
  <c r="J15" i="13"/>
  <c r="J23" i="13"/>
  <c r="J38" i="13"/>
  <c r="J11" i="13"/>
  <c r="J43" i="13"/>
  <c r="J26" i="13"/>
  <c r="J42" i="13"/>
  <c r="J37" i="13"/>
  <c r="J39" i="13"/>
  <c r="J14" i="13"/>
  <c r="J29" i="13"/>
  <c r="J35" i="13"/>
  <c r="J22" i="13"/>
  <c r="J27" i="13"/>
  <c r="J18" i="13"/>
  <c r="J34" i="13"/>
  <c r="J21" i="13"/>
  <c r="J30" i="13"/>
  <c r="J19" i="13"/>
  <c r="F42" i="13"/>
  <c r="F34" i="13"/>
  <c r="F26" i="13"/>
  <c r="F18" i="13"/>
  <c r="F38" i="13"/>
  <c r="F14" i="13"/>
  <c r="F30" i="13"/>
  <c r="F22" i="13"/>
  <c r="F43" i="13"/>
  <c r="F23" i="13"/>
  <c r="F13" i="13"/>
  <c r="F35" i="13"/>
  <c r="F24" i="13"/>
  <c r="F33" i="13"/>
  <c r="F15" i="13"/>
  <c r="F19" i="13"/>
  <c r="F37" i="13"/>
  <c r="F16" i="13"/>
  <c r="F25" i="13"/>
  <c r="F28" i="13"/>
  <c r="F39" i="13"/>
  <c r="F12" i="13"/>
  <c r="F21" i="13"/>
  <c r="F27" i="13"/>
  <c r="F20" i="13"/>
  <c r="F31" i="13"/>
  <c r="F17" i="13"/>
  <c r="F40" i="13"/>
  <c r="F36" i="13"/>
  <c r="F29" i="13"/>
  <c r="F11" i="13"/>
  <c r="F32" i="13"/>
  <c r="F41" i="13"/>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J79" i="12"/>
  <c r="J78" i="12"/>
  <c r="J77" i="12"/>
  <c r="J76" i="12"/>
  <c r="J75" i="12"/>
  <c r="J74" i="12"/>
  <c r="J73" i="12"/>
  <c r="J72" i="12"/>
  <c r="J71" i="12"/>
  <c r="J70" i="12"/>
  <c r="J69" i="12"/>
  <c r="J68" i="12"/>
  <c r="J67" i="12"/>
  <c r="J66" i="12"/>
  <c r="J65" i="12"/>
  <c r="J64" i="12"/>
  <c r="J63" i="12"/>
  <c r="J62" i="12"/>
  <c r="J61" i="12"/>
  <c r="J60" i="12"/>
  <c r="J59" i="12"/>
  <c r="J58" i="12"/>
  <c r="J57" i="12"/>
  <c r="J56" i="12"/>
  <c r="J55" i="12"/>
  <c r="J54" i="12"/>
  <c r="J53" i="12"/>
  <c r="J52" i="12"/>
  <c r="J51" i="12"/>
  <c r="J50" i="12"/>
  <c r="F40" i="12"/>
  <c r="F36" i="12"/>
  <c r="F32" i="12"/>
  <c r="F28" i="12"/>
  <c r="F24" i="12"/>
  <c r="F20" i="12"/>
  <c r="F12" i="12"/>
  <c r="F16" i="12"/>
  <c r="F21" i="12"/>
  <c r="F29" i="12"/>
  <c r="F37" i="12"/>
  <c r="F30" i="12"/>
  <c r="F13" i="12"/>
  <c r="F23" i="12"/>
  <c r="F31" i="12"/>
  <c r="F39" i="12"/>
  <c r="F18" i="12"/>
  <c r="F34" i="12"/>
  <c r="F14" i="12"/>
  <c r="F25" i="12"/>
  <c r="F33" i="12"/>
  <c r="F22" i="12"/>
  <c r="F38" i="12"/>
  <c r="F19" i="12"/>
  <c r="F27" i="12"/>
  <c r="F35" i="12"/>
  <c r="F15" i="12"/>
  <c r="F26" i="12"/>
  <c r="F11" i="12"/>
  <c r="F17" i="12"/>
  <c r="J38" i="12"/>
  <c r="J34" i="12"/>
  <c r="J30" i="12"/>
  <c r="J26" i="12"/>
  <c r="J22" i="12"/>
  <c r="J18" i="12"/>
  <c r="J14" i="12"/>
  <c r="J11" i="12"/>
  <c r="J21" i="12"/>
  <c r="J29" i="12"/>
  <c r="J37" i="12"/>
  <c r="J16" i="12"/>
  <c r="J12" i="12"/>
  <c r="J20" i="12"/>
  <c r="J36" i="12"/>
  <c r="J23" i="12"/>
  <c r="J31" i="12"/>
  <c r="J39" i="12"/>
  <c r="J24" i="12"/>
  <c r="J40" i="12"/>
  <c r="J17" i="12"/>
  <c r="J13" i="12"/>
  <c r="J25" i="12"/>
  <c r="J33" i="12"/>
  <c r="J15" i="12"/>
  <c r="J28" i="12"/>
  <c r="J19" i="12"/>
  <c r="J27" i="12"/>
  <c r="J35" i="12"/>
  <c r="J32" i="12"/>
  <c r="F85" i="11"/>
  <c r="F81" i="11"/>
  <c r="F77" i="11"/>
  <c r="F73" i="11"/>
  <c r="F61" i="11"/>
  <c r="F65" i="11"/>
  <c r="F69" i="11"/>
  <c r="F53" i="11"/>
  <c r="F57" i="11"/>
  <c r="F74" i="11"/>
  <c r="F82" i="11"/>
  <c r="F59" i="11"/>
  <c r="F55" i="11"/>
  <c r="F75" i="11"/>
  <c r="F67" i="11"/>
  <c r="F60" i="11"/>
  <c r="F66" i="11"/>
  <c r="F76" i="11"/>
  <c r="F84" i="11"/>
  <c r="F68" i="11"/>
  <c r="F79" i="11"/>
  <c r="F78" i="11"/>
  <c r="F56" i="11"/>
  <c r="F62" i="11"/>
  <c r="F58" i="11"/>
  <c r="F83" i="11"/>
  <c r="F64" i="11"/>
  <c r="F70" i="11"/>
  <c r="F63" i="11"/>
  <c r="F72" i="11"/>
  <c r="F80" i="11"/>
  <c r="F71" i="11"/>
  <c r="F54" i="11"/>
  <c r="J83" i="11"/>
  <c r="J79" i="11"/>
  <c r="J75" i="11"/>
  <c r="J71" i="11"/>
  <c r="J59" i="11"/>
  <c r="J63" i="11"/>
  <c r="J67" i="11"/>
  <c r="J55" i="11"/>
  <c r="J54" i="11"/>
  <c r="J64" i="11"/>
  <c r="J72" i="11"/>
  <c r="J80" i="11"/>
  <c r="J58" i="11"/>
  <c r="J77" i="11"/>
  <c r="J60" i="11"/>
  <c r="J74" i="11"/>
  <c r="J82" i="11"/>
  <c r="J56" i="11"/>
  <c r="J68" i="11"/>
  <c r="J81" i="11"/>
  <c r="J61" i="11"/>
  <c r="J70" i="11"/>
  <c r="J76" i="11"/>
  <c r="J84" i="11"/>
  <c r="J69" i="11"/>
  <c r="J85" i="11"/>
  <c r="J57" i="11"/>
  <c r="J66" i="11"/>
  <c r="J78" i="11"/>
  <c r="J53" i="11"/>
  <c r="J62" i="11"/>
  <c r="J65" i="11"/>
  <c r="J73" i="11"/>
  <c r="J40" i="11"/>
  <c r="J36" i="11"/>
  <c r="J32" i="11"/>
  <c r="J20" i="11"/>
  <c r="J24" i="11"/>
  <c r="J28" i="11"/>
  <c r="J12" i="11"/>
  <c r="J16" i="11"/>
  <c r="J18" i="11"/>
  <c r="J27" i="11"/>
  <c r="J42" i="11"/>
  <c r="J19" i="11"/>
  <c r="J35" i="11"/>
  <c r="J43" i="11"/>
  <c r="J15" i="11"/>
  <c r="J25" i="11"/>
  <c r="J30" i="11"/>
  <c r="J17" i="11"/>
  <c r="J29" i="11"/>
  <c r="J37" i="11"/>
  <c r="J11" i="11"/>
  <c r="J21" i="11"/>
  <c r="J34" i="11"/>
  <c r="J13" i="11"/>
  <c r="J31" i="11"/>
  <c r="J39" i="11"/>
  <c r="J22" i="11"/>
  <c r="J38" i="11"/>
  <c r="J14" i="11"/>
  <c r="J23" i="11"/>
  <c r="J26" i="11"/>
  <c r="J33" i="11"/>
  <c r="J41" i="11"/>
  <c r="F42" i="11"/>
  <c r="F38" i="11"/>
  <c r="F34" i="11"/>
  <c r="F30" i="11"/>
  <c r="F22" i="11"/>
  <c r="F26" i="11"/>
  <c r="F14" i="11"/>
  <c r="F18" i="11"/>
  <c r="F11" i="11"/>
  <c r="F24" i="11"/>
  <c r="F36" i="11"/>
  <c r="F16" i="11"/>
  <c r="F35" i="11"/>
  <c r="F43" i="11"/>
  <c r="F28" i="11"/>
  <c r="F40" i="11"/>
  <c r="F20" i="11"/>
  <c r="F29" i="11"/>
  <c r="F37" i="11"/>
  <c r="F12" i="11"/>
  <c r="F21" i="11"/>
  <c r="F27" i="11"/>
  <c r="F13" i="11"/>
  <c r="F19" i="11"/>
  <c r="F31" i="11"/>
  <c r="F39" i="11"/>
  <c r="F25" i="11"/>
  <c r="F32" i="11"/>
  <c r="F17" i="11"/>
  <c r="F23" i="11"/>
  <c r="F33" i="11"/>
  <c r="F41" i="11"/>
  <c r="F15" i="11"/>
  <c r="J95" i="10"/>
  <c r="J91" i="10"/>
  <c r="J87" i="10"/>
  <c r="J83" i="10"/>
  <c r="J79" i="10"/>
  <c r="J75" i="10"/>
  <c r="J71" i="10"/>
  <c r="J67" i="10"/>
  <c r="J63" i="10"/>
  <c r="J59" i="10"/>
  <c r="J93" i="10"/>
  <c r="J89" i="10"/>
  <c r="J85" i="10"/>
  <c r="J81" i="10"/>
  <c r="J77" i="10"/>
  <c r="J73" i="10"/>
  <c r="J69" i="10"/>
  <c r="J65" i="10"/>
  <c r="J61" i="10"/>
  <c r="J64" i="10"/>
  <c r="J74" i="10"/>
  <c r="J82" i="10"/>
  <c r="J90" i="10"/>
  <c r="J58" i="10"/>
  <c r="J66" i="10"/>
  <c r="J76" i="10"/>
  <c r="J84" i="10"/>
  <c r="J94" i="10"/>
  <c r="J68" i="10"/>
  <c r="J60" i="10"/>
  <c r="J70" i="10"/>
  <c r="J78" i="10"/>
  <c r="J86" i="10"/>
  <c r="J92" i="10"/>
  <c r="J62" i="10"/>
  <c r="J72" i="10"/>
  <c r="J80" i="10"/>
  <c r="J88" i="10"/>
  <c r="F93" i="10"/>
  <c r="F89" i="10"/>
  <c r="F85" i="10"/>
  <c r="F81" i="10"/>
  <c r="F77" i="10"/>
  <c r="F73" i="10"/>
  <c r="F69" i="10"/>
  <c r="F65" i="10"/>
  <c r="F61" i="10"/>
  <c r="F59" i="10"/>
  <c r="F95" i="10"/>
  <c r="F91" i="10"/>
  <c r="F87" i="10"/>
  <c r="F83" i="10"/>
  <c r="F79" i="10"/>
  <c r="F75" i="10"/>
  <c r="F71" i="10"/>
  <c r="F67" i="10"/>
  <c r="F63" i="10"/>
  <c r="F62" i="10"/>
  <c r="F94" i="10"/>
  <c r="F58" i="10"/>
  <c r="F70" i="10"/>
  <c r="F82" i="10"/>
  <c r="F90" i="10"/>
  <c r="F66" i="10"/>
  <c r="F60" i="10"/>
  <c r="F74" i="10"/>
  <c r="F84" i="10"/>
  <c r="F92" i="10"/>
  <c r="F72" i="10"/>
  <c r="F64" i="10"/>
  <c r="F76" i="10"/>
  <c r="F86" i="10"/>
  <c r="F80" i="10"/>
  <c r="F68" i="10"/>
  <c r="F78" i="10"/>
  <c r="F88" i="10"/>
  <c r="J48" i="10"/>
  <c r="J44" i="10"/>
  <c r="J40" i="10"/>
  <c r="J36" i="10"/>
  <c r="J32" i="10"/>
  <c r="J28" i="10"/>
  <c r="J24" i="10"/>
  <c r="J20" i="10"/>
  <c r="J16" i="10"/>
  <c r="J12" i="10"/>
  <c r="J34" i="10"/>
  <c r="J26" i="10"/>
  <c r="J22" i="10"/>
  <c r="J14" i="10"/>
  <c r="J46" i="10"/>
  <c r="J42" i="10"/>
  <c r="J38" i="10"/>
  <c r="J30" i="10"/>
  <c r="J18" i="10"/>
  <c r="J13" i="10"/>
  <c r="J21" i="10"/>
  <c r="J29" i="10"/>
  <c r="J37" i="10"/>
  <c r="J47" i="10"/>
  <c r="J19" i="10"/>
  <c r="J15" i="10"/>
  <c r="J23" i="10"/>
  <c r="J31" i="10"/>
  <c r="J41" i="10"/>
  <c r="J11" i="10"/>
  <c r="J35" i="10"/>
  <c r="J17" i="10"/>
  <c r="J25" i="10"/>
  <c r="J33" i="10"/>
  <c r="J43" i="10"/>
  <c r="J39" i="10"/>
  <c r="J27" i="10"/>
  <c r="J45" i="10"/>
  <c r="F46" i="10"/>
  <c r="F42" i="10"/>
  <c r="F38" i="10"/>
  <c r="F34" i="10"/>
  <c r="F30" i="10"/>
  <c r="F22" i="10"/>
  <c r="F14" i="10"/>
  <c r="F48" i="10"/>
  <c r="F44" i="10"/>
  <c r="F40" i="10"/>
  <c r="F26" i="10"/>
  <c r="F18" i="10"/>
  <c r="F24" i="10"/>
  <c r="F36" i="10"/>
  <c r="F32" i="10"/>
  <c r="F28" i="10"/>
  <c r="F20" i="10"/>
  <c r="F16" i="10"/>
  <c r="F12" i="10"/>
  <c r="F13" i="10"/>
  <c r="F33" i="10"/>
  <c r="F35" i="10"/>
  <c r="F41" i="10"/>
  <c r="F21" i="10"/>
  <c r="F19" i="10"/>
  <c r="F39" i="10"/>
  <c r="F11" i="10"/>
  <c r="F15" i="10"/>
  <c r="F47" i="10"/>
  <c r="F37" i="10"/>
  <c r="F27" i="10"/>
  <c r="F23" i="10"/>
  <c r="F43" i="10"/>
  <c r="F17" i="10"/>
  <c r="F25" i="10"/>
  <c r="F29" i="10"/>
  <c r="F31" i="10"/>
  <c r="F45" i="10"/>
  <c r="F48" i="9"/>
  <c r="F49" i="9"/>
  <c r="F45" i="9"/>
  <c r="F37" i="9"/>
  <c r="F41" i="9"/>
  <c r="F38" i="9"/>
  <c r="F36" i="9"/>
  <c r="F39" i="9"/>
  <c r="F44" i="9"/>
  <c r="F35" i="9"/>
  <c r="F46" i="9"/>
  <c r="F43" i="9"/>
  <c r="F40" i="9"/>
  <c r="F47" i="9"/>
  <c r="F42" i="9"/>
  <c r="J47" i="9"/>
  <c r="J43" i="9"/>
  <c r="J39" i="9"/>
  <c r="J35" i="9"/>
  <c r="J40" i="9"/>
  <c r="J37" i="9"/>
  <c r="J46" i="9"/>
  <c r="J44" i="9"/>
  <c r="J45" i="9"/>
  <c r="J48" i="9"/>
  <c r="J36" i="9"/>
  <c r="J42" i="9"/>
  <c r="J41" i="9"/>
  <c r="J38" i="9"/>
  <c r="J49" i="9"/>
  <c r="J25" i="9"/>
  <c r="J21" i="9"/>
  <c r="J17" i="9"/>
  <c r="J13" i="9"/>
  <c r="J23" i="9"/>
  <c r="J19" i="9"/>
  <c r="J15" i="9"/>
  <c r="J11" i="9"/>
  <c r="J12" i="9"/>
  <c r="J20" i="9"/>
  <c r="J14" i="9"/>
  <c r="J24" i="9"/>
  <c r="J22" i="9"/>
  <c r="J16" i="9"/>
  <c r="J18" i="9"/>
  <c r="F23" i="9"/>
  <c r="F19" i="9"/>
  <c r="F15" i="9"/>
  <c r="F11" i="9"/>
  <c r="F25" i="9"/>
  <c r="F21" i="9"/>
  <c r="F17" i="9"/>
  <c r="F13" i="9"/>
  <c r="F14" i="9"/>
  <c r="F16" i="9"/>
  <c r="F22" i="9"/>
  <c r="F18" i="9"/>
  <c r="F20" i="9"/>
  <c r="F12" i="9"/>
  <c r="F24" i="9"/>
  <c r="J35" i="8"/>
  <c r="J31" i="8"/>
  <c r="J30" i="8"/>
  <c r="J37" i="8"/>
  <c r="J32" i="8"/>
  <c r="J36" i="8"/>
  <c r="J34" i="8"/>
  <c r="J29" i="8"/>
  <c r="J33" i="8"/>
  <c r="F37" i="8"/>
  <c r="F33" i="8"/>
  <c r="F29" i="8"/>
  <c r="F30" i="8"/>
  <c r="F31" i="8"/>
  <c r="F32" i="8"/>
  <c r="F35" i="8"/>
  <c r="F34" i="8"/>
  <c r="F36" i="8"/>
  <c r="F19" i="8"/>
  <c r="F15" i="8"/>
  <c r="F11" i="8"/>
  <c r="F17" i="8"/>
  <c r="F13" i="8"/>
  <c r="F12" i="8"/>
  <c r="F14" i="8"/>
  <c r="F16" i="8"/>
  <c r="F18" i="8"/>
  <c r="J11" i="8"/>
  <c r="J17" i="8"/>
  <c r="J13" i="8"/>
  <c r="J19" i="8"/>
  <c r="J15" i="8"/>
  <c r="J12" i="8"/>
  <c r="J14" i="8"/>
  <c r="J16" i="8"/>
  <c r="J18" i="8"/>
  <c r="J38" i="7"/>
  <c r="J37" i="7"/>
  <c r="J33" i="7"/>
  <c r="J29" i="7"/>
  <c r="J35" i="7"/>
  <c r="J31" i="7"/>
  <c r="J30" i="7"/>
  <c r="J34" i="7"/>
  <c r="J32" i="7"/>
  <c r="J36" i="7"/>
  <c r="F38" i="7"/>
  <c r="F35" i="7"/>
  <c r="F31" i="7"/>
  <c r="F37" i="7"/>
  <c r="F33" i="7"/>
  <c r="F29" i="7"/>
  <c r="F32" i="7"/>
  <c r="F30" i="7"/>
  <c r="F34" i="7"/>
  <c r="F36" i="7"/>
  <c r="F17" i="7"/>
  <c r="F13" i="7"/>
  <c r="F19" i="7"/>
  <c r="F15" i="7"/>
  <c r="F11" i="7"/>
  <c r="F14" i="7"/>
  <c r="F18" i="7"/>
  <c r="F12" i="7"/>
  <c r="F16" i="7"/>
  <c r="J19" i="7"/>
  <c r="J15" i="7"/>
  <c r="J11" i="7"/>
  <c r="J17" i="7"/>
  <c r="J13" i="7"/>
  <c r="J16" i="7"/>
  <c r="J18" i="7"/>
  <c r="J14" i="7"/>
  <c r="J12" i="7"/>
  <c r="F15" i="6"/>
  <c r="F11" i="6"/>
  <c r="F17" i="6"/>
  <c r="F13" i="6"/>
  <c r="F12" i="6"/>
  <c r="F14" i="6"/>
  <c r="F16" i="6"/>
  <c r="J17" i="6"/>
  <c r="J13" i="6"/>
  <c r="J15" i="6"/>
  <c r="J11" i="6"/>
  <c r="J14" i="6"/>
  <c r="J12" i="6"/>
  <c r="J16" i="6"/>
  <c r="F41" i="16"/>
  <c r="H27" i="4"/>
  <c r="H27" i="3"/>
  <c r="F49" i="10"/>
  <c r="F21" i="17"/>
  <c r="E27" i="3"/>
  <c r="I27" i="3"/>
  <c r="K21" i="17"/>
  <c r="G22" i="17" s="1"/>
  <c r="J124" i="19"/>
  <c r="F124" i="19"/>
  <c r="K124" i="19"/>
  <c r="K63" i="19"/>
  <c r="F63" i="19"/>
  <c r="J63" i="19"/>
  <c r="J22" i="18"/>
  <c r="K22" i="18"/>
  <c r="F22" i="18"/>
  <c r="J42" i="18"/>
  <c r="F42" i="18"/>
  <c r="K42" i="18"/>
  <c r="F40" i="17"/>
  <c r="J40" i="17"/>
  <c r="J21" i="17"/>
  <c r="K40" i="17"/>
  <c r="F80" i="16"/>
  <c r="K80" i="16"/>
  <c r="D81" i="16" s="1"/>
  <c r="J41" i="16"/>
  <c r="K41" i="16"/>
  <c r="F23" i="15"/>
  <c r="K23" i="15"/>
  <c r="J23" i="15"/>
  <c r="J44" i="15"/>
  <c r="J84" i="14"/>
  <c r="F84" i="14"/>
  <c r="K84" i="14"/>
  <c r="J43" i="14"/>
  <c r="F43" i="14"/>
  <c r="K43" i="14"/>
  <c r="K86" i="13"/>
  <c r="F86" i="13"/>
  <c r="K44" i="13"/>
  <c r="F44" i="13"/>
  <c r="J44" i="13"/>
  <c r="J86" i="13"/>
  <c r="J41" i="12"/>
  <c r="F80" i="12"/>
  <c r="K80" i="12"/>
  <c r="F41" i="12"/>
  <c r="K41" i="12"/>
  <c r="J80" i="12"/>
  <c r="K44" i="11"/>
  <c r="F44" i="11"/>
  <c r="J44" i="11"/>
  <c r="J86" i="11"/>
  <c r="F86" i="11"/>
  <c r="K86" i="11"/>
  <c r="K49" i="10"/>
  <c r="C50" i="10" s="1"/>
  <c r="J49" i="10"/>
  <c r="F96" i="10"/>
  <c r="K96" i="10"/>
  <c r="J96" i="10"/>
  <c r="F50" i="9"/>
  <c r="K50" i="9"/>
  <c r="F26" i="9"/>
  <c r="K26" i="9"/>
  <c r="J50" i="9"/>
  <c r="J26" i="9"/>
  <c r="F20" i="8"/>
  <c r="K20" i="8"/>
  <c r="J38" i="8"/>
  <c r="J20" i="8"/>
  <c r="F38" i="8"/>
  <c r="K38" i="8"/>
  <c r="J20" i="7"/>
  <c r="K20" i="7"/>
  <c r="C21" i="7" s="1"/>
  <c r="F20" i="7"/>
  <c r="K38" i="7"/>
  <c r="K34" i="6"/>
  <c r="D35" i="6" s="1"/>
  <c r="F18" i="6"/>
  <c r="K18" i="6"/>
  <c r="F34" i="6"/>
  <c r="J18" i="6"/>
  <c r="J34" i="6"/>
  <c r="I27" i="4"/>
  <c r="E27" i="4"/>
  <c r="J25" i="4" l="1"/>
  <c r="J19" i="4"/>
  <c r="J21" i="4"/>
  <c r="J23" i="4"/>
  <c r="J20" i="4"/>
  <c r="J22" i="4"/>
  <c r="J26" i="4"/>
  <c r="J24" i="4"/>
  <c r="J26" i="3"/>
  <c r="J25" i="3"/>
  <c r="J19" i="3"/>
  <c r="J20" i="3"/>
  <c r="J24" i="3"/>
  <c r="J23" i="3"/>
  <c r="J21" i="3"/>
  <c r="J22" i="3"/>
  <c r="H45" i="15"/>
  <c r="C45" i="15"/>
  <c r="D45" i="15"/>
  <c r="G50" i="10"/>
  <c r="J13" i="4"/>
  <c r="J12" i="4"/>
  <c r="J11" i="4"/>
  <c r="J14" i="4"/>
  <c r="J17" i="4"/>
  <c r="J16" i="4"/>
  <c r="J15" i="4"/>
  <c r="J18" i="4"/>
  <c r="J13" i="3"/>
  <c r="J12" i="3"/>
  <c r="J11" i="3"/>
  <c r="J14" i="3"/>
  <c r="J17" i="3"/>
  <c r="J16" i="3"/>
  <c r="J15" i="3"/>
  <c r="J18" i="3"/>
  <c r="J27" i="3"/>
  <c r="M28" i="3"/>
  <c r="D50" i="10"/>
  <c r="E50" i="10" s="1"/>
  <c r="D28" i="3"/>
  <c r="C28" i="3"/>
  <c r="P28" i="3"/>
  <c r="L28" i="3"/>
  <c r="K28" i="3"/>
  <c r="G28" i="3"/>
  <c r="F28" i="3"/>
  <c r="N28" i="3"/>
  <c r="O28" i="3"/>
  <c r="H22" i="17"/>
  <c r="I22" i="17" s="1"/>
  <c r="D21" i="8"/>
  <c r="D22" i="17"/>
  <c r="C22" i="17"/>
  <c r="H21" i="7"/>
  <c r="H64" i="19"/>
  <c r="D64" i="19"/>
  <c r="G64" i="19"/>
  <c r="C64" i="19"/>
  <c r="G125" i="19"/>
  <c r="H125" i="19"/>
  <c r="D125" i="19"/>
  <c r="C125" i="19"/>
  <c r="D23" i="18"/>
  <c r="C23" i="18"/>
  <c r="G23" i="18"/>
  <c r="H23" i="18"/>
  <c r="H43" i="18"/>
  <c r="D43" i="18"/>
  <c r="C43" i="18"/>
  <c r="G43" i="18"/>
  <c r="H41" i="17"/>
  <c r="D41" i="17"/>
  <c r="C41" i="17"/>
  <c r="G41" i="17"/>
  <c r="H81" i="16"/>
  <c r="C81" i="16"/>
  <c r="E81" i="16" s="1"/>
  <c r="G81" i="16"/>
  <c r="D42" i="16"/>
  <c r="H42" i="16"/>
  <c r="C42" i="16"/>
  <c r="G42" i="16"/>
  <c r="I45" i="15"/>
  <c r="H24" i="15"/>
  <c r="D24" i="15"/>
  <c r="G24" i="15"/>
  <c r="C24" i="15"/>
  <c r="D85" i="14"/>
  <c r="H85" i="14"/>
  <c r="G85" i="14"/>
  <c r="C85" i="14"/>
  <c r="D44" i="14"/>
  <c r="H44" i="14"/>
  <c r="G44" i="14"/>
  <c r="C44" i="14"/>
  <c r="H45" i="13"/>
  <c r="D45" i="13"/>
  <c r="G45" i="13"/>
  <c r="C45" i="13"/>
  <c r="H87" i="13"/>
  <c r="G87" i="13"/>
  <c r="D87" i="13"/>
  <c r="C87" i="13"/>
  <c r="H81" i="12"/>
  <c r="D81" i="12"/>
  <c r="G81" i="12"/>
  <c r="C81" i="12"/>
  <c r="D42" i="12"/>
  <c r="G42" i="12"/>
  <c r="H42" i="12"/>
  <c r="C42" i="12"/>
  <c r="G45" i="11"/>
  <c r="D45" i="11"/>
  <c r="C45" i="11"/>
  <c r="H45" i="11"/>
  <c r="H87" i="11"/>
  <c r="C87" i="11"/>
  <c r="G87" i="11"/>
  <c r="D87" i="11"/>
  <c r="H50" i="10"/>
  <c r="D97" i="10"/>
  <c r="H97" i="10"/>
  <c r="G97" i="10"/>
  <c r="C97" i="10"/>
  <c r="H51" i="9"/>
  <c r="G51" i="9"/>
  <c r="D51" i="9"/>
  <c r="C51" i="9"/>
  <c r="H27" i="9"/>
  <c r="D27" i="9"/>
  <c r="C27" i="9"/>
  <c r="G27" i="9"/>
  <c r="G21" i="8"/>
  <c r="H21" i="8"/>
  <c r="C21" i="8"/>
  <c r="D39" i="8"/>
  <c r="H39" i="8"/>
  <c r="C39" i="8"/>
  <c r="G39" i="8"/>
  <c r="G21" i="7"/>
  <c r="D21" i="7"/>
  <c r="E21" i="7" s="1"/>
  <c r="H39" i="7"/>
  <c r="G39" i="7"/>
  <c r="C39" i="7"/>
  <c r="D39" i="7"/>
  <c r="G35" i="6"/>
  <c r="H35" i="6"/>
  <c r="C35" i="6"/>
  <c r="E35" i="6" s="1"/>
  <c r="H19" i="6"/>
  <c r="D19" i="6"/>
  <c r="C19" i="6"/>
  <c r="G19" i="6"/>
  <c r="H16" i="5"/>
  <c r="G16" i="5"/>
  <c r="I16" i="5"/>
  <c r="E16" i="5"/>
  <c r="D16" i="5"/>
  <c r="C16" i="5"/>
  <c r="J27" i="4"/>
  <c r="C28" i="4"/>
  <c r="L28" i="4"/>
  <c r="N28" i="4"/>
  <c r="P28" i="4"/>
  <c r="M28" i="4"/>
  <c r="K28" i="4"/>
  <c r="F28" i="4"/>
  <c r="G28" i="4"/>
  <c r="O28" i="4"/>
  <c r="D28" i="4"/>
  <c r="I50" i="10" l="1"/>
  <c r="E45" i="15"/>
  <c r="K45" i="15" s="1"/>
  <c r="I51" i="9"/>
  <c r="I28" i="3"/>
  <c r="I81" i="16"/>
  <c r="K81" i="16" s="1"/>
  <c r="E81" i="12"/>
  <c r="E44" i="14"/>
  <c r="I21" i="7"/>
  <c r="K21" i="7" s="1"/>
  <c r="E22" i="17"/>
  <c r="K22" i="17" s="1"/>
  <c r="E21" i="8"/>
  <c r="I21" i="8"/>
  <c r="E97" i="10"/>
  <c r="I64" i="19"/>
  <c r="E125" i="19"/>
  <c r="E64" i="19"/>
  <c r="I125" i="19"/>
  <c r="E23" i="18"/>
  <c r="E43" i="18"/>
  <c r="I23" i="18"/>
  <c r="I43" i="18"/>
  <c r="I41" i="17"/>
  <c r="E41" i="17"/>
  <c r="E42" i="16"/>
  <c r="I42" i="16"/>
  <c r="E24" i="15"/>
  <c r="I24" i="15"/>
  <c r="I85" i="14"/>
  <c r="E85" i="14"/>
  <c r="I44" i="14"/>
  <c r="I45" i="13"/>
  <c r="I87" i="13"/>
  <c r="E87" i="13"/>
  <c r="E45" i="13"/>
  <c r="E42" i="12"/>
  <c r="I42" i="12"/>
  <c r="I81" i="12"/>
  <c r="E87" i="11"/>
  <c r="E45" i="11"/>
  <c r="I87" i="11"/>
  <c r="I45" i="11"/>
  <c r="K50" i="10"/>
  <c r="I97" i="10"/>
  <c r="I27" i="9"/>
  <c r="E51" i="9"/>
  <c r="E27" i="9"/>
  <c r="E39" i="8"/>
  <c r="I39" i="8"/>
  <c r="I39" i="7"/>
  <c r="E39" i="7"/>
  <c r="I35" i="6"/>
  <c r="K35" i="6" s="1"/>
  <c r="E19" i="6"/>
  <c r="I19" i="6"/>
  <c r="K16" i="5"/>
  <c r="I28" i="4"/>
  <c r="K51" i="9" l="1"/>
  <c r="K81" i="12"/>
  <c r="K44" i="14"/>
  <c r="K97" i="10"/>
  <c r="K87" i="13"/>
  <c r="K21" i="8"/>
  <c r="K39" i="7"/>
  <c r="K64" i="19"/>
  <c r="K125" i="19"/>
  <c r="K43" i="18"/>
  <c r="K23" i="18"/>
  <c r="K41" i="17"/>
  <c r="K42" i="16"/>
  <c r="K24" i="15"/>
  <c r="K85" i="14"/>
  <c r="K45" i="13"/>
  <c r="K42" i="12"/>
  <c r="K45" i="11"/>
  <c r="K87" i="11"/>
  <c r="K27" i="9"/>
  <c r="K39" i="8"/>
  <c r="K19" i="6"/>
</calcChain>
</file>

<file path=xl/sharedStrings.xml><?xml version="1.0" encoding="utf-8"?>
<sst xmlns="http://schemas.openxmlformats.org/spreadsheetml/2006/main" count="1789" uniqueCount="653">
  <si>
    <t>TOTAL SOLICITUDES  (no incluye ex Pasis)</t>
  </si>
  <si>
    <t>PERIODO</t>
  </si>
  <si>
    <t>TOTAL PBS Y APS</t>
  </si>
  <si>
    <t>SEXO</t>
  </si>
  <si>
    <t>ORIGEN DE TRAMITACIÓN DEL BENEFICIO</t>
  </si>
  <si>
    <t xml:space="preserve">PBSV </t>
  </si>
  <si>
    <t xml:space="preserve">PBSI </t>
  </si>
  <si>
    <t>TOTAL PBS</t>
  </si>
  <si>
    <t>APSV</t>
  </si>
  <si>
    <t xml:space="preserve">APSI </t>
  </si>
  <si>
    <t>TOTAL APS</t>
  </si>
  <si>
    <t>Total PBS + APS</t>
  </si>
  <si>
    <t xml:space="preserve">Femenino </t>
  </si>
  <si>
    <t xml:space="preserve">Masculino </t>
  </si>
  <si>
    <t xml:space="preserve">En IPS </t>
  </si>
  <si>
    <t xml:space="preserve">En AFP </t>
  </si>
  <si>
    <t xml:space="preserve">En Cías. de Seguro </t>
  </si>
  <si>
    <t xml:space="preserve">En Municipio </t>
  </si>
  <si>
    <t>Jul a Dic 2008</t>
  </si>
  <si>
    <t>Total 2009</t>
  </si>
  <si>
    <t>Total 2010</t>
  </si>
  <si>
    <t>Total 2011</t>
  </si>
  <si>
    <t>Total 2012</t>
  </si>
  <si>
    <t>Total 2013</t>
  </si>
  <si>
    <t>Total 2014</t>
  </si>
  <si>
    <t>Total 2015</t>
  </si>
  <si>
    <t>Total 2016</t>
  </si>
  <si>
    <t>Enero'17</t>
  </si>
  <si>
    <t>Febrero</t>
  </si>
  <si>
    <t>Marzo</t>
  </si>
  <si>
    <t>Abril</t>
  </si>
  <si>
    <t>Mayo</t>
  </si>
  <si>
    <t>Junio</t>
  </si>
  <si>
    <t>Julio</t>
  </si>
  <si>
    <t>Agosto</t>
  </si>
  <si>
    <t>Septiembre</t>
  </si>
  <si>
    <t>Octubre</t>
  </si>
  <si>
    <t>Noviembre</t>
  </si>
  <si>
    <t>Diciembre</t>
  </si>
  <si>
    <t>Total 2017</t>
  </si>
  <si>
    <t>enero'18</t>
  </si>
  <si>
    <t>febrero'18</t>
  </si>
  <si>
    <t>marzo'18</t>
  </si>
  <si>
    <t>TOTAL</t>
  </si>
  <si>
    <t>TOTAL CONCEDIDAS  (no incluye ex Pasis)</t>
  </si>
  <si>
    <t>MES</t>
  </si>
  <si>
    <t>Total PBS+APS</t>
  </si>
  <si>
    <t>Femenino</t>
  </si>
  <si>
    <t xml:space="preserve">Abril </t>
  </si>
  <si>
    <t>REGIÓN</t>
  </si>
  <si>
    <t>% de Solicitudes PBS+APS</t>
  </si>
  <si>
    <t>ARICA Y PARINACOTA</t>
  </si>
  <si>
    <t>TARAPACA</t>
  </si>
  <si>
    <t>ANTOFAGASTA</t>
  </si>
  <si>
    <t>ATACAMA</t>
  </si>
  <si>
    <t>COQUIMBO</t>
  </si>
  <si>
    <t>VALPARAISO</t>
  </si>
  <si>
    <t>L. G. B. OHIGGINS</t>
  </si>
  <si>
    <t>MAULE</t>
  </si>
  <si>
    <t>BIO-BIO</t>
  </si>
  <si>
    <t>LA ARAUCANIA</t>
  </si>
  <si>
    <t>LOS RIOS</t>
  </si>
  <si>
    <t>LOS LAGOS</t>
  </si>
  <si>
    <t>AYSÉN</t>
  </si>
  <si>
    <t>MAGALLANES Y ANTARTICA</t>
  </si>
  <si>
    <t>METROPOLITANA</t>
  </si>
  <si>
    <t>Totales</t>
  </si>
  <si>
    <t>Participación sobre el total</t>
  </si>
  <si>
    <t>TOTAL CONCEDIDAS  (no incluye ex  Pasis)</t>
  </si>
  <si>
    <t>% de Concesiones PBS+APS</t>
  </si>
  <si>
    <t>Número de solicitudes del Sistema de Pensiones Solidarias según región, tipo de beneficio, sexo y origen de tramitación del beneficio</t>
  </si>
  <si>
    <t>Número de concesiones del Sistema de Pensiones Solidarias según región, tipo de beneficio, sexo y origen de tramitación del beneficio</t>
  </si>
  <si>
    <t>Número de solicitudes mensuales recibidas en el Sistema de Pensiones Solidarias, según tipo de beneficio, sexo y origen de tramitación del beneficio</t>
  </si>
  <si>
    <t>Distribución Regional Solicitudes del Pilar Solidario - no incluye ex Pasis</t>
  </si>
  <si>
    <t>COMUNA</t>
  </si>
  <si>
    <t>PBSV</t>
  </si>
  <si>
    <t>PBSI</t>
  </si>
  <si>
    <t>Total PBS</t>
  </si>
  <si>
    <t>% PBS</t>
  </si>
  <si>
    <t>APSI</t>
  </si>
  <si>
    <t>Total APS</t>
  </si>
  <si>
    <t>%APS</t>
  </si>
  <si>
    <t>% respecto del total de solicitudes</t>
  </si>
  <si>
    <t>Concesiones del Pilar Solidario  a nivel comunal</t>
  </si>
  <si>
    <t>% respecto del total de concesiones</t>
  </si>
  <si>
    <t>ARICA</t>
  </si>
  <si>
    <t>CAMARONES</t>
  </si>
  <si>
    <t>PUTRE</t>
  </si>
  <si>
    <t>GENERAL LAGOS</t>
  </si>
  <si>
    <t>Número de Solicitudes de Beneficios del Pilar Solidario según tipo de beneficio - XV Región de Arica y Parinacota</t>
  </si>
  <si>
    <t>ALTO HOSPICIO</t>
  </si>
  <si>
    <t>POZO ALMONTE</t>
  </si>
  <si>
    <t>CAMIÑA</t>
  </si>
  <si>
    <t>COLCHANE</t>
  </si>
  <si>
    <t>HUARA</t>
  </si>
  <si>
    <t>PICA</t>
  </si>
  <si>
    <t>Copiar extraccion TODOS desde casilla A140, luego formatear numeros con punto sindecimales</t>
  </si>
  <si>
    <t>Número de Solicitudes de Beneficios del Pilar Solidario según tipo de beneficio - I Región de Tarapacá</t>
  </si>
  <si>
    <t>Distribución Regional Solicitudes del Pilar Solidario  - no incluye ex Pasis</t>
  </si>
  <si>
    <t>Número de Solicitudes de Beneficios del Pilar Solidario según tipo de beneficio - II Región de Antofagasta</t>
  </si>
  <si>
    <t>Número de Concesiones de Beneficios del Pilar Solidario según tipo de beneficio - II Región de Antofagasta</t>
  </si>
  <si>
    <t>Número de Solicitudes de Beneficios del Pilar Solidario según tipo de beneficio - IV Región de Coquimbo</t>
  </si>
  <si>
    <t>Número de Concesiones de Beneficios del Pilar Solidario según tipo de beneficio - IV Región de Coquimbo</t>
  </si>
  <si>
    <t>Número de Solicitudes de Beneficios del Pilar Solidario según tipo de beneficio - V Región de Vaparaíso</t>
  </si>
  <si>
    <t>Número de Concesiones de Beneficios del Pilar Solidario según tipo de beneficio - V Región de Vaparaíso</t>
  </si>
  <si>
    <t>Número de Solicitudes de Beneficios del Pilar Solidario según tipo de beneficio - VI Región de L.G.B. O'Higgins</t>
  </si>
  <si>
    <t>Número de Solicitudes de Beneficios del Pilar Solidario según tipo de beneficio - VII Región del Maule</t>
  </si>
  <si>
    <t>Número de Concesiones de Beneficios del Pilar Solidario según tipo de beneficio - VII Región del Maule</t>
  </si>
  <si>
    <t>Número de Concesiones de Beneficios del Pilar Solidario según tipo de beneficio - VI Región de L.G.B. O'Higgins</t>
  </si>
  <si>
    <t>Número de Solicitudes de Beneficios del Pilar Solidario según tipo de beneficio - IX Región de la Araucanía</t>
  </si>
  <si>
    <t>Número de Concesiones de Beneficios del Pilar Solidario según tipo de beneficio - IX Región de la Araucanía</t>
  </si>
  <si>
    <t>Número de Solicitudes de Beneficios del Pilar Solidario según tipo de beneficio - XIV Región de Los Rios</t>
  </si>
  <si>
    <t>Número de Concesiones de Beneficios del Pilar Solidario según tipo de beneficio - XIV Región de Los Rios</t>
  </si>
  <si>
    <t>Número de Solicitudes de Beneficios del Pilar Solidario según tipo de beneficio - X Región de Los Lagos</t>
  </si>
  <si>
    <t>Número de Concesiones de Beneficios del Pilar Solidario según tipo de beneficio - X Región de Los Lagos</t>
  </si>
  <si>
    <t xml:space="preserve">TOTAL </t>
  </si>
  <si>
    <t>Número de Solicitudes de Beneficios del Pilar Solidario según tipo de beneficio - XI Región de Aysen</t>
  </si>
  <si>
    <t>Número de Conceciones de Beneficios del Pilar Solidario según tipo de beneficio - XI Región de Aysen</t>
  </si>
  <si>
    <t>Número de Solicitudes de Beneficios del Pilar Solidario según tipo de beneficio - XII Región de Magallanes</t>
  </si>
  <si>
    <t>Número de Concesiones de Beneficios del Pilar Solidario según tipo de beneficio - XII Región de Magallanes</t>
  </si>
  <si>
    <t xml:space="preserve"> </t>
  </si>
  <si>
    <t>Subsecretaría de Previsión Social</t>
  </si>
  <si>
    <t>Dirección de Estudios Previsionales</t>
  </si>
  <si>
    <t>XV Arica y Parinacota</t>
  </si>
  <si>
    <t>I Tarapaca</t>
  </si>
  <si>
    <t>III Atacama</t>
  </si>
  <si>
    <t>IV Coquimbo</t>
  </si>
  <si>
    <t>V Valparaiso</t>
  </si>
  <si>
    <t>VI Libertador General Bernardo O'Higgins</t>
  </si>
  <si>
    <t>VII Maule</t>
  </si>
  <si>
    <t>VIII Bio Bio</t>
  </si>
  <si>
    <t>II Antofagasta</t>
  </si>
  <si>
    <t>IX Araucania</t>
  </si>
  <si>
    <t>XIV Los Rios</t>
  </si>
  <si>
    <t>X Los Lagos</t>
  </si>
  <si>
    <t>XI Aysen</t>
  </si>
  <si>
    <t>XII Magallanes</t>
  </si>
  <si>
    <t>XIII Metropolitana</t>
  </si>
  <si>
    <t>Número de concesiones de Beneficios del Pilar Solidario según tipo de beneficio - III Región de Atacama</t>
  </si>
  <si>
    <t>Número de Solicitudes de Beneficios del Pilar Solidario según tipo de beneficio - III Región de Atacama</t>
  </si>
  <si>
    <t>Número de Solicitudes de Beneficios del Pilar Solidario según tipo de beneficio - VIII Región del Bio Bio</t>
  </si>
  <si>
    <t>Número de Concesiones de Beneficios del Pilar Solidario según tipo de beneficio - VIII Región del Bio Bio</t>
  </si>
  <si>
    <t>Número de Solicitudes de Beneficios del Pilar Solidario según tipo de beneficio - XIII Región Metropolitana</t>
  </si>
  <si>
    <t>Número de Concesiones de Beneficios del Pilar Solidario según tipo de beneficio - XIII Región Metropolitana</t>
  </si>
  <si>
    <t>Introducción</t>
  </si>
  <si>
    <t>Nacional</t>
  </si>
  <si>
    <t>Número de Concesiones de Beneficios del Pilar Solidario según tipo de beneficio - XV Región de Arica y Parinacota</t>
  </si>
  <si>
    <t>Regional</t>
  </si>
  <si>
    <t>Número de Concesiones de Beneficios del Pilar Solidario según tipo de beneficio - I Región de Tarapacá</t>
  </si>
  <si>
    <t>Fuente: Elaboración propia sobre la base de información del IPS.</t>
  </si>
  <si>
    <t>Nota: La información estadística reportada del número de solicitudes concesionadas, en trámite, rechazadas y anuladas varía mes a mes por actualización de cifras.</t>
  </si>
  <si>
    <t>IQUIQUE</t>
  </si>
  <si>
    <t>MEJILLONES</t>
  </si>
  <si>
    <t>SIERRA GORDA</t>
  </si>
  <si>
    <t>TALTAL</t>
  </si>
  <si>
    <t>CALAMA</t>
  </si>
  <si>
    <t>OLLAGUE</t>
  </si>
  <si>
    <t>SAN PEDRO DE ATACAMA</t>
  </si>
  <si>
    <t>TOCOPILLA</t>
  </si>
  <si>
    <t>MARIA ELENA</t>
  </si>
  <si>
    <t>COPIAPO</t>
  </si>
  <si>
    <t>CALDERA</t>
  </si>
  <si>
    <t>TIERRA AMARILLA</t>
  </si>
  <si>
    <t>CHAÑARAL</t>
  </si>
  <si>
    <t>DIEGO DE ALMAGRO</t>
  </si>
  <si>
    <t>VALLENAR</t>
  </si>
  <si>
    <t>ALTO DEL CARMEN</t>
  </si>
  <si>
    <t>FREIRINA</t>
  </si>
  <si>
    <t>HUASCO</t>
  </si>
  <si>
    <t>LA SERENA</t>
  </si>
  <si>
    <t>ANDACOLLO</t>
  </si>
  <si>
    <t>LA HIGUERA</t>
  </si>
  <si>
    <t>PAIHUANO</t>
  </si>
  <si>
    <t>VICUÑA</t>
  </si>
  <si>
    <t>ILLAPEL</t>
  </si>
  <si>
    <t>CANELA</t>
  </si>
  <si>
    <t>LOS VILOS</t>
  </si>
  <si>
    <t>SALAMANCA</t>
  </si>
  <si>
    <t>OVALLE</t>
  </si>
  <si>
    <t>COMBARBALA</t>
  </si>
  <si>
    <t>MONTE PATRIA</t>
  </si>
  <si>
    <t>PUNITAQUI</t>
  </si>
  <si>
    <t>RIO HURTADO</t>
  </si>
  <si>
    <t>CONCON</t>
  </si>
  <si>
    <t>PUCHUNCAVI</t>
  </si>
  <si>
    <t>VIÑA DEL MAR</t>
  </si>
  <si>
    <t>ISLA DE PASCUA</t>
  </si>
  <si>
    <t>LOS ANDES</t>
  </si>
  <si>
    <t>RINCONADA</t>
  </si>
  <si>
    <t>SAN ESTEBAN</t>
  </si>
  <si>
    <t>PAPUDO</t>
  </si>
  <si>
    <t>LA CALERA</t>
  </si>
  <si>
    <t>HIJUELAS</t>
  </si>
  <si>
    <t>LA CRUZ</t>
  </si>
  <si>
    <t>SAN ANTONIO</t>
  </si>
  <si>
    <t>CARTAGENA</t>
  </si>
  <si>
    <t>EL QUISCO</t>
  </si>
  <si>
    <t>SAN FELIPE</t>
  </si>
  <si>
    <t>LLAY LLAY</t>
  </si>
  <si>
    <t>PUTAENDO</t>
  </si>
  <si>
    <t>JUAN FERNANDEZ</t>
  </si>
  <si>
    <t>CASABLANCA</t>
  </si>
  <si>
    <t>QUINTERO</t>
  </si>
  <si>
    <t>QUILLOTA</t>
  </si>
  <si>
    <t>LA LIGUA</t>
  </si>
  <si>
    <t>CABILDO</t>
  </si>
  <si>
    <t>NOGALES</t>
  </si>
  <si>
    <t>ZAPALLAR</t>
  </si>
  <si>
    <t>PETORCA</t>
  </si>
  <si>
    <t>ALGARROBO</t>
  </si>
  <si>
    <t>EL TABO</t>
  </si>
  <si>
    <t>SANTO DOMINGO</t>
  </si>
  <si>
    <t>CALLE LARGA</t>
  </si>
  <si>
    <t>CATEMU</t>
  </si>
  <si>
    <t>PANQUEHUE</t>
  </si>
  <si>
    <t>SANTA MARIA</t>
  </si>
  <si>
    <t>QUILPUE</t>
  </si>
  <si>
    <t>LIMACHE</t>
  </si>
  <si>
    <t>OLMUE</t>
  </si>
  <si>
    <t>VILLA ALEMANA</t>
  </si>
  <si>
    <t>RANCAGUA</t>
  </si>
  <si>
    <t>COLTAUCO</t>
  </si>
  <si>
    <t>GRANEROS</t>
  </si>
  <si>
    <t>PICHIDEGUA</t>
  </si>
  <si>
    <t>REQUINOA</t>
  </si>
  <si>
    <t>LITUECHE</t>
  </si>
  <si>
    <t>PAREDONES</t>
  </si>
  <si>
    <t>CHEPICA</t>
  </si>
  <si>
    <t>PALMILLA</t>
  </si>
  <si>
    <t>PLACILLA</t>
  </si>
  <si>
    <t>SANTA CRUZ</t>
  </si>
  <si>
    <t>CODEGUA</t>
  </si>
  <si>
    <t>LAS CABRAS</t>
  </si>
  <si>
    <t>MOSTAZAL</t>
  </si>
  <si>
    <t>PEUMO</t>
  </si>
  <si>
    <t>QUINTA TILCOCO</t>
  </si>
  <si>
    <t>RENGO</t>
  </si>
  <si>
    <t>MARCHIGUE</t>
  </si>
  <si>
    <t>NAVIDAD</t>
  </si>
  <si>
    <t>CHIMBARONGO</t>
  </si>
  <si>
    <t>COINCO</t>
  </si>
  <si>
    <t>DOÑIHUE</t>
  </si>
  <si>
    <t>MACHALI</t>
  </si>
  <si>
    <t>OLIVAR</t>
  </si>
  <si>
    <t>MALLOA</t>
  </si>
  <si>
    <t>SAN FERNANDO</t>
  </si>
  <si>
    <t>NANCAGUA</t>
  </si>
  <si>
    <t>PERALILLO</t>
  </si>
  <si>
    <t>LOLOL</t>
  </si>
  <si>
    <t>PUMANQUE</t>
  </si>
  <si>
    <t>SAN VICENTE</t>
  </si>
  <si>
    <t>PICHILEMU</t>
  </si>
  <si>
    <t>LA ESTRELLA</t>
  </si>
  <si>
    <t>CUREPTO</t>
  </si>
  <si>
    <t>PELARCO</t>
  </si>
  <si>
    <t>SAN RAFAEL</t>
  </si>
  <si>
    <t>PELLUHUE</t>
  </si>
  <si>
    <t>LICANTEN</t>
  </si>
  <si>
    <t>ROMERAL</t>
  </si>
  <si>
    <t>LONGAVI</t>
  </si>
  <si>
    <t>YERBAS BUENAS</t>
  </si>
  <si>
    <t>EMPEDRADO</t>
  </si>
  <si>
    <t>SAN CLEMENTE</t>
  </si>
  <si>
    <t>CAUQUENES</t>
  </si>
  <si>
    <t>MOLINA</t>
  </si>
  <si>
    <t>RAUCO</t>
  </si>
  <si>
    <t>TENO</t>
  </si>
  <si>
    <t>VICHUQUEN</t>
  </si>
  <si>
    <t>LINARES</t>
  </si>
  <si>
    <t>RETIRO</t>
  </si>
  <si>
    <t>VILLA ALEGRE</t>
  </si>
  <si>
    <t>TALCA</t>
  </si>
  <si>
    <t>PENCAHUE</t>
  </si>
  <si>
    <t>RIO CLARO</t>
  </si>
  <si>
    <t>CURICO</t>
  </si>
  <si>
    <t>SAGRADA FAMILIA</t>
  </si>
  <si>
    <t>HUALAÑE</t>
  </si>
  <si>
    <t>CHANCO</t>
  </si>
  <si>
    <t>CONSTITUCION</t>
  </si>
  <si>
    <t>SAN JAVIER</t>
  </si>
  <si>
    <t>COLBUN</t>
  </si>
  <si>
    <t>PARRAL</t>
  </si>
  <si>
    <t>CHIGUAYANTE</t>
  </si>
  <si>
    <t>LOTA</t>
  </si>
  <si>
    <t>HUALPEN</t>
  </si>
  <si>
    <t>LOS ANGELES</t>
  </si>
  <si>
    <t>LAJA</t>
  </si>
  <si>
    <t>SANTA BARBARA</t>
  </si>
  <si>
    <t>ALTO BIOBIO</t>
  </si>
  <si>
    <t>CHILLAN VIEJO</t>
  </si>
  <si>
    <t>PEMUCO</t>
  </si>
  <si>
    <t>RANQUIL</t>
  </si>
  <si>
    <t>SAN NICOLAS</t>
  </si>
  <si>
    <t>CORONEL</t>
  </si>
  <si>
    <t>HUALQUI</t>
  </si>
  <si>
    <t>PENCO</t>
  </si>
  <si>
    <t>SANTA JUANA</t>
  </si>
  <si>
    <t>TALCAHUANO</t>
  </si>
  <si>
    <t>LEBU</t>
  </si>
  <si>
    <t>CONTULMO</t>
  </si>
  <si>
    <t>LOS ALAMOS</t>
  </si>
  <si>
    <t>TIRUA</t>
  </si>
  <si>
    <t>ANTUCO</t>
  </si>
  <si>
    <t>CABRERO</t>
  </si>
  <si>
    <t>MULCHEN</t>
  </si>
  <si>
    <t>NEGRETE</t>
  </si>
  <si>
    <t>QUILACO</t>
  </si>
  <si>
    <t>SAN ROSENDO</t>
  </si>
  <si>
    <t>TUCAPEL</t>
  </si>
  <si>
    <t>YUMBEL</t>
  </si>
  <si>
    <t>CHILLAN</t>
  </si>
  <si>
    <t>BULNES</t>
  </si>
  <si>
    <t>COELEMU</t>
  </si>
  <si>
    <t>COIHUECO</t>
  </si>
  <si>
    <t>EL CARMEN</t>
  </si>
  <si>
    <t>NINHUE</t>
  </si>
  <si>
    <t>ÑIQUEN</t>
  </si>
  <si>
    <t>PINTO</t>
  </si>
  <si>
    <t>QUILLON</t>
  </si>
  <si>
    <t>QUIRIHUE</t>
  </si>
  <si>
    <t>SAN CARLOS</t>
  </si>
  <si>
    <t>SAN IGNACIO</t>
  </si>
  <si>
    <t>TREHUACO</t>
  </si>
  <si>
    <t>YUNGAY</t>
  </si>
  <si>
    <t>CONCEPCION</t>
  </si>
  <si>
    <t>TOME</t>
  </si>
  <si>
    <t>SAN PEDRO DE LA PAZ</t>
  </si>
  <si>
    <t>FLORIDA</t>
  </si>
  <si>
    <t>ARAUCO</t>
  </si>
  <si>
    <t>CAÑETE</t>
  </si>
  <si>
    <t>CURANILAHUE</t>
  </si>
  <si>
    <t>COBQUECURA</t>
  </si>
  <si>
    <t>PORTEZUELO</t>
  </si>
  <si>
    <t>SAN FABIAN</t>
  </si>
  <si>
    <t>NACIMIENTO</t>
  </si>
  <si>
    <t>QUILLECO</t>
  </si>
  <si>
    <t>CARAHUE</t>
  </si>
  <si>
    <t>CURARREHUE</t>
  </si>
  <si>
    <t>PITRUFQUEN</t>
  </si>
  <si>
    <t>TEODORO SCHMIDT</t>
  </si>
  <si>
    <t>VILLARRICA</t>
  </si>
  <si>
    <t>COLLIPULLI</t>
  </si>
  <si>
    <t>TRAIGUEN</t>
  </si>
  <si>
    <t>TEMUCO</t>
  </si>
  <si>
    <t>CUNCO</t>
  </si>
  <si>
    <t>FREIRE</t>
  </si>
  <si>
    <t>GALVARINO</t>
  </si>
  <si>
    <t>LAUTARO</t>
  </si>
  <si>
    <t>MELIPEUCO</t>
  </si>
  <si>
    <t>PADRE LAS CASAS</t>
  </si>
  <si>
    <t>PERQUENCO</t>
  </si>
  <si>
    <t>PUCON</t>
  </si>
  <si>
    <t>SAAVEDRA</t>
  </si>
  <si>
    <t>TOLTEN</t>
  </si>
  <si>
    <t>VILCUN</t>
  </si>
  <si>
    <t>CHOLCHOL</t>
  </si>
  <si>
    <t>ANGOL</t>
  </si>
  <si>
    <t>CURACAUTIN</t>
  </si>
  <si>
    <t>ERCILLA</t>
  </si>
  <si>
    <t>LOS SAUCES</t>
  </si>
  <si>
    <t>LUMACO</t>
  </si>
  <si>
    <t>RENAICO</t>
  </si>
  <si>
    <t>VICTORIA</t>
  </si>
  <si>
    <t>NUEVA IMPERIAL</t>
  </si>
  <si>
    <t>GORBEA</t>
  </si>
  <si>
    <t>PUREN</t>
  </si>
  <si>
    <t>LONQUIMAY</t>
  </si>
  <si>
    <t>LONCOCHE</t>
  </si>
  <si>
    <t>VALDIVIA</t>
  </si>
  <si>
    <t>CORRAL</t>
  </si>
  <si>
    <t>LANCO</t>
  </si>
  <si>
    <t>MAFIL</t>
  </si>
  <si>
    <t>SAN JOSE DE LA MARIQUINA</t>
  </si>
  <si>
    <t>PAILLACO</t>
  </si>
  <si>
    <t>PANGUIPULLI</t>
  </si>
  <si>
    <t>LA UNION</t>
  </si>
  <si>
    <t>FUTRONO</t>
  </si>
  <si>
    <t>LAGO RANCO</t>
  </si>
  <si>
    <t>RIO BUENO</t>
  </si>
  <si>
    <t>CALBUCO</t>
  </si>
  <si>
    <t>PUERTO VARAS</t>
  </si>
  <si>
    <t>QUELLON</t>
  </si>
  <si>
    <t>QUINCHAO</t>
  </si>
  <si>
    <t>PURRANQUE</t>
  </si>
  <si>
    <t>RIO NEGRO</t>
  </si>
  <si>
    <t>FUTALEUFU</t>
  </si>
  <si>
    <t>PUERTO MONTT</t>
  </si>
  <si>
    <t>COCHAMO</t>
  </si>
  <si>
    <t>MAULLIN</t>
  </si>
  <si>
    <t>ANCUD</t>
  </si>
  <si>
    <t>PUQUELDON</t>
  </si>
  <si>
    <t>QUEILEN</t>
  </si>
  <si>
    <t>PUYEHUE</t>
  </si>
  <si>
    <t>SAN JUAN DE LA COSTA</t>
  </si>
  <si>
    <t>CHAITEN</t>
  </si>
  <si>
    <t>HUALAIHUE</t>
  </si>
  <si>
    <t>OSORNO</t>
  </si>
  <si>
    <t>SAN PABLO</t>
  </si>
  <si>
    <t>PUERTO OCTAY</t>
  </si>
  <si>
    <t>FRUTILLAR</t>
  </si>
  <si>
    <t>FRESIA</t>
  </si>
  <si>
    <t>LLANQUIHUE</t>
  </si>
  <si>
    <t>LOS MUERMOS</t>
  </si>
  <si>
    <t>CASTRO</t>
  </si>
  <si>
    <t>CHONCHI</t>
  </si>
  <si>
    <t>DALCAHUE</t>
  </si>
  <si>
    <t>CURACO DE VELEZ</t>
  </si>
  <si>
    <t>QUEMCHI</t>
  </si>
  <si>
    <t>PALENA</t>
  </si>
  <si>
    <t>COYHAIQUE</t>
  </si>
  <si>
    <t>LAGO VERDE</t>
  </si>
  <si>
    <t>PUERTO AYSEN</t>
  </si>
  <si>
    <t>CISNES</t>
  </si>
  <si>
    <t>GUAITECAS</t>
  </si>
  <si>
    <t>COCHRANE</t>
  </si>
  <si>
    <t>OHIGGINS</t>
  </si>
  <si>
    <t>TORTEL</t>
  </si>
  <si>
    <t>CHILE CHICO</t>
  </si>
  <si>
    <t>RIO IBAÑEZ</t>
  </si>
  <si>
    <t>PUNTA ARENAS</t>
  </si>
  <si>
    <t>LAGUNA BLANCA</t>
  </si>
  <si>
    <t>RIO VERDE</t>
  </si>
  <si>
    <t>SAN GREGORIO</t>
  </si>
  <si>
    <t>CABO DE HORNOS</t>
  </si>
  <si>
    <t>LA ANTARTICA</t>
  </si>
  <si>
    <t>PORVENIR</t>
  </si>
  <si>
    <t>PRIMAVERA</t>
  </si>
  <si>
    <t>TIMAUKEL</t>
  </si>
  <si>
    <t>NATALES</t>
  </si>
  <si>
    <t>TORRES DEL PAINE</t>
  </si>
  <si>
    <t>SANTIAGO</t>
  </si>
  <si>
    <t>CERRILLOS</t>
  </si>
  <si>
    <t>EL BOSQUE</t>
  </si>
  <si>
    <t>HUECHURABA</t>
  </si>
  <si>
    <t>INDEPENDENCIA</t>
  </si>
  <si>
    <t>LA CISTERNA</t>
  </si>
  <si>
    <t>LA PINTANA</t>
  </si>
  <si>
    <t>LAS CONDES</t>
  </si>
  <si>
    <t>LO BARNECHEA</t>
  </si>
  <si>
    <t>LO PRADO</t>
  </si>
  <si>
    <t>MACUL</t>
  </si>
  <si>
    <t>PEDRO AGUIRRE CERDA</t>
  </si>
  <si>
    <t>PEÑALOLEN</t>
  </si>
  <si>
    <t>QUINTA NORMAL</t>
  </si>
  <si>
    <t>RENCA</t>
  </si>
  <si>
    <t>SAN JOAQUIN</t>
  </si>
  <si>
    <t>PUENTE ALTO</t>
  </si>
  <si>
    <t>SAN JOSE DE MAIPO</t>
  </si>
  <si>
    <t>LAMPA</t>
  </si>
  <si>
    <t>TIL TIL</t>
  </si>
  <si>
    <t>BUIN</t>
  </si>
  <si>
    <t>CALERA DE TANGO</t>
  </si>
  <si>
    <t>ALHUE</t>
  </si>
  <si>
    <t>CURACAVI</t>
  </si>
  <si>
    <t>SAN PEDRO</t>
  </si>
  <si>
    <t>EL MONTE</t>
  </si>
  <si>
    <t>PADRE HURTADO</t>
  </si>
  <si>
    <t>PEÑAFLOR</t>
  </si>
  <si>
    <t>QUILICURA</t>
  </si>
  <si>
    <t>CERRO NAVIA</t>
  </si>
  <si>
    <t>CONCHALI</t>
  </si>
  <si>
    <t>RECOLETA</t>
  </si>
  <si>
    <t>COLINA</t>
  </si>
  <si>
    <t>SAN MIGUEL</t>
  </si>
  <si>
    <t>SAN RAMON</t>
  </si>
  <si>
    <t>LA GRANJA</t>
  </si>
  <si>
    <t>LO ESPEJO</t>
  </si>
  <si>
    <t>PIRQUE</t>
  </si>
  <si>
    <t>PAINE</t>
  </si>
  <si>
    <t>SAN BERNARDO</t>
  </si>
  <si>
    <t>ESTACION CENTRAL</t>
  </si>
  <si>
    <t>PUDAHUEL</t>
  </si>
  <si>
    <t>MAIPU</t>
  </si>
  <si>
    <t>TALAGANTE</t>
  </si>
  <si>
    <t>ISLA DE MAIPO</t>
  </si>
  <si>
    <t>MELIPILLA</t>
  </si>
  <si>
    <t>MARIA PINTO</t>
  </si>
  <si>
    <t>PROVIDENCIA</t>
  </si>
  <si>
    <t>VITACURA</t>
  </si>
  <si>
    <t>ÑUÑOA</t>
  </si>
  <si>
    <t>LA REINA</t>
  </si>
  <si>
    <t>LA FLORIDA</t>
  </si>
  <si>
    <t>Informe Estadístico Mensual del Pilar Solidario</t>
  </si>
  <si>
    <t>Mes</t>
  </si>
  <si>
    <t>Número de concesiones de Bono por Hijo, según tipo de pago y mes</t>
  </si>
  <si>
    <t>NÚMERO DE CONCESIONES DE BONO POR HIJO REALIZADAS CADA MES</t>
  </si>
  <si>
    <t>Pago Mensual Con PBS</t>
  </si>
  <si>
    <t>Pago Mensual Con APS</t>
  </si>
  <si>
    <t xml:space="preserve">Pago Único  </t>
  </si>
  <si>
    <t>Nº Beneficiarias</t>
  </si>
  <si>
    <t>Nº de Hijos</t>
  </si>
  <si>
    <t>Nº de Hijos (causantes)</t>
  </si>
  <si>
    <t>Ago-dic 2009</t>
  </si>
  <si>
    <t>Fuente: IPS</t>
  </si>
  <si>
    <t>Número de solicitudes y concesiones de Bono por Hijo, según mes</t>
  </si>
  <si>
    <t>Solicitudes y Concesiones de Bono por Hijo, por mes</t>
  </si>
  <si>
    <t>Número de Solicitudes Concedidas</t>
  </si>
  <si>
    <t>Número de Solicitudes Rechazadas</t>
  </si>
  <si>
    <t>Total Solicitudes</t>
  </si>
  <si>
    <t>S/I</t>
  </si>
  <si>
    <t>Total  2015</t>
  </si>
  <si>
    <t>Nota: Esta estadística reporta el dato del último mes disponible, no se actualizan los meses anteriores.</t>
  </si>
  <si>
    <t>S/I: Sin información</t>
  </si>
  <si>
    <t>Número de concesiones de Bono por Hijo según región y origen de la solicitud</t>
  </si>
  <si>
    <t>Región</t>
  </si>
  <si>
    <t>Internas</t>
  </si>
  <si>
    <t xml:space="preserve"> Externas</t>
  </si>
  <si>
    <t>Total</t>
  </si>
  <si>
    <t>PBS</t>
  </si>
  <si>
    <t>APS</t>
  </si>
  <si>
    <t>Arica y Parinacota</t>
  </si>
  <si>
    <t>Nº Beneficiarios</t>
  </si>
  <si>
    <t>XV</t>
  </si>
  <si>
    <t>Nº de Causantes (hijos)</t>
  </si>
  <si>
    <t>Tarapacá</t>
  </si>
  <si>
    <t>I</t>
  </si>
  <si>
    <t>Antofagasta</t>
  </si>
  <si>
    <t>II</t>
  </si>
  <si>
    <t>Atacama</t>
  </si>
  <si>
    <t>III</t>
  </si>
  <si>
    <t>Coquimbo</t>
  </si>
  <si>
    <t>IV</t>
  </si>
  <si>
    <t>Valparaíso</t>
  </si>
  <si>
    <t>V</t>
  </si>
  <si>
    <t>B.O'Higgins</t>
  </si>
  <si>
    <t>VI</t>
  </si>
  <si>
    <t>Maule</t>
  </si>
  <si>
    <t>VII</t>
  </si>
  <si>
    <t>Bío Bío</t>
  </si>
  <si>
    <t>VIII</t>
  </si>
  <si>
    <t>Araucanía</t>
  </si>
  <si>
    <t>IX</t>
  </si>
  <si>
    <t>Los Ríos</t>
  </si>
  <si>
    <t>XIV</t>
  </si>
  <si>
    <t>Los Lagos</t>
  </si>
  <si>
    <t>X</t>
  </si>
  <si>
    <t>Aysén</t>
  </si>
  <si>
    <t>XI</t>
  </si>
  <si>
    <t>Magallanes</t>
  </si>
  <si>
    <t>XII</t>
  </si>
  <si>
    <t>Metropolitana</t>
  </si>
  <si>
    <t>XIII</t>
  </si>
  <si>
    <t>Índice</t>
  </si>
  <si>
    <t>Número de solicitudes del Subsidio a la Contratación por parte del empleador, según sexo y mes</t>
  </si>
  <si>
    <t xml:space="preserve">MES </t>
  </si>
  <si>
    <t>TOTAL SOLICITUDES CADA MES 
(Subsidio a la Contratación)</t>
  </si>
  <si>
    <t>Total Trabajadores</t>
  </si>
  <si>
    <t xml:space="preserve">Total </t>
  </si>
  <si>
    <t>Mujeres</t>
  </si>
  <si>
    <t>Hombres</t>
  </si>
  <si>
    <t>Oct. a Dic. 2008</t>
  </si>
  <si>
    <t xml:space="preserve">Nota: El Subsidio a la Contratación comenzó a pagarse en marzo de 2009
Esta estadística reporta el dato del último mes disponible, no se actualizan los meses anteriores. </t>
  </si>
  <si>
    <t>Número de solicitudes de subsidio a la contratación, según estado de la solicitud y mes</t>
  </si>
  <si>
    <t>ESTADO DE LAS SOLICITUDES
 (Subsidio a la  Contratación)</t>
  </si>
  <si>
    <t>CONCEDIDAS</t>
  </si>
  <si>
    <t>RECHAZADAS</t>
  </si>
  <si>
    <t>EN TRÁMITE</t>
  </si>
  <si>
    <t>Ene. a Dic. 2012</t>
  </si>
  <si>
    <t>Ene. a Dic. 2013</t>
  </si>
  <si>
    <t>Ene. a Dic. 2014</t>
  </si>
  <si>
    <t>Total a Dic-15</t>
  </si>
  <si>
    <t>Total a Dic-16</t>
  </si>
  <si>
    <t>Total a Dic-17</t>
  </si>
  <si>
    <t>Número de solicitudes del Subsidio a la cotización según sexo y mes</t>
  </si>
  <si>
    <t>TOTAL SOLICITUDES CADA MES 
(Subsidio a la Cotización)</t>
  </si>
  <si>
    <t>Jul. a Dic. 2011</t>
  </si>
  <si>
    <t>Nota: A partir del 1 de julio de 2011 comenzó a pagarse el Subsidio a la Cotización.
Esta estadística reporta el dato del último mes disponible, no se actualizan los meses anteriores.</t>
  </si>
  <si>
    <t>Número mensual de solicitudes del subsidio a la cotización, según estado de las solicitudes, sexo y mes</t>
  </si>
  <si>
    <t>ESTADO DE LAS SOLICITUDES 
(Subsidio a la Cotización)</t>
  </si>
  <si>
    <t>Número de subsidios pagados según tipo de subsidio</t>
  </si>
  <si>
    <t>Subsidio a la Contratación</t>
  </si>
  <si>
    <t>Subsidio a la Cotización</t>
  </si>
  <si>
    <t xml:space="preserve">Número de subsidios pagados </t>
  </si>
  <si>
    <t>Número de empleadores que recibieron pago en el mes</t>
  </si>
  <si>
    <t xml:space="preserve">Número de trabajadores que recibieron pago en el mes  </t>
  </si>
  <si>
    <t xml:space="preserve">Hombre </t>
  </si>
  <si>
    <t>Mujer</t>
  </si>
  <si>
    <t>-</t>
  </si>
  <si>
    <t>jun-16*</t>
  </si>
  <si>
    <t>jun-17**</t>
  </si>
  <si>
    <t>Notas:</t>
  </si>
  <si>
    <t xml:space="preserve">A partir del 1 de julio de 2011 comenzó a solicitarse el subsidio a la Cotización. </t>
  </si>
  <si>
    <t xml:space="preserve">El número de subsidios pagados podría ser mayor que el número de trabajadores que originan el beneficio por cuanto algunos de ellos podrían tener más de un empleo con subsidio. Además incluye pagos retroactivos. </t>
  </si>
  <si>
    <t>S/I: Sin Información.</t>
  </si>
  <si>
    <t>A contar de esa fecha, es el propio Fondo de Salud, quien efectúa a través de Previred la recaudación de las cotizaciones de salud. Por este motivo, IPS no cuenta con la información del pago de salud efectuado a través de Previred, sólo dispone de la información de la recaudación manual y de otros portales de recaudación. En estos momentos se encuentra en tramitación un convenio de transferencia de datos con Fonasa que permita a IPS volver a operar con normalidad distintos procesos  como  el STJ.</t>
  </si>
  <si>
    <t xml:space="preserve">** En el mes de Junio 2017, el IPS cursó pagos retroactivos de Subsidios a la Contratación y Cotización.  Esto fue parte del  proceso de regularización de pagos que no se habían cursado por falta de información para otorgan el beneficio. </t>
  </si>
  <si>
    <t>Estadísticas del Sistema de Pensiones Solidarias</t>
  </si>
  <si>
    <t>Estadísticas del Subsidio Previsional a los Trabajadores Jóvenes (STJ)</t>
  </si>
  <si>
    <t>Estadísticas del Bono por Hijo (BxH)</t>
  </si>
  <si>
    <t>Estadísticas Bono por Hijo (BxH)</t>
  </si>
  <si>
    <t>Estadísticas Subsidio Previsional a los Trabajadores Jóvenes (STJ)</t>
  </si>
  <si>
    <t>Se entrega información de los subsidios a la contratación y a la cotización.</t>
  </si>
  <si>
    <t>Sistema de Pensiones Solidarias</t>
  </si>
  <si>
    <t>Volver Sistema de Pensiones Solidadias</t>
  </si>
  <si>
    <t>Volver a Bono por Hijo</t>
  </si>
  <si>
    <t>Volver Sistema de Pensiones Solidarias</t>
  </si>
  <si>
    <t>Volver a Subsidio Previsional a los Trabajadores Jóvenes</t>
  </si>
  <si>
    <t>Volver a Índice</t>
  </si>
  <si>
    <t>Subsecretaría de Previsión Social
Dirección de Estudios Previsionales</t>
  </si>
  <si>
    <r>
      <t>*</t>
    </r>
    <r>
      <rPr>
        <sz val="9"/>
        <color rgb="FF000000"/>
        <rFont val="Calibri"/>
        <family val="2"/>
        <scheme val="minor"/>
      </rPr>
      <t xml:space="preserve"> Con fecha febrero 2016 Fonasa puso término al convenio de recaudación que mantenía con IPS.</t>
    </r>
  </si>
  <si>
    <t>Número de beneficios concedidos mensuales en el Sistema de Pensiones Solidarias, según tipo de beneficio, sexo y origen de tramitación del beneficio</t>
  </si>
  <si>
    <t>abril'18</t>
  </si>
  <si>
    <t>Mayo'18</t>
  </si>
  <si>
    <t>mayo'18</t>
  </si>
  <si>
    <t>Junio'18</t>
  </si>
  <si>
    <t>junio'18</t>
  </si>
  <si>
    <t>Julio'18</t>
  </si>
  <si>
    <t>julio'18</t>
  </si>
  <si>
    <t>Agosto'18</t>
  </si>
  <si>
    <t>agosto'18</t>
  </si>
  <si>
    <t>Septiembre '18</t>
  </si>
  <si>
    <t>septiembre'18</t>
  </si>
  <si>
    <t xml:space="preserve">El número de pensiones concesionadas no coincide con el número de pensiones pagadas por las siguientes razones:
• El total acumulado de concesiones de la Reforma Previsional incluye personas fallecidas:
El número de personas fallecidas durante el mes de septiembre con PBS correspondió a 1.088.
El número aproximado de personas fallecidas con PBS durante el periodo jul-08 a sep-18 correspondió a 147.308. 
• Existen personas a quienes se les ha extinguido o suspendido el beneficio.
• El mes de concedida la pensión no necesariamente coincide con el primer mes de pago.
</t>
  </si>
  <si>
    <t>Número de Solicitudes de Beneficios del Pilar Solidario según tipo de beneficio - XVI Región de Ñuble</t>
  </si>
  <si>
    <t>Número de Concesiones de Beneficios del Pilar Solidario según tipo de beneficio - XVI Región de Ñuble</t>
  </si>
  <si>
    <t>Concesiones de Bono por Hijo a nivel nacional, por mes, desde Agosto 2009 a septiembre 2018</t>
  </si>
  <si>
    <t>Solicitudes, Rechazos y concesiones a nivel nacional, por mes, desde Agosto 2009 a septiembre 2018</t>
  </si>
  <si>
    <t>Concesiones de Bono por Hijo a nivel regional en el mes de septiembre de 2018</t>
  </si>
  <si>
    <t>Septiembre de 2018</t>
  </si>
  <si>
    <t>Cuota Única</t>
  </si>
  <si>
    <t>Ñuble</t>
  </si>
  <si>
    <t>XVI</t>
  </si>
  <si>
    <t>ÑUBLE</t>
  </si>
  <si>
    <t>Octubre '18</t>
  </si>
  <si>
    <t>Noviembre '18</t>
  </si>
  <si>
    <t>Total a nov-18</t>
  </si>
  <si>
    <t>octubre '18</t>
  </si>
  <si>
    <t>noviembre '18</t>
  </si>
  <si>
    <t>El presente archivo contiene los principales cuadros del Informe Estadístico Mensual del Pilar Solidario del mes de noviembre de 2018. 
Correspondiente a:</t>
  </si>
  <si>
    <t>El presente archivo contiene los principales cuadros sobre el Sistema de Pensiones Solidarias del Informe Estadístico Mensual del Pilar Solidario del mes de noviembre de 2018. 
Los cuadros entregan información de los beneficios solicitados y concedidos mensualmente a nivel nacional, desde julio de 2008 a noviembre de 2018, asi como también la información de las solicitudes y concesiones a nivel regional y comunal acumulado a noviembre de 2018.</t>
  </si>
  <si>
    <t>Este archivo contiene información al 26 de diciembre de 2018</t>
  </si>
  <si>
    <t>Julio de 2008 a noviembre 2018</t>
  </si>
  <si>
    <t>Solicitudes recibidas en el Sistema de Pensiones Solidarias, según mes, desde julio 2008 a noviembre 2018</t>
  </si>
  <si>
    <t>Concesiones en el Sistema de Pensiones Solidarias, por mes, desde julio 2008 a noviembre 2018</t>
  </si>
  <si>
    <t>Solicitudes recibidas en el Sistema de Pensiones Solidarias acumuladas desde julio 2008 a noviembre 2018, según región</t>
  </si>
  <si>
    <t>Concesiones en el Sistema de Pensiones Solidarias acumuladas desde julio 2008 a noviembre 2018, según región</t>
  </si>
  <si>
    <t>Solicitudes y Concesiones en el Sistema de Pensiones Solidarias acumulado a noviembre 2018 por región y comuna:</t>
  </si>
  <si>
    <t>A continuación se entregan los principales cuadros sobre Bono por Hijo que contiene el Informe Estadístico Mensual del Pilar Solidario del mes de noviembre de 2018, incluyendo información de Solicitudes, Concesiones y Rechazos de Bono por hijo a nivel nacional, desde su implementación a la fecha, y las concesiones a nivel regional.</t>
  </si>
  <si>
    <t>A nov-18</t>
  </si>
  <si>
    <t>A continuación se entregan los principales cuadros sobre el Subsidio Previsional a los Trabajadores Jóvenes del Informe Estadístico Mensual del Pilar Solidario a noviembre de 2018</t>
  </si>
  <si>
    <t>Solicitudes del Subsidio a la Contratación por parte del empleador, por mes, desde Octubre 2008 a noviembre 2018</t>
  </si>
  <si>
    <t>Solicitudes de subsidio a la contratación, según estado de la solicitud, por mes, desde enero 2012 a noviembre 2018</t>
  </si>
  <si>
    <t>Solicitudes del Subsidio a la cotización según sexo, por mes, julio 2011 a noviembre 2018</t>
  </si>
  <si>
    <t>Solicitudes del subsidio a la cotización, según estado de las solicitudes, sexo, por mes, desde julio 2011 a noviembre 2018</t>
  </si>
  <si>
    <t>Subsidios pagados según tipo de subsidio, por mes, desde abril 2009 a noviembre 2018</t>
  </si>
  <si>
    <t>Marzo 2009 a noviembre 2018</t>
  </si>
  <si>
    <t>Julio de 2011 a noviembre de 2018</t>
  </si>
  <si>
    <t>Enero de 2012 a noviembre de 2018</t>
  </si>
  <si>
    <t>Octubre de 2008 a noviembre 2018</t>
  </si>
  <si>
    <t>Noviembre de 2018</t>
  </si>
  <si>
    <t>Agosto 2009 a Noviembre 2018</t>
  </si>
  <si>
    <t>Agosto 2009 a noviembre 2018</t>
  </si>
  <si>
    <t>Acumuladas de julio de 2008 a noviembre de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</si>
</sst>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 #,##0_-;\-* #,##0_-;_-* &quot;-&quot;??_-;_-@_-"/>
    <numFmt numFmtId="166" formatCode="0.0%"/>
  </numFmts>
  <fonts count="37" x14ac:knownFonts="1">
    <font>
      <sz val="11"/>
      <color theme="1"/>
      <name val="Calibri"/>
      <family val="2"/>
      <scheme val="minor"/>
    </font>
    <font>
      <sz val="11"/>
      <color theme="1"/>
      <name val="Calibri"/>
      <family val="2"/>
      <scheme val="minor"/>
    </font>
    <font>
      <sz val="11"/>
      <color theme="0"/>
      <name val="Calibri"/>
      <family val="2"/>
      <scheme val="minor"/>
    </font>
    <font>
      <b/>
      <sz val="9"/>
      <color theme="0"/>
      <name val="Calibri"/>
      <family val="2"/>
      <scheme val="minor"/>
    </font>
    <font>
      <sz val="9"/>
      <color theme="0"/>
      <name val="Calibri"/>
      <family val="2"/>
      <scheme val="minor"/>
    </font>
    <font>
      <b/>
      <sz val="9"/>
      <name val="Calibri"/>
      <family val="2"/>
      <scheme val="minor"/>
    </font>
    <font>
      <sz val="9"/>
      <name val="Calibri"/>
      <family val="2"/>
      <scheme val="minor"/>
    </font>
    <font>
      <b/>
      <sz val="9"/>
      <color theme="1"/>
      <name val="Calibri"/>
      <family val="2"/>
      <scheme val="minor"/>
    </font>
    <font>
      <sz val="9"/>
      <color theme="1"/>
      <name val="Calibri"/>
      <family val="2"/>
      <scheme val="minor"/>
    </font>
    <font>
      <sz val="10"/>
      <name val="Arial"/>
      <family val="2"/>
    </font>
    <font>
      <u/>
      <sz val="11"/>
      <color theme="10"/>
      <name val="Calibri"/>
      <family val="2"/>
    </font>
    <font>
      <sz val="9"/>
      <color indexed="8"/>
      <name val="Calibri"/>
      <family val="2"/>
      <scheme val="minor"/>
    </font>
    <font>
      <b/>
      <sz val="9"/>
      <color indexed="8"/>
      <name val="Calibri"/>
      <family val="2"/>
      <scheme val="minor"/>
    </font>
    <font>
      <u/>
      <sz val="9"/>
      <color theme="10"/>
      <name val="Calibri"/>
      <family val="2"/>
      <scheme val="minor"/>
    </font>
    <font>
      <b/>
      <sz val="9"/>
      <color theme="3"/>
      <name val="Calibri"/>
      <family val="2"/>
      <scheme val="minor"/>
    </font>
    <font>
      <b/>
      <u/>
      <sz val="9"/>
      <color indexed="8"/>
      <name val="Calibri"/>
      <family val="2"/>
      <scheme val="minor"/>
    </font>
    <font>
      <b/>
      <sz val="10"/>
      <color theme="1"/>
      <name val="Calibri"/>
      <family val="2"/>
      <scheme val="minor"/>
    </font>
    <font>
      <b/>
      <sz val="9"/>
      <color rgb="FFFFFFFF"/>
      <name val="Calibri"/>
      <family val="2"/>
      <scheme val="minor"/>
    </font>
    <font>
      <b/>
      <sz val="9"/>
      <color rgb="FF000000"/>
      <name val="Calibri"/>
      <family val="2"/>
      <scheme val="minor"/>
    </font>
    <font>
      <sz val="9"/>
      <color rgb="FF000000"/>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u/>
      <sz val="10"/>
      <color theme="10"/>
      <name val="Calibri"/>
      <family val="2"/>
    </font>
    <font>
      <b/>
      <sz val="10"/>
      <color indexed="8"/>
      <name val="Calibri"/>
      <family val="2"/>
      <scheme val="minor"/>
    </font>
    <font>
      <b/>
      <u/>
      <sz val="9"/>
      <color theme="10"/>
      <name val="Calibri"/>
      <family val="2"/>
    </font>
    <font>
      <b/>
      <u/>
      <sz val="10"/>
      <color theme="10"/>
      <name val="Calibri"/>
      <family val="2"/>
    </font>
    <font>
      <b/>
      <u/>
      <sz val="9"/>
      <color indexed="30"/>
      <name val="Calibri"/>
      <family val="2"/>
    </font>
    <font>
      <b/>
      <u/>
      <sz val="10"/>
      <color theme="10"/>
      <name val="Calibri"/>
      <family val="2"/>
      <scheme val="minor"/>
    </font>
    <font>
      <sz val="9"/>
      <color rgb="FF000000"/>
      <name val="Calibri"/>
      <family val="2"/>
    </font>
    <font>
      <sz val="8"/>
      <name val="Arial"/>
      <family val="2"/>
    </font>
    <font>
      <b/>
      <sz val="9"/>
      <color rgb="FF000000"/>
      <name val="Calibri"/>
      <family val="2"/>
    </font>
    <font>
      <b/>
      <sz val="8"/>
      <name val="Arial"/>
      <family val="2"/>
    </font>
    <font>
      <b/>
      <sz val="8"/>
      <color rgb="FF000000"/>
      <name val="Calibri"/>
      <family val="2"/>
    </font>
    <font>
      <sz val="8"/>
      <color rgb="FF000000"/>
      <name val="Calibri"/>
      <family val="2"/>
    </font>
    <font>
      <sz val="9"/>
      <name val="Arial"/>
      <family val="2"/>
    </font>
  </fonts>
  <fills count="15">
    <fill>
      <patternFill patternType="none"/>
    </fill>
    <fill>
      <patternFill patternType="gray125"/>
    </fill>
    <fill>
      <patternFill patternType="solid">
        <fgColor theme="4"/>
      </patternFill>
    </fill>
    <fill>
      <patternFill patternType="solid">
        <fgColor theme="0" tint="-0.14999847407452621"/>
        <bgColor indexed="64"/>
      </patternFill>
    </fill>
    <fill>
      <patternFill patternType="solid">
        <fgColor theme="0"/>
        <bgColor indexed="64"/>
      </patternFill>
    </fill>
    <fill>
      <patternFill patternType="solid">
        <fgColor rgb="FFC0504D"/>
        <bgColor indexed="64"/>
      </patternFill>
    </fill>
    <fill>
      <patternFill patternType="solid">
        <fgColor indexed="9"/>
        <bgColor indexed="64"/>
      </patternFill>
    </fill>
    <fill>
      <patternFill patternType="solid">
        <fgColor rgb="FFD9D9D9"/>
        <bgColor indexed="64"/>
      </patternFill>
    </fill>
    <fill>
      <patternFill patternType="solid">
        <fgColor rgb="FFFFFFF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E6B8B7"/>
        <bgColor indexed="64"/>
      </patternFill>
    </fill>
    <fill>
      <patternFill patternType="solid">
        <fgColor theme="4"/>
        <bgColor indexed="64"/>
      </patternFill>
    </fill>
    <fill>
      <patternFill patternType="solid">
        <fgColor theme="2" tint="-9.9978637043366805E-2"/>
        <bgColor indexed="64"/>
      </patternFill>
    </fill>
  </fills>
  <borders count="8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double">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double">
        <color indexed="64"/>
      </left>
      <right style="thin">
        <color indexed="64"/>
      </right>
      <top style="medium">
        <color indexed="64"/>
      </top>
      <bottom/>
      <diagonal/>
    </border>
    <border>
      <left style="thin">
        <color indexed="64"/>
      </left>
      <right style="double">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uble">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bottom style="medium">
        <color indexed="64"/>
      </bottom>
      <diagonal/>
    </border>
    <border>
      <left/>
      <right/>
      <top style="thin">
        <color indexed="64"/>
      </top>
      <bottom/>
      <diagonal/>
    </border>
    <border>
      <left/>
      <right/>
      <top/>
      <bottom style="thin">
        <color indexed="64"/>
      </bottom>
      <diagonal/>
    </border>
    <border>
      <left style="thin">
        <color indexed="64"/>
      </left>
      <right style="double">
        <color indexed="64"/>
      </right>
      <top style="thin">
        <color indexed="64"/>
      </top>
      <bottom/>
      <diagonal/>
    </border>
    <border>
      <left style="double">
        <color indexed="64"/>
      </left>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9" fillId="0" borderId="0"/>
    <xf numFmtId="164" fontId="9" fillId="0" borderId="0" applyFont="0" applyFill="0" applyBorder="0" applyAlignment="0" applyProtection="0"/>
    <xf numFmtId="0" fontId="10" fillId="0" borderId="0" applyNumberFormat="0" applyFill="0" applyBorder="0" applyAlignment="0" applyProtection="0">
      <alignment vertical="top"/>
      <protection locked="0"/>
    </xf>
    <xf numFmtId="9" fontId="9" fillId="0" borderId="0" applyFont="0" applyFill="0" applyBorder="0" applyAlignment="0" applyProtection="0"/>
    <xf numFmtId="0" fontId="20" fillId="0" borderId="0" applyNumberFormat="0" applyFill="0" applyBorder="0" applyAlignment="0" applyProtection="0"/>
    <xf numFmtId="0" fontId="9" fillId="0" borderId="0"/>
    <xf numFmtId="0" fontId="9" fillId="0" borderId="0"/>
  </cellStyleXfs>
  <cellXfs count="515">
    <xf numFmtId="0" fontId="0" fillId="0" borderId="0" xfId="0"/>
    <xf numFmtId="165" fontId="5" fillId="3" borderId="14" xfId="3" applyNumberFormat="1" applyFont="1" applyFill="1" applyBorder="1" applyAlignment="1">
      <alignment horizontal="left" vertical="center" wrapText="1"/>
    </xf>
    <xf numFmtId="165" fontId="5" fillId="3" borderId="10" xfId="3" applyNumberFormat="1" applyFont="1" applyFill="1" applyBorder="1" applyAlignment="1">
      <alignment horizontal="center" vertical="center"/>
    </xf>
    <xf numFmtId="165" fontId="6" fillId="3" borderId="12" xfId="3" applyNumberFormat="1" applyFont="1" applyFill="1" applyBorder="1" applyAlignment="1">
      <alignment horizontal="center" vertical="center"/>
    </xf>
    <xf numFmtId="165" fontId="7" fillId="3" borderId="14" xfId="3" applyNumberFormat="1" applyFont="1" applyFill="1" applyBorder="1" applyAlignment="1">
      <alignment horizontal="left" vertical="center" wrapText="1"/>
    </xf>
    <xf numFmtId="165" fontId="8" fillId="3" borderId="9" xfId="1" applyNumberFormat="1" applyFont="1" applyFill="1" applyBorder="1"/>
    <xf numFmtId="165" fontId="7" fillId="3" borderId="9" xfId="1" applyNumberFormat="1" applyFont="1" applyFill="1" applyBorder="1"/>
    <xf numFmtId="165" fontId="8" fillId="3" borderId="13" xfId="1" applyNumberFormat="1" applyFont="1" applyFill="1" applyBorder="1"/>
    <xf numFmtId="165" fontId="8" fillId="3" borderId="15" xfId="1" applyNumberFormat="1" applyFont="1" applyFill="1" applyBorder="1"/>
    <xf numFmtId="165" fontId="5" fillId="3" borderId="14" xfId="3" applyNumberFormat="1" applyFont="1" applyFill="1" applyBorder="1" applyAlignment="1">
      <alignment vertical="center" wrapText="1"/>
    </xf>
    <xf numFmtId="165" fontId="6" fillId="0" borderId="19" xfId="3" applyNumberFormat="1" applyFont="1" applyFill="1" applyBorder="1" applyAlignment="1">
      <alignment vertical="center" wrapText="1"/>
    </xf>
    <xf numFmtId="165" fontId="8" fillId="0" borderId="9" xfId="1" applyNumberFormat="1" applyFont="1" applyFill="1" applyBorder="1"/>
    <xf numFmtId="165" fontId="8" fillId="0" borderId="10" xfId="1" applyNumberFormat="1" applyFont="1" applyFill="1" applyBorder="1"/>
    <xf numFmtId="165" fontId="8" fillId="0" borderId="10" xfId="1" applyNumberFormat="1" applyFont="1" applyBorder="1"/>
    <xf numFmtId="165" fontId="8" fillId="0" borderId="9" xfId="1" applyNumberFormat="1" applyFont="1" applyBorder="1"/>
    <xf numFmtId="165" fontId="8" fillId="0" borderId="15" xfId="1" applyNumberFormat="1" applyFont="1" applyBorder="1"/>
    <xf numFmtId="165" fontId="8" fillId="0" borderId="13" xfId="1" applyNumberFormat="1" applyFont="1" applyBorder="1"/>
    <xf numFmtId="165" fontId="6" fillId="0" borderId="14" xfId="3" applyNumberFormat="1" applyFont="1" applyFill="1" applyBorder="1" applyAlignment="1">
      <alignment vertical="center" wrapText="1"/>
    </xf>
    <xf numFmtId="165" fontId="6" fillId="4" borderId="14" xfId="3" applyNumberFormat="1" applyFont="1" applyFill="1" applyBorder="1" applyAlignment="1">
      <alignment vertical="center" wrapText="1"/>
    </xf>
    <xf numFmtId="165" fontId="6" fillId="3" borderId="14" xfId="3" applyNumberFormat="1" applyFont="1" applyFill="1" applyBorder="1" applyAlignment="1">
      <alignment vertical="center" wrapText="1"/>
    </xf>
    <xf numFmtId="165" fontId="8" fillId="3" borderId="10" xfId="1" applyNumberFormat="1" applyFont="1" applyFill="1" applyBorder="1"/>
    <xf numFmtId="165" fontId="5" fillId="0" borderId="22" xfId="3" applyNumberFormat="1" applyFont="1" applyFill="1" applyBorder="1" applyAlignment="1">
      <alignment vertical="center" wrapText="1"/>
    </xf>
    <xf numFmtId="165" fontId="4" fillId="5" borderId="9" xfId="3" applyNumberFormat="1" applyFont="1" applyFill="1" applyBorder="1" applyAlignment="1">
      <alignment horizontal="center" vertical="center"/>
    </xf>
    <xf numFmtId="165" fontId="4" fillId="5" borderId="10" xfId="3" applyNumberFormat="1" applyFont="1" applyFill="1" applyBorder="1" applyAlignment="1">
      <alignment horizontal="center" vertical="center"/>
    </xf>
    <xf numFmtId="165" fontId="3" fillId="5" borderId="10" xfId="3" applyNumberFormat="1" applyFont="1" applyFill="1" applyBorder="1" applyAlignment="1">
      <alignment horizontal="center" vertical="center" wrapText="1"/>
    </xf>
    <xf numFmtId="165" fontId="4" fillId="5" borderId="10" xfId="3" applyNumberFormat="1" applyFont="1" applyFill="1" applyBorder="1" applyAlignment="1">
      <alignment horizontal="center" vertical="center" wrapText="1"/>
    </xf>
    <xf numFmtId="0" fontId="3" fillId="5" borderId="11" xfId="3" applyNumberFormat="1" applyFont="1" applyFill="1" applyBorder="1" applyAlignment="1">
      <alignment horizontal="center" vertical="center" wrapText="1"/>
    </xf>
    <xf numFmtId="165" fontId="3" fillId="5" borderId="9" xfId="3" applyNumberFormat="1" applyFont="1" applyFill="1" applyBorder="1" applyAlignment="1">
      <alignment horizontal="center" vertical="center" wrapText="1"/>
    </xf>
    <xf numFmtId="165" fontId="3" fillId="5" borderId="12" xfId="3" applyNumberFormat="1" applyFont="1" applyFill="1" applyBorder="1" applyAlignment="1">
      <alignment horizontal="center" vertical="center" wrapText="1"/>
    </xf>
    <xf numFmtId="0" fontId="3" fillId="5" borderId="13" xfId="3" applyNumberFormat="1" applyFont="1" applyFill="1" applyBorder="1" applyAlignment="1">
      <alignment horizontal="center" vertical="center" wrapText="1"/>
    </xf>
    <xf numFmtId="0" fontId="3" fillId="5" borderId="10" xfId="3" applyNumberFormat="1" applyFont="1" applyFill="1" applyBorder="1" applyAlignment="1">
      <alignment horizontal="center" vertical="center" wrapText="1"/>
    </xf>
    <xf numFmtId="0" fontId="3" fillId="5" borderId="12" xfId="3" applyNumberFormat="1" applyFont="1" applyFill="1" applyBorder="1" applyAlignment="1">
      <alignment horizontal="center" vertical="center" wrapText="1"/>
    </xf>
    <xf numFmtId="165" fontId="5" fillId="3" borderId="19" xfId="3" applyNumberFormat="1" applyFont="1" applyFill="1" applyBorder="1" applyAlignment="1">
      <alignment horizontal="left" vertical="center" wrapText="1"/>
    </xf>
    <xf numFmtId="165" fontId="8" fillId="3" borderId="28" xfId="1" applyNumberFormat="1" applyFont="1" applyFill="1" applyBorder="1"/>
    <xf numFmtId="165" fontId="8" fillId="3" borderId="29" xfId="1" applyNumberFormat="1" applyFont="1" applyFill="1" applyBorder="1"/>
    <xf numFmtId="165" fontId="5" fillId="3" borderId="29" xfId="3" applyNumberFormat="1" applyFont="1" applyFill="1" applyBorder="1" applyAlignment="1">
      <alignment horizontal="center" vertical="center"/>
    </xf>
    <xf numFmtId="165" fontId="5" fillId="3" borderId="30" xfId="3" applyNumberFormat="1" applyFont="1" applyFill="1" applyBorder="1" applyAlignment="1">
      <alignment horizontal="center" vertical="center"/>
    </xf>
    <xf numFmtId="165" fontId="5" fillId="3" borderId="31" xfId="1" applyNumberFormat="1" applyFont="1" applyFill="1" applyBorder="1" applyAlignment="1">
      <alignment vertical="center" wrapText="1"/>
    </xf>
    <xf numFmtId="165" fontId="6" fillId="3" borderId="32" xfId="3" applyNumberFormat="1" applyFont="1" applyFill="1" applyBorder="1" applyAlignment="1">
      <alignment horizontal="center" vertical="center"/>
    </xf>
    <xf numFmtId="165" fontId="8" fillId="3" borderId="21" xfId="1" applyNumberFormat="1" applyFont="1" applyFill="1" applyBorder="1"/>
    <xf numFmtId="165" fontId="8" fillId="3" borderId="33" xfId="1" applyNumberFormat="1" applyFont="1" applyFill="1" applyBorder="1"/>
    <xf numFmtId="165" fontId="8" fillId="3" borderId="34" xfId="1" applyNumberFormat="1" applyFont="1" applyFill="1" applyBorder="1"/>
    <xf numFmtId="165" fontId="5" fillId="3" borderId="35" xfId="3" applyNumberFormat="1" applyFont="1" applyFill="1" applyBorder="1" applyAlignment="1">
      <alignment horizontal="center" vertical="center"/>
    </xf>
    <xf numFmtId="165" fontId="5" fillId="3" borderId="20" xfId="1" applyNumberFormat="1" applyFont="1" applyFill="1" applyBorder="1" applyAlignment="1">
      <alignment vertical="center" wrapText="1"/>
    </xf>
    <xf numFmtId="165" fontId="8" fillId="3" borderId="12" xfId="1" applyNumberFormat="1" applyFont="1" applyFill="1" applyBorder="1"/>
    <xf numFmtId="165" fontId="8" fillId="3" borderId="16" xfId="1" applyNumberFormat="1" applyFont="1" applyFill="1" applyBorder="1"/>
    <xf numFmtId="165" fontId="8" fillId="3" borderId="17" xfId="1" applyNumberFormat="1" applyFont="1" applyFill="1" applyBorder="1"/>
    <xf numFmtId="165" fontId="8" fillId="3" borderId="36" xfId="1" applyNumberFormat="1" applyFont="1" applyFill="1" applyBorder="1"/>
    <xf numFmtId="165" fontId="6" fillId="4" borderId="19" xfId="3" applyNumberFormat="1" applyFont="1" applyFill="1" applyBorder="1" applyAlignment="1">
      <alignment vertical="center" wrapText="1"/>
    </xf>
    <xf numFmtId="165" fontId="8" fillId="0" borderId="28" xfId="1" applyNumberFormat="1" applyFont="1" applyFill="1" applyBorder="1"/>
    <xf numFmtId="165" fontId="8" fillId="0" borderId="29" xfId="1" applyNumberFormat="1" applyFont="1" applyFill="1" applyBorder="1"/>
    <xf numFmtId="165" fontId="5" fillId="4" borderId="29" xfId="3" applyNumberFormat="1" applyFont="1" applyFill="1" applyBorder="1" applyAlignment="1">
      <alignment horizontal="center" vertical="center"/>
    </xf>
    <xf numFmtId="165" fontId="8" fillId="0" borderId="29" xfId="1" applyNumberFormat="1" applyFont="1" applyBorder="1"/>
    <xf numFmtId="165" fontId="5" fillId="4" borderId="30" xfId="3" applyNumberFormat="1" applyFont="1" applyFill="1" applyBorder="1" applyAlignment="1">
      <alignment horizontal="center" vertical="center"/>
    </xf>
    <xf numFmtId="165" fontId="5" fillId="4" borderId="31" xfId="1" applyNumberFormat="1" applyFont="1" applyFill="1" applyBorder="1" applyAlignment="1">
      <alignment vertical="center" wrapText="1"/>
    </xf>
    <xf numFmtId="165" fontId="8" fillId="0" borderId="28" xfId="1" applyNumberFormat="1" applyFont="1" applyBorder="1"/>
    <xf numFmtId="165" fontId="8" fillId="0" borderId="32" xfId="1" applyNumberFormat="1" applyFont="1" applyBorder="1"/>
    <xf numFmtId="165" fontId="5" fillId="4" borderId="10" xfId="3" applyNumberFormat="1" applyFont="1" applyFill="1" applyBorder="1" applyAlignment="1">
      <alignment horizontal="center" vertical="center"/>
    </xf>
    <xf numFmtId="165" fontId="5" fillId="4" borderId="35" xfId="3" applyNumberFormat="1" applyFont="1" applyFill="1" applyBorder="1" applyAlignment="1">
      <alignment horizontal="center" vertical="center"/>
    </xf>
    <xf numFmtId="165" fontId="5" fillId="4" borderId="20" xfId="1" applyNumberFormat="1" applyFont="1" applyFill="1" applyBorder="1" applyAlignment="1">
      <alignment vertical="center" wrapText="1"/>
    </xf>
    <xf numFmtId="165" fontId="8" fillId="0" borderId="12" xfId="1" applyNumberFormat="1" applyFont="1" applyBorder="1"/>
    <xf numFmtId="165" fontId="6" fillId="4" borderId="8" xfId="3" applyNumberFormat="1" applyFont="1" applyFill="1" applyBorder="1" applyAlignment="1">
      <alignment vertical="center" wrapText="1"/>
    </xf>
    <xf numFmtId="165" fontId="8" fillId="0" borderId="21" xfId="1" applyNumberFormat="1" applyFont="1" applyFill="1" applyBorder="1"/>
    <xf numFmtId="165" fontId="5" fillId="4" borderId="21" xfId="3" applyNumberFormat="1" applyFont="1" applyFill="1" applyBorder="1" applyAlignment="1">
      <alignment horizontal="center" vertical="center"/>
    </xf>
    <xf numFmtId="165" fontId="7" fillId="3" borderId="10" xfId="1" applyNumberFormat="1" applyFont="1" applyFill="1" applyBorder="1"/>
    <xf numFmtId="165" fontId="7" fillId="3" borderId="12" xfId="1" applyNumberFormat="1" applyFont="1" applyFill="1" applyBorder="1"/>
    <xf numFmtId="165" fontId="5" fillId="4" borderId="20" xfId="3" applyNumberFormat="1" applyFont="1" applyFill="1" applyBorder="1" applyAlignment="1">
      <alignment horizontal="center" vertical="center"/>
    </xf>
    <xf numFmtId="165" fontId="5" fillId="4" borderId="14" xfId="3" applyNumberFormat="1" applyFont="1" applyFill="1" applyBorder="1" applyAlignment="1">
      <alignment vertical="center" wrapText="1"/>
    </xf>
    <xf numFmtId="165" fontId="7" fillId="0" borderId="9" xfId="1" applyNumberFormat="1" applyFont="1" applyFill="1" applyBorder="1"/>
    <xf numFmtId="165" fontId="7" fillId="0" borderId="10" xfId="1" applyNumberFormat="1" applyFont="1" applyFill="1" applyBorder="1"/>
    <xf numFmtId="165" fontId="7" fillId="0" borderId="10" xfId="1" applyNumberFormat="1" applyFont="1" applyBorder="1"/>
    <xf numFmtId="165" fontId="7" fillId="0" borderId="9" xfId="1" applyNumberFormat="1" applyFont="1" applyBorder="1"/>
    <xf numFmtId="165" fontId="4" fillId="5" borderId="23" xfId="3" applyNumberFormat="1" applyFont="1" applyFill="1" applyBorder="1" applyAlignment="1">
      <alignment horizontal="center" vertical="center"/>
    </xf>
    <xf numFmtId="165" fontId="4" fillId="5" borderId="24" xfId="3" applyNumberFormat="1" applyFont="1" applyFill="1" applyBorder="1" applyAlignment="1">
      <alignment horizontal="center" vertical="center"/>
    </xf>
    <xf numFmtId="165" fontId="3" fillId="5" borderId="24" xfId="3" applyNumberFormat="1" applyFont="1" applyFill="1" applyBorder="1" applyAlignment="1">
      <alignment horizontal="center" vertical="center"/>
    </xf>
    <xf numFmtId="165" fontId="3" fillId="5" borderId="25" xfId="3" applyNumberFormat="1" applyFont="1" applyFill="1" applyBorder="1" applyAlignment="1">
      <alignment horizontal="center" vertical="center"/>
    </xf>
    <xf numFmtId="0" fontId="3" fillId="5" borderId="26" xfId="3" applyNumberFormat="1" applyFont="1" applyFill="1" applyBorder="1" applyAlignment="1">
      <alignment horizontal="center" vertical="center" wrapText="1"/>
    </xf>
    <xf numFmtId="165" fontId="3" fillId="5" borderId="23" xfId="3" applyNumberFormat="1" applyFont="1" applyFill="1" applyBorder="1" applyAlignment="1">
      <alignment horizontal="center" vertical="center" wrapText="1"/>
    </xf>
    <xf numFmtId="165" fontId="3" fillId="5" borderId="27" xfId="3" applyNumberFormat="1" applyFont="1" applyFill="1" applyBorder="1" applyAlignment="1">
      <alignment horizontal="center" vertical="center" wrapText="1"/>
    </xf>
    <xf numFmtId="0" fontId="3" fillId="5" borderId="23" xfId="3" applyNumberFormat="1" applyFont="1" applyFill="1" applyBorder="1" applyAlignment="1">
      <alignment horizontal="center" vertical="center" wrapText="1"/>
    </xf>
    <xf numFmtId="0" fontId="3" fillId="5" borderId="24" xfId="3" applyNumberFormat="1" applyFont="1" applyFill="1" applyBorder="1" applyAlignment="1">
      <alignment horizontal="center" vertical="center" wrapText="1"/>
    </xf>
    <xf numFmtId="0" fontId="3" fillId="5" borderId="27" xfId="3" applyNumberFormat="1" applyFont="1" applyFill="1" applyBorder="1" applyAlignment="1">
      <alignment horizontal="center" vertical="center" wrapText="1"/>
    </xf>
    <xf numFmtId="165" fontId="5" fillId="0" borderId="43" xfId="3" applyNumberFormat="1" applyFont="1" applyFill="1" applyBorder="1" applyAlignment="1">
      <alignment vertical="center" wrapText="1"/>
    </xf>
    <xf numFmtId="165" fontId="6" fillId="0" borderId="44" xfId="3" applyNumberFormat="1" applyFont="1" applyFill="1" applyBorder="1" applyAlignment="1">
      <alignment vertical="center" wrapText="1"/>
    </xf>
    <xf numFmtId="165" fontId="6" fillId="0" borderId="29" xfId="3" applyNumberFormat="1" applyFont="1" applyFill="1" applyBorder="1" applyAlignment="1">
      <alignment vertical="center" wrapText="1"/>
    </xf>
    <xf numFmtId="165" fontId="6" fillId="0" borderId="30" xfId="3" applyNumberFormat="1" applyFont="1" applyFill="1" applyBorder="1" applyAlignment="1">
      <alignment vertical="center" wrapText="1"/>
    </xf>
    <xf numFmtId="165" fontId="6" fillId="0" borderId="45" xfId="3" applyNumberFormat="1" applyFont="1" applyFill="1" applyBorder="1" applyAlignment="1">
      <alignment vertical="center" wrapText="1"/>
    </xf>
    <xf numFmtId="166" fontId="6" fillId="0" borderId="46" xfId="2" applyNumberFormat="1" applyFont="1" applyFill="1" applyBorder="1"/>
    <xf numFmtId="165" fontId="6" fillId="0" borderId="9" xfId="3" applyNumberFormat="1" applyFont="1" applyFill="1" applyBorder="1" applyAlignment="1">
      <alignment vertical="center" wrapText="1"/>
    </xf>
    <xf numFmtId="165" fontId="6" fillId="0" borderId="47" xfId="3" applyNumberFormat="1" applyFont="1" applyFill="1" applyBorder="1" applyAlignment="1">
      <alignment vertical="center" wrapText="1"/>
    </xf>
    <xf numFmtId="165" fontId="6" fillId="0" borderId="48" xfId="3" applyNumberFormat="1" applyFont="1" applyFill="1" applyBorder="1" applyAlignment="1">
      <alignment vertical="center" wrapText="1"/>
    </xf>
    <xf numFmtId="165" fontId="6" fillId="0" borderId="49" xfId="3" applyNumberFormat="1" applyFont="1" applyFill="1" applyBorder="1" applyAlignment="1">
      <alignment vertical="center" wrapText="1"/>
    </xf>
    <xf numFmtId="165" fontId="6" fillId="0" borderId="50" xfId="3" applyNumberFormat="1" applyFont="1" applyFill="1" applyBorder="1" applyAlignment="1">
      <alignment vertical="center" wrapText="1"/>
    </xf>
    <xf numFmtId="165" fontId="6" fillId="0" borderId="13" xfId="3" applyNumberFormat="1" applyFont="1" applyFill="1" applyBorder="1" applyAlignment="1">
      <alignment vertical="center" wrapText="1"/>
    </xf>
    <xf numFmtId="165" fontId="6" fillId="0" borderId="10" xfId="3" applyNumberFormat="1" applyFont="1" applyFill="1" applyBorder="1" applyAlignment="1">
      <alignment vertical="center" wrapText="1"/>
    </xf>
    <xf numFmtId="165" fontId="6" fillId="0" borderId="35" xfId="3" applyNumberFormat="1" applyFont="1" applyFill="1" applyBorder="1" applyAlignment="1">
      <alignment vertical="center" wrapText="1"/>
    </xf>
    <xf numFmtId="165" fontId="6" fillId="0" borderId="51" xfId="3" applyNumberFormat="1" applyFont="1" applyFill="1" applyBorder="1" applyAlignment="1">
      <alignment vertical="center" wrapText="1"/>
    </xf>
    <xf numFmtId="166" fontId="6" fillId="0" borderId="20" xfId="2" applyNumberFormat="1" applyFont="1" applyFill="1" applyBorder="1"/>
    <xf numFmtId="165" fontId="6" fillId="0" borderId="12" xfId="3" applyNumberFormat="1" applyFont="1" applyFill="1" applyBorder="1" applyAlignment="1">
      <alignment vertical="center" wrapText="1"/>
    </xf>
    <xf numFmtId="165" fontId="5" fillId="3" borderId="52" xfId="3" applyNumberFormat="1" applyFont="1" applyFill="1" applyBorder="1" applyAlignment="1">
      <alignment vertical="center" wrapText="1"/>
    </xf>
    <xf numFmtId="165" fontId="6" fillId="3" borderId="18" xfId="3" applyNumberFormat="1" applyFont="1" applyFill="1" applyBorder="1" applyAlignment="1">
      <alignment vertical="center" wrapText="1"/>
    </xf>
    <xf numFmtId="165" fontId="6" fillId="3" borderId="36" xfId="3" applyNumberFormat="1" applyFont="1" applyFill="1" applyBorder="1" applyAlignment="1">
      <alignment vertical="center" wrapText="1"/>
    </xf>
    <xf numFmtId="165" fontId="5" fillId="3" borderId="36" xfId="3" applyNumberFormat="1" applyFont="1" applyFill="1" applyBorder="1" applyAlignment="1">
      <alignment vertical="center" wrapText="1"/>
    </xf>
    <xf numFmtId="165" fontId="5" fillId="3" borderId="53" xfId="3" applyNumberFormat="1" applyFont="1" applyFill="1" applyBorder="1" applyAlignment="1">
      <alignment vertical="center" wrapText="1"/>
    </xf>
    <xf numFmtId="165" fontId="5" fillId="3" borderId="54" xfId="3" applyNumberFormat="1" applyFont="1" applyFill="1" applyBorder="1" applyAlignment="1">
      <alignment vertical="center" wrapText="1"/>
    </xf>
    <xf numFmtId="166" fontId="6" fillId="3" borderId="55" xfId="2" applyNumberFormat="1" applyFont="1" applyFill="1" applyBorder="1"/>
    <xf numFmtId="165" fontId="6" fillId="3" borderId="56" xfId="3" applyNumberFormat="1" applyFont="1" applyFill="1" applyBorder="1" applyAlignment="1">
      <alignment vertical="center" wrapText="1"/>
    </xf>
    <xf numFmtId="165" fontId="6" fillId="3" borderId="57" xfId="3" applyNumberFormat="1" applyFont="1" applyFill="1" applyBorder="1" applyAlignment="1">
      <alignment vertical="center" wrapText="1"/>
    </xf>
    <xf numFmtId="165" fontId="6" fillId="3" borderId="58" xfId="3" applyNumberFormat="1" applyFont="1" applyFill="1" applyBorder="1" applyAlignment="1">
      <alignment vertical="center" wrapText="1"/>
    </xf>
    <xf numFmtId="165" fontId="6" fillId="3" borderId="59" xfId="3" applyNumberFormat="1" applyFont="1" applyFill="1" applyBorder="1" applyAlignment="1">
      <alignment vertical="center" wrapText="1"/>
    </xf>
    <xf numFmtId="165" fontId="6" fillId="3" borderId="60" xfId="3" applyNumberFormat="1" applyFont="1" applyFill="1" applyBorder="1" applyAlignment="1">
      <alignment vertical="center" wrapText="1"/>
    </xf>
    <xf numFmtId="165" fontId="5" fillId="0" borderId="1" xfId="3" applyNumberFormat="1" applyFont="1" applyFill="1" applyBorder="1" applyAlignment="1">
      <alignment vertical="center" wrapText="1"/>
    </xf>
    <xf numFmtId="9" fontId="5" fillId="0" borderId="37" xfId="2" applyFont="1" applyFill="1" applyBorder="1" applyAlignment="1">
      <alignment vertical="center" wrapText="1"/>
    </xf>
    <xf numFmtId="9" fontId="5" fillId="0" borderId="24" xfId="2" applyFont="1" applyFill="1" applyBorder="1" applyAlignment="1">
      <alignment vertical="center" wrapText="1"/>
    </xf>
    <xf numFmtId="9" fontId="5" fillId="0" borderId="25" xfId="2" applyFont="1" applyFill="1" applyBorder="1" applyAlignment="1">
      <alignment vertical="center" wrapText="1"/>
    </xf>
    <xf numFmtId="9" fontId="5" fillId="0" borderId="23" xfId="2" applyFont="1" applyFill="1" applyBorder="1" applyAlignment="1">
      <alignment vertical="center" wrapText="1"/>
    </xf>
    <xf numFmtId="9" fontId="5" fillId="0" borderId="27" xfId="2" applyFont="1" applyFill="1" applyBorder="1" applyAlignment="1">
      <alignment vertical="center" wrapText="1"/>
    </xf>
    <xf numFmtId="9" fontId="5" fillId="0" borderId="63" xfId="2" applyFont="1" applyFill="1" applyBorder="1" applyAlignment="1">
      <alignment vertical="center" wrapText="1"/>
    </xf>
    <xf numFmtId="9" fontId="5" fillId="0" borderId="64" xfId="2" applyFont="1" applyFill="1" applyBorder="1" applyAlignment="1">
      <alignment vertical="center" wrapText="1"/>
    </xf>
    <xf numFmtId="9" fontId="5" fillId="0" borderId="65" xfId="2" applyFont="1" applyFill="1" applyBorder="1" applyAlignment="1">
      <alignment vertical="center" wrapText="1"/>
    </xf>
    <xf numFmtId="165" fontId="4" fillId="5" borderId="37" xfId="3" applyNumberFormat="1" applyFont="1" applyFill="1" applyBorder="1" applyAlignment="1">
      <alignment horizontal="center" vertical="center"/>
    </xf>
    <xf numFmtId="165" fontId="3" fillId="5" borderId="24" xfId="3" applyNumberFormat="1" applyFont="1" applyFill="1" applyBorder="1" applyAlignment="1">
      <alignment horizontal="center" vertical="center" wrapText="1"/>
    </xf>
    <xf numFmtId="165" fontId="3" fillId="5" borderId="25" xfId="3" applyNumberFormat="1" applyFont="1" applyFill="1" applyBorder="1" applyAlignment="1">
      <alignment horizontal="center" vertical="center" wrapText="1"/>
    </xf>
    <xf numFmtId="0" fontId="3" fillId="5" borderId="38" xfId="3" applyNumberFormat="1" applyFont="1" applyFill="1" applyBorder="1" applyAlignment="1">
      <alignment horizontal="center" vertical="center" wrapText="1"/>
    </xf>
    <xf numFmtId="0" fontId="3" fillId="5" borderId="39" xfId="3" applyNumberFormat="1" applyFont="1" applyFill="1" applyBorder="1" applyAlignment="1">
      <alignment horizontal="center" vertical="center" wrapText="1"/>
    </xf>
    <xf numFmtId="0" fontId="3" fillId="5" borderId="40" xfId="3" applyNumberFormat="1" applyFont="1" applyFill="1" applyBorder="1" applyAlignment="1">
      <alignment horizontal="center" vertical="center" wrapText="1"/>
    </xf>
    <xf numFmtId="0" fontId="3" fillId="5" borderId="41" xfId="3" applyNumberFormat="1" applyFont="1" applyFill="1" applyBorder="1" applyAlignment="1">
      <alignment horizontal="center" vertical="center" wrapText="1"/>
    </xf>
    <xf numFmtId="0" fontId="3" fillId="5" borderId="42" xfId="3" applyNumberFormat="1" applyFont="1" applyFill="1" applyBorder="1" applyAlignment="1">
      <alignment horizontal="center" vertical="center" wrapText="1"/>
    </xf>
    <xf numFmtId="165" fontId="5" fillId="4" borderId="43" xfId="3" applyNumberFormat="1" applyFont="1" applyFill="1" applyBorder="1" applyAlignment="1">
      <alignment vertical="center" wrapText="1"/>
    </xf>
    <xf numFmtId="165" fontId="6" fillId="4" borderId="48" xfId="3" applyNumberFormat="1" applyFont="1" applyFill="1" applyBorder="1" applyAlignment="1">
      <alignment vertical="center" wrapText="1"/>
    </xf>
    <xf numFmtId="165" fontId="6" fillId="4" borderId="49" xfId="3" applyNumberFormat="1" applyFont="1" applyFill="1" applyBorder="1" applyAlignment="1">
      <alignment vertical="center" wrapText="1"/>
    </xf>
    <xf numFmtId="165" fontId="6" fillId="4" borderId="73" xfId="3" applyNumberFormat="1" applyFont="1" applyFill="1" applyBorder="1" applyAlignment="1">
      <alignment vertical="center" wrapText="1"/>
    </xf>
    <xf numFmtId="165" fontId="6" fillId="4" borderId="51" xfId="3" applyNumberFormat="1" applyFont="1" applyFill="1" applyBorder="1" applyAlignment="1">
      <alignment vertical="center" wrapText="1"/>
    </xf>
    <xf numFmtId="166" fontId="6" fillId="4" borderId="20" xfId="2" applyNumberFormat="1" applyFont="1" applyFill="1" applyBorder="1"/>
    <xf numFmtId="165" fontId="6" fillId="4" borderId="9" xfId="3" applyNumberFormat="1" applyFont="1" applyFill="1" applyBorder="1" applyAlignment="1">
      <alignment vertical="center" wrapText="1"/>
    </xf>
    <xf numFmtId="165" fontId="6" fillId="4" borderId="47" xfId="3" applyNumberFormat="1" applyFont="1" applyFill="1" applyBorder="1" applyAlignment="1">
      <alignment vertical="center" wrapText="1"/>
    </xf>
    <xf numFmtId="165" fontId="6" fillId="4" borderId="50" xfId="3" applyNumberFormat="1" applyFont="1" applyFill="1" applyBorder="1" applyAlignment="1">
      <alignment vertical="center" wrapText="1"/>
    </xf>
    <xf numFmtId="165" fontId="6" fillId="4" borderId="13" xfId="3" applyNumberFormat="1" applyFont="1" applyFill="1" applyBorder="1" applyAlignment="1">
      <alignment vertical="center" wrapText="1"/>
    </xf>
    <xf numFmtId="165" fontId="6" fillId="4" borderId="10" xfId="3" applyNumberFormat="1" applyFont="1" applyFill="1" applyBorder="1" applyAlignment="1">
      <alignment vertical="center" wrapText="1"/>
    </xf>
    <xf numFmtId="165" fontId="6" fillId="4" borderId="35" xfId="3" applyNumberFormat="1" applyFont="1" applyFill="1" applyBorder="1" applyAlignment="1">
      <alignment vertical="center" wrapText="1"/>
    </xf>
    <xf numFmtId="165" fontId="6" fillId="4" borderId="12" xfId="3" applyNumberFormat="1" applyFont="1" applyFill="1" applyBorder="1" applyAlignment="1">
      <alignment vertical="center" wrapText="1"/>
    </xf>
    <xf numFmtId="165" fontId="5" fillId="3" borderId="59" xfId="3" applyNumberFormat="1" applyFont="1" applyFill="1" applyBorder="1" applyAlignment="1">
      <alignment vertical="center" wrapText="1"/>
    </xf>
    <xf numFmtId="165" fontId="5" fillId="3" borderId="74" xfId="3" applyNumberFormat="1" applyFont="1" applyFill="1" applyBorder="1" applyAlignment="1">
      <alignment vertical="center" wrapText="1"/>
    </xf>
    <xf numFmtId="165" fontId="5" fillId="3" borderId="56" xfId="3" applyNumberFormat="1" applyFont="1" applyFill="1" applyBorder="1" applyAlignment="1">
      <alignment vertical="center" wrapText="1"/>
    </xf>
    <xf numFmtId="165" fontId="5" fillId="3" borderId="57" xfId="3" applyNumberFormat="1" applyFont="1" applyFill="1" applyBorder="1" applyAlignment="1">
      <alignment vertical="center" wrapText="1"/>
    </xf>
    <xf numFmtId="165" fontId="5" fillId="3" borderId="58" xfId="3" applyNumberFormat="1" applyFont="1" applyFill="1" applyBorder="1" applyAlignment="1">
      <alignment vertical="center" wrapText="1"/>
    </xf>
    <xf numFmtId="165" fontId="5" fillId="3" borderId="60" xfId="3" applyNumberFormat="1" applyFont="1" applyFill="1" applyBorder="1" applyAlignment="1">
      <alignment vertical="center" wrapText="1"/>
    </xf>
    <xf numFmtId="9" fontId="5" fillId="0" borderId="75" xfId="2" applyFont="1" applyFill="1" applyBorder="1" applyAlignment="1">
      <alignment vertical="center" wrapText="1"/>
    </xf>
    <xf numFmtId="9" fontId="5" fillId="0" borderId="2" xfId="2" applyFont="1" applyFill="1" applyBorder="1" applyAlignment="1">
      <alignment vertical="center" wrapText="1"/>
    </xf>
    <xf numFmtId="165" fontId="4" fillId="5" borderId="69" xfId="3" applyNumberFormat="1" applyFont="1" applyFill="1" applyBorder="1" applyAlignment="1">
      <alignment horizontal="center" vertical="center"/>
    </xf>
    <xf numFmtId="165" fontId="4" fillId="5" borderId="33" xfId="3" applyNumberFormat="1" applyFont="1" applyFill="1" applyBorder="1" applyAlignment="1">
      <alignment horizontal="center" vertical="center"/>
    </xf>
    <xf numFmtId="165" fontId="3" fillId="5" borderId="33" xfId="3" applyNumberFormat="1" applyFont="1" applyFill="1" applyBorder="1" applyAlignment="1">
      <alignment horizontal="center" vertical="center"/>
    </xf>
    <xf numFmtId="165" fontId="3" fillId="5" borderId="70" xfId="3" applyNumberFormat="1" applyFont="1" applyFill="1" applyBorder="1" applyAlignment="1">
      <alignment horizontal="center" vertical="center"/>
    </xf>
    <xf numFmtId="0" fontId="3" fillId="5" borderId="45" xfId="3" applyNumberFormat="1" applyFont="1" applyFill="1" applyBorder="1" applyAlignment="1">
      <alignment horizontal="center" vertical="center" wrapText="1"/>
    </xf>
    <xf numFmtId="0" fontId="3" fillId="5" borderId="46" xfId="3" applyNumberFormat="1" applyFont="1" applyFill="1" applyBorder="1" applyAlignment="1">
      <alignment horizontal="center" vertical="center" wrapText="1"/>
    </xf>
    <xf numFmtId="165" fontId="3" fillId="5" borderId="71" xfId="3" applyNumberFormat="1" applyFont="1" applyFill="1" applyBorder="1" applyAlignment="1">
      <alignment horizontal="center" vertical="center" wrapText="1"/>
    </xf>
    <xf numFmtId="165" fontId="3" fillId="5" borderId="72" xfId="3" applyNumberFormat="1" applyFont="1" applyFill="1" applyBorder="1" applyAlignment="1">
      <alignment horizontal="center" vertical="center" wrapText="1"/>
    </xf>
    <xf numFmtId="0" fontId="3" fillId="5" borderId="69" xfId="3" applyNumberFormat="1" applyFont="1" applyFill="1" applyBorder="1" applyAlignment="1">
      <alignment horizontal="center" vertical="center" wrapText="1"/>
    </xf>
    <xf numFmtId="0" fontId="3" fillId="5" borderId="33" xfId="3" applyNumberFormat="1" applyFont="1" applyFill="1" applyBorder="1" applyAlignment="1">
      <alignment horizontal="center" vertical="center" wrapText="1"/>
    </xf>
    <xf numFmtId="0" fontId="3" fillId="5" borderId="34" xfId="3" applyNumberFormat="1" applyFont="1" applyFill="1" applyBorder="1" applyAlignment="1">
      <alignment horizontal="center" vertical="center" wrapText="1"/>
    </xf>
    <xf numFmtId="165" fontId="11" fillId="4" borderId="10" xfId="5" applyNumberFormat="1" applyFont="1" applyFill="1" applyBorder="1" applyAlignment="1">
      <alignment vertical="center" wrapText="1"/>
    </xf>
    <xf numFmtId="166" fontId="11" fillId="4" borderId="10" xfId="2" applyNumberFormat="1" applyFont="1" applyFill="1" applyBorder="1" applyAlignment="1">
      <alignment vertical="center" wrapText="1"/>
    </xf>
    <xf numFmtId="165" fontId="12" fillId="4" borderId="10" xfId="5" applyNumberFormat="1" applyFont="1" applyFill="1" applyBorder="1" applyAlignment="1">
      <alignment vertical="center" wrapText="1"/>
    </xf>
    <xf numFmtId="9" fontId="11" fillId="4" borderId="10" xfId="2" applyFont="1" applyFill="1" applyBorder="1" applyAlignment="1">
      <alignment vertical="center" wrapText="1"/>
    </xf>
    <xf numFmtId="9" fontId="11" fillId="4" borderId="10" xfId="2" applyNumberFormat="1" applyFont="1" applyFill="1" applyBorder="1" applyAlignment="1">
      <alignment vertical="center" wrapText="1"/>
    </xf>
    <xf numFmtId="165" fontId="4" fillId="5" borderId="10" xfId="5" applyNumberFormat="1" applyFont="1" applyFill="1" applyBorder="1" applyAlignment="1">
      <alignment horizontal="center" vertical="center" wrapText="1"/>
    </xf>
    <xf numFmtId="165" fontId="3" fillId="5" borderId="10" xfId="5" applyNumberFormat="1" applyFont="1" applyFill="1" applyBorder="1" applyAlignment="1">
      <alignment horizontal="center" vertical="center" wrapText="1"/>
    </xf>
    <xf numFmtId="0" fontId="8" fillId="0" borderId="0" xfId="0" applyFont="1"/>
    <xf numFmtId="165" fontId="11" fillId="6" borderId="0" xfId="5" applyNumberFormat="1" applyFont="1" applyFill="1"/>
    <xf numFmtId="165" fontId="11" fillId="6" borderId="0" xfId="5" applyNumberFormat="1" applyFont="1" applyFill="1" applyBorder="1"/>
    <xf numFmtId="0" fontId="13" fillId="0" borderId="0" xfId="6" applyFont="1" applyAlignment="1" applyProtection="1"/>
    <xf numFmtId="165" fontId="11" fillId="4" borderId="0" xfId="5" applyNumberFormat="1" applyFont="1" applyFill="1" applyAlignment="1"/>
    <xf numFmtId="165" fontId="11" fillId="4" borderId="0" xfId="5" applyNumberFormat="1" applyFont="1" applyFill="1"/>
    <xf numFmtId="166" fontId="11" fillId="6" borderId="0" xfId="2" applyNumberFormat="1" applyFont="1" applyFill="1"/>
    <xf numFmtId="165" fontId="12" fillId="3" borderId="10" xfId="5" applyNumberFormat="1" applyFont="1" applyFill="1" applyBorder="1" applyAlignment="1">
      <alignment vertical="center" wrapText="1"/>
    </xf>
    <xf numFmtId="9" fontId="11" fillId="3" borderId="10" xfId="2" applyFont="1" applyFill="1" applyBorder="1" applyAlignment="1">
      <alignment vertical="center" wrapText="1"/>
    </xf>
    <xf numFmtId="9" fontId="12" fillId="3" borderId="10" xfId="2" applyFont="1" applyFill="1" applyBorder="1" applyAlignment="1">
      <alignment vertical="center" wrapText="1"/>
    </xf>
    <xf numFmtId="165" fontId="12" fillId="0" borderId="0" xfId="5" applyNumberFormat="1" applyFont="1" applyFill="1" applyBorder="1" applyAlignment="1">
      <alignment vertical="center" wrapText="1"/>
    </xf>
    <xf numFmtId="9" fontId="11" fillId="0" borderId="0" xfId="2" applyFont="1" applyFill="1" applyBorder="1" applyAlignment="1">
      <alignment vertical="center" wrapText="1"/>
    </xf>
    <xf numFmtId="9" fontId="12" fillId="0" borderId="0" xfId="2" applyFont="1" applyFill="1" applyBorder="1" applyAlignment="1">
      <alignment vertical="center" wrapText="1"/>
    </xf>
    <xf numFmtId="165" fontId="11" fillId="6" borderId="0" xfId="5" applyNumberFormat="1" applyFont="1" applyFill="1" applyAlignment="1">
      <alignment wrapText="1"/>
    </xf>
    <xf numFmtId="165" fontId="14" fillId="6" borderId="0" xfId="5" applyNumberFormat="1" applyFont="1" applyFill="1" applyBorder="1" applyAlignment="1">
      <alignment vertical="center" wrapText="1"/>
    </xf>
    <xf numFmtId="0" fontId="8" fillId="0" borderId="0" xfId="0" applyFont="1" applyBorder="1"/>
    <xf numFmtId="166" fontId="11" fillId="4" borderId="35" xfId="2" applyNumberFormat="1" applyFont="1" applyFill="1" applyBorder="1" applyAlignment="1">
      <alignment vertical="center" wrapText="1"/>
    </xf>
    <xf numFmtId="9" fontId="11" fillId="4" borderId="35" xfId="2" applyNumberFormat="1" applyFont="1" applyFill="1" applyBorder="1" applyAlignment="1">
      <alignment vertical="center" wrapText="1"/>
    </xf>
    <xf numFmtId="9" fontId="12" fillId="3" borderId="35" xfId="2" applyFont="1" applyFill="1" applyBorder="1" applyAlignment="1">
      <alignment vertical="center" wrapText="1"/>
    </xf>
    <xf numFmtId="165" fontId="4" fillId="5" borderId="35" xfId="5" applyNumberFormat="1" applyFont="1" applyFill="1" applyBorder="1" applyAlignment="1">
      <alignment horizontal="center" vertical="center" wrapText="1"/>
    </xf>
    <xf numFmtId="165" fontId="14" fillId="0" borderId="0" xfId="5" applyNumberFormat="1" applyFont="1" applyFill="1" applyBorder="1" applyAlignment="1">
      <alignment vertical="center" wrapText="1"/>
    </xf>
    <xf numFmtId="165" fontId="6" fillId="4" borderId="10" xfId="5" applyNumberFormat="1" applyFont="1" applyFill="1" applyBorder="1" applyAlignment="1">
      <alignment vertical="center" wrapText="1"/>
    </xf>
    <xf numFmtId="166" fontId="6" fillId="4" borderId="10" xfId="2" applyNumberFormat="1" applyFont="1" applyFill="1" applyBorder="1" applyAlignment="1">
      <alignment vertical="center" wrapText="1"/>
    </xf>
    <xf numFmtId="165" fontId="5" fillId="4" borderId="10" xfId="5" applyNumberFormat="1" applyFont="1" applyFill="1" applyBorder="1" applyAlignment="1">
      <alignment vertical="center" wrapText="1"/>
    </xf>
    <xf numFmtId="9" fontId="6" fillId="4" borderId="10" xfId="2" applyNumberFormat="1" applyFont="1" applyFill="1" applyBorder="1" applyAlignment="1">
      <alignment vertical="center" wrapText="1"/>
    </xf>
    <xf numFmtId="166" fontId="12" fillId="3" borderId="10" xfId="2" applyNumberFormat="1" applyFont="1" applyFill="1" applyBorder="1" applyAlignment="1">
      <alignment vertical="center" wrapText="1"/>
    </xf>
    <xf numFmtId="9" fontId="12" fillId="4" borderId="10" xfId="2" applyNumberFormat="1" applyFont="1" applyFill="1" applyBorder="1" applyAlignment="1">
      <alignment vertical="center" wrapText="1"/>
    </xf>
    <xf numFmtId="9" fontId="6" fillId="3" borderId="10" xfId="2" applyFont="1" applyFill="1" applyBorder="1" applyAlignment="1">
      <alignment vertical="center" wrapText="1"/>
    </xf>
    <xf numFmtId="9" fontId="5" fillId="3" borderId="10" xfId="2" applyFont="1" applyFill="1" applyBorder="1" applyAlignment="1">
      <alignment vertical="center" wrapText="1"/>
    </xf>
    <xf numFmtId="0" fontId="7" fillId="0" borderId="0" xfId="0" applyFont="1"/>
    <xf numFmtId="0" fontId="8" fillId="0" borderId="0" xfId="0" applyFont="1" applyFill="1"/>
    <xf numFmtId="165" fontId="5" fillId="3" borderId="10" xfId="5" applyNumberFormat="1" applyFont="1" applyFill="1" applyBorder="1" applyAlignment="1">
      <alignment vertical="center" wrapText="1"/>
    </xf>
    <xf numFmtId="9" fontId="11" fillId="3" borderId="10" xfId="7" applyNumberFormat="1" applyFont="1" applyFill="1" applyBorder="1" applyAlignment="1">
      <alignment vertical="center" wrapText="1"/>
    </xf>
    <xf numFmtId="9" fontId="12" fillId="3" borderId="10" xfId="7" applyNumberFormat="1" applyFont="1" applyFill="1" applyBorder="1" applyAlignment="1">
      <alignment vertical="center" wrapText="1"/>
    </xf>
    <xf numFmtId="9" fontId="11" fillId="0" borderId="0" xfId="7" applyNumberFormat="1" applyFont="1" applyFill="1" applyBorder="1" applyAlignment="1">
      <alignment vertical="center" wrapText="1"/>
    </xf>
    <xf numFmtId="9" fontId="12" fillId="0" borderId="0" xfId="7" applyNumberFormat="1" applyFont="1" applyFill="1" applyBorder="1" applyAlignment="1">
      <alignment vertical="center" wrapText="1"/>
    </xf>
    <xf numFmtId="165" fontId="11" fillId="0" borderId="0" xfId="5" applyNumberFormat="1" applyFont="1" applyFill="1" applyAlignment="1">
      <alignment wrapText="1"/>
    </xf>
    <xf numFmtId="165" fontId="11" fillId="0" borderId="0" xfId="5" applyNumberFormat="1" applyFont="1" applyFill="1"/>
    <xf numFmtId="165" fontId="11" fillId="0" borderId="10" xfId="5" applyNumberFormat="1" applyFont="1" applyFill="1" applyBorder="1" applyAlignment="1">
      <alignment vertical="center" wrapText="1"/>
    </xf>
    <xf numFmtId="166" fontId="11" fillId="0" borderId="10" xfId="2" applyNumberFormat="1" applyFont="1" applyFill="1" applyBorder="1" applyAlignment="1">
      <alignment vertical="center" wrapText="1"/>
    </xf>
    <xf numFmtId="165" fontId="12" fillId="0" borderId="10" xfId="5" applyNumberFormat="1" applyFont="1" applyFill="1" applyBorder="1" applyAlignment="1">
      <alignment vertical="center" wrapText="1"/>
    </xf>
    <xf numFmtId="9" fontId="11" fillId="0" borderId="10" xfId="2" applyNumberFormat="1" applyFont="1" applyFill="1" applyBorder="1" applyAlignment="1">
      <alignment vertical="center" wrapText="1"/>
    </xf>
    <xf numFmtId="9" fontId="12" fillId="0" borderId="10" xfId="2" applyFont="1" applyFill="1" applyBorder="1" applyAlignment="1">
      <alignment vertical="center" wrapText="1"/>
    </xf>
    <xf numFmtId="165" fontId="11" fillId="4" borderId="0" xfId="5" applyNumberFormat="1" applyFont="1" applyFill="1" applyBorder="1" applyAlignment="1"/>
    <xf numFmtId="165" fontId="11" fillId="4" borderId="10" xfId="5" applyNumberFormat="1" applyFont="1" applyFill="1" applyBorder="1" applyAlignment="1">
      <alignment horizontal="right" vertical="center" wrapText="1"/>
    </xf>
    <xf numFmtId="166" fontId="11" fillId="4" borderId="10" xfId="2" applyNumberFormat="1" applyFont="1" applyFill="1" applyBorder="1" applyAlignment="1">
      <alignment horizontal="right" vertical="center" wrapText="1"/>
    </xf>
    <xf numFmtId="165" fontId="12" fillId="4" borderId="10" xfId="5" applyNumberFormat="1" applyFont="1" applyFill="1" applyBorder="1" applyAlignment="1">
      <alignment horizontal="right" vertical="center" wrapText="1"/>
    </xf>
    <xf numFmtId="9" fontId="11" fillId="4" borderId="10" xfId="2" applyNumberFormat="1" applyFont="1" applyFill="1" applyBorder="1" applyAlignment="1">
      <alignment horizontal="right" vertical="center" wrapText="1"/>
    </xf>
    <xf numFmtId="9" fontId="11" fillId="6" borderId="0" xfId="2" applyNumberFormat="1" applyFont="1" applyFill="1"/>
    <xf numFmtId="9" fontId="12" fillId="3" borderId="10" xfId="2" applyNumberFormat="1" applyFont="1" applyFill="1" applyBorder="1" applyAlignment="1">
      <alignment vertical="center" wrapText="1"/>
    </xf>
    <xf numFmtId="165" fontId="12" fillId="4" borderId="0" xfId="5" applyNumberFormat="1" applyFont="1" applyFill="1" applyBorder="1" applyAlignment="1"/>
    <xf numFmtId="166" fontId="11" fillId="3" borderId="10" xfId="2" applyNumberFormat="1" applyFont="1" applyFill="1" applyBorder="1" applyAlignment="1">
      <alignment vertical="center" wrapText="1"/>
    </xf>
    <xf numFmtId="165" fontId="11" fillId="4" borderId="0" xfId="5" applyNumberFormat="1" applyFont="1" applyFill="1" applyBorder="1"/>
    <xf numFmtId="165" fontId="15" fillId="6" borderId="0" xfId="5" applyNumberFormat="1" applyFont="1" applyFill="1" applyBorder="1" applyAlignment="1">
      <alignment horizontal="center" vertical="center" wrapText="1"/>
    </xf>
    <xf numFmtId="165" fontId="8" fillId="6" borderId="0" xfId="5" applyNumberFormat="1" applyFont="1" applyFill="1" applyBorder="1" applyAlignment="1">
      <alignment horizontal="center" vertical="center"/>
    </xf>
    <xf numFmtId="165" fontId="15" fillId="6" borderId="0" xfId="5" applyNumberFormat="1" applyFont="1" applyFill="1" applyBorder="1" applyAlignment="1">
      <alignment vertical="center" wrapText="1"/>
    </xf>
    <xf numFmtId="165" fontId="12" fillId="6" borderId="0" xfId="5" applyNumberFormat="1" applyFont="1" applyFill="1" applyBorder="1" applyAlignment="1">
      <alignment horizontal="center" vertical="center" wrapText="1"/>
    </xf>
    <xf numFmtId="10" fontId="12" fillId="6" borderId="0" xfId="7" applyNumberFormat="1" applyFont="1" applyFill="1" applyBorder="1" applyAlignment="1">
      <alignment vertical="center" wrapText="1"/>
    </xf>
    <xf numFmtId="0" fontId="8" fillId="0" borderId="0" xfId="0" applyFont="1" applyAlignment="1">
      <alignment vertical="top"/>
    </xf>
    <xf numFmtId="165" fontId="3" fillId="5" borderId="10" xfId="5" applyNumberFormat="1" applyFont="1" applyFill="1" applyBorder="1" applyAlignment="1">
      <alignment horizontal="center" vertical="center" wrapText="1"/>
    </xf>
    <xf numFmtId="0" fontId="16" fillId="0" borderId="0" xfId="0" applyFont="1"/>
    <xf numFmtId="0" fontId="8" fillId="0" borderId="0" xfId="0" applyFont="1" applyBorder="1" applyAlignment="1">
      <alignment horizontal="left" vertical="top" wrapText="1"/>
    </xf>
    <xf numFmtId="0" fontId="17" fillId="5" borderId="10" xfId="0" applyFont="1" applyFill="1" applyBorder="1" applyAlignment="1">
      <alignment horizontal="center" vertical="center" wrapText="1"/>
    </xf>
    <xf numFmtId="0" fontId="18" fillId="7" borderId="10" xfId="0" applyFont="1" applyFill="1" applyBorder="1" applyAlignment="1">
      <alignment horizontal="left" vertical="center" wrapText="1"/>
    </xf>
    <xf numFmtId="0" fontId="19" fillId="7" borderId="10" xfId="0" applyFont="1" applyFill="1" applyBorder="1" applyAlignment="1">
      <alignment horizontal="center" vertical="center" wrapText="1"/>
    </xf>
    <xf numFmtId="3" fontId="18" fillId="7" borderId="10" xfId="0" applyNumberFormat="1" applyFont="1" applyFill="1" applyBorder="1" applyAlignment="1">
      <alignment horizontal="right" vertical="center" wrapText="1"/>
    </xf>
    <xf numFmtId="17" fontId="19" fillId="0" borderId="10" xfId="0" applyNumberFormat="1" applyFont="1" applyBorder="1" applyAlignment="1">
      <alignment horizontal="left" vertical="center"/>
    </xf>
    <xf numFmtId="3" fontId="19" fillId="0" borderId="10" xfId="0" applyNumberFormat="1" applyFont="1" applyBorder="1" applyAlignment="1">
      <alignment horizontal="right" vertical="center"/>
    </xf>
    <xf numFmtId="0" fontId="19" fillId="0" borderId="10" xfId="0" applyFont="1" applyBorder="1" applyAlignment="1">
      <alignment horizontal="right" vertical="center"/>
    </xf>
    <xf numFmtId="3" fontId="19" fillId="8" borderId="10" xfId="0" applyNumberFormat="1" applyFont="1" applyFill="1" applyBorder="1" applyAlignment="1">
      <alignment horizontal="right" vertical="center"/>
    </xf>
    <xf numFmtId="0" fontId="19" fillId="8" borderId="10" xfId="0" applyFont="1" applyFill="1" applyBorder="1" applyAlignment="1">
      <alignment horizontal="right" vertical="center"/>
    </xf>
    <xf numFmtId="0" fontId="18" fillId="7" borderId="10" xfId="0" applyFont="1" applyFill="1" applyBorder="1" applyAlignment="1">
      <alignment horizontal="left" vertical="center"/>
    </xf>
    <xf numFmtId="3" fontId="18" fillId="7" borderId="10" xfId="0" applyNumberFormat="1" applyFont="1" applyFill="1" applyBorder="1" applyAlignment="1">
      <alignment horizontal="right" vertical="center"/>
    </xf>
    <xf numFmtId="17" fontId="19" fillId="0" borderId="10" xfId="0" applyNumberFormat="1" applyFont="1" applyFill="1" applyBorder="1" applyAlignment="1">
      <alignment horizontal="left" vertical="center"/>
    </xf>
    <xf numFmtId="3" fontId="19" fillId="0" borderId="10" xfId="0" applyNumberFormat="1" applyFont="1" applyFill="1" applyBorder="1" applyAlignment="1">
      <alignment horizontal="right" vertical="center"/>
    </xf>
    <xf numFmtId="3" fontId="18" fillId="3" borderId="10" xfId="0" applyNumberFormat="1" applyFont="1" applyFill="1" applyBorder="1" applyAlignment="1">
      <alignment horizontal="right" vertical="center"/>
    </xf>
    <xf numFmtId="0" fontId="17" fillId="5" borderId="10" xfId="0" applyFont="1" applyFill="1" applyBorder="1" applyAlignment="1">
      <alignment horizontal="center" vertical="center"/>
    </xf>
    <xf numFmtId="0" fontId="17" fillId="5" borderId="10" xfId="0" applyFont="1" applyFill="1" applyBorder="1" applyAlignment="1">
      <alignment vertical="center"/>
    </xf>
    <xf numFmtId="0" fontId="18" fillId="3" borderId="10" xfId="0" applyFont="1" applyFill="1" applyBorder="1" applyAlignment="1">
      <alignment horizontal="left" vertical="center"/>
    </xf>
    <xf numFmtId="17" fontId="18" fillId="3" borderId="10" xfId="0" applyNumberFormat="1" applyFont="1" applyFill="1" applyBorder="1" applyAlignment="1">
      <alignment horizontal="left" vertical="center"/>
    </xf>
    <xf numFmtId="166" fontId="8" fillId="0" borderId="0" xfId="2" applyNumberFormat="1" applyFont="1"/>
    <xf numFmtId="3" fontId="19" fillId="3" borderId="10" xfId="0" applyNumberFormat="1" applyFont="1" applyFill="1" applyBorder="1" applyAlignment="1">
      <alignment horizontal="right" vertical="center"/>
    </xf>
    <xf numFmtId="0" fontId="3" fillId="5" borderId="16" xfId="0" applyFont="1" applyFill="1" applyBorder="1" applyAlignment="1">
      <alignment horizontal="center" vertical="center" wrapText="1"/>
    </xf>
    <xf numFmtId="0" fontId="3" fillId="5" borderId="36" xfId="0" applyFont="1" applyFill="1" applyBorder="1" applyAlignment="1">
      <alignment horizontal="center" vertical="center" wrapText="1"/>
    </xf>
    <xf numFmtId="17" fontId="7" fillId="10" borderId="10" xfId="0" applyNumberFormat="1" applyFont="1" applyFill="1" applyBorder="1" applyAlignment="1">
      <alignment horizontal="left"/>
    </xf>
    <xf numFmtId="165" fontId="7" fillId="10" borderId="20" xfId="1" applyNumberFormat="1" applyFont="1" applyFill="1" applyBorder="1"/>
    <xf numFmtId="165" fontId="7" fillId="10" borderId="9" xfId="1" applyNumberFormat="1" applyFont="1" applyFill="1" applyBorder="1"/>
    <xf numFmtId="165" fontId="7" fillId="10" borderId="10" xfId="1" applyNumberFormat="1" applyFont="1" applyFill="1" applyBorder="1"/>
    <xf numFmtId="0" fontId="7" fillId="10" borderId="10" xfId="0" applyNumberFormat="1" applyFont="1" applyFill="1" applyBorder="1" applyAlignment="1">
      <alignment horizontal="left"/>
    </xf>
    <xf numFmtId="165" fontId="5" fillId="10" borderId="20" xfId="1" applyNumberFormat="1" applyFont="1" applyFill="1" applyBorder="1"/>
    <xf numFmtId="165" fontId="5" fillId="10" borderId="9" xfId="1" applyNumberFormat="1" applyFont="1" applyFill="1" applyBorder="1"/>
    <xf numFmtId="165" fontId="5" fillId="10" borderId="10" xfId="1" applyNumberFormat="1" applyFont="1" applyFill="1" applyBorder="1"/>
    <xf numFmtId="17" fontId="8" fillId="4" borderId="10" xfId="0" applyNumberFormat="1" applyFont="1" applyFill="1" applyBorder="1" applyAlignment="1">
      <alignment horizontal="left"/>
    </xf>
    <xf numFmtId="165" fontId="6" fillId="4" borderId="20" xfId="1" applyNumberFormat="1" applyFont="1" applyFill="1" applyBorder="1"/>
    <xf numFmtId="165" fontId="6" fillId="4" borderId="9" xfId="1" applyNumberFormat="1" applyFont="1" applyFill="1" applyBorder="1"/>
    <xf numFmtId="165" fontId="6" fillId="4" borderId="10" xfId="1" applyNumberFormat="1" applyFont="1" applyFill="1" applyBorder="1"/>
    <xf numFmtId="165" fontId="8" fillId="4" borderId="20" xfId="1" applyNumberFormat="1" applyFont="1" applyFill="1" applyBorder="1"/>
    <xf numFmtId="165" fontId="8" fillId="4" borderId="9" xfId="1" applyNumberFormat="1" applyFont="1" applyFill="1" applyBorder="1"/>
    <xf numFmtId="165" fontId="8" fillId="4" borderId="10" xfId="1" applyNumberFormat="1" applyFont="1" applyFill="1" applyBorder="1"/>
    <xf numFmtId="165" fontId="8" fillId="4" borderId="9" xfId="1" applyNumberFormat="1" applyFont="1" applyFill="1" applyBorder="1" applyAlignment="1">
      <alignment horizontal="right"/>
    </xf>
    <xf numFmtId="165" fontId="8" fillId="4" borderId="10" xfId="1" applyNumberFormat="1" applyFont="1" applyFill="1" applyBorder="1" applyAlignment="1">
      <alignment horizontal="right"/>
    </xf>
    <xf numFmtId="165" fontId="8" fillId="10" borderId="9" xfId="1" applyNumberFormat="1" applyFont="1" applyFill="1" applyBorder="1"/>
    <xf numFmtId="17" fontId="7" fillId="11" borderId="10" xfId="0" applyNumberFormat="1" applyFont="1" applyFill="1" applyBorder="1" applyAlignment="1">
      <alignment horizontal="left"/>
    </xf>
    <xf numFmtId="165" fontId="7" fillId="11" borderId="20" xfId="0" applyNumberFormat="1" applyFont="1" applyFill="1" applyBorder="1"/>
    <xf numFmtId="165" fontId="7" fillId="11" borderId="9" xfId="0" applyNumberFormat="1" applyFont="1" applyFill="1" applyBorder="1"/>
    <xf numFmtId="165" fontId="7" fillId="11" borderId="10" xfId="0" applyNumberFormat="1" applyFont="1" applyFill="1" applyBorder="1"/>
    <xf numFmtId="0" fontId="3" fillId="5" borderId="10" xfId="0" applyFont="1" applyFill="1" applyBorder="1" applyAlignment="1">
      <alignment horizontal="center"/>
    </xf>
    <xf numFmtId="17" fontId="7" fillId="4" borderId="10" xfId="0" applyNumberFormat="1" applyFont="1" applyFill="1" applyBorder="1" applyAlignment="1">
      <alignment horizontal="left"/>
    </xf>
    <xf numFmtId="165" fontId="7" fillId="4" borderId="10" xfId="1" applyNumberFormat="1" applyFont="1" applyFill="1" applyBorder="1" applyAlignment="1">
      <alignment horizontal="right"/>
    </xf>
    <xf numFmtId="0" fontId="7" fillId="4" borderId="10" xfId="0" applyFont="1" applyFill="1" applyBorder="1" applyAlignment="1">
      <alignment horizontal="right"/>
    </xf>
    <xf numFmtId="165" fontId="7" fillId="3" borderId="10" xfId="1" applyNumberFormat="1" applyFont="1" applyFill="1" applyBorder="1" applyAlignment="1">
      <alignment horizontal="right"/>
    </xf>
    <xf numFmtId="0" fontId="8" fillId="4" borderId="10" xfId="0" applyFont="1" applyFill="1" applyBorder="1" applyAlignment="1">
      <alignment horizontal="right"/>
    </xf>
    <xf numFmtId="165" fontId="8" fillId="3" borderId="10" xfId="1" applyNumberFormat="1" applyFont="1" applyFill="1" applyBorder="1" applyAlignment="1">
      <alignment horizontal="right"/>
    </xf>
    <xf numFmtId="165" fontId="7" fillId="3" borderId="10" xfId="0" applyNumberFormat="1" applyFont="1" applyFill="1" applyBorder="1" applyAlignment="1">
      <alignment horizontal="right"/>
    </xf>
    <xf numFmtId="17" fontId="8" fillId="0" borderId="10" xfId="0" applyNumberFormat="1" applyFont="1" applyBorder="1" applyAlignment="1">
      <alignment horizontal="left"/>
    </xf>
    <xf numFmtId="17" fontId="7" fillId="0" borderId="10" xfId="0" applyNumberFormat="1" applyFont="1" applyBorder="1" applyAlignment="1">
      <alignment horizontal="left"/>
    </xf>
    <xf numFmtId="0" fontId="3" fillId="5" borderId="10" xfId="0" applyNumberFormat="1" applyFont="1" applyFill="1" applyBorder="1" applyAlignment="1">
      <alignment horizontal="center" vertical="center" wrapText="1"/>
    </xf>
    <xf numFmtId="0" fontId="3" fillId="5" borderId="10" xfId="0" applyFont="1" applyFill="1" applyBorder="1" applyAlignment="1">
      <alignment horizontal="center" vertical="center" wrapText="1"/>
    </xf>
    <xf numFmtId="17" fontId="8" fillId="4" borderId="35" xfId="0" applyNumberFormat="1" applyFont="1" applyFill="1" applyBorder="1" applyAlignment="1">
      <alignment horizontal="left"/>
    </xf>
    <xf numFmtId="165" fontId="7" fillId="3" borderId="10" xfId="0" applyNumberFormat="1" applyFont="1" applyFill="1" applyBorder="1"/>
    <xf numFmtId="0" fontId="7" fillId="3" borderId="10" xfId="0" applyNumberFormat="1" applyFont="1" applyFill="1" applyBorder="1" applyAlignment="1">
      <alignment horizontal="left"/>
    </xf>
    <xf numFmtId="165" fontId="7" fillId="3" borderId="10" xfId="0" applyNumberFormat="1" applyFont="1" applyFill="1" applyBorder="1" applyAlignment="1"/>
    <xf numFmtId="165" fontId="7" fillId="11" borderId="10" xfId="0" applyNumberFormat="1" applyFont="1" applyFill="1" applyBorder="1" applyAlignment="1">
      <alignment horizontal="right"/>
    </xf>
    <xf numFmtId="165" fontId="7" fillId="4" borderId="20" xfId="1" applyNumberFormat="1" applyFont="1" applyFill="1" applyBorder="1"/>
    <xf numFmtId="165" fontId="7" fillId="4" borderId="51" xfId="1" applyNumberFormat="1" applyFont="1" applyFill="1" applyBorder="1"/>
    <xf numFmtId="165" fontId="7" fillId="4" borderId="10" xfId="1" applyNumberFormat="1" applyFont="1" applyFill="1" applyBorder="1"/>
    <xf numFmtId="165" fontId="7" fillId="4" borderId="79" xfId="1" applyNumberFormat="1" applyFont="1" applyFill="1" applyBorder="1"/>
    <xf numFmtId="165" fontId="7" fillId="4" borderId="11" xfId="1" applyNumberFormat="1" applyFont="1" applyFill="1" applyBorder="1"/>
    <xf numFmtId="165" fontId="7" fillId="4" borderId="9" xfId="1" applyNumberFormat="1" applyFont="1" applyFill="1" applyBorder="1"/>
    <xf numFmtId="0" fontId="7" fillId="4" borderId="10" xfId="0" applyNumberFormat="1" applyFont="1" applyFill="1" applyBorder="1" applyAlignment="1">
      <alignment horizontal="left"/>
    </xf>
    <xf numFmtId="165" fontId="8" fillId="4" borderId="51" xfId="1" applyNumberFormat="1" applyFont="1" applyFill="1" applyBorder="1"/>
    <xf numFmtId="165" fontId="8" fillId="4" borderId="79" xfId="1" applyNumberFormat="1" applyFont="1" applyFill="1" applyBorder="1"/>
    <xf numFmtId="165" fontId="8" fillId="4" borderId="11" xfId="1" applyNumberFormat="1" applyFont="1" applyFill="1" applyBorder="1"/>
    <xf numFmtId="165" fontId="8" fillId="0" borderId="20" xfId="1" applyNumberFormat="1" applyFont="1" applyFill="1" applyBorder="1"/>
    <xf numFmtId="165" fontId="8" fillId="0" borderId="51" xfId="1" applyNumberFormat="1" applyFont="1" applyFill="1" applyBorder="1"/>
    <xf numFmtId="0" fontId="8" fillId="0" borderId="20" xfId="0" applyFont="1" applyBorder="1"/>
    <xf numFmtId="0" fontId="8" fillId="0" borderId="79" xfId="0" applyFont="1" applyBorder="1"/>
    <xf numFmtId="0" fontId="8" fillId="0" borderId="10" xfId="0" applyFont="1" applyBorder="1"/>
    <xf numFmtId="165" fontId="8" fillId="0" borderId="11" xfId="1" applyNumberFormat="1" applyFont="1" applyBorder="1"/>
    <xf numFmtId="165" fontId="7" fillId="0" borderId="20" xfId="0" applyNumberFormat="1" applyFont="1" applyFill="1" applyBorder="1"/>
    <xf numFmtId="165" fontId="7" fillId="0" borderId="51" xfId="0" applyNumberFormat="1" applyFont="1" applyFill="1" applyBorder="1"/>
    <xf numFmtId="165" fontId="7" fillId="0" borderId="10" xfId="0" applyNumberFormat="1" applyFont="1" applyFill="1" applyBorder="1"/>
    <xf numFmtId="165" fontId="7" fillId="0" borderId="79" xfId="0" applyNumberFormat="1" applyFont="1" applyFill="1" applyBorder="1"/>
    <xf numFmtId="165" fontId="7" fillId="0" borderId="11" xfId="0" applyNumberFormat="1" applyFont="1" applyFill="1" applyBorder="1"/>
    <xf numFmtId="165" fontId="7" fillId="0" borderId="9" xfId="0" applyNumberFormat="1" applyFont="1" applyFill="1" applyBorder="1"/>
    <xf numFmtId="165" fontId="8" fillId="0" borderId="20" xfId="1" applyNumberFormat="1" applyFont="1" applyBorder="1"/>
    <xf numFmtId="165" fontId="8" fillId="0" borderId="79" xfId="1" applyNumberFormat="1" applyFont="1" applyBorder="1"/>
    <xf numFmtId="17" fontId="8" fillId="0" borderId="10" xfId="0" applyNumberFormat="1" applyFont="1" applyFill="1" applyBorder="1" applyAlignment="1">
      <alignment horizontal="left"/>
    </xf>
    <xf numFmtId="165" fontId="8" fillId="0" borderId="51" xfId="1" applyNumberFormat="1" applyFont="1" applyBorder="1"/>
    <xf numFmtId="165" fontId="7" fillId="0" borderId="20" xfId="1" applyNumberFormat="1" applyFont="1" applyFill="1" applyBorder="1"/>
    <xf numFmtId="165" fontId="7" fillId="0" borderId="51" xfId="1" applyNumberFormat="1" applyFont="1" applyFill="1" applyBorder="1"/>
    <xf numFmtId="165" fontId="7" fillId="0" borderId="79" xfId="1" applyNumberFormat="1" applyFont="1" applyFill="1" applyBorder="1"/>
    <xf numFmtId="165" fontId="7" fillId="0" borderId="11" xfId="1" applyNumberFormat="1" applyFont="1" applyFill="1" applyBorder="1"/>
    <xf numFmtId="0" fontId="7" fillId="0" borderId="10" xfId="0" applyFont="1" applyBorder="1"/>
    <xf numFmtId="165" fontId="7" fillId="0" borderId="11" xfId="1" applyNumberFormat="1" applyFont="1" applyBorder="1"/>
    <xf numFmtId="165" fontId="7" fillId="0" borderId="51" xfId="1" applyNumberFormat="1" applyFont="1" applyBorder="1"/>
    <xf numFmtId="165" fontId="7" fillId="0" borderId="79" xfId="1" applyNumberFormat="1" applyFont="1" applyBorder="1"/>
    <xf numFmtId="0" fontId="6" fillId="12" borderId="10" xfId="0" applyFont="1" applyFill="1" applyBorder="1" applyAlignment="1">
      <alignment horizontal="center" vertical="center" wrapText="1"/>
    </xf>
    <xf numFmtId="0" fontId="5" fillId="12" borderId="10" xfId="0" applyFont="1" applyFill="1" applyBorder="1" applyAlignment="1">
      <alignment horizontal="center" vertical="center" wrapText="1"/>
    </xf>
    <xf numFmtId="17" fontId="8" fillId="8" borderId="10" xfId="0" applyNumberFormat="1" applyFont="1" applyFill="1" applyBorder="1" applyAlignment="1">
      <alignment horizontal="left" vertical="center"/>
    </xf>
    <xf numFmtId="3" fontId="8" fillId="8" borderId="10" xfId="0" applyNumberFormat="1" applyFont="1" applyFill="1" applyBorder="1" applyAlignment="1">
      <alignment horizontal="center" vertical="center"/>
    </xf>
    <xf numFmtId="0" fontId="8" fillId="8" borderId="10" xfId="0" applyFont="1" applyFill="1" applyBorder="1" applyAlignment="1">
      <alignment horizontal="center" vertical="center"/>
    </xf>
    <xf numFmtId="0" fontId="8" fillId="4" borderId="10" xfId="0" applyFont="1" applyFill="1" applyBorder="1" applyAlignment="1">
      <alignment horizontal="center" vertical="center"/>
    </xf>
    <xf numFmtId="3" fontId="8" fillId="4" borderId="10" xfId="0" applyNumberFormat="1" applyFont="1" applyFill="1" applyBorder="1" applyAlignment="1">
      <alignment horizontal="center" vertical="center"/>
    </xf>
    <xf numFmtId="17" fontId="7" fillId="8" borderId="10" xfId="0" applyNumberFormat="1" applyFont="1" applyFill="1" applyBorder="1" applyAlignment="1">
      <alignment horizontal="left" vertical="center"/>
    </xf>
    <xf numFmtId="3" fontId="7" fillId="8" borderId="10" xfId="0" applyNumberFormat="1" applyFont="1" applyFill="1" applyBorder="1" applyAlignment="1">
      <alignment horizontal="center" vertical="center"/>
    </xf>
    <xf numFmtId="0" fontId="8" fillId="0" borderId="0" xfId="0" applyFont="1" applyAlignment="1"/>
    <xf numFmtId="0" fontId="8" fillId="0" borderId="0" xfId="0" applyFont="1" applyBorder="1" applyAlignment="1">
      <alignment vertical="top" wrapText="1"/>
    </xf>
    <xf numFmtId="0" fontId="8" fillId="13" borderId="0" xfId="0" applyFont="1" applyFill="1"/>
    <xf numFmtId="0" fontId="0" fillId="13" borderId="0" xfId="0" applyFill="1"/>
    <xf numFmtId="0" fontId="10" fillId="0" borderId="0" xfId="6" applyAlignment="1" applyProtection="1"/>
    <xf numFmtId="165" fontId="13" fillId="6" borderId="0" xfId="5" applyNumberFormat="1" applyFont="1" applyFill="1" applyBorder="1"/>
    <xf numFmtId="0" fontId="13" fillId="0" borderId="0" xfId="0" applyFont="1"/>
    <xf numFmtId="0" fontId="22" fillId="0" borderId="0" xfId="0" applyFont="1"/>
    <xf numFmtId="0" fontId="21" fillId="0" borderId="0" xfId="0" applyFont="1" applyBorder="1"/>
    <xf numFmtId="0" fontId="10" fillId="0" borderId="0" xfId="6" quotePrefix="1" applyFont="1" applyBorder="1" applyAlignment="1" applyProtection="1">
      <alignment vertical="top"/>
    </xf>
    <xf numFmtId="0" fontId="10" fillId="0" borderId="0" xfId="6" quotePrefix="1" applyFont="1" applyFill="1" applyBorder="1" applyAlignment="1" applyProtection="1"/>
    <xf numFmtId="0" fontId="10" fillId="0" borderId="0" xfId="6" quotePrefix="1" applyFont="1" applyAlignment="1" applyProtection="1"/>
    <xf numFmtId="0" fontId="21" fillId="0" borderId="0" xfId="0" applyFont="1"/>
    <xf numFmtId="0" fontId="16" fillId="0" borderId="0" xfId="0" applyFont="1" applyAlignment="1">
      <alignment vertical="center" wrapText="1"/>
    </xf>
    <xf numFmtId="0" fontId="21" fillId="13" borderId="0" xfId="0" applyFont="1" applyFill="1"/>
    <xf numFmtId="0" fontId="23" fillId="0" borderId="0" xfId="0" applyFont="1"/>
    <xf numFmtId="0" fontId="16" fillId="0" borderId="53" xfId="0" applyFont="1" applyBorder="1"/>
    <xf numFmtId="0" fontId="23" fillId="0" borderId="76" xfId="0" applyFont="1" applyBorder="1"/>
    <xf numFmtId="0" fontId="23" fillId="0" borderId="16" xfId="0" applyFont="1" applyBorder="1"/>
    <xf numFmtId="0" fontId="23" fillId="0" borderId="77" xfId="0" applyFont="1" applyBorder="1"/>
    <xf numFmtId="0" fontId="23" fillId="0" borderId="28" xfId="0" applyFont="1" applyBorder="1"/>
    <xf numFmtId="0" fontId="24" fillId="0" borderId="0" xfId="6" quotePrefix="1" applyFont="1" applyAlignment="1" applyProtection="1"/>
    <xf numFmtId="0" fontId="24" fillId="0" borderId="0" xfId="6" applyFont="1" applyAlignment="1" applyProtection="1"/>
    <xf numFmtId="0" fontId="26" fillId="0" borderId="0" xfId="6" applyFont="1" applyAlignment="1" applyProtection="1"/>
    <xf numFmtId="0" fontId="16" fillId="0" borderId="0" xfId="0" applyFont="1" applyFill="1" applyBorder="1"/>
    <xf numFmtId="0" fontId="26" fillId="0" borderId="0" xfId="6" quotePrefix="1" applyFont="1" applyAlignment="1" applyProtection="1"/>
    <xf numFmtId="0" fontId="23" fillId="0" borderId="70" xfId="0" applyFont="1" applyBorder="1"/>
    <xf numFmtId="0" fontId="23" fillId="0" borderId="0" xfId="0" applyFont="1" applyBorder="1"/>
    <xf numFmtId="0" fontId="23" fillId="0" borderId="21" xfId="0" applyFont="1" applyBorder="1"/>
    <xf numFmtId="0" fontId="23" fillId="0" borderId="30" xfId="0" applyFont="1" applyBorder="1"/>
    <xf numFmtId="0" fontId="24" fillId="0" borderId="0" xfId="6" quotePrefix="1" applyFont="1" applyFill="1" applyBorder="1" applyAlignment="1" applyProtection="1"/>
    <xf numFmtId="0" fontId="19" fillId="0" borderId="0" xfId="0" applyFont="1" applyAlignment="1">
      <alignment vertical="center"/>
    </xf>
    <xf numFmtId="0" fontId="18" fillId="0" borderId="0" xfId="0" applyFont="1" applyAlignment="1">
      <alignment horizontal="left" vertical="center"/>
    </xf>
    <xf numFmtId="0" fontId="27" fillId="0" borderId="0" xfId="6" applyFont="1" applyAlignment="1" applyProtection="1"/>
    <xf numFmtId="0" fontId="28" fillId="0" borderId="0" xfId="6" applyFont="1" applyAlignment="1" applyProtection="1"/>
    <xf numFmtId="0" fontId="29" fillId="0" borderId="0" xfId="6" applyFont="1" applyAlignment="1" applyProtection="1"/>
    <xf numFmtId="3" fontId="30" fillId="0" borderId="10" xfId="0" applyNumberFormat="1" applyFont="1" applyFill="1" applyBorder="1" applyAlignment="1">
      <alignment horizontal="right" vertical="center"/>
    </xf>
    <xf numFmtId="3" fontId="30" fillId="0" borderId="10" xfId="0" applyNumberFormat="1" applyFont="1" applyBorder="1" applyAlignment="1">
      <alignment horizontal="right" vertical="center"/>
    </xf>
    <xf numFmtId="0" fontId="31" fillId="0" borderId="10" xfId="9" applyFont="1" applyBorder="1" applyAlignment="1">
      <alignment horizontal="center" vertical="center"/>
    </xf>
    <xf numFmtId="17" fontId="30" fillId="0" borderId="10" xfId="0" applyNumberFormat="1" applyFont="1" applyBorder="1" applyAlignment="1">
      <alignment horizontal="left" vertical="center"/>
    </xf>
    <xf numFmtId="0" fontId="3" fillId="5" borderId="10" xfId="0" applyFont="1" applyFill="1" applyBorder="1" applyAlignment="1">
      <alignment horizontal="center"/>
    </xf>
    <xf numFmtId="0" fontId="3" fillId="5" borderId="10" xfId="0" applyFont="1" applyFill="1" applyBorder="1" applyAlignment="1">
      <alignment horizontal="center" vertical="center"/>
    </xf>
    <xf numFmtId="0" fontId="23" fillId="0" borderId="30" xfId="0" applyFont="1" applyFill="1" applyBorder="1"/>
    <xf numFmtId="17" fontId="30" fillId="0" borderId="10" xfId="0" applyNumberFormat="1" applyFont="1" applyFill="1" applyBorder="1" applyAlignment="1">
      <alignment horizontal="left" vertical="center"/>
    </xf>
    <xf numFmtId="0" fontId="31" fillId="0" borderId="10" xfId="10" applyFont="1" applyBorder="1" applyAlignment="1">
      <alignment horizontal="center" vertical="center"/>
    </xf>
    <xf numFmtId="0" fontId="33" fillId="0" borderId="10" xfId="10" applyFont="1" applyBorder="1" applyAlignment="1">
      <alignment horizontal="center" vertical="center"/>
    </xf>
    <xf numFmtId="17" fontId="32" fillId="3" borderId="10" xfId="0" applyNumberFormat="1" applyFont="1" applyFill="1" applyBorder="1" applyAlignment="1">
      <alignment horizontal="left" vertical="center"/>
    </xf>
    <xf numFmtId="3" fontId="30" fillId="3" borderId="10" xfId="0" applyNumberFormat="1" applyFont="1" applyFill="1" applyBorder="1" applyAlignment="1">
      <alignment horizontal="right" vertical="center"/>
    </xf>
    <xf numFmtId="0" fontId="32" fillId="9" borderId="10" xfId="0" applyFont="1" applyFill="1" applyBorder="1" applyAlignment="1">
      <alignment horizontal="left" vertical="center"/>
    </xf>
    <xf numFmtId="3" fontId="32" fillId="9" borderId="10" xfId="0" applyNumberFormat="1" applyFont="1" applyFill="1" applyBorder="1" applyAlignment="1">
      <alignment horizontal="right" vertical="center"/>
    </xf>
    <xf numFmtId="165" fontId="3" fillId="5" borderId="10" xfId="5" applyNumberFormat="1" applyFont="1" applyFill="1" applyBorder="1" applyAlignment="1">
      <alignment horizontal="center" vertical="center" wrapText="1"/>
    </xf>
    <xf numFmtId="165" fontId="6" fillId="3" borderId="14" xfId="3" applyNumberFormat="1" applyFont="1" applyFill="1" applyBorder="1" applyAlignment="1">
      <alignment horizontal="left" vertical="center" wrapText="1"/>
    </xf>
    <xf numFmtId="0" fontId="17" fillId="5" borderId="10" xfId="0" applyFont="1" applyFill="1" applyBorder="1" applyAlignment="1">
      <alignment horizontal="center" vertical="center" wrapText="1"/>
    </xf>
    <xf numFmtId="3" fontId="6" fillId="0" borderId="10" xfId="0" applyNumberFormat="1" applyFont="1" applyBorder="1"/>
    <xf numFmtId="3" fontId="3" fillId="5" borderId="10" xfId="0" applyNumberFormat="1" applyFont="1" applyFill="1" applyBorder="1" applyAlignment="1">
      <alignment horizontal="center" vertical="center"/>
    </xf>
    <xf numFmtId="3" fontId="11" fillId="0" borderId="10" xfId="0" applyNumberFormat="1" applyFont="1" applyBorder="1" applyAlignment="1" applyProtection="1">
      <alignment horizontal="left"/>
    </xf>
    <xf numFmtId="3" fontId="5" fillId="0" borderId="10" xfId="0" applyNumberFormat="1" applyFont="1" applyBorder="1"/>
    <xf numFmtId="3" fontId="6" fillId="0" borderId="10" xfId="0" quotePrefix="1" applyNumberFormat="1" applyFont="1" applyBorder="1" applyAlignment="1" applyProtection="1">
      <alignment horizontal="left"/>
    </xf>
    <xf numFmtId="3" fontId="12" fillId="0" borderId="10" xfId="0" applyNumberFormat="1" applyFont="1" applyBorder="1" applyAlignment="1" applyProtection="1">
      <alignment horizontal="left"/>
    </xf>
    <xf numFmtId="3" fontId="5" fillId="0" borderId="10" xfId="0" quotePrefix="1" applyNumberFormat="1" applyFont="1" applyBorder="1" applyAlignment="1" applyProtection="1">
      <alignment horizontal="left"/>
    </xf>
    <xf numFmtId="165" fontId="8" fillId="14" borderId="9" xfId="1" applyNumberFormat="1" applyFont="1" applyFill="1" applyBorder="1"/>
    <xf numFmtId="165" fontId="7" fillId="14" borderId="9" xfId="1" applyNumberFormat="1" applyFont="1" applyFill="1" applyBorder="1"/>
    <xf numFmtId="0" fontId="0" fillId="0" borderId="0" xfId="0" applyFont="1" applyBorder="1" applyAlignment="1">
      <alignment horizontal="left" vertical="top" wrapText="1"/>
    </xf>
    <xf numFmtId="3" fontId="35" fillId="0" borderId="10" xfId="0" applyNumberFormat="1" applyFont="1" applyBorder="1" applyAlignment="1">
      <alignment horizontal="right" vertical="center"/>
    </xf>
    <xf numFmtId="0" fontId="34" fillId="7" borderId="10" xfId="0" applyFont="1" applyFill="1" applyBorder="1" applyAlignment="1">
      <alignment horizontal="left" vertical="center"/>
    </xf>
    <xf numFmtId="17" fontId="35" fillId="0" borderId="10" xfId="0" applyNumberFormat="1" applyFont="1" applyFill="1" applyBorder="1" applyAlignment="1">
      <alignment horizontal="left" vertical="center"/>
    </xf>
    <xf numFmtId="3" fontId="35" fillId="0" borderId="10" xfId="0" applyNumberFormat="1" applyFont="1" applyFill="1" applyBorder="1" applyAlignment="1">
      <alignment horizontal="right" vertical="center"/>
    </xf>
    <xf numFmtId="3" fontId="34" fillId="3" borderId="10" xfId="0" applyNumberFormat="1" applyFont="1" applyFill="1" applyBorder="1" applyAlignment="1">
      <alignment horizontal="right" vertical="center"/>
    </xf>
    <xf numFmtId="3" fontId="36" fillId="0" borderId="10" xfId="4" applyNumberFormat="1" applyFont="1" applyBorder="1"/>
    <xf numFmtId="17" fontId="23" fillId="0" borderId="10" xfId="0" applyNumberFormat="1" applyFont="1" applyBorder="1" applyAlignment="1">
      <alignment horizontal="left"/>
    </xf>
    <xf numFmtId="165" fontId="23" fillId="0" borderId="10" xfId="1" applyNumberFormat="1" applyFont="1" applyBorder="1"/>
    <xf numFmtId="165" fontId="23" fillId="0" borderId="11" xfId="1" applyNumberFormat="1" applyFont="1" applyBorder="1"/>
    <xf numFmtId="165" fontId="23" fillId="0" borderId="51" xfId="1" applyNumberFormat="1" applyFont="1" applyBorder="1"/>
    <xf numFmtId="165" fontId="23" fillId="0" borderId="79" xfId="1" applyNumberFormat="1" applyFont="1" applyBorder="1"/>
    <xf numFmtId="165" fontId="23" fillId="0" borderId="9" xfId="1" applyNumberFormat="1" applyFont="1" applyBorder="1"/>
    <xf numFmtId="0" fontId="16" fillId="4" borderId="10" xfId="0" applyNumberFormat="1" applyFont="1" applyFill="1" applyBorder="1" applyAlignment="1">
      <alignment horizontal="left"/>
    </xf>
    <xf numFmtId="165" fontId="16" fillId="0" borderId="10" xfId="1" applyNumberFormat="1" applyFont="1" applyBorder="1"/>
    <xf numFmtId="165" fontId="16" fillId="0" borderId="11" xfId="1" applyNumberFormat="1" applyFont="1" applyBorder="1"/>
    <xf numFmtId="165" fontId="16" fillId="0" borderId="51" xfId="1" applyNumberFormat="1" applyFont="1" applyBorder="1"/>
    <xf numFmtId="165" fontId="16" fillId="0" borderId="79" xfId="1" applyNumberFormat="1" applyFont="1" applyBorder="1"/>
    <xf numFmtId="0" fontId="23" fillId="0" borderId="70" xfId="0" applyFont="1" applyBorder="1" applyAlignment="1">
      <alignment horizontal="left" vertical="top" wrapText="1"/>
    </xf>
    <xf numFmtId="0" fontId="23" fillId="0" borderId="0" xfId="0" applyFont="1" applyBorder="1" applyAlignment="1">
      <alignment horizontal="left" vertical="top" wrapText="1"/>
    </xf>
    <xf numFmtId="0" fontId="23" fillId="0" borderId="21" xfId="0" applyFont="1" applyBorder="1" applyAlignment="1">
      <alignment horizontal="left" vertical="top" wrapText="1"/>
    </xf>
    <xf numFmtId="0" fontId="24" fillId="0" borderId="0" xfId="6" quotePrefix="1" applyFont="1" applyAlignment="1" applyProtection="1">
      <alignment horizontal="left"/>
    </xf>
    <xf numFmtId="0" fontId="24" fillId="0" borderId="0" xfId="6" applyFont="1" applyAlignment="1" applyProtection="1">
      <alignment horizontal="left"/>
    </xf>
    <xf numFmtId="0" fontId="16" fillId="0" borderId="0" xfId="0" applyFont="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165" fontId="3" fillId="5" borderId="4" xfId="3" applyNumberFormat="1" applyFont="1" applyFill="1" applyBorder="1" applyAlignment="1">
      <alignment horizontal="center" vertical="center" wrapText="1"/>
    </xf>
    <xf numFmtId="165" fontId="3" fillId="5" borderId="8" xfId="3" applyNumberFormat="1" applyFont="1" applyFill="1" applyBorder="1" applyAlignment="1">
      <alignment horizontal="center" vertical="center" wrapText="1"/>
    </xf>
    <xf numFmtId="0" fontId="5" fillId="0" borderId="5"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8" fillId="0" borderId="0" xfId="0" applyFont="1" applyAlignment="1">
      <alignment horizontal="left" vertical="top" wrapText="1"/>
    </xf>
    <xf numFmtId="165" fontId="3" fillId="5" borderId="22" xfId="3" applyNumberFormat="1" applyFont="1" applyFill="1" applyBorder="1" applyAlignment="1">
      <alignment horizontal="center" vertical="center" wrapText="1"/>
    </xf>
    <xf numFmtId="9" fontId="5" fillId="0" borderId="61" xfId="2" applyFont="1" applyFill="1" applyBorder="1" applyAlignment="1">
      <alignment horizontal="center" vertical="center" wrapText="1"/>
    </xf>
    <xf numFmtId="9" fontId="5" fillId="0" borderId="62" xfId="2" applyFont="1" applyFill="1" applyBorder="1" applyAlignment="1">
      <alignment horizontal="center" vertical="center" wrapText="1"/>
    </xf>
    <xf numFmtId="17" fontId="16" fillId="0" borderId="0" xfId="0" applyNumberFormat="1" applyFont="1" applyAlignment="1">
      <alignment horizontal="center"/>
    </xf>
    <xf numFmtId="0" fontId="5" fillId="0" borderId="37" xfId="0" applyFont="1" applyBorder="1" applyAlignment="1">
      <alignment horizontal="center"/>
    </xf>
    <xf numFmtId="0" fontId="5" fillId="0" borderId="25" xfId="0" applyFont="1" applyBorder="1" applyAlignment="1">
      <alignment horizontal="center"/>
    </xf>
    <xf numFmtId="0" fontId="5" fillId="0" borderId="24" xfId="0" applyFont="1" applyBorder="1" applyAlignment="1">
      <alignment horizontal="center"/>
    </xf>
    <xf numFmtId="0" fontId="5" fillId="0" borderId="27" xfId="0" applyFont="1" applyBorder="1" applyAlignment="1">
      <alignment horizontal="center"/>
    </xf>
    <xf numFmtId="0" fontId="25" fillId="0" borderId="0" xfId="0" applyFont="1" applyAlignment="1">
      <alignment horizontal="center"/>
    </xf>
    <xf numFmtId="9" fontId="5" fillId="0" borderId="1" xfId="4" applyNumberFormat="1" applyFont="1" applyBorder="1" applyAlignment="1">
      <alignment horizontal="center"/>
    </xf>
    <xf numFmtId="9" fontId="5" fillId="0" borderId="3" xfId="4" applyNumberFormat="1" applyFont="1" applyBorder="1" applyAlignment="1">
      <alignment horizontal="center"/>
    </xf>
    <xf numFmtId="165" fontId="3" fillId="5" borderId="19" xfId="3" applyNumberFormat="1" applyFont="1" applyFill="1" applyBorder="1" applyAlignment="1">
      <alignment horizontal="center" vertical="center" wrapText="1"/>
    </xf>
    <xf numFmtId="0" fontId="5" fillId="0" borderId="63" xfId="0" applyFont="1" applyBorder="1" applyAlignment="1">
      <alignment horizontal="center"/>
    </xf>
    <xf numFmtId="0" fontId="5" fillId="0" borderId="64" xfId="0" applyFont="1" applyBorder="1" applyAlignment="1">
      <alignment horizontal="center"/>
    </xf>
    <xf numFmtId="0" fontId="5" fillId="0" borderId="66" xfId="0" applyFont="1" applyBorder="1" applyAlignment="1">
      <alignment horizontal="center"/>
    </xf>
    <xf numFmtId="0" fontId="5" fillId="0" borderId="67" xfId="0" applyFont="1" applyBorder="1" applyAlignment="1">
      <alignment horizontal="center"/>
    </xf>
    <xf numFmtId="0" fontId="5" fillId="0" borderId="68" xfId="0" applyFont="1" applyBorder="1" applyAlignment="1">
      <alignment horizontal="center"/>
    </xf>
    <xf numFmtId="0" fontId="5" fillId="0" borderId="65" xfId="0" applyFont="1" applyBorder="1" applyAlignment="1">
      <alignment horizontal="center"/>
    </xf>
    <xf numFmtId="165" fontId="3" fillId="5" borderId="10" xfId="5" applyNumberFormat="1" applyFont="1" applyFill="1" applyBorder="1" applyAlignment="1">
      <alignment horizontal="center" vertical="center" wrapText="1"/>
    </xf>
    <xf numFmtId="165" fontId="3" fillId="5" borderId="35" xfId="5" applyNumberFormat="1" applyFont="1" applyFill="1" applyBorder="1" applyAlignment="1">
      <alignment horizontal="center" vertical="center" wrapText="1"/>
    </xf>
    <xf numFmtId="165" fontId="3" fillId="5" borderId="47" xfId="5" applyNumberFormat="1" applyFont="1" applyFill="1" applyBorder="1" applyAlignment="1">
      <alignment horizontal="center" vertical="center" wrapText="1"/>
    </xf>
    <xf numFmtId="165" fontId="3" fillId="5" borderId="9" xfId="5" applyNumberFormat="1" applyFont="1" applyFill="1" applyBorder="1" applyAlignment="1">
      <alignment horizontal="center" vertical="center" wrapText="1"/>
    </xf>
    <xf numFmtId="165" fontId="25" fillId="0" borderId="0" xfId="5" applyNumberFormat="1" applyFont="1" applyFill="1" applyBorder="1" applyAlignment="1">
      <alignment horizontal="center" vertical="center"/>
    </xf>
    <xf numFmtId="165" fontId="3" fillId="5" borderId="29" xfId="5" applyNumberFormat="1" applyFont="1" applyFill="1" applyBorder="1" applyAlignment="1">
      <alignment horizontal="center" vertical="center" wrapText="1"/>
    </xf>
    <xf numFmtId="165" fontId="3" fillId="5" borderId="36" xfId="5" applyNumberFormat="1" applyFont="1" applyFill="1" applyBorder="1" applyAlignment="1">
      <alignment horizontal="center" vertical="center" wrapText="1"/>
    </xf>
    <xf numFmtId="0" fontId="23" fillId="0" borderId="30" xfId="0" applyFont="1" applyBorder="1" applyAlignment="1">
      <alignment horizontal="left" vertical="top" wrapText="1"/>
    </xf>
    <xf numFmtId="0" fontId="23" fillId="0" borderId="77" xfId="0" applyFont="1" applyBorder="1" applyAlignment="1">
      <alignment horizontal="left" vertical="top" wrapText="1"/>
    </xf>
    <xf numFmtId="0" fontId="23" fillId="0" borderId="28" xfId="0" applyFont="1" applyBorder="1" applyAlignment="1">
      <alignment horizontal="left" vertical="top" wrapText="1"/>
    </xf>
    <xf numFmtId="0" fontId="34" fillId="0" borderId="10" xfId="0" applyFont="1" applyBorder="1" applyAlignment="1">
      <alignment horizontal="center" vertical="center"/>
    </xf>
    <xf numFmtId="0" fontId="17" fillId="5" borderId="36" xfId="0" applyFont="1" applyFill="1" applyBorder="1" applyAlignment="1">
      <alignment horizontal="center" vertical="center" wrapText="1"/>
    </xf>
    <xf numFmtId="0" fontId="17" fillId="5" borderId="33" xfId="0" applyFont="1" applyFill="1" applyBorder="1" applyAlignment="1">
      <alignment horizontal="center" vertical="center" wrapText="1"/>
    </xf>
    <xf numFmtId="0" fontId="17" fillId="5" borderId="29" xfId="0" applyFont="1" applyFill="1" applyBorder="1" applyAlignment="1">
      <alignment horizontal="center" vertical="center" wrapText="1"/>
    </xf>
    <xf numFmtId="0" fontId="17" fillId="5" borderId="35" xfId="0" applyFont="1" applyFill="1" applyBorder="1" applyAlignment="1">
      <alignment horizontal="center" vertical="center"/>
    </xf>
    <xf numFmtId="0" fontId="17" fillId="5" borderId="47" xfId="0" applyFont="1" applyFill="1" applyBorder="1" applyAlignment="1">
      <alignment horizontal="center" vertical="center"/>
    </xf>
    <xf numFmtId="0" fontId="17" fillId="5" borderId="9" xfId="0" applyFont="1" applyFill="1" applyBorder="1" applyAlignment="1">
      <alignment horizontal="center" vertical="center"/>
    </xf>
    <xf numFmtId="0" fontId="3" fillId="5" borderId="10" xfId="0" applyFont="1" applyFill="1" applyBorder="1" applyAlignment="1">
      <alignment horizontal="center"/>
    </xf>
    <xf numFmtId="0" fontId="16" fillId="0" borderId="0" xfId="0" quotePrefix="1" applyFont="1" applyAlignment="1">
      <alignment horizontal="center"/>
    </xf>
    <xf numFmtId="3" fontId="3" fillId="5" borderId="10" xfId="0" applyNumberFormat="1" applyFont="1" applyFill="1" applyBorder="1" applyAlignment="1" applyProtection="1">
      <alignment horizontal="center" vertical="center"/>
    </xf>
    <xf numFmtId="3" fontId="4" fillId="5" borderId="10" xfId="0" applyNumberFormat="1" applyFont="1" applyFill="1" applyBorder="1" applyAlignment="1">
      <alignment horizontal="center"/>
    </xf>
    <xf numFmtId="3" fontId="3" fillId="5" borderId="10" xfId="0" applyNumberFormat="1" applyFont="1" applyFill="1" applyBorder="1" applyAlignment="1">
      <alignment horizontal="center" vertical="center"/>
    </xf>
    <xf numFmtId="0" fontId="4" fillId="5" borderId="10" xfId="0" applyFont="1" applyFill="1" applyBorder="1" applyAlignment="1">
      <alignment horizontal="center" vertical="center"/>
    </xf>
    <xf numFmtId="3" fontId="5" fillId="0" borderId="10" xfId="0" quotePrefix="1" applyNumberFormat="1" applyFont="1" applyBorder="1" applyAlignment="1">
      <alignment horizontal="center" vertical="center"/>
    </xf>
    <xf numFmtId="0" fontId="5" fillId="0" borderId="10" xfId="0" applyFont="1" applyBorder="1" applyAlignment="1">
      <alignment horizontal="center" vertical="center"/>
    </xf>
    <xf numFmtId="0" fontId="6" fillId="0" borderId="10" xfId="0" applyFont="1" applyBorder="1" applyAlignment="1">
      <alignment horizontal="center" vertical="center"/>
    </xf>
    <xf numFmtId="3" fontId="5" fillId="0" borderId="10" xfId="0" applyNumberFormat="1" applyFont="1" applyBorder="1" applyAlignment="1">
      <alignment horizontal="center" vertical="center"/>
    </xf>
    <xf numFmtId="0" fontId="5" fillId="0" borderId="10" xfId="0" quotePrefix="1" applyFont="1" applyBorder="1" applyAlignment="1">
      <alignment horizontal="center" vertical="center"/>
    </xf>
    <xf numFmtId="0" fontId="16" fillId="0" borderId="0" xfId="0" applyFont="1" applyAlignment="1">
      <alignment horizontal="center" vertical="top" wrapText="1"/>
    </xf>
    <xf numFmtId="0" fontId="3" fillId="5" borderId="10" xfId="0" applyNumberFormat="1"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5" borderId="10" xfId="0" applyFont="1" applyFill="1" applyBorder="1" applyAlignment="1">
      <alignment horizontal="center" vertical="center"/>
    </xf>
    <xf numFmtId="0" fontId="3" fillId="5" borderId="78" xfId="0" applyFont="1" applyFill="1" applyBorder="1" applyAlignment="1">
      <alignment horizontal="center" vertical="center" wrapText="1"/>
    </xf>
    <xf numFmtId="0" fontId="3" fillId="5" borderId="31" xfId="0" applyFont="1" applyFill="1" applyBorder="1" applyAlignment="1">
      <alignment horizontal="center" vertical="center" wrapText="1"/>
    </xf>
    <xf numFmtId="0" fontId="3" fillId="5" borderId="47"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36" xfId="0" applyFont="1" applyFill="1" applyBorder="1" applyAlignment="1">
      <alignment horizontal="center" vertical="center" wrapText="1"/>
    </xf>
    <xf numFmtId="0" fontId="3" fillId="5" borderId="29" xfId="0" applyFont="1" applyFill="1" applyBorder="1" applyAlignment="1">
      <alignment horizontal="center" vertical="center" wrapText="1"/>
    </xf>
    <xf numFmtId="0" fontId="16" fillId="0" borderId="0" xfId="0" applyFont="1" applyAlignment="1">
      <alignment horizontal="center" wrapText="1"/>
    </xf>
    <xf numFmtId="0" fontId="16" fillId="0" borderId="0" xfId="0" applyFont="1" applyAlignment="1">
      <alignment horizontal="center" vertical="center"/>
    </xf>
    <xf numFmtId="0" fontId="3" fillId="5" borderId="35" xfId="0" applyFont="1" applyFill="1" applyBorder="1" applyAlignment="1">
      <alignment horizontal="center" vertical="center" wrapText="1"/>
    </xf>
    <xf numFmtId="0" fontId="3" fillId="5" borderId="47" xfId="0" applyFont="1" applyFill="1" applyBorder="1" applyAlignment="1">
      <alignment horizontal="center" vertical="center"/>
    </xf>
    <xf numFmtId="0" fontId="3" fillId="5" borderId="9" xfId="0" applyFont="1" applyFill="1" applyBorder="1" applyAlignment="1">
      <alignment horizontal="center" vertical="center"/>
    </xf>
    <xf numFmtId="0" fontId="3" fillId="5" borderId="36" xfId="0" applyNumberFormat="1" applyFont="1" applyFill="1" applyBorder="1" applyAlignment="1">
      <alignment horizontal="center" vertical="center" wrapText="1"/>
    </xf>
    <xf numFmtId="0" fontId="3" fillId="5" borderId="29" xfId="0" applyNumberFormat="1" applyFont="1" applyFill="1" applyBorder="1" applyAlignment="1">
      <alignment horizontal="center" vertical="center" wrapText="1"/>
    </xf>
    <xf numFmtId="17" fontId="7" fillId="3" borderId="35" xfId="0" applyNumberFormat="1" applyFont="1" applyFill="1" applyBorder="1" applyAlignment="1">
      <alignment horizontal="left"/>
    </xf>
    <xf numFmtId="17" fontId="7" fillId="3" borderId="47" xfId="0" applyNumberFormat="1" applyFont="1" applyFill="1" applyBorder="1" applyAlignment="1">
      <alignment horizontal="left"/>
    </xf>
    <xf numFmtId="17" fontId="7" fillId="3" borderId="9" xfId="0" applyNumberFormat="1" applyFont="1" applyFill="1" applyBorder="1" applyAlignment="1">
      <alignment horizontal="left"/>
    </xf>
    <xf numFmtId="0" fontId="7" fillId="3" borderId="35" xfId="0" applyNumberFormat="1" applyFont="1" applyFill="1" applyBorder="1" applyAlignment="1">
      <alignment horizontal="left"/>
    </xf>
    <xf numFmtId="0" fontId="7" fillId="3" borderId="47" xfId="0" applyNumberFormat="1" applyFont="1" applyFill="1" applyBorder="1" applyAlignment="1">
      <alignment horizontal="left"/>
    </xf>
    <xf numFmtId="0" fontId="7" fillId="3" borderId="9" xfId="0" applyNumberFormat="1" applyFont="1" applyFill="1" applyBorder="1" applyAlignment="1">
      <alignment horizontal="left"/>
    </xf>
    <xf numFmtId="17" fontId="7" fillId="11" borderId="10" xfId="0" applyNumberFormat="1" applyFont="1" applyFill="1" applyBorder="1" applyAlignment="1">
      <alignment horizontal="center"/>
    </xf>
    <xf numFmtId="0" fontId="3" fillId="5" borderId="36"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29" xfId="0" applyFont="1" applyFill="1" applyBorder="1" applyAlignment="1">
      <alignment horizontal="center" vertical="center"/>
    </xf>
    <xf numFmtId="0" fontId="19" fillId="0" borderId="0" xfId="0" applyFont="1" applyAlignment="1">
      <alignment vertical="center"/>
    </xf>
    <xf numFmtId="0" fontId="19" fillId="0" borderId="0" xfId="0" applyFont="1" applyAlignment="1">
      <alignment horizontal="left" vertical="center" wrapText="1"/>
    </xf>
    <xf numFmtId="0" fontId="19" fillId="0" borderId="0" xfId="0" applyFont="1" applyAlignment="1">
      <alignment horizontal="left" vertical="top" wrapText="1"/>
    </xf>
    <xf numFmtId="0" fontId="7" fillId="0" borderId="36"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9" xfId="0" applyFont="1" applyBorder="1" applyAlignment="1">
      <alignment horizontal="center" vertical="center" wrapText="1"/>
    </xf>
    <xf numFmtId="0" fontId="5" fillId="12" borderId="35" xfId="0" applyFont="1" applyFill="1" applyBorder="1" applyAlignment="1">
      <alignment horizontal="center" vertical="center"/>
    </xf>
    <xf numFmtId="0" fontId="5" fillId="12" borderId="47" xfId="0" applyFont="1" applyFill="1" applyBorder="1" applyAlignment="1">
      <alignment horizontal="center" vertical="center"/>
    </xf>
    <xf numFmtId="0" fontId="5" fillId="12" borderId="9" xfId="0" applyFont="1" applyFill="1" applyBorder="1" applyAlignment="1">
      <alignment horizontal="center" vertical="center"/>
    </xf>
    <xf numFmtId="0" fontId="5" fillId="12" borderId="36" xfId="0" applyFont="1" applyFill="1" applyBorder="1" applyAlignment="1">
      <alignment horizontal="center" vertical="center" wrapText="1"/>
    </xf>
    <xf numFmtId="0" fontId="5" fillId="12" borderId="29" xfId="0" applyFont="1" applyFill="1" applyBorder="1" applyAlignment="1">
      <alignment horizontal="center" vertical="center" wrapText="1"/>
    </xf>
    <xf numFmtId="0" fontId="5" fillId="12" borderId="35" xfId="0" applyFont="1" applyFill="1" applyBorder="1" applyAlignment="1">
      <alignment horizontal="center" vertical="center" wrapText="1"/>
    </xf>
    <xf numFmtId="0" fontId="5" fillId="12" borderId="47" xfId="0" applyFont="1" applyFill="1" applyBorder="1" applyAlignment="1">
      <alignment horizontal="center" vertical="center" wrapText="1"/>
    </xf>
    <xf numFmtId="0" fontId="5" fillId="12" borderId="9" xfId="0" applyFont="1" applyFill="1" applyBorder="1" applyAlignment="1">
      <alignment horizontal="center" vertical="center" wrapText="1"/>
    </xf>
  </cellXfs>
  <cellStyles count="11">
    <cellStyle name="Énfasis1" xfId="3" builtinId="29"/>
    <cellStyle name="Hipervínculo" xfId="6" builtinId="8"/>
    <cellStyle name="Hipervínculo 2" xfId="8" xr:uid="{00000000-0005-0000-0000-000002000000}"/>
    <cellStyle name="Millares" xfId="1" builtinId="3"/>
    <cellStyle name="Millares 2 3" xfId="5" xr:uid="{00000000-0005-0000-0000-000004000000}"/>
    <cellStyle name="Normal" xfId="0" builtinId="0"/>
    <cellStyle name="Normal 10" xfId="10" xr:uid="{00000000-0005-0000-0000-000006000000}"/>
    <cellStyle name="Normal 2" xfId="4" xr:uid="{00000000-0005-0000-0000-000007000000}"/>
    <cellStyle name="Normal 46" xfId="9" xr:uid="{00000000-0005-0000-0000-000008000000}"/>
    <cellStyle name="Porcentaje" xfId="2" builtinId="5"/>
    <cellStyle name="Porcentual 2" xfId="7" xr:uid="{00000000-0005-0000-0000-00000A000000}"/>
  </cellStyles>
  <dxfs count="0"/>
  <tableStyles count="0" defaultTableStyle="TableStyleMedium2" defaultPivotStyle="PivotStyleLight16"/>
  <colors>
    <mruColors>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885825</xdr:colOff>
      <xdr:row>1</xdr:row>
      <xdr:rowOff>0</xdr:rowOff>
    </xdr:to>
    <xdr:pic>
      <xdr:nvPicPr>
        <xdr:cNvPr id="2" name="Imagen 1" descr="cid:image001.png@01CC8988.715F2480">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a:stretch>
          <a:fillRect/>
        </a:stretch>
      </xdr:blipFill>
      <xdr:spPr bwMode="auto">
        <a:xfrm>
          <a:off x="0" y="0"/>
          <a:ext cx="885825" cy="790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
  <sheetViews>
    <sheetView workbookViewId="0">
      <selection activeCell="B3" sqref="B3"/>
    </sheetView>
  </sheetViews>
  <sheetFormatPr baseColWidth="10" defaultRowHeight="15" x14ac:dyDescent="0.25"/>
  <sheetData>
    <row r="2" spans="1:2" x14ac:dyDescent="0.25">
      <c r="A2" t="s">
        <v>483</v>
      </c>
      <c r="B2" t="s">
        <v>618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504D"/>
  </sheetPr>
  <dimension ref="A1:N16"/>
  <sheetViews>
    <sheetView showGridLines="0" workbookViewId="0">
      <selection activeCell="B8" sqref="B8"/>
    </sheetView>
  </sheetViews>
  <sheetFormatPr baseColWidth="10" defaultRowHeight="15" x14ac:dyDescent="0.25"/>
  <cols>
    <col min="1" max="1" width="13.5703125" customWidth="1"/>
    <col min="2" max="2" width="31.42578125" customWidth="1"/>
  </cols>
  <sheetData>
    <row r="1" spans="1:14" ht="62.25" customHeight="1" x14ac:dyDescent="0.25">
      <c r="B1" s="346" t="s">
        <v>598</v>
      </c>
    </row>
    <row r="2" spans="1:14" x14ac:dyDescent="0.25">
      <c r="A2" s="345"/>
      <c r="B2" s="167"/>
      <c r="C2" s="167"/>
    </row>
    <row r="3" spans="1:14" x14ac:dyDescent="0.25">
      <c r="A3" s="345"/>
      <c r="B3" s="167"/>
      <c r="C3" s="167"/>
    </row>
    <row r="4" spans="1:14" x14ac:dyDescent="0.25">
      <c r="A4" s="196"/>
      <c r="B4" s="167"/>
      <c r="C4" s="167"/>
    </row>
    <row r="5" spans="1:14" ht="15.75" x14ac:dyDescent="0.25">
      <c r="A5" s="196"/>
      <c r="B5" s="340" t="s">
        <v>482</v>
      </c>
      <c r="C5" s="167"/>
    </row>
    <row r="7" spans="1:14" s="167" customFormat="1" x14ac:dyDescent="0.25">
      <c r="B7" s="341" t="s">
        <v>144</v>
      </c>
      <c r="C7" s="182"/>
      <c r="D7" s="182"/>
      <c r="E7" s="182"/>
      <c r="F7" s="182"/>
      <c r="G7" s="182"/>
      <c r="H7" s="182"/>
      <c r="I7" s="182"/>
      <c r="J7" s="182"/>
      <c r="K7" s="182"/>
      <c r="L7" s="182"/>
      <c r="M7" s="182"/>
    </row>
    <row r="8" spans="1:14" s="167" customFormat="1" ht="90" x14ac:dyDescent="0.2">
      <c r="B8" s="395" t="s">
        <v>628</v>
      </c>
      <c r="C8" s="228"/>
      <c r="D8" s="228"/>
      <c r="E8" s="228"/>
      <c r="F8" s="228"/>
      <c r="G8" s="228"/>
      <c r="H8" s="228"/>
      <c r="I8" s="228"/>
      <c r="J8" s="228"/>
      <c r="K8" s="228"/>
      <c r="L8" s="228"/>
      <c r="M8" s="228"/>
      <c r="N8" s="182"/>
    </row>
    <row r="9" spans="1:14" s="167" customFormat="1" ht="15" customHeight="1" x14ac:dyDescent="0.2">
      <c r="B9" s="228"/>
      <c r="C9" s="228"/>
      <c r="D9" s="228"/>
      <c r="E9" s="228"/>
      <c r="F9" s="228"/>
      <c r="G9" s="228"/>
      <c r="H9" s="228"/>
      <c r="I9" s="228"/>
      <c r="J9" s="228"/>
      <c r="K9" s="228"/>
      <c r="L9" s="228"/>
      <c r="M9" s="228"/>
      <c r="N9" s="334"/>
    </row>
    <row r="10" spans="1:14" s="167" customFormat="1" x14ac:dyDescent="0.2">
      <c r="B10" s="342" t="s">
        <v>586</v>
      </c>
      <c r="C10" s="334"/>
      <c r="D10" s="334"/>
      <c r="E10" s="334"/>
      <c r="F10" s="334"/>
      <c r="G10" s="334"/>
      <c r="H10" s="334"/>
      <c r="I10" s="334"/>
      <c r="J10" s="334"/>
      <c r="K10" s="334"/>
      <c r="L10" s="334"/>
      <c r="M10" s="334"/>
      <c r="N10" s="334"/>
    </row>
    <row r="11" spans="1:14" s="167" customFormat="1" x14ac:dyDescent="0.25">
      <c r="B11" s="343" t="s">
        <v>588</v>
      </c>
      <c r="C11" s="182"/>
      <c r="D11" s="182"/>
      <c r="E11" s="182"/>
      <c r="F11" s="182"/>
      <c r="G11" s="182"/>
      <c r="H11" s="182"/>
      <c r="I11" s="182"/>
      <c r="J11" s="182"/>
      <c r="K11" s="182"/>
      <c r="L11" s="182"/>
      <c r="M11" s="182"/>
      <c r="N11" s="334"/>
    </row>
    <row r="12" spans="1:14" s="167" customFormat="1" x14ac:dyDescent="0.25">
      <c r="B12" s="344" t="s">
        <v>587</v>
      </c>
      <c r="N12" s="182"/>
    </row>
    <row r="13" spans="1:14" s="167" customFormat="1" ht="12" x14ac:dyDescent="0.2"/>
    <row r="14" spans="1:14" s="167" customFormat="1" ht="12" x14ac:dyDescent="0.2"/>
    <row r="15" spans="1:14" s="167" customFormat="1" ht="12" x14ac:dyDescent="0.2"/>
    <row r="16" spans="1:14" s="167" customFormat="1" ht="12" x14ac:dyDescent="0.2"/>
  </sheetData>
  <hyperlinks>
    <hyperlink ref="B10" location="'Índice Pensiones Solidarias'!A1" display="'Índice Pensiones Solidarias'!A1" xr:uid="{00000000-0004-0000-0100-000000000000}"/>
    <hyperlink ref="B11" location="'Índice BxH'!A1" display="'Índice BxH'!A1" xr:uid="{00000000-0004-0000-0100-000001000000}"/>
    <hyperlink ref="B12" location="'Índice STJ'!A1" display="'Índice STJ'!A1" xr:uid="{00000000-0004-0000-0100-000002000000}"/>
  </hyperlink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2:N36"/>
  <sheetViews>
    <sheetView showGridLines="0" tabSelected="1" workbookViewId="0">
      <selection activeCell="B22" sqref="B22:D22"/>
    </sheetView>
  </sheetViews>
  <sheetFormatPr baseColWidth="10" defaultColWidth="11.42578125" defaultRowHeight="12" x14ac:dyDescent="0.2"/>
  <cols>
    <col min="1" max="1" width="6" style="167" customWidth="1"/>
    <col min="2" max="7" width="11.42578125" style="167"/>
    <col min="8" max="8" width="13.5703125" style="167" customWidth="1"/>
    <col min="9" max="16384" width="11.42578125" style="167"/>
  </cols>
  <sheetData>
    <row r="2" spans="1:14" x14ac:dyDescent="0.2">
      <c r="A2" s="196" t="s">
        <v>121</v>
      </c>
    </row>
    <row r="3" spans="1:14" x14ac:dyDescent="0.2">
      <c r="A3" s="196" t="s">
        <v>122</v>
      </c>
    </row>
    <row r="4" spans="1:14" ht="15.75" customHeight="1" x14ac:dyDescent="0.2">
      <c r="A4" s="196"/>
    </row>
    <row r="5" spans="1:14" ht="15" x14ac:dyDescent="0.25">
      <c r="A5" s="196"/>
      <c r="B5" s="347" t="s">
        <v>592</v>
      </c>
      <c r="C5" s="335"/>
      <c r="D5" s="335"/>
      <c r="E5" s="335"/>
      <c r="N5" s="366" t="s">
        <v>597</v>
      </c>
    </row>
    <row r="7" spans="1:14" s="348" customFormat="1" ht="12.75" x14ac:dyDescent="0.2">
      <c r="B7" s="349" t="s">
        <v>144</v>
      </c>
      <c r="C7" s="350"/>
      <c r="D7" s="350"/>
      <c r="E7" s="350"/>
      <c r="F7" s="350"/>
      <c r="G7" s="350"/>
      <c r="H7" s="350"/>
      <c r="I7" s="350"/>
      <c r="J7" s="350"/>
      <c r="K7" s="350"/>
      <c r="L7" s="350"/>
      <c r="M7" s="350"/>
      <c r="N7" s="351"/>
    </row>
    <row r="8" spans="1:14" s="348" customFormat="1" ht="12.75" x14ac:dyDescent="0.2">
      <c r="B8" s="413" t="s">
        <v>629</v>
      </c>
      <c r="C8" s="414"/>
      <c r="D8" s="414"/>
      <c r="E8" s="414"/>
      <c r="F8" s="414"/>
      <c r="G8" s="414"/>
      <c r="H8" s="414"/>
      <c r="I8" s="414"/>
      <c r="J8" s="414"/>
      <c r="K8" s="414"/>
      <c r="L8" s="414"/>
      <c r="M8" s="414"/>
      <c r="N8" s="415"/>
    </row>
    <row r="9" spans="1:14" s="348" customFormat="1" ht="12.75" x14ac:dyDescent="0.2">
      <c r="B9" s="413"/>
      <c r="C9" s="414"/>
      <c r="D9" s="414"/>
      <c r="E9" s="414"/>
      <c r="F9" s="414"/>
      <c r="G9" s="414"/>
      <c r="H9" s="414"/>
      <c r="I9" s="414"/>
      <c r="J9" s="414"/>
      <c r="K9" s="414"/>
      <c r="L9" s="414"/>
      <c r="M9" s="414"/>
      <c r="N9" s="415"/>
    </row>
    <row r="10" spans="1:14" s="348" customFormat="1" ht="12.75" x14ac:dyDescent="0.2">
      <c r="B10" s="413"/>
      <c r="C10" s="414"/>
      <c r="D10" s="414"/>
      <c r="E10" s="414"/>
      <c r="F10" s="414"/>
      <c r="G10" s="414"/>
      <c r="H10" s="414"/>
      <c r="I10" s="414"/>
      <c r="J10" s="414"/>
      <c r="K10" s="414"/>
      <c r="L10" s="414"/>
      <c r="M10" s="414"/>
      <c r="N10" s="415"/>
    </row>
    <row r="11" spans="1:14" s="348" customFormat="1" ht="12.75" x14ac:dyDescent="0.2">
      <c r="B11" s="375" t="s">
        <v>630</v>
      </c>
      <c r="C11" s="352"/>
      <c r="D11" s="352"/>
      <c r="E11" s="352"/>
      <c r="F11" s="352"/>
      <c r="G11" s="352"/>
      <c r="H11" s="352"/>
      <c r="I11" s="352"/>
      <c r="J11" s="352"/>
      <c r="K11" s="352"/>
      <c r="L11" s="352"/>
      <c r="M11" s="352"/>
      <c r="N11" s="353"/>
    </row>
    <row r="12" spans="1:14" s="348" customFormat="1" ht="12.75" x14ac:dyDescent="0.2"/>
    <row r="13" spans="1:14" s="348" customFormat="1" ht="12.75" x14ac:dyDescent="0.2">
      <c r="B13" s="227" t="s">
        <v>145</v>
      </c>
    </row>
    <row r="14" spans="1:14" s="348" customFormat="1" ht="12.75" x14ac:dyDescent="0.2">
      <c r="B14" s="416" t="s">
        <v>632</v>
      </c>
      <c r="C14" s="416"/>
      <c r="D14" s="416"/>
      <c r="E14" s="416"/>
      <c r="F14" s="416"/>
      <c r="G14" s="416"/>
      <c r="H14" s="416"/>
      <c r="I14" s="416"/>
    </row>
    <row r="15" spans="1:14" s="348" customFormat="1" ht="12.75" x14ac:dyDescent="0.2">
      <c r="B15" s="416" t="s">
        <v>633</v>
      </c>
      <c r="C15" s="416"/>
      <c r="D15" s="416"/>
      <c r="E15" s="416"/>
      <c r="F15" s="416"/>
      <c r="G15" s="416"/>
      <c r="H15" s="416"/>
    </row>
    <row r="16" spans="1:14" s="348" customFormat="1" ht="12.75" x14ac:dyDescent="0.2"/>
    <row r="17" spans="2:10" s="348" customFormat="1" ht="12.75" x14ac:dyDescent="0.2">
      <c r="B17" s="227" t="s">
        <v>147</v>
      </c>
    </row>
    <row r="18" spans="2:10" s="348" customFormat="1" ht="12.75" x14ac:dyDescent="0.2">
      <c r="B18" s="417" t="s">
        <v>634</v>
      </c>
      <c r="C18" s="417"/>
      <c r="D18" s="417"/>
      <c r="E18" s="417"/>
      <c r="F18" s="417"/>
      <c r="G18" s="417"/>
      <c r="H18" s="417"/>
      <c r="I18" s="417"/>
      <c r="J18" s="417"/>
    </row>
    <row r="19" spans="2:10" s="348" customFormat="1" ht="12.75" x14ac:dyDescent="0.2">
      <c r="B19" s="417" t="s">
        <v>635</v>
      </c>
      <c r="C19" s="417"/>
      <c r="D19" s="417"/>
      <c r="E19" s="417"/>
      <c r="F19" s="417"/>
      <c r="G19" s="417"/>
      <c r="H19" s="417"/>
      <c r="I19" s="417"/>
    </row>
    <row r="20" spans="2:10" s="348" customFormat="1" ht="12.75" x14ac:dyDescent="0.2">
      <c r="B20" s="355"/>
    </row>
    <row r="21" spans="2:10" s="348" customFormat="1" ht="12.75" x14ac:dyDescent="0.2">
      <c r="B21" s="227" t="s">
        <v>636</v>
      </c>
    </row>
    <row r="22" spans="2:10" s="348" customFormat="1" ht="12.75" x14ac:dyDescent="0.2">
      <c r="B22" s="417" t="s">
        <v>123</v>
      </c>
      <c r="C22" s="417"/>
      <c r="D22" s="417"/>
    </row>
    <row r="23" spans="2:10" s="348" customFormat="1" ht="12.75" x14ac:dyDescent="0.2">
      <c r="B23" s="417" t="s">
        <v>124</v>
      </c>
      <c r="C23" s="417"/>
      <c r="D23" s="417"/>
    </row>
    <row r="24" spans="2:10" s="348" customFormat="1" ht="12.75" x14ac:dyDescent="0.2">
      <c r="B24" s="417" t="s">
        <v>131</v>
      </c>
      <c r="C24" s="417"/>
      <c r="D24" s="417"/>
    </row>
    <row r="25" spans="2:10" s="348" customFormat="1" ht="12.75" x14ac:dyDescent="0.2">
      <c r="B25" s="417" t="s">
        <v>125</v>
      </c>
      <c r="C25" s="417"/>
      <c r="D25" s="417"/>
    </row>
    <row r="26" spans="2:10" s="348" customFormat="1" ht="12.75" x14ac:dyDescent="0.2">
      <c r="B26" s="417" t="s">
        <v>126</v>
      </c>
      <c r="C26" s="417"/>
      <c r="D26" s="417"/>
    </row>
    <row r="27" spans="2:10" s="348" customFormat="1" ht="12.75" x14ac:dyDescent="0.2">
      <c r="B27" s="417" t="s">
        <v>127</v>
      </c>
      <c r="C27" s="417"/>
      <c r="D27" s="417"/>
    </row>
    <row r="28" spans="2:10" s="348" customFormat="1" ht="12.75" x14ac:dyDescent="0.2">
      <c r="B28" s="417" t="s">
        <v>128</v>
      </c>
      <c r="C28" s="417"/>
      <c r="D28" s="417"/>
    </row>
    <row r="29" spans="2:10" s="348" customFormat="1" ht="12.75" x14ac:dyDescent="0.2">
      <c r="B29" s="417" t="s">
        <v>129</v>
      </c>
      <c r="C29" s="417"/>
      <c r="D29" s="417"/>
    </row>
    <row r="30" spans="2:10" s="348" customFormat="1" ht="12.75" x14ac:dyDescent="0.2">
      <c r="B30" s="417" t="s">
        <v>130</v>
      </c>
      <c r="C30" s="417"/>
      <c r="D30" s="417"/>
    </row>
    <row r="31" spans="2:10" s="348" customFormat="1" ht="12.75" x14ac:dyDescent="0.2">
      <c r="B31" s="417" t="s">
        <v>132</v>
      </c>
      <c r="C31" s="417"/>
      <c r="D31" s="417"/>
    </row>
    <row r="32" spans="2:10" s="348" customFormat="1" ht="12.75" x14ac:dyDescent="0.2">
      <c r="B32" s="417" t="s">
        <v>133</v>
      </c>
      <c r="C32" s="417"/>
      <c r="D32" s="417"/>
    </row>
    <row r="33" spans="2:4" s="348" customFormat="1" ht="12.75" x14ac:dyDescent="0.2">
      <c r="B33" s="417" t="s">
        <v>134</v>
      </c>
      <c r="C33" s="417"/>
      <c r="D33" s="417"/>
    </row>
    <row r="34" spans="2:4" s="348" customFormat="1" ht="12.75" x14ac:dyDescent="0.2">
      <c r="B34" s="417" t="s">
        <v>135</v>
      </c>
      <c r="C34" s="417"/>
      <c r="D34" s="417"/>
    </row>
    <row r="35" spans="2:4" s="348" customFormat="1" ht="12.75" x14ac:dyDescent="0.2">
      <c r="B35" s="417" t="s">
        <v>136</v>
      </c>
      <c r="C35" s="417"/>
      <c r="D35" s="417"/>
    </row>
    <row r="36" spans="2:4" s="348" customFormat="1" ht="12.75" x14ac:dyDescent="0.2">
      <c r="B36" s="417" t="s">
        <v>137</v>
      </c>
      <c r="C36" s="417"/>
      <c r="D36" s="417"/>
    </row>
  </sheetData>
  <mergeCells count="20">
    <mergeCell ref="B34:D34"/>
    <mergeCell ref="B35:D35"/>
    <mergeCell ref="B36:D36"/>
    <mergeCell ref="B29:D29"/>
    <mergeCell ref="B30:D30"/>
    <mergeCell ref="B31:D31"/>
    <mergeCell ref="B32:D32"/>
    <mergeCell ref="B33:D33"/>
    <mergeCell ref="B28:D28"/>
    <mergeCell ref="B22:D22"/>
    <mergeCell ref="B23:D23"/>
    <mergeCell ref="B24:D24"/>
    <mergeCell ref="B25:D25"/>
    <mergeCell ref="B26:D26"/>
    <mergeCell ref="B27:D27"/>
    <mergeCell ref="B8:N10"/>
    <mergeCell ref="B15:H15"/>
    <mergeCell ref="B18:J18"/>
    <mergeCell ref="B19:I19"/>
    <mergeCell ref="B14:I14"/>
  </mergeCells>
  <hyperlinks>
    <hyperlink ref="B15" location="'Concesiones Nacional'!A1" display="Concesiones en el Sistema de Pensiones Solidarias, por mes, desde julio 2008 a marzo 2018" xr:uid="{00000000-0004-0000-0200-000000000000}"/>
    <hyperlink ref="B19" location="'Concesiones Regiones'!A1" display="Concesiones Regiones" xr:uid="{00000000-0004-0000-0200-000001000000}"/>
    <hyperlink ref="B22" location="XV!A1" display="XV Arica y Parinacota" xr:uid="{00000000-0004-0000-0200-000002000000}"/>
    <hyperlink ref="B23" location="I!A1" display="I Tarapaca" xr:uid="{00000000-0004-0000-0200-000003000000}"/>
    <hyperlink ref="B24" location="II!A1" display="II Antofagasta" xr:uid="{00000000-0004-0000-0200-000004000000}"/>
    <hyperlink ref="B25" location="III!A1" display="III Atacama" xr:uid="{00000000-0004-0000-0200-000005000000}"/>
    <hyperlink ref="B26" location="IV!A1" display="IV Coquimbo" xr:uid="{00000000-0004-0000-0200-000006000000}"/>
    <hyperlink ref="B27" location="V!A1" display="V Valparaiso" xr:uid="{00000000-0004-0000-0200-000007000000}"/>
    <hyperlink ref="B28" location="VI!A1" display="VI Libertador General Bernardo O'Higgins" xr:uid="{00000000-0004-0000-0200-000008000000}"/>
    <hyperlink ref="B29" location="VII!A1" display="VII Maule" xr:uid="{00000000-0004-0000-0200-000009000000}"/>
    <hyperlink ref="B30" location="VIII!A1" display="VIII Bio Bio" xr:uid="{00000000-0004-0000-0200-00000A000000}"/>
    <hyperlink ref="B31" location="IX!A1" display="IX Araucania" xr:uid="{00000000-0004-0000-0200-00000B000000}"/>
    <hyperlink ref="B32" location="XIV!A1" display="XIV Los Rios" xr:uid="{00000000-0004-0000-0200-00000C000000}"/>
    <hyperlink ref="B33" location="X!A1" display="X Los Lagos" xr:uid="{00000000-0004-0000-0200-00000D000000}"/>
    <hyperlink ref="B34" location="XI!A1" display="XI Aysen" xr:uid="{00000000-0004-0000-0200-00000E000000}"/>
    <hyperlink ref="B35" location="XII!A1" display="XII Magallanes" xr:uid="{00000000-0004-0000-0200-00000F000000}"/>
    <hyperlink ref="B36" location="XIII!A1" display="XIII Metropolitana" xr:uid="{00000000-0004-0000-0200-000010000000}"/>
    <hyperlink ref="B18" location="'Solicitudes Regiones'!A1" display="Solicitudes Regiones" xr:uid="{00000000-0004-0000-0200-000011000000}"/>
    <hyperlink ref="N5" location="Índice!A1" display="Volver" xr:uid="{00000000-0004-0000-0200-000012000000}"/>
    <hyperlink ref="B14" location="'Solicitudes Nacional'!A1" display="Solicitudes recibidas en el Sistema de Pensiones Solidarias, según mes, desde julio 2008 a marzo 2018" xr:uid="{00000000-0004-0000-0200-000013000000}"/>
  </hyperlink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
  <dimension ref="A2:Q47"/>
  <sheetViews>
    <sheetView showGridLines="0" topLeftCell="A10" zoomScaleNormal="100" workbookViewId="0">
      <selection activeCell="B7" sqref="B7"/>
    </sheetView>
  </sheetViews>
  <sheetFormatPr baseColWidth="10" defaultColWidth="11.42578125" defaultRowHeight="12" x14ac:dyDescent="0.2"/>
  <cols>
    <col min="1" max="1" width="6" style="167" customWidth="1"/>
    <col min="2" max="2" width="13.42578125" style="167" customWidth="1"/>
    <col min="3" max="16384" width="11.42578125" style="167"/>
  </cols>
  <sheetData>
    <row r="2" spans="1:17" s="348" customFormat="1" ht="12.75" x14ac:dyDescent="0.2">
      <c r="A2" s="196" t="s">
        <v>121</v>
      </c>
    </row>
    <row r="3" spans="1:17" s="348" customFormat="1" ht="12.75" x14ac:dyDescent="0.2">
      <c r="A3" s="196" t="s">
        <v>122</v>
      </c>
    </row>
    <row r="4" spans="1:17" s="348" customFormat="1" ht="12.75" x14ac:dyDescent="0.2"/>
    <row r="5" spans="1:17" s="348" customFormat="1" ht="12.75" x14ac:dyDescent="0.2">
      <c r="B5" s="418" t="s">
        <v>72</v>
      </c>
      <c r="C5" s="418"/>
      <c r="D5" s="418"/>
      <c r="E5" s="418"/>
      <c r="F5" s="418"/>
      <c r="G5" s="418"/>
      <c r="H5" s="418"/>
      <c r="I5" s="418"/>
      <c r="J5" s="418"/>
      <c r="K5" s="418"/>
      <c r="L5" s="418"/>
      <c r="M5" s="418"/>
      <c r="N5" s="418"/>
      <c r="O5" s="418"/>
      <c r="Q5" s="368" t="s">
        <v>595</v>
      </c>
    </row>
    <row r="6" spans="1:17" s="348" customFormat="1" ht="12.75" x14ac:dyDescent="0.2">
      <c r="B6" s="418" t="s">
        <v>631</v>
      </c>
      <c r="C6" s="418"/>
      <c r="D6" s="418"/>
      <c r="E6" s="418"/>
      <c r="F6" s="418"/>
      <c r="G6" s="418"/>
      <c r="H6" s="418"/>
      <c r="I6" s="418"/>
      <c r="J6" s="418"/>
      <c r="K6" s="418"/>
      <c r="L6" s="418"/>
      <c r="M6" s="418"/>
      <c r="N6" s="418"/>
      <c r="O6" s="418"/>
    </row>
    <row r="7" spans="1:17" ht="12.75" thickBot="1" x14ac:dyDescent="0.25"/>
    <row r="8" spans="1:17" ht="12.75" thickBot="1" x14ac:dyDescent="0.25">
      <c r="B8" s="419" t="s">
        <v>0</v>
      </c>
      <c r="C8" s="420"/>
      <c r="D8" s="420"/>
      <c r="E8" s="420"/>
      <c r="F8" s="420"/>
      <c r="G8" s="420"/>
      <c r="H8" s="420"/>
      <c r="I8" s="420"/>
      <c r="J8" s="420"/>
      <c r="K8" s="420"/>
      <c r="L8" s="420"/>
      <c r="M8" s="420"/>
      <c r="N8" s="420"/>
      <c r="O8" s="421"/>
    </row>
    <row r="9" spans="1:17" x14ac:dyDescent="0.2">
      <c r="B9" s="422" t="s">
        <v>1</v>
      </c>
      <c r="C9" s="424" t="s">
        <v>2</v>
      </c>
      <c r="D9" s="424"/>
      <c r="E9" s="424"/>
      <c r="F9" s="424"/>
      <c r="G9" s="424"/>
      <c r="H9" s="424"/>
      <c r="I9" s="425"/>
      <c r="J9" s="426" t="s">
        <v>3</v>
      </c>
      <c r="K9" s="425"/>
      <c r="L9" s="426" t="s">
        <v>4</v>
      </c>
      <c r="M9" s="424"/>
      <c r="N9" s="424"/>
      <c r="O9" s="425"/>
    </row>
    <row r="10" spans="1:17" ht="24" x14ac:dyDescent="0.2">
      <c r="B10" s="423"/>
      <c r="C10" s="22" t="s">
        <v>5</v>
      </c>
      <c r="D10" s="23" t="s">
        <v>6</v>
      </c>
      <c r="E10" s="24" t="s">
        <v>7</v>
      </c>
      <c r="F10" s="25" t="s">
        <v>8</v>
      </c>
      <c r="G10" s="23" t="s">
        <v>9</v>
      </c>
      <c r="H10" s="24" t="s">
        <v>10</v>
      </c>
      <c r="I10" s="26" t="s">
        <v>11</v>
      </c>
      <c r="J10" s="27" t="s">
        <v>12</v>
      </c>
      <c r="K10" s="28" t="s">
        <v>13</v>
      </c>
      <c r="L10" s="29" t="s">
        <v>14</v>
      </c>
      <c r="M10" s="30" t="s">
        <v>15</v>
      </c>
      <c r="N10" s="30" t="s">
        <v>16</v>
      </c>
      <c r="O10" s="31" t="s">
        <v>17</v>
      </c>
    </row>
    <row r="11" spans="1:17" x14ac:dyDescent="0.2">
      <c r="B11" s="1" t="s">
        <v>18</v>
      </c>
      <c r="C11" s="393">
        <v>84792</v>
      </c>
      <c r="D11" s="393">
        <v>37698</v>
      </c>
      <c r="E11" s="394">
        <v>122490</v>
      </c>
      <c r="F11" s="393">
        <v>13034</v>
      </c>
      <c r="G11" s="393">
        <v>6193</v>
      </c>
      <c r="H11" s="394">
        <v>19227</v>
      </c>
      <c r="I11" s="394">
        <v>141717</v>
      </c>
      <c r="J11" s="393">
        <v>109234</v>
      </c>
      <c r="K11" s="393">
        <v>32483</v>
      </c>
      <c r="L11" s="393">
        <v>97794</v>
      </c>
      <c r="M11" s="393">
        <v>1045</v>
      </c>
      <c r="N11" s="393">
        <v>0</v>
      </c>
      <c r="O11" s="393">
        <v>42878</v>
      </c>
    </row>
    <row r="12" spans="1:17" x14ac:dyDescent="0.2">
      <c r="B12" s="4" t="s">
        <v>19</v>
      </c>
      <c r="C12" s="393">
        <v>59115</v>
      </c>
      <c r="D12" s="393">
        <v>35112</v>
      </c>
      <c r="E12" s="394">
        <v>94227</v>
      </c>
      <c r="F12" s="393">
        <v>297997</v>
      </c>
      <c r="G12" s="393">
        <v>11591</v>
      </c>
      <c r="H12" s="394">
        <v>309588</v>
      </c>
      <c r="I12" s="394">
        <v>403815</v>
      </c>
      <c r="J12" s="393">
        <v>255764</v>
      </c>
      <c r="K12" s="393">
        <v>148051</v>
      </c>
      <c r="L12" s="393">
        <v>299252</v>
      </c>
      <c r="M12" s="393">
        <v>30351</v>
      </c>
      <c r="N12" s="393">
        <v>0</v>
      </c>
      <c r="O12" s="393">
        <v>74212</v>
      </c>
    </row>
    <row r="13" spans="1:17" x14ac:dyDescent="0.2">
      <c r="B13" s="9" t="s">
        <v>20</v>
      </c>
      <c r="C13" s="393">
        <v>40711</v>
      </c>
      <c r="D13" s="393">
        <v>24962</v>
      </c>
      <c r="E13" s="394">
        <v>65673</v>
      </c>
      <c r="F13" s="393">
        <v>168085</v>
      </c>
      <c r="G13" s="393">
        <v>11927</v>
      </c>
      <c r="H13" s="394">
        <v>180012</v>
      </c>
      <c r="I13" s="394">
        <v>245685</v>
      </c>
      <c r="J13" s="393">
        <v>152794</v>
      </c>
      <c r="K13" s="393">
        <v>92891</v>
      </c>
      <c r="L13" s="393">
        <v>148053</v>
      </c>
      <c r="M13" s="393">
        <v>32913</v>
      </c>
      <c r="N13" s="393">
        <v>5334</v>
      </c>
      <c r="O13" s="393">
        <v>59385</v>
      </c>
    </row>
    <row r="14" spans="1:17" x14ac:dyDescent="0.2">
      <c r="B14" s="9" t="s">
        <v>21</v>
      </c>
      <c r="C14" s="393">
        <v>37244</v>
      </c>
      <c r="D14" s="393">
        <v>20916</v>
      </c>
      <c r="E14" s="394">
        <v>58160</v>
      </c>
      <c r="F14" s="393">
        <v>126024</v>
      </c>
      <c r="G14" s="393">
        <v>10364</v>
      </c>
      <c r="H14" s="394">
        <v>136388</v>
      </c>
      <c r="I14" s="394">
        <v>194548</v>
      </c>
      <c r="J14" s="393">
        <v>123196</v>
      </c>
      <c r="K14" s="393">
        <v>71352</v>
      </c>
      <c r="L14" s="393">
        <v>114198</v>
      </c>
      <c r="M14" s="393">
        <v>25995</v>
      </c>
      <c r="N14" s="393">
        <v>11385</v>
      </c>
      <c r="O14" s="393">
        <v>42970</v>
      </c>
    </row>
    <row r="15" spans="1:17" x14ac:dyDescent="0.2">
      <c r="B15" s="9" t="s">
        <v>22</v>
      </c>
      <c r="C15" s="393">
        <v>33804</v>
      </c>
      <c r="D15" s="393">
        <v>18951</v>
      </c>
      <c r="E15" s="394">
        <v>52755</v>
      </c>
      <c r="F15" s="393">
        <v>130283</v>
      </c>
      <c r="G15" s="393">
        <v>8215</v>
      </c>
      <c r="H15" s="394">
        <v>138498</v>
      </c>
      <c r="I15" s="394">
        <v>191253</v>
      </c>
      <c r="J15" s="393">
        <v>118199</v>
      </c>
      <c r="K15" s="393">
        <v>73054</v>
      </c>
      <c r="L15" s="393">
        <v>125927</v>
      </c>
      <c r="M15" s="393">
        <v>24052</v>
      </c>
      <c r="N15" s="393">
        <v>9227</v>
      </c>
      <c r="O15" s="393">
        <v>32047</v>
      </c>
    </row>
    <row r="16" spans="1:17" x14ac:dyDescent="0.2">
      <c r="B16" s="9" t="s">
        <v>23</v>
      </c>
      <c r="C16" s="393">
        <v>32881</v>
      </c>
      <c r="D16" s="393">
        <v>16868</v>
      </c>
      <c r="E16" s="394">
        <v>49749</v>
      </c>
      <c r="F16" s="393">
        <v>77015</v>
      </c>
      <c r="G16" s="393">
        <v>7300</v>
      </c>
      <c r="H16" s="394">
        <v>84315</v>
      </c>
      <c r="I16" s="394">
        <v>134064</v>
      </c>
      <c r="J16" s="393">
        <v>82123</v>
      </c>
      <c r="K16" s="393">
        <v>51941</v>
      </c>
      <c r="L16" s="393">
        <v>83744</v>
      </c>
      <c r="M16" s="393">
        <v>22684</v>
      </c>
      <c r="N16" s="393">
        <v>6357</v>
      </c>
      <c r="O16" s="393">
        <v>21279</v>
      </c>
    </row>
    <row r="17" spans="2:15" x14ac:dyDescent="0.2">
      <c r="B17" s="9" t="s">
        <v>24</v>
      </c>
      <c r="C17" s="393">
        <v>39418</v>
      </c>
      <c r="D17" s="393">
        <v>17578</v>
      </c>
      <c r="E17" s="394">
        <v>56996</v>
      </c>
      <c r="F17" s="393">
        <v>88526</v>
      </c>
      <c r="G17" s="393">
        <v>6051</v>
      </c>
      <c r="H17" s="394">
        <v>94577</v>
      </c>
      <c r="I17" s="394">
        <v>151573</v>
      </c>
      <c r="J17" s="393">
        <v>92874</v>
      </c>
      <c r="K17" s="393">
        <v>58699</v>
      </c>
      <c r="L17" s="393">
        <v>94154</v>
      </c>
      <c r="M17" s="393">
        <v>27039</v>
      </c>
      <c r="N17" s="393">
        <v>6541</v>
      </c>
      <c r="O17" s="393">
        <v>23839</v>
      </c>
    </row>
    <row r="18" spans="2:15" x14ac:dyDescent="0.2">
      <c r="B18" s="1" t="s">
        <v>25</v>
      </c>
      <c r="C18" s="393">
        <v>31090</v>
      </c>
      <c r="D18" s="393">
        <v>18492</v>
      </c>
      <c r="E18" s="394">
        <v>49582</v>
      </c>
      <c r="F18" s="393">
        <v>88831</v>
      </c>
      <c r="G18" s="393">
        <v>2497</v>
      </c>
      <c r="H18" s="394">
        <v>91328</v>
      </c>
      <c r="I18" s="394">
        <v>140910</v>
      </c>
      <c r="J18" s="393">
        <v>86207</v>
      </c>
      <c r="K18" s="393">
        <v>54703</v>
      </c>
      <c r="L18" s="393">
        <v>84082</v>
      </c>
      <c r="M18" s="393">
        <v>29599</v>
      </c>
      <c r="N18" s="393">
        <v>5383</v>
      </c>
      <c r="O18" s="393">
        <v>21846</v>
      </c>
    </row>
    <row r="19" spans="2:15" x14ac:dyDescent="0.2">
      <c r="B19" s="1" t="s">
        <v>26</v>
      </c>
      <c r="C19" s="393">
        <v>27207</v>
      </c>
      <c r="D19" s="393">
        <v>18101</v>
      </c>
      <c r="E19" s="394">
        <v>45309</v>
      </c>
      <c r="F19" s="393">
        <v>84734</v>
      </c>
      <c r="G19" s="393">
        <v>2588</v>
      </c>
      <c r="H19" s="394">
        <v>87321</v>
      </c>
      <c r="I19" s="394">
        <v>132630</v>
      </c>
      <c r="J19" s="393">
        <v>82317</v>
      </c>
      <c r="K19" s="393">
        <v>50313</v>
      </c>
      <c r="L19" s="393">
        <v>78143</v>
      </c>
      <c r="M19" s="393">
        <v>29026</v>
      </c>
      <c r="N19" s="393">
        <v>4512</v>
      </c>
      <c r="O19" s="393">
        <v>20949</v>
      </c>
    </row>
    <row r="20" spans="2:15" x14ac:dyDescent="0.2">
      <c r="B20" s="10" t="s">
        <v>27</v>
      </c>
      <c r="C20" s="11">
        <v>2774</v>
      </c>
      <c r="D20" s="11">
        <v>1509</v>
      </c>
      <c r="E20" s="68">
        <v>4283</v>
      </c>
      <c r="F20" s="11">
        <v>7639</v>
      </c>
      <c r="G20" s="11">
        <v>271</v>
      </c>
      <c r="H20" s="68">
        <v>7910</v>
      </c>
      <c r="I20" s="68">
        <v>12193</v>
      </c>
      <c r="J20" s="11">
        <v>7573</v>
      </c>
      <c r="K20" s="11">
        <v>4620</v>
      </c>
      <c r="L20" s="11">
        <v>7252</v>
      </c>
      <c r="M20" s="11">
        <v>2606</v>
      </c>
      <c r="N20" s="11">
        <v>384</v>
      </c>
      <c r="O20" s="11">
        <v>1951</v>
      </c>
    </row>
    <row r="21" spans="2:15" x14ac:dyDescent="0.2">
      <c r="B21" s="17" t="s">
        <v>28</v>
      </c>
      <c r="C21" s="11">
        <v>2017</v>
      </c>
      <c r="D21" s="11">
        <v>1346</v>
      </c>
      <c r="E21" s="68">
        <v>3363</v>
      </c>
      <c r="F21" s="11">
        <v>7226</v>
      </c>
      <c r="G21" s="11">
        <v>208</v>
      </c>
      <c r="H21" s="68">
        <v>7434</v>
      </c>
      <c r="I21" s="68">
        <v>10797</v>
      </c>
      <c r="J21" s="11">
        <v>6584</v>
      </c>
      <c r="K21" s="11">
        <v>4213</v>
      </c>
      <c r="L21" s="11">
        <v>6608</v>
      </c>
      <c r="M21" s="11">
        <v>2309</v>
      </c>
      <c r="N21" s="11">
        <v>328</v>
      </c>
      <c r="O21" s="11">
        <v>1552</v>
      </c>
    </row>
    <row r="22" spans="2:15" x14ac:dyDescent="0.2">
      <c r="B22" s="17" t="s">
        <v>29</v>
      </c>
      <c r="C22" s="11">
        <v>2559</v>
      </c>
      <c r="D22" s="11">
        <v>1723</v>
      </c>
      <c r="E22" s="68">
        <v>4282</v>
      </c>
      <c r="F22" s="11">
        <v>8941</v>
      </c>
      <c r="G22" s="11">
        <v>224</v>
      </c>
      <c r="H22" s="68">
        <v>9165</v>
      </c>
      <c r="I22" s="68">
        <v>13447</v>
      </c>
      <c r="J22" s="11">
        <v>8246</v>
      </c>
      <c r="K22" s="11">
        <v>5201</v>
      </c>
      <c r="L22" s="11">
        <v>8053</v>
      </c>
      <c r="M22" s="11">
        <v>3052</v>
      </c>
      <c r="N22" s="11">
        <v>374</v>
      </c>
      <c r="O22" s="11">
        <v>1968</v>
      </c>
    </row>
    <row r="23" spans="2:15" x14ac:dyDescent="0.2">
      <c r="B23" s="18" t="s">
        <v>30</v>
      </c>
      <c r="C23" s="11">
        <v>2234</v>
      </c>
      <c r="D23" s="11">
        <v>1434</v>
      </c>
      <c r="E23" s="68">
        <v>3668</v>
      </c>
      <c r="F23" s="11">
        <v>6869</v>
      </c>
      <c r="G23" s="11">
        <v>211</v>
      </c>
      <c r="H23" s="68">
        <v>7080</v>
      </c>
      <c r="I23" s="68">
        <v>10748</v>
      </c>
      <c r="J23" s="11">
        <v>6571</v>
      </c>
      <c r="K23" s="11">
        <v>4177</v>
      </c>
      <c r="L23" s="11">
        <v>6429</v>
      </c>
      <c r="M23" s="11">
        <v>2430</v>
      </c>
      <c r="N23" s="11">
        <v>274</v>
      </c>
      <c r="O23" s="11">
        <v>1615</v>
      </c>
    </row>
    <row r="24" spans="2:15" x14ac:dyDescent="0.2">
      <c r="B24" s="18" t="s">
        <v>31</v>
      </c>
      <c r="C24" s="11">
        <v>2254</v>
      </c>
      <c r="D24" s="11">
        <v>1548</v>
      </c>
      <c r="E24" s="68">
        <v>3802</v>
      </c>
      <c r="F24" s="11">
        <v>9638</v>
      </c>
      <c r="G24" s="11">
        <v>268</v>
      </c>
      <c r="H24" s="68">
        <v>9906</v>
      </c>
      <c r="I24" s="68">
        <v>13708</v>
      </c>
      <c r="J24" s="11">
        <v>7687</v>
      </c>
      <c r="K24" s="11">
        <v>6021</v>
      </c>
      <c r="L24" s="11">
        <v>7903</v>
      </c>
      <c r="M24" s="11">
        <v>3398</v>
      </c>
      <c r="N24" s="11">
        <v>472</v>
      </c>
      <c r="O24" s="11">
        <v>1935</v>
      </c>
    </row>
    <row r="25" spans="2:15" x14ac:dyDescent="0.2">
      <c r="B25" s="18" t="s">
        <v>32</v>
      </c>
      <c r="C25" s="11">
        <v>1946</v>
      </c>
      <c r="D25" s="11">
        <v>1490</v>
      </c>
      <c r="E25" s="68">
        <v>3436</v>
      </c>
      <c r="F25" s="11">
        <v>7643</v>
      </c>
      <c r="G25" s="11">
        <v>218</v>
      </c>
      <c r="H25" s="68">
        <v>7861</v>
      </c>
      <c r="I25" s="68">
        <v>11297</v>
      </c>
      <c r="J25" s="11">
        <v>6660</v>
      </c>
      <c r="K25" s="11">
        <v>4637</v>
      </c>
      <c r="L25" s="11">
        <v>6563</v>
      </c>
      <c r="M25" s="11">
        <v>2547</v>
      </c>
      <c r="N25" s="11">
        <v>406</v>
      </c>
      <c r="O25" s="11">
        <v>1781</v>
      </c>
    </row>
    <row r="26" spans="2:15" x14ac:dyDescent="0.2">
      <c r="B26" s="18" t="s">
        <v>33</v>
      </c>
      <c r="C26" s="11">
        <v>2312</v>
      </c>
      <c r="D26" s="11">
        <v>1627</v>
      </c>
      <c r="E26" s="68">
        <v>3939</v>
      </c>
      <c r="F26" s="11">
        <v>9183</v>
      </c>
      <c r="G26" s="11">
        <v>298</v>
      </c>
      <c r="H26" s="68">
        <v>9481</v>
      </c>
      <c r="I26" s="68">
        <v>13420</v>
      </c>
      <c r="J26" s="11">
        <v>8144</v>
      </c>
      <c r="K26" s="11">
        <v>5276</v>
      </c>
      <c r="L26" s="11">
        <v>7949</v>
      </c>
      <c r="M26" s="11">
        <v>3103</v>
      </c>
      <c r="N26" s="11">
        <v>395</v>
      </c>
      <c r="O26" s="11">
        <v>1973</v>
      </c>
    </row>
    <row r="27" spans="2:15" x14ac:dyDescent="0.2">
      <c r="B27" s="18" t="s">
        <v>34</v>
      </c>
      <c r="C27" s="11">
        <v>2872</v>
      </c>
      <c r="D27" s="11">
        <v>1659</v>
      </c>
      <c r="E27" s="68">
        <v>4531</v>
      </c>
      <c r="F27" s="11">
        <v>9652</v>
      </c>
      <c r="G27" s="11">
        <v>305</v>
      </c>
      <c r="H27" s="68">
        <v>9957</v>
      </c>
      <c r="I27" s="68">
        <v>14488</v>
      </c>
      <c r="J27" s="11">
        <v>8889</v>
      </c>
      <c r="K27" s="11">
        <v>5599</v>
      </c>
      <c r="L27" s="11">
        <v>8738</v>
      </c>
      <c r="M27" s="11">
        <v>3193</v>
      </c>
      <c r="N27" s="11">
        <v>407</v>
      </c>
      <c r="O27" s="11">
        <v>2150</v>
      </c>
    </row>
    <row r="28" spans="2:15" x14ac:dyDescent="0.2">
      <c r="B28" s="18" t="s">
        <v>35</v>
      </c>
      <c r="C28" s="11">
        <v>2226</v>
      </c>
      <c r="D28" s="11">
        <v>1397</v>
      </c>
      <c r="E28" s="68">
        <v>3623</v>
      </c>
      <c r="F28" s="11">
        <v>7964</v>
      </c>
      <c r="G28" s="11">
        <v>259</v>
      </c>
      <c r="H28" s="68">
        <v>8223</v>
      </c>
      <c r="I28" s="68">
        <v>11846</v>
      </c>
      <c r="J28" s="11">
        <v>7127</v>
      </c>
      <c r="K28" s="11">
        <v>4719</v>
      </c>
      <c r="L28" s="11">
        <v>7044</v>
      </c>
      <c r="M28" s="11">
        <v>2705</v>
      </c>
      <c r="N28" s="11">
        <v>297</v>
      </c>
      <c r="O28" s="11">
        <v>1800</v>
      </c>
    </row>
    <row r="29" spans="2:15" x14ac:dyDescent="0.2">
      <c r="B29" s="18" t="s">
        <v>36</v>
      </c>
      <c r="C29" s="11">
        <v>2553</v>
      </c>
      <c r="D29" s="11">
        <v>1604</v>
      </c>
      <c r="E29" s="68">
        <v>4157</v>
      </c>
      <c r="F29" s="11">
        <v>9350</v>
      </c>
      <c r="G29" s="11">
        <v>314</v>
      </c>
      <c r="H29" s="68">
        <v>9664</v>
      </c>
      <c r="I29" s="68">
        <v>13821</v>
      </c>
      <c r="J29" s="11">
        <v>8412</v>
      </c>
      <c r="K29" s="11">
        <v>5409</v>
      </c>
      <c r="L29" s="11">
        <v>8126</v>
      </c>
      <c r="M29" s="11">
        <v>3071</v>
      </c>
      <c r="N29" s="11">
        <v>420</v>
      </c>
      <c r="O29" s="11">
        <v>2204</v>
      </c>
    </row>
    <row r="30" spans="2:15" x14ac:dyDescent="0.2">
      <c r="B30" s="18" t="s">
        <v>37</v>
      </c>
      <c r="C30" s="11">
        <v>2398</v>
      </c>
      <c r="D30" s="11">
        <v>1656</v>
      </c>
      <c r="E30" s="68">
        <v>4054</v>
      </c>
      <c r="F30" s="11">
        <v>8771</v>
      </c>
      <c r="G30" s="11">
        <v>314</v>
      </c>
      <c r="H30" s="68">
        <v>9085</v>
      </c>
      <c r="I30" s="68">
        <v>13139</v>
      </c>
      <c r="J30" s="11">
        <v>8091</v>
      </c>
      <c r="K30" s="11">
        <v>5048</v>
      </c>
      <c r="L30" s="11">
        <v>7370</v>
      </c>
      <c r="M30" s="11">
        <v>3265</v>
      </c>
      <c r="N30" s="11">
        <v>384</v>
      </c>
      <c r="O30" s="11">
        <v>2120</v>
      </c>
    </row>
    <row r="31" spans="2:15" x14ac:dyDescent="0.2">
      <c r="B31" s="18" t="s">
        <v>38</v>
      </c>
      <c r="C31" s="11">
        <v>2063</v>
      </c>
      <c r="D31" s="11">
        <v>1332</v>
      </c>
      <c r="E31" s="68">
        <v>3395</v>
      </c>
      <c r="F31" s="11">
        <v>7625</v>
      </c>
      <c r="G31" s="11">
        <v>277</v>
      </c>
      <c r="H31" s="68">
        <v>7902</v>
      </c>
      <c r="I31" s="68">
        <v>11297</v>
      </c>
      <c r="J31" s="11">
        <v>6652</v>
      </c>
      <c r="K31" s="11">
        <v>4645</v>
      </c>
      <c r="L31" s="11">
        <v>6479</v>
      </c>
      <c r="M31" s="11">
        <v>2711</v>
      </c>
      <c r="N31" s="11">
        <v>327</v>
      </c>
      <c r="O31" s="11">
        <v>1780</v>
      </c>
    </row>
    <row r="32" spans="2:15" x14ac:dyDescent="0.2">
      <c r="B32" s="19" t="s">
        <v>39</v>
      </c>
      <c r="C32" s="393">
        <v>28208</v>
      </c>
      <c r="D32" s="393">
        <v>18325</v>
      </c>
      <c r="E32" s="394">
        <v>46533</v>
      </c>
      <c r="F32" s="393">
        <v>100501</v>
      </c>
      <c r="G32" s="393">
        <v>3167</v>
      </c>
      <c r="H32" s="394">
        <v>103668</v>
      </c>
      <c r="I32" s="394">
        <v>150201</v>
      </c>
      <c r="J32" s="393">
        <v>90636</v>
      </c>
      <c r="K32" s="393">
        <v>59565</v>
      </c>
      <c r="L32" s="393">
        <v>88514</v>
      </c>
      <c r="M32" s="393">
        <v>34390</v>
      </c>
      <c r="N32" s="393">
        <v>4468</v>
      </c>
      <c r="O32" s="393">
        <v>22829</v>
      </c>
    </row>
    <row r="33" spans="2:15" x14ac:dyDescent="0.2">
      <c r="B33" s="18" t="s">
        <v>40</v>
      </c>
      <c r="C33" s="11">
        <v>2376</v>
      </c>
      <c r="D33" s="11">
        <v>1446</v>
      </c>
      <c r="E33" s="68">
        <v>3822</v>
      </c>
      <c r="F33" s="11">
        <v>10948</v>
      </c>
      <c r="G33" s="11">
        <v>398</v>
      </c>
      <c r="H33" s="68">
        <v>11346</v>
      </c>
      <c r="I33" s="68">
        <v>15168</v>
      </c>
      <c r="J33" s="11">
        <v>9266</v>
      </c>
      <c r="K33" s="11">
        <v>5902</v>
      </c>
      <c r="L33" s="11">
        <v>9330</v>
      </c>
      <c r="M33" s="11">
        <v>3555</v>
      </c>
      <c r="N33" s="11">
        <v>358</v>
      </c>
      <c r="O33" s="11">
        <v>1925</v>
      </c>
    </row>
    <row r="34" spans="2:15" x14ac:dyDescent="0.2">
      <c r="B34" s="18" t="s">
        <v>41</v>
      </c>
      <c r="C34" s="11">
        <v>1964</v>
      </c>
      <c r="D34" s="11">
        <v>1195</v>
      </c>
      <c r="E34" s="68">
        <v>3159</v>
      </c>
      <c r="F34" s="11">
        <v>10781</v>
      </c>
      <c r="G34" s="11">
        <v>731</v>
      </c>
      <c r="H34" s="68">
        <v>11512</v>
      </c>
      <c r="I34" s="68">
        <v>14671</v>
      </c>
      <c r="J34" s="11">
        <v>9067</v>
      </c>
      <c r="K34" s="11">
        <v>5604</v>
      </c>
      <c r="L34" s="11">
        <v>9445</v>
      </c>
      <c r="M34" s="11">
        <v>3272</v>
      </c>
      <c r="N34" s="11">
        <v>313</v>
      </c>
      <c r="O34" s="11">
        <v>1641</v>
      </c>
    </row>
    <row r="35" spans="2:15" x14ac:dyDescent="0.2">
      <c r="B35" s="18" t="s">
        <v>42</v>
      </c>
      <c r="C35" s="11">
        <v>2227</v>
      </c>
      <c r="D35" s="11">
        <v>1454</v>
      </c>
      <c r="E35" s="68">
        <v>3681</v>
      </c>
      <c r="F35" s="11">
        <v>10083</v>
      </c>
      <c r="G35" s="11">
        <v>923</v>
      </c>
      <c r="H35" s="68">
        <v>11006</v>
      </c>
      <c r="I35" s="68">
        <v>14687</v>
      </c>
      <c r="J35" s="11">
        <v>8796</v>
      </c>
      <c r="K35" s="11">
        <v>5891</v>
      </c>
      <c r="L35" s="11">
        <v>8593</v>
      </c>
      <c r="M35" s="11">
        <v>3702</v>
      </c>
      <c r="N35" s="11">
        <v>417</v>
      </c>
      <c r="O35" s="11">
        <v>1975</v>
      </c>
    </row>
    <row r="36" spans="2:15" x14ac:dyDescent="0.2">
      <c r="B36" s="18" t="s">
        <v>601</v>
      </c>
      <c r="C36" s="11">
        <v>2147</v>
      </c>
      <c r="D36" s="11">
        <v>1475</v>
      </c>
      <c r="E36" s="68">
        <v>3622</v>
      </c>
      <c r="F36" s="11">
        <v>9453</v>
      </c>
      <c r="G36" s="11">
        <v>836</v>
      </c>
      <c r="H36" s="68">
        <v>10289</v>
      </c>
      <c r="I36" s="68">
        <v>13911</v>
      </c>
      <c r="J36" s="11">
        <v>8157</v>
      </c>
      <c r="K36" s="11">
        <v>5754</v>
      </c>
      <c r="L36" s="11">
        <v>7488</v>
      </c>
      <c r="M36" s="11">
        <v>3892</v>
      </c>
      <c r="N36" s="11">
        <v>477</v>
      </c>
      <c r="O36" s="11">
        <v>2054</v>
      </c>
    </row>
    <row r="37" spans="2:15" x14ac:dyDescent="0.2">
      <c r="B37" s="18" t="s">
        <v>602</v>
      </c>
      <c r="C37" s="11">
        <v>2202</v>
      </c>
      <c r="D37" s="11">
        <v>1398</v>
      </c>
      <c r="E37" s="68">
        <v>3600</v>
      </c>
      <c r="F37" s="11">
        <v>10986</v>
      </c>
      <c r="G37" s="11">
        <v>561</v>
      </c>
      <c r="H37" s="68">
        <v>11547</v>
      </c>
      <c r="I37" s="68">
        <v>15147</v>
      </c>
      <c r="J37" s="11">
        <v>8423</v>
      </c>
      <c r="K37" s="11">
        <v>6724</v>
      </c>
      <c r="L37" s="11">
        <v>8433</v>
      </c>
      <c r="M37" s="11">
        <v>4171</v>
      </c>
      <c r="N37" s="11">
        <v>481</v>
      </c>
      <c r="O37" s="11">
        <v>2062</v>
      </c>
    </row>
    <row r="38" spans="2:15" x14ac:dyDescent="0.2">
      <c r="B38" s="18" t="s">
        <v>604</v>
      </c>
      <c r="C38" s="11">
        <v>2017</v>
      </c>
      <c r="D38" s="11">
        <v>1392</v>
      </c>
      <c r="E38" s="68">
        <v>3409</v>
      </c>
      <c r="F38" s="11">
        <v>9454</v>
      </c>
      <c r="G38" s="11">
        <v>521</v>
      </c>
      <c r="H38" s="68">
        <v>9975</v>
      </c>
      <c r="I38" s="68">
        <v>13384</v>
      </c>
      <c r="J38" s="11">
        <v>7815</v>
      </c>
      <c r="K38" s="11">
        <v>5569</v>
      </c>
      <c r="L38" s="11">
        <v>7489</v>
      </c>
      <c r="M38" s="11">
        <v>3605</v>
      </c>
      <c r="N38" s="11">
        <v>400</v>
      </c>
      <c r="O38" s="11">
        <v>1890</v>
      </c>
    </row>
    <row r="39" spans="2:15" x14ac:dyDescent="0.2">
      <c r="B39" s="18" t="s">
        <v>606</v>
      </c>
      <c r="C39" s="11">
        <v>2244</v>
      </c>
      <c r="D39" s="11">
        <v>1451</v>
      </c>
      <c r="E39" s="68">
        <v>3695</v>
      </c>
      <c r="F39" s="11">
        <v>10023</v>
      </c>
      <c r="G39" s="11">
        <v>475</v>
      </c>
      <c r="H39" s="68">
        <v>10498</v>
      </c>
      <c r="I39" s="68">
        <v>14193</v>
      </c>
      <c r="J39" s="11">
        <v>8383</v>
      </c>
      <c r="K39" s="11">
        <v>5810</v>
      </c>
      <c r="L39" s="11">
        <v>8010</v>
      </c>
      <c r="M39" s="11">
        <v>3819</v>
      </c>
      <c r="N39" s="11">
        <v>436</v>
      </c>
      <c r="O39" s="11">
        <v>1928</v>
      </c>
    </row>
    <row r="40" spans="2:15" x14ac:dyDescent="0.2">
      <c r="B40" s="18" t="s">
        <v>608</v>
      </c>
      <c r="C40" s="11">
        <v>2519</v>
      </c>
      <c r="D40" s="11">
        <v>1568</v>
      </c>
      <c r="E40" s="68">
        <v>4087</v>
      </c>
      <c r="F40" s="11">
        <v>10660</v>
      </c>
      <c r="G40" s="11">
        <v>424</v>
      </c>
      <c r="H40" s="68">
        <v>11084</v>
      </c>
      <c r="I40" s="68">
        <v>15171</v>
      </c>
      <c r="J40" s="11">
        <v>9206</v>
      </c>
      <c r="K40" s="11">
        <v>5965</v>
      </c>
      <c r="L40" s="11">
        <v>9132</v>
      </c>
      <c r="M40" s="11">
        <v>3491</v>
      </c>
      <c r="N40" s="11">
        <v>421</v>
      </c>
      <c r="O40" s="11">
        <v>2127</v>
      </c>
    </row>
    <row r="41" spans="2:15" x14ac:dyDescent="0.2">
      <c r="B41" s="18" t="s">
        <v>610</v>
      </c>
      <c r="C41" s="11">
        <v>2151</v>
      </c>
      <c r="D41" s="11">
        <v>1276</v>
      </c>
      <c r="E41" s="68">
        <v>3427</v>
      </c>
      <c r="F41" s="11">
        <v>8575</v>
      </c>
      <c r="G41" s="11">
        <v>339</v>
      </c>
      <c r="H41" s="68">
        <v>8914</v>
      </c>
      <c r="I41" s="68">
        <v>12341</v>
      </c>
      <c r="J41" s="11">
        <v>7618</v>
      </c>
      <c r="K41" s="11">
        <v>4723</v>
      </c>
      <c r="L41" s="11">
        <v>7419</v>
      </c>
      <c r="M41" s="11">
        <v>2997</v>
      </c>
      <c r="N41" s="11">
        <v>317</v>
      </c>
      <c r="O41" s="11">
        <v>1608</v>
      </c>
    </row>
    <row r="42" spans="2:15" x14ac:dyDescent="0.2">
      <c r="B42" s="18" t="s">
        <v>623</v>
      </c>
      <c r="C42" s="11">
        <v>2762</v>
      </c>
      <c r="D42" s="11">
        <v>1536</v>
      </c>
      <c r="E42" s="68">
        <v>4298</v>
      </c>
      <c r="F42" s="11">
        <v>11535</v>
      </c>
      <c r="G42" s="11">
        <v>413</v>
      </c>
      <c r="H42" s="68">
        <v>11948</v>
      </c>
      <c r="I42" s="68">
        <v>16246</v>
      </c>
      <c r="J42" s="11">
        <v>9949</v>
      </c>
      <c r="K42" s="11">
        <v>6297</v>
      </c>
      <c r="L42" s="11">
        <v>9395</v>
      </c>
      <c r="M42" s="11">
        <v>4208</v>
      </c>
      <c r="N42" s="11">
        <v>412</v>
      </c>
      <c r="O42" s="11">
        <v>2231</v>
      </c>
    </row>
    <row r="43" spans="2:15" x14ac:dyDescent="0.2">
      <c r="B43" s="18" t="s">
        <v>624</v>
      </c>
      <c r="C43" s="11">
        <v>2771</v>
      </c>
      <c r="D43" s="11">
        <v>1257</v>
      </c>
      <c r="E43" s="68">
        <v>4028</v>
      </c>
      <c r="F43" s="11">
        <v>9073</v>
      </c>
      <c r="G43" s="11">
        <v>464</v>
      </c>
      <c r="H43" s="68">
        <v>9537</v>
      </c>
      <c r="I43" s="68">
        <v>13565</v>
      </c>
      <c r="J43" s="11">
        <v>8302</v>
      </c>
      <c r="K43" s="11">
        <v>5263</v>
      </c>
      <c r="L43" s="11">
        <v>7762</v>
      </c>
      <c r="M43" s="11">
        <v>3538</v>
      </c>
      <c r="N43" s="11">
        <v>427</v>
      </c>
      <c r="O43" s="11">
        <v>1838</v>
      </c>
    </row>
    <row r="44" spans="2:15" x14ac:dyDescent="0.2">
      <c r="B44" s="384" t="s">
        <v>625</v>
      </c>
      <c r="C44" s="394">
        <v>25380</v>
      </c>
      <c r="D44" s="394">
        <v>15448</v>
      </c>
      <c r="E44" s="394">
        <v>40828</v>
      </c>
      <c r="F44" s="394">
        <v>111571</v>
      </c>
      <c r="G44" s="394">
        <v>6085</v>
      </c>
      <c r="H44" s="394">
        <v>117656</v>
      </c>
      <c r="I44" s="394">
        <v>158484</v>
      </c>
      <c r="J44" s="394">
        <v>94982</v>
      </c>
      <c r="K44" s="394">
        <v>63502</v>
      </c>
      <c r="L44" s="394">
        <v>92496</v>
      </c>
      <c r="M44" s="394">
        <v>40250</v>
      </c>
      <c r="N44" s="394">
        <v>4459</v>
      </c>
      <c r="O44" s="394">
        <v>21279</v>
      </c>
    </row>
    <row r="45" spans="2:15" ht="12.75" thickBot="1" x14ac:dyDescent="0.25">
      <c r="B45" s="21" t="s">
        <v>43</v>
      </c>
      <c r="C45" s="68">
        <v>439850</v>
      </c>
      <c r="D45" s="68">
        <v>242451</v>
      </c>
      <c r="E45" s="68">
        <v>682302</v>
      </c>
      <c r="F45" s="68">
        <v>1286601</v>
      </c>
      <c r="G45" s="68">
        <v>75978</v>
      </c>
      <c r="H45" s="68">
        <v>1362578</v>
      </c>
      <c r="I45" s="68">
        <v>2044880</v>
      </c>
      <c r="J45" s="68">
        <v>1288326</v>
      </c>
      <c r="K45" s="68">
        <v>756554</v>
      </c>
      <c r="L45" s="68">
        <v>1306357</v>
      </c>
      <c r="M45" s="68">
        <v>297344</v>
      </c>
      <c r="N45" s="68">
        <v>57666</v>
      </c>
      <c r="O45" s="68">
        <v>383513</v>
      </c>
    </row>
    <row r="46" spans="2:15" x14ac:dyDescent="0.2">
      <c r="B46" s="167" t="s">
        <v>149</v>
      </c>
    </row>
    <row r="47" spans="2:15" x14ac:dyDescent="0.2">
      <c r="B47" s="167" t="s">
        <v>150</v>
      </c>
    </row>
  </sheetData>
  <mergeCells count="7">
    <mergeCell ref="B5:O5"/>
    <mergeCell ref="B6:O6"/>
    <mergeCell ref="B8:O8"/>
    <mergeCell ref="B9:B10"/>
    <mergeCell ref="C9:I9"/>
    <mergeCell ref="J9:K9"/>
    <mergeCell ref="L9:O9"/>
  </mergeCells>
  <hyperlinks>
    <hyperlink ref="Q5" location="'Índice Pensiones Solidarias'!A1" display="Volver Sistema de Pensiones Solidadias" xr:uid="{00000000-0004-0000-0300-000000000000}"/>
  </hyperlink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2:Q54"/>
  <sheetViews>
    <sheetView showGridLines="0" topLeftCell="A4" zoomScaleNormal="100" workbookViewId="0">
      <selection activeCell="E44" sqref="E44"/>
    </sheetView>
  </sheetViews>
  <sheetFormatPr baseColWidth="10" defaultColWidth="11.42578125" defaultRowHeight="12" x14ac:dyDescent="0.2"/>
  <cols>
    <col min="1" max="1" width="6" style="167" customWidth="1"/>
    <col min="2" max="2" width="14" style="167" customWidth="1"/>
    <col min="3" max="16384" width="11.42578125" style="167"/>
  </cols>
  <sheetData>
    <row r="2" spans="1:17" s="348" customFormat="1" ht="12.75" x14ac:dyDescent="0.2">
      <c r="A2" s="196" t="s">
        <v>121</v>
      </c>
    </row>
    <row r="3" spans="1:17" s="348" customFormat="1" ht="12.75" x14ac:dyDescent="0.2">
      <c r="A3" s="196" t="s">
        <v>122</v>
      </c>
    </row>
    <row r="4" spans="1:17" s="348" customFormat="1" ht="12.75" x14ac:dyDescent="0.2"/>
    <row r="5" spans="1:17" s="348" customFormat="1" ht="12.75" x14ac:dyDescent="0.2">
      <c r="B5" s="418" t="s">
        <v>600</v>
      </c>
      <c r="C5" s="418"/>
      <c r="D5" s="418"/>
      <c r="E5" s="418"/>
      <c r="F5" s="418"/>
      <c r="G5" s="418"/>
      <c r="H5" s="418"/>
      <c r="I5" s="418"/>
      <c r="J5" s="418"/>
      <c r="K5" s="418"/>
      <c r="L5" s="418"/>
      <c r="M5" s="418"/>
      <c r="N5" s="418"/>
      <c r="O5" s="418"/>
      <c r="Q5" s="368" t="s">
        <v>595</v>
      </c>
    </row>
    <row r="6" spans="1:17" s="348" customFormat="1" ht="12.75" x14ac:dyDescent="0.2">
      <c r="B6" s="418" t="str">
        <f>'Solicitudes Nacional'!B6:O6</f>
        <v>Julio de 2008 a noviembre 2018</v>
      </c>
      <c r="C6" s="418"/>
      <c r="D6" s="418"/>
      <c r="E6" s="418"/>
      <c r="F6" s="418"/>
      <c r="G6" s="418"/>
      <c r="H6" s="418"/>
      <c r="I6" s="418"/>
      <c r="J6" s="418"/>
      <c r="K6" s="418"/>
      <c r="L6" s="418"/>
      <c r="M6" s="418"/>
      <c r="N6" s="418"/>
      <c r="O6" s="418"/>
    </row>
    <row r="7" spans="1:17" ht="12.75" thickBot="1" x14ac:dyDescent="0.25"/>
    <row r="8" spans="1:17" ht="12.75" thickBot="1" x14ac:dyDescent="0.25">
      <c r="B8" s="419" t="s">
        <v>44</v>
      </c>
      <c r="C8" s="420"/>
      <c r="D8" s="420"/>
      <c r="E8" s="420"/>
      <c r="F8" s="420"/>
      <c r="G8" s="420"/>
      <c r="H8" s="420"/>
      <c r="I8" s="420"/>
      <c r="J8" s="420"/>
      <c r="K8" s="420"/>
      <c r="L8" s="420"/>
      <c r="M8" s="420"/>
      <c r="N8" s="420"/>
      <c r="O8" s="421"/>
    </row>
    <row r="9" spans="1:17" ht="12.75" customHeight="1" thickBot="1" x14ac:dyDescent="0.25">
      <c r="B9" s="422" t="s">
        <v>45</v>
      </c>
      <c r="C9" s="419" t="s">
        <v>2</v>
      </c>
      <c r="D9" s="420"/>
      <c r="E9" s="420"/>
      <c r="F9" s="420"/>
      <c r="G9" s="420"/>
      <c r="H9" s="420"/>
      <c r="I9" s="421"/>
      <c r="J9" s="419" t="s">
        <v>3</v>
      </c>
      <c r="K9" s="421"/>
      <c r="L9" s="419" t="s">
        <v>4</v>
      </c>
      <c r="M9" s="420"/>
      <c r="N9" s="420"/>
      <c r="O9" s="421"/>
    </row>
    <row r="10" spans="1:17" ht="12.75" customHeight="1" thickBot="1" x14ac:dyDescent="0.25">
      <c r="B10" s="428"/>
      <c r="C10" s="72" t="s">
        <v>5</v>
      </c>
      <c r="D10" s="73" t="s">
        <v>6</v>
      </c>
      <c r="E10" s="74" t="s">
        <v>7</v>
      </c>
      <c r="F10" s="73" t="s">
        <v>8</v>
      </c>
      <c r="G10" s="73" t="s">
        <v>9</v>
      </c>
      <c r="H10" s="75" t="s">
        <v>10</v>
      </c>
      <c r="I10" s="76" t="s">
        <v>46</v>
      </c>
      <c r="J10" s="77" t="s">
        <v>47</v>
      </c>
      <c r="K10" s="78" t="s">
        <v>13</v>
      </c>
      <c r="L10" s="79" t="s">
        <v>14</v>
      </c>
      <c r="M10" s="80" t="s">
        <v>15</v>
      </c>
      <c r="N10" s="80" t="s">
        <v>16</v>
      </c>
      <c r="O10" s="81" t="s">
        <v>17</v>
      </c>
    </row>
    <row r="11" spans="1:17" ht="12.75" customHeight="1" x14ac:dyDescent="0.2">
      <c r="B11" s="32" t="s">
        <v>18</v>
      </c>
      <c r="C11" s="33">
        <v>83926</v>
      </c>
      <c r="D11" s="34">
        <v>21763</v>
      </c>
      <c r="E11" s="35">
        <f t="shared" ref="E11:E16" si="0">C11+D11</f>
        <v>105689</v>
      </c>
      <c r="F11" s="34">
        <v>9666</v>
      </c>
      <c r="G11" s="34">
        <v>1628</v>
      </c>
      <c r="H11" s="36">
        <f t="shared" ref="H11:H17" si="1">F11+G11</f>
        <v>11294</v>
      </c>
      <c r="I11" s="37">
        <f t="shared" ref="I11:I16" si="2">E11+H11</f>
        <v>116983</v>
      </c>
      <c r="J11" s="33">
        <v>89933</v>
      </c>
      <c r="K11" s="38">
        <v>27050</v>
      </c>
      <c r="L11" s="39">
        <v>79515</v>
      </c>
      <c r="M11" s="40">
        <v>1004</v>
      </c>
      <c r="N11" s="40">
        <v>0</v>
      </c>
      <c r="O11" s="41">
        <v>36464</v>
      </c>
    </row>
    <row r="12" spans="1:17" ht="12.75" customHeight="1" x14ac:dyDescent="0.2">
      <c r="B12" s="32" t="s">
        <v>19</v>
      </c>
      <c r="C12" s="5">
        <v>57791</v>
      </c>
      <c r="D12" s="20">
        <v>20961</v>
      </c>
      <c r="E12" s="2">
        <f t="shared" si="0"/>
        <v>78752</v>
      </c>
      <c r="F12" s="20">
        <v>277006</v>
      </c>
      <c r="G12" s="20">
        <v>9792</v>
      </c>
      <c r="H12" s="42">
        <f t="shared" si="1"/>
        <v>286798</v>
      </c>
      <c r="I12" s="43">
        <f t="shared" si="2"/>
        <v>365550</v>
      </c>
      <c r="J12" s="5">
        <v>224962</v>
      </c>
      <c r="K12" s="44">
        <v>140588</v>
      </c>
      <c r="L12" s="45">
        <v>272721</v>
      </c>
      <c r="M12" s="45">
        <v>26657</v>
      </c>
      <c r="N12" s="45">
        <v>0</v>
      </c>
      <c r="O12" s="46">
        <v>66172</v>
      </c>
    </row>
    <row r="13" spans="1:17" ht="12.75" customHeight="1" x14ac:dyDescent="0.2">
      <c r="B13" s="32" t="s">
        <v>20</v>
      </c>
      <c r="C13" s="45">
        <v>36098</v>
      </c>
      <c r="D13" s="47">
        <v>13242</v>
      </c>
      <c r="E13" s="2">
        <f t="shared" si="0"/>
        <v>49340</v>
      </c>
      <c r="F13" s="47">
        <v>137903</v>
      </c>
      <c r="G13" s="47">
        <v>9911</v>
      </c>
      <c r="H13" s="42">
        <f t="shared" si="1"/>
        <v>147814</v>
      </c>
      <c r="I13" s="43">
        <f t="shared" si="2"/>
        <v>197154</v>
      </c>
      <c r="J13" s="5">
        <v>119654</v>
      </c>
      <c r="K13" s="44">
        <v>77500</v>
      </c>
      <c r="L13" s="45">
        <v>120953</v>
      </c>
      <c r="M13" s="45">
        <v>25691</v>
      </c>
      <c r="N13" s="45">
        <v>3837</v>
      </c>
      <c r="O13" s="46">
        <v>46673</v>
      </c>
    </row>
    <row r="14" spans="1:17" ht="12.75" customHeight="1" x14ac:dyDescent="0.2">
      <c r="B14" s="32" t="s">
        <v>21</v>
      </c>
      <c r="C14" s="5">
        <v>29811</v>
      </c>
      <c r="D14" s="20">
        <v>10346</v>
      </c>
      <c r="E14" s="2">
        <f t="shared" si="0"/>
        <v>40157</v>
      </c>
      <c r="F14" s="20">
        <v>90244</v>
      </c>
      <c r="G14" s="20">
        <v>8697</v>
      </c>
      <c r="H14" s="42">
        <f t="shared" si="1"/>
        <v>98941</v>
      </c>
      <c r="I14" s="43">
        <f t="shared" si="2"/>
        <v>139098</v>
      </c>
      <c r="J14" s="5">
        <v>84677</v>
      </c>
      <c r="K14" s="3">
        <v>54421</v>
      </c>
      <c r="L14" s="45">
        <v>81301</v>
      </c>
      <c r="M14" s="45">
        <v>19165</v>
      </c>
      <c r="N14" s="45">
        <v>8017</v>
      </c>
      <c r="O14" s="46">
        <v>30615</v>
      </c>
    </row>
    <row r="15" spans="1:17" ht="15.75" customHeight="1" x14ac:dyDescent="0.2">
      <c r="B15" s="32" t="s">
        <v>22</v>
      </c>
      <c r="C15" s="5">
        <v>29013</v>
      </c>
      <c r="D15" s="20">
        <v>9891</v>
      </c>
      <c r="E15" s="2">
        <f t="shared" si="0"/>
        <v>38904</v>
      </c>
      <c r="F15" s="20">
        <v>113336</v>
      </c>
      <c r="G15" s="20">
        <v>7011</v>
      </c>
      <c r="H15" s="42">
        <f t="shared" si="1"/>
        <v>120347</v>
      </c>
      <c r="I15" s="43">
        <f t="shared" si="2"/>
        <v>159251</v>
      </c>
      <c r="J15" s="5">
        <v>95235</v>
      </c>
      <c r="K15" s="3">
        <v>64016</v>
      </c>
      <c r="L15" s="45">
        <v>105746</v>
      </c>
      <c r="M15" s="45">
        <v>20843</v>
      </c>
      <c r="N15" s="45">
        <v>7849</v>
      </c>
      <c r="O15" s="46">
        <v>24813</v>
      </c>
    </row>
    <row r="16" spans="1:17" ht="12.75" customHeight="1" x14ac:dyDescent="0.2">
      <c r="B16" s="32" t="s">
        <v>23</v>
      </c>
      <c r="C16" s="5">
        <v>29558</v>
      </c>
      <c r="D16" s="20">
        <v>8904</v>
      </c>
      <c r="E16" s="2">
        <f t="shared" si="0"/>
        <v>38462</v>
      </c>
      <c r="F16" s="20">
        <v>65551</v>
      </c>
      <c r="G16" s="20">
        <v>6049</v>
      </c>
      <c r="H16" s="42">
        <f t="shared" si="1"/>
        <v>71600</v>
      </c>
      <c r="I16" s="43">
        <f t="shared" si="2"/>
        <v>110062</v>
      </c>
      <c r="J16" s="5">
        <v>65774</v>
      </c>
      <c r="K16" s="3">
        <v>44288</v>
      </c>
      <c r="L16" s="45">
        <v>68652</v>
      </c>
      <c r="M16" s="45">
        <v>19386</v>
      </c>
      <c r="N16" s="45">
        <v>5326</v>
      </c>
      <c r="O16" s="46">
        <v>16698</v>
      </c>
    </row>
    <row r="17" spans="2:15" ht="12.75" customHeight="1" x14ac:dyDescent="0.2">
      <c r="B17" s="32" t="s">
        <v>24</v>
      </c>
      <c r="C17" s="5">
        <v>32593</v>
      </c>
      <c r="D17" s="20">
        <v>9996</v>
      </c>
      <c r="E17" s="2">
        <f>C17+D17</f>
        <v>42589</v>
      </c>
      <c r="F17" s="20">
        <v>70042</v>
      </c>
      <c r="G17" s="20">
        <v>5270</v>
      </c>
      <c r="H17" s="42">
        <f t="shared" si="1"/>
        <v>75312</v>
      </c>
      <c r="I17" s="43">
        <f>E17+H17</f>
        <v>117901</v>
      </c>
      <c r="J17" s="5">
        <v>70002</v>
      </c>
      <c r="K17" s="3">
        <v>47899</v>
      </c>
      <c r="L17" s="7">
        <v>72048</v>
      </c>
      <c r="M17" s="5">
        <v>22546</v>
      </c>
      <c r="N17" s="5">
        <v>5133</v>
      </c>
      <c r="O17" s="8">
        <v>18174</v>
      </c>
    </row>
    <row r="18" spans="2:15" ht="12.75" customHeight="1" x14ac:dyDescent="0.2">
      <c r="B18" s="32" t="s">
        <v>25</v>
      </c>
      <c r="C18" s="5">
        <v>26414</v>
      </c>
      <c r="D18" s="20">
        <v>11689</v>
      </c>
      <c r="E18" s="2">
        <f>C18+D18</f>
        <v>38103</v>
      </c>
      <c r="F18" s="20">
        <v>71155</v>
      </c>
      <c r="G18" s="20">
        <v>2081</v>
      </c>
      <c r="H18" s="42">
        <f>F18+G18</f>
        <v>73236</v>
      </c>
      <c r="I18" s="43">
        <f>E18+H18</f>
        <v>111339</v>
      </c>
      <c r="J18" s="5">
        <v>66002</v>
      </c>
      <c r="K18" s="3">
        <v>45337</v>
      </c>
      <c r="L18" s="45">
        <v>65219</v>
      </c>
      <c r="M18" s="45">
        <v>24953</v>
      </c>
      <c r="N18" s="45">
        <v>4306</v>
      </c>
      <c r="O18" s="46">
        <v>16861</v>
      </c>
    </row>
    <row r="19" spans="2:15" ht="12.75" customHeight="1" x14ac:dyDescent="0.2">
      <c r="B19" s="32" t="s">
        <v>26</v>
      </c>
      <c r="C19" s="5">
        <v>21821</v>
      </c>
      <c r="D19" s="20">
        <v>11783</v>
      </c>
      <c r="E19" s="2">
        <f>C19+D19</f>
        <v>33604</v>
      </c>
      <c r="F19" s="20">
        <v>65463</v>
      </c>
      <c r="G19" s="20">
        <v>2218</v>
      </c>
      <c r="H19" s="42">
        <f>F19+G19</f>
        <v>67681</v>
      </c>
      <c r="I19" s="43">
        <f>E19+H19</f>
        <v>101285</v>
      </c>
      <c r="J19" s="5">
        <v>60888</v>
      </c>
      <c r="K19" s="3">
        <v>40397</v>
      </c>
      <c r="L19" s="7">
        <v>58604</v>
      </c>
      <c r="M19" s="5">
        <v>23647</v>
      </c>
      <c r="N19" s="5">
        <v>3436</v>
      </c>
      <c r="O19" s="8">
        <v>15598</v>
      </c>
    </row>
    <row r="20" spans="2:15" x14ac:dyDescent="0.2">
      <c r="B20" s="48" t="s">
        <v>27</v>
      </c>
      <c r="C20" s="49">
        <v>2359</v>
      </c>
      <c r="D20" s="50">
        <v>1001</v>
      </c>
      <c r="E20" s="51">
        <f t="shared" ref="E20:E31" si="3">C20+D20</f>
        <v>3360</v>
      </c>
      <c r="F20" s="52">
        <v>6051</v>
      </c>
      <c r="G20" s="52">
        <v>225</v>
      </c>
      <c r="H20" s="53">
        <f t="shared" ref="H20:H31" si="4">F20+G20</f>
        <v>6276</v>
      </c>
      <c r="I20" s="54">
        <f t="shared" ref="I20:I31" si="5">E20+H20</f>
        <v>9636</v>
      </c>
      <c r="J20" s="55">
        <v>5835</v>
      </c>
      <c r="K20" s="56">
        <v>3801</v>
      </c>
      <c r="L20" s="55">
        <v>5658</v>
      </c>
      <c r="M20" s="52">
        <v>2161</v>
      </c>
      <c r="N20" s="52">
        <v>306</v>
      </c>
      <c r="O20" s="56">
        <v>1511</v>
      </c>
    </row>
    <row r="21" spans="2:15" ht="12.75" customHeight="1" x14ac:dyDescent="0.2">
      <c r="B21" s="17" t="s">
        <v>28</v>
      </c>
      <c r="C21" s="11">
        <v>1593</v>
      </c>
      <c r="D21" s="12">
        <v>871</v>
      </c>
      <c r="E21" s="57">
        <f t="shared" si="3"/>
        <v>2464</v>
      </c>
      <c r="F21" s="13">
        <v>5680</v>
      </c>
      <c r="G21" s="13">
        <v>183</v>
      </c>
      <c r="H21" s="58">
        <f t="shared" si="4"/>
        <v>5863</v>
      </c>
      <c r="I21" s="59">
        <f t="shared" si="5"/>
        <v>8327</v>
      </c>
      <c r="J21" s="14">
        <v>4926</v>
      </c>
      <c r="K21" s="60">
        <v>3401</v>
      </c>
      <c r="L21" s="14">
        <v>5032</v>
      </c>
      <c r="M21" s="13">
        <v>1876</v>
      </c>
      <c r="N21" s="13">
        <v>256</v>
      </c>
      <c r="O21" s="60">
        <v>1163</v>
      </c>
    </row>
    <row r="22" spans="2:15" x14ac:dyDescent="0.2">
      <c r="B22" s="18" t="s">
        <v>29</v>
      </c>
      <c r="C22" s="11">
        <v>2053</v>
      </c>
      <c r="D22" s="12">
        <v>1109</v>
      </c>
      <c r="E22" s="57">
        <f t="shared" si="3"/>
        <v>3162</v>
      </c>
      <c r="F22" s="13">
        <v>6997</v>
      </c>
      <c r="G22" s="13">
        <v>195</v>
      </c>
      <c r="H22" s="58">
        <f t="shared" si="4"/>
        <v>7192</v>
      </c>
      <c r="I22" s="59">
        <f t="shared" si="5"/>
        <v>10354</v>
      </c>
      <c r="J22" s="14">
        <v>6086</v>
      </c>
      <c r="K22" s="60">
        <v>4268</v>
      </c>
      <c r="L22" s="14">
        <v>6093</v>
      </c>
      <c r="M22" s="13">
        <v>2512</v>
      </c>
      <c r="N22" s="13">
        <v>284</v>
      </c>
      <c r="O22" s="60">
        <v>1465</v>
      </c>
    </row>
    <row r="23" spans="2:15" x14ac:dyDescent="0.2">
      <c r="B23" s="18" t="s">
        <v>48</v>
      </c>
      <c r="C23" s="11">
        <v>1828</v>
      </c>
      <c r="D23" s="12">
        <v>948</v>
      </c>
      <c r="E23" s="57">
        <f t="shared" si="3"/>
        <v>2776</v>
      </c>
      <c r="F23" s="13">
        <v>5413</v>
      </c>
      <c r="G23" s="13">
        <v>192</v>
      </c>
      <c r="H23" s="53">
        <f t="shared" si="4"/>
        <v>5605</v>
      </c>
      <c r="I23" s="54">
        <f t="shared" si="5"/>
        <v>8381</v>
      </c>
      <c r="J23" s="14">
        <v>4955</v>
      </c>
      <c r="K23" s="60">
        <v>3426</v>
      </c>
      <c r="L23" s="14">
        <v>4923</v>
      </c>
      <c r="M23" s="13">
        <v>2015</v>
      </c>
      <c r="N23" s="13">
        <v>212</v>
      </c>
      <c r="O23" s="60">
        <v>1231</v>
      </c>
    </row>
    <row r="24" spans="2:15" x14ac:dyDescent="0.2">
      <c r="B24" s="18" t="s">
        <v>31</v>
      </c>
      <c r="C24" s="11">
        <v>1791</v>
      </c>
      <c r="D24" s="12">
        <v>961</v>
      </c>
      <c r="E24" s="57">
        <f t="shared" si="3"/>
        <v>2752</v>
      </c>
      <c r="F24" s="13">
        <v>7546</v>
      </c>
      <c r="G24" s="13">
        <v>231</v>
      </c>
      <c r="H24" s="53">
        <f t="shared" si="4"/>
        <v>7777</v>
      </c>
      <c r="I24" s="54">
        <f t="shared" si="5"/>
        <v>10529</v>
      </c>
      <c r="J24" s="14">
        <v>5641</v>
      </c>
      <c r="K24" s="60">
        <v>4888</v>
      </c>
      <c r="L24" s="14">
        <v>5910</v>
      </c>
      <c r="M24" s="13">
        <v>2776</v>
      </c>
      <c r="N24" s="13">
        <v>387</v>
      </c>
      <c r="O24" s="60">
        <v>1456</v>
      </c>
    </row>
    <row r="25" spans="2:15" x14ac:dyDescent="0.2">
      <c r="B25" s="18" t="s">
        <v>32</v>
      </c>
      <c r="C25" s="11">
        <v>1520</v>
      </c>
      <c r="D25" s="12">
        <v>923</v>
      </c>
      <c r="E25" s="57">
        <f t="shared" si="3"/>
        <v>2443</v>
      </c>
      <c r="F25" s="13">
        <v>5843</v>
      </c>
      <c r="G25" s="13">
        <v>192</v>
      </c>
      <c r="H25" s="53">
        <f t="shared" si="4"/>
        <v>6035</v>
      </c>
      <c r="I25" s="54">
        <f t="shared" si="5"/>
        <v>8478</v>
      </c>
      <c r="J25" s="14">
        <v>4781</v>
      </c>
      <c r="K25" s="60">
        <v>3697</v>
      </c>
      <c r="L25" s="14">
        <v>4804</v>
      </c>
      <c r="M25" s="13">
        <v>2063</v>
      </c>
      <c r="N25" s="13">
        <v>316</v>
      </c>
      <c r="O25" s="60">
        <v>1295</v>
      </c>
    </row>
    <row r="26" spans="2:15" x14ac:dyDescent="0.2">
      <c r="B26" s="18" t="s">
        <v>33</v>
      </c>
      <c r="C26" s="11">
        <v>1791</v>
      </c>
      <c r="D26" s="12">
        <v>1058</v>
      </c>
      <c r="E26" s="57">
        <f t="shared" si="3"/>
        <v>2849</v>
      </c>
      <c r="F26" s="13">
        <v>7215</v>
      </c>
      <c r="G26" s="13">
        <v>260</v>
      </c>
      <c r="H26" s="53">
        <f t="shared" si="4"/>
        <v>7475</v>
      </c>
      <c r="I26" s="54">
        <f t="shared" si="5"/>
        <v>10324</v>
      </c>
      <c r="J26" s="14">
        <v>6001</v>
      </c>
      <c r="K26" s="60">
        <v>4323</v>
      </c>
      <c r="L26" s="14">
        <v>5989</v>
      </c>
      <c r="M26" s="13">
        <v>2543</v>
      </c>
      <c r="N26" s="13">
        <v>304</v>
      </c>
      <c r="O26" s="60">
        <v>1488</v>
      </c>
    </row>
    <row r="27" spans="2:15" x14ac:dyDescent="0.2">
      <c r="B27" s="18" t="s">
        <v>34</v>
      </c>
      <c r="C27" s="11">
        <v>2272</v>
      </c>
      <c r="D27" s="12">
        <v>1092</v>
      </c>
      <c r="E27" s="57">
        <f t="shared" si="3"/>
        <v>3364</v>
      </c>
      <c r="F27" s="13">
        <v>7421</v>
      </c>
      <c r="G27" s="13">
        <v>273</v>
      </c>
      <c r="H27" s="53">
        <f t="shared" si="4"/>
        <v>7694</v>
      </c>
      <c r="I27" s="54">
        <f t="shared" si="5"/>
        <v>11058</v>
      </c>
      <c r="J27" s="14">
        <v>6573</v>
      </c>
      <c r="K27" s="60">
        <v>4485</v>
      </c>
      <c r="L27" s="14">
        <v>6567</v>
      </c>
      <c r="M27" s="13">
        <v>2577</v>
      </c>
      <c r="N27" s="13">
        <v>304</v>
      </c>
      <c r="O27" s="60">
        <v>1610</v>
      </c>
    </row>
    <row r="28" spans="2:15" x14ac:dyDescent="0.2">
      <c r="B28" s="18" t="s">
        <v>35</v>
      </c>
      <c r="C28" s="11">
        <v>1771</v>
      </c>
      <c r="D28" s="12">
        <v>926</v>
      </c>
      <c r="E28" s="57">
        <f t="shared" si="3"/>
        <v>2697</v>
      </c>
      <c r="F28" s="13">
        <v>6179</v>
      </c>
      <c r="G28" s="13">
        <v>236</v>
      </c>
      <c r="H28" s="53">
        <f t="shared" si="4"/>
        <v>6415</v>
      </c>
      <c r="I28" s="54">
        <f t="shared" si="5"/>
        <v>9112</v>
      </c>
      <c r="J28" s="14">
        <v>5299</v>
      </c>
      <c r="K28" s="60">
        <v>3813</v>
      </c>
      <c r="L28" s="14">
        <v>5293</v>
      </c>
      <c r="M28" s="13">
        <v>2208</v>
      </c>
      <c r="N28" s="13">
        <v>228</v>
      </c>
      <c r="O28" s="60">
        <v>1383</v>
      </c>
    </row>
    <row r="29" spans="2:15" x14ac:dyDescent="0.2">
      <c r="B29" s="17" t="s">
        <v>36</v>
      </c>
      <c r="C29" s="11">
        <v>1995</v>
      </c>
      <c r="D29" s="12">
        <v>1004</v>
      </c>
      <c r="E29" s="57">
        <f t="shared" si="3"/>
        <v>2999</v>
      </c>
      <c r="F29" s="13">
        <v>7481</v>
      </c>
      <c r="G29" s="13">
        <v>274</v>
      </c>
      <c r="H29" s="53">
        <f t="shared" si="4"/>
        <v>7755</v>
      </c>
      <c r="I29" s="54">
        <f t="shared" si="5"/>
        <v>10754</v>
      </c>
      <c r="J29" s="14">
        <v>6331</v>
      </c>
      <c r="K29" s="60">
        <v>4423</v>
      </c>
      <c r="L29" s="14">
        <v>6173</v>
      </c>
      <c r="M29" s="13">
        <v>2532</v>
      </c>
      <c r="N29" s="13">
        <v>348</v>
      </c>
      <c r="O29" s="60">
        <v>1701</v>
      </c>
    </row>
    <row r="30" spans="2:15" x14ac:dyDescent="0.2">
      <c r="B30" s="18" t="s">
        <v>37</v>
      </c>
      <c r="C30" s="11">
        <v>1899</v>
      </c>
      <c r="D30" s="12">
        <v>1088</v>
      </c>
      <c r="E30" s="57">
        <f t="shared" si="3"/>
        <v>2987</v>
      </c>
      <c r="F30" s="13">
        <v>7043</v>
      </c>
      <c r="G30" s="13">
        <v>287</v>
      </c>
      <c r="H30" s="53">
        <f t="shared" si="4"/>
        <v>7330</v>
      </c>
      <c r="I30" s="54">
        <f t="shared" si="5"/>
        <v>10317</v>
      </c>
      <c r="J30" s="14">
        <v>6100</v>
      </c>
      <c r="K30" s="60">
        <v>4217</v>
      </c>
      <c r="L30" s="14">
        <v>5656</v>
      </c>
      <c r="M30" s="13">
        <v>2746</v>
      </c>
      <c r="N30" s="13">
        <v>320</v>
      </c>
      <c r="O30" s="60">
        <v>1595</v>
      </c>
    </row>
    <row r="31" spans="2:15" x14ac:dyDescent="0.2">
      <c r="B31" s="61" t="s">
        <v>38</v>
      </c>
      <c r="C31" s="62">
        <v>1861</v>
      </c>
      <c r="D31" s="62">
        <v>911</v>
      </c>
      <c r="E31" s="63">
        <f t="shared" si="3"/>
        <v>2772</v>
      </c>
      <c r="F31" s="13">
        <v>6844</v>
      </c>
      <c r="G31" s="13">
        <v>255</v>
      </c>
      <c r="H31" s="53">
        <f t="shared" si="4"/>
        <v>7099</v>
      </c>
      <c r="I31" s="54">
        <f t="shared" si="5"/>
        <v>9871</v>
      </c>
      <c r="J31" s="14">
        <v>5611</v>
      </c>
      <c r="K31" s="60">
        <v>4260</v>
      </c>
      <c r="L31" s="14">
        <v>5556</v>
      </c>
      <c r="M31" s="13">
        <v>2496</v>
      </c>
      <c r="N31" s="13">
        <v>285</v>
      </c>
      <c r="O31" s="60">
        <v>1534</v>
      </c>
    </row>
    <row r="32" spans="2:15" x14ac:dyDescent="0.2">
      <c r="B32" s="9" t="s">
        <v>39</v>
      </c>
      <c r="C32" s="6">
        <f>SUM(C20:C31)</f>
        <v>22733</v>
      </c>
      <c r="D32" s="64">
        <f t="shared" ref="D32:O32" si="6">SUM(D20:D31)</f>
        <v>11892</v>
      </c>
      <c r="E32" s="2">
        <f t="shared" si="6"/>
        <v>34625</v>
      </c>
      <c r="F32" s="64">
        <f t="shared" si="6"/>
        <v>79713</v>
      </c>
      <c r="G32" s="64">
        <f t="shared" si="6"/>
        <v>2803</v>
      </c>
      <c r="H32" s="36">
        <f t="shared" si="6"/>
        <v>82516</v>
      </c>
      <c r="I32" s="37">
        <f t="shared" si="6"/>
        <v>117141</v>
      </c>
      <c r="J32" s="6">
        <f t="shared" si="6"/>
        <v>68139</v>
      </c>
      <c r="K32" s="65">
        <f t="shared" si="6"/>
        <v>49002</v>
      </c>
      <c r="L32" s="6">
        <f t="shared" si="6"/>
        <v>67654</v>
      </c>
      <c r="M32" s="64">
        <f t="shared" si="6"/>
        <v>28505</v>
      </c>
      <c r="N32" s="64">
        <f t="shared" si="6"/>
        <v>3550</v>
      </c>
      <c r="O32" s="65">
        <f t="shared" si="6"/>
        <v>17432</v>
      </c>
    </row>
    <row r="33" spans="2:15" x14ac:dyDescent="0.2">
      <c r="B33" s="18" t="s">
        <v>40</v>
      </c>
      <c r="C33" s="11">
        <v>2138</v>
      </c>
      <c r="D33" s="12">
        <v>923</v>
      </c>
      <c r="E33" s="57">
        <f>C33+D33</f>
        <v>3061</v>
      </c>
      <c r="F33" s="13">
        <v>10031</v>
      </c>
      <c r="G33" s="13">
        <v>361</v>
      </c>
      <c r="H33" s="53">
        <f>F33+G33</f>
        <v>10392</v>
      </c>
      <c r="I33" s="54">
        <f>E33+H33</f>
        <v>13453</v>
      </c>
      <c r="J33" s="14">
        <v>7982</v>
      </c>
      <c r="K33" s="60">
        <v>5471</v>
      </c>
      <c r="L33" s="14">
        <v>8209</v>
      </c>
      <c r="M33" s="13">
        <v>3281</v>
      </c>
      <c r="N33" s="13">
        <v>332</v>
      </c>
      <c r="O33" s="60">
        <v>1631</v>
      </c>
    </row>
    <row r="34" spans="2:15" x14ac:dyDescent="0.2">
      <c r="B34" s="18" t="s">
        <v>41</v>
      </c>
      <c r="C34" s="11">
        <v>1786</v>
      </c>
      <c r="D34" s="12">
        <v>744</v>
      </c>
      <c r="E34" s="57">
        <f>C34+D34</f>
        <v>2530</v>
      </c>
      <c r="F34" s="13">
        <v>9930</v>
      </c>
      <c r="G34" s="13">
        <v>711</v>
      </c>
      <c r="H34" s="53">
        <f>F34+G34</f>
        <v>10641</v>
      </c>
      <c r="I34" s="66">
        <f>E34+H34</f>
        <v>13171</v>
      </c>
      <c r="J34" s="14">
        <v>7961</v>
      </c>
      <c r="K34" s="15">
        <v>5210</v>
      </c>
      <c r="L34" s="16">
        <v>8431</v>
      </c>
      <c r="M34" s="14">
        <v>3021</v>
      </c>
      <c r="N34" s="14">
        <v>284</v>
      </c>
      <c r="O34" s="15">
        <v>1435</v>
      </c>
    </row>
    <row r="35" spans="2:15" x14ac:dyDescent="0.2">
      <c r="B35" s="18" t="s">
        <v>42</v>
      </c>
      <c r="C35" s="11">
        <v>1959</v>
      </c>
      <c r="D35" s="11">
        <v>914</v>
      </c>
      <c r="E35" s="57">
        <f>C35+D35</f>
        <v>2873</v>
      </c>
      <c r="F35" s="14">
        <v>9164</v>
      </c>
      <c r="G35" s="14">
        <v>889</v>
      </c>
      <c r="H35" s="53">
        <f>F35+G35</f>
        <v>10053</v>
      </c>
      <c r="I35" s="66">
        <f>E35+H35</f>
        <v>12926</v>
      </c>
      <c r="J35" s="14">
        <v>7526</v>
      </c>
      <c r="K35" s="15">
        <v>5400</v>
      </c>
      <c r="L35" s="16">
        <v>7448</v>
      </c>
      <c r="M35" s="14">
        <v>3439</v>
      </c>
      <c r="N35" s="14">
        <v>378</v>
      </c>
      <c r="O35" s="15">
        <v>1661</v>
      </c>
    </row>
    <row r="36" spans="2:15" x14ac:dyDescent="0.2">
      <c r="B36" s="18" t="s">
        <v>601</v>
      </c>
      <c r="C36" s="11">
        <v>1934</v>
      </c>
      <c r="D36" s="12">
        <v>949</v>
      </c>
      <c r="E36" s="57">
        <v>2883</v>
      </c>
      <c r="F36" s="13">
        <v>8562</v>
      </c>
      <c r="G36" s="13">
        <v>796</v>
      </c>
      <c r="H36" s="53">
        <v>9358</v>
      </c>
      <c r="I36" s="66">
        <v>12241</v>
      </c>
      <c r="J36" s="14">
        <v>6904</v>
      </c>
      <c r="K36" s="15">
        <v>5337</v>
      </c>
      <c r="L36" s="16">
        <v>6489</v>
      </c>
      <c r="M36" s="14">
        <v>3580</v>
      </c>
      <c r="N36" s="14">
        <v>439</v>
      </c>
      <c r="O36" s="15">
        <v>1733</v>
      </c>
    </row>
    <row r="37" spans="2:15" x14ac:dyDescent="0.2">
      <c r="B37" s="18" t="s">
        <v>603</v>
      </c>
      <c r="C37" s="11">
        <v>1938</v>
      </c>
      <c r="D37" s="12">
        <v>906</v>
      </c>
      <c r="E37" s="57">
        <v>2844</v>
      </c>
      <c r="F37" s="13">
        <v>9897</v>
      </c>
      <c r="G37" s="13">
        <v>520</v>
      </c>
      <c r="H37" s="53">
        <v>10417</v>
      </c>
      <c r="I37" s="66">
        <v>13261</v>
      </c>
      <c r="J37" s="14">
        <v>7062</v>
      </c>
      <c r="K37" s="15">
        <v>6199</v>
      </c>
      <c r="L37" s="16">
        <v>7260</v>
      </c>
      <c r="M37" s="14">
        <v>3821</v>
      </c>
      <c r="N37" s="14">
        <v>448</v>
      </c>
      <c r="O37" s="15">
        <v>1732</v>
      </c>
    </row>
    <row r="38" spans="2:15" x14ac:dyDescent="0.2">
      <c r="B38" s="18" t="s">
        <v>605</v>
      </c>
      <c r="C38" s="11">
        <v>1777</v>
      </c>
      <c r="D38" s="12">
        <v>826</v>
      </c>
      <c r="E38" s="57">
        <v>2603</v>
      </c>
      <c r="F38" s="13">
        <v>8539</v>
      </c>
      <c r="G38" s="13">
        <v>489</v>
      </c>
      <c r="H38" s="53">
        <v>9028</v>
      </c>
      <c r="I38" s="66">
        <v>11631</v>
      </c>
      <c r="J38" s="14">
        <v>6492</v>
      </c>
      <c r="K38" s="15">
        <v>5139</v>
      </c>
      <c r="L38" s="16">
        <v>6373</v>
      </c>
      <c r="M38" s="14">
        <v>3320</v>
      </c>
      <c r="N38" s="14">
        <v>369</v>
      </c>
      <c r="O38" s="15">
        <v>1569</v>
      </c>
    </row>
    <row r="39" spans="2:15" x14ac:dyDescent="0.2">
      <c r="B39" s="18" t="s">
        <v>607</v>
      </c>
      <c r="C39" s="11">
        <v>1979</v>
      </c>
      <c r="D39" s="12">
        <v>761</v>
      </c>
      <c r="E39" s="57">
        <v>2740</v>
      </c>
      <c r="F39" s="13">
        <v>9055</v>
      </c>
      <c r="G39" s="13">
        <v>435</v>
      </c>
      <c r="H39" s="53">
        <v>9490</v>
      </c>
      <c r="I39" s="66">
        <v>12230</v>
      </c>
      <c r="J39" s="14">
        <v>6939</v>
      </c>
      <c r="K39" s="15">
        <v>5291</v>
      </c>
      <c r="L39" s="16">
        <v>6726</v>
      </c>
      <c r="M39" s="14">
        <v>3515</v>
      </c>
      <c r="N39" s="14">
        <v>386</v>
      </c>
      <c r="O39" s="15">
        <v>1603</v>
      </c>
    </row>
    <row r="40" spans="2:15" x14ac:dyDescent="0.2">
      <c r="B40" s="18" t="s">
        <v>609</v>
      </c>
      <c r="C40" s="11">
        <v>2188</v>
      </c>
      <c r="D40" s="12">
        <v>590</v>
      </c>
      <c r="E40" s="57">
        <v>2778</v>
      </c>
      <c r="F40" s="13">
        <v>9628</v>
      </c>
      <c r="G40" s="13">
        <v>379</v>
      </c>
      <c r="H40" s="53">
        <v>10007</v>
      </c>
      <c r="I40" s="66">
        <v>12785</v>
      </c>
      <c r="J40" s="14">
        <v>7451</v>
      </c>
      <c r="K40" s="15">
        <v>5334</v>
      </c>
      <c r="L40" s="16">
        <v>7526</v>
      </c>
      <c r="M40" s="14">
        <v>3198</v>
      </c>
      <c r="N40" s="14">
        <v>383</v>
      </c>
      <c r="O40" s="15">
        <v>1678</v>
      </c>
    </row>
    <row r="41" spans="2:15" x14ac:dyDescent="0.2">
      <c r="B41" s="18" t="s">
        <v>611</v>
      </c>
      <c r="C41" s="11">
        <v>1919</v>
      </c>
      <c r="D41" s="12">
        <v>489</v>
      </c>
      <c r="E41" s="57">
        <v>2408</v>
      </c>
      <c r="F41" s="13">
        <v>7667</v>
      </c>
      <c r="G41" s="13">
        <v>298</v>
      </c>
      <c r="H41" s="53">
        <v>7965</v>
      </c>
      <c r="I41" s="66">
        <v>10373</v>
      </c>
      <c r="J41" s="14">
        <v>6209</v>
      </c>
      <c r="K41" s="15">
        <v>4164</v>
      </c>
      <c r="L41" s="16">
        <v>6069</v>
      </c>
      <c r="M41" s="14">
        <v>2733</v>
      </c>
      <c r="N41" s="14">
        <v>286</v>
      </c>
      <c r="O41" s="15">
        <v>1285</v>
      </c>
    </row>
    <row r="42" spans="2:15" x14ac:dyDescent="0.2">
      <c r="B42" s="18" t="s">
        <v>626</v>
      </c>
      <c r="C42" s="11">
        <v>2429</v>
      </c>
      <c r="D42" s="11">
        <v>457</v>
      </c>
      <c r="E42" s="11">
        <v>2886</v>
      </c>
      <c r="F42" s="11">
        <v>10341</v>
      </c>
      <c r="G42" s="11">
        <v>362</v>
      </c>
      <c r="H42" s="11">
        <v>10703</v>
      </c>
      <c r="I42" s="11">
        <v>13589</v>
      </c>
      <c r="J42" s="11">
        <v>8012</v>
      </c>
      <c r="K42" s="11">
        <v>5577</v>
      </c>
      <c r="L42" s="11">
        <v>7642</v>
      </c>
      <c r="M42" s="11">
        <v>3842</v>
      </c>
      <c r="N42" s="11">
        <v>384</v>
      </c>
      <c r="O42" s="11">
        <v>1721</v>
      </c>
    </row>
    <row r="43" spans="2:15" x14ac:dyDescent="0.2">
      <c r="B43" s="18" t="s">
        <v>627</v>
      </c>
      <c r="C43" s="11">
        <v>2116</v>
      </c>
      <c r="D43" s="11">
        <v>109</v>
      </c>
      <c r="E43" s="11">
        <v>2225</v>
      </c>
      <c r="F43" s="11">
        <v>7070</v>
      </c>
      <c r="G43" s="11">
        <v>27</v>
      </c>
      <c r="H43" s="11">
        <v>7097</v>
      </c>
      <c r="I43" s="11">
        <v>9322</v>
      </c>
      <c r="J43" s="11">
        <v>5506</v>
      </c>
      <c r="K43" s="11">
        <v>3816</v>
      </c>
      <c r="L43" s="11">
        <v>5412</v>
      </c>
      <c r="M43" s="11">
        <v>2490</v>
      </c>
      <c r="N43" s="11">
        <v>345</v>
      </c>
      <c r="O43" s="11">
        <v>1075</v>
      </c>
    </row>
    <row r="44" spans="2:15" x14ac:dyDescent="0.2">
      <c r="B44" s="9" t="s">
        <v>625</v>
      </c>
      <c r="C44" s="394">
        <v>22163</v>
      </c>
      <c r="D44" s="394">
        <v>7668</v>
      </c>
      <c r="E44" s="394">
        <v>29831</v>
      </c>
      <c r="F44" s="394">
        <v>99884</v>
      </c>
      <c r="G44" s="394">
        <v>5267</v>
      </c>
      <c r="H44" s="394">
        <v>105151</v>
      </c>
      <c r="I44" s="394">
        <v>134982</v>
      </c>
      <c r="J44" s="394">
        <v>78044</v>
      </c>
      <c r="K44" s="394">
        <v>56938</v>
      </c>
      <c r="L44" s="394">
        <v>77585</v>
      </c>
      <c r="M44" s="394">
        <v>36240</v>
      </c>
      <c r="N44" s="394">
        <v>4034</v>
      </c>
      <c r="O44" s="394">
        <v>17123</v>
      </c>
    </row>
    <row r="45" spans="2:15" x14ac:dyDescent="0.2">
      <c r="B45" s="67" t="s">
        <v>43</v>
      </c>
      <c r="C45" s="68">
        <v>391921</v>
      </c>
      <c r="D45" s="68">
        <v>138135</v>
      </c>
      <c r="E45" s="68">
        <v>530056</v>
      </c>
      <c r="F45" s="68">
        <v>1079963</v>
      </c>
      <c r="G45" s="68">
        <v>60727</v>
      </c>
      <c r="H45" s="68">
        <v>1140690</v>
      </c>
      <c r="I45" s="68">
        <v>1670746</v>
      </c>
      <c r="J45" s="68">
        <v>1023310</v>
      </c>
      <c r="K45" s="68">
        <v>647436</v>
      </c>
      <c r="L45" s="68">
        <v>1069998</v>
      </c>
      <c r="M45" s="68">
        <v>248637</v>
      </c>
      <c r="N45" s="68">
        <v>45488</v>
      </c>
      <c r="O45" s="68">
        <v>306623</v>
      </c>
    </row>
    <row r="46" spans="2:15" x14ac:dyDescent="0.2">
      <c r="B46" s="167" t="s">
        <v>149</v>
      </c>
    </row>
    <row r="47" spans="2:15" ht="12" customHeight="1" x14ac:dyDescent="0.2">
      <c r="B47" s="167" t="s">
        <v>150</v>
      </c>
      <c r="C47" s="225"/>
      <c r="D47" s="225"/>
      <c r="E47" s="225"/>
      <c r="F47" s="225"/>
      <c r="G47" s="225"/>
      <c r="H47" s="225"/>
      <c r="I47" s="225"/>
      <c r="J47" s="225"/>
      <c r="K47" s="225"/>
      <c r="L47" s="225"/>
    </row>
    <row r="48" spans="2:15" ht="70.5" customHeight="1" x14ac:dyDescent="0.2">
      <c r="B48" s="427" t="s">
        <v>612</v>
      </c>
      <c r="C48" s="427"/>
      <c r="D48" s="427"/>
      <c r="E48" s="427"/>
      <c r="F48" s="427"/>
      <c r="G48" s="427"/>
      <c r="H48" s="427"/>
      <c r="I48" s="427"/>
      <c r="J48" s="427"/>
      <c r="K48" s="427"/>
      <c r="L48" s="427"/>
    </row>
    <row r="49" spans="2:12" x14ac:dyDescent="0.2">
      <c r="B49" s="225"/>
      <c r="C49" s="225"/>
      <c r="D49" s="225"/>
      <c r="E49" s="225"/>
      <c r="F49" s="225"/>
      <c r="G49" s="225"/>
      <c r="H49" s="225"/>
      <c r="I49" s="225"/>
      <c r="J49" s="225"/>
      <c r="K49" s="225"/>
      <c r="L49" s="225"/>
    </row>
    <row r="50" spans="2:12" x14ac:dyDescent="0.2">
      <c r="B50" s="225"/>
      <c r="C50" s="225"/>
      <c r="D50" s="225"/>
      <c r="E50" s="225"/>
      <c r="F50" s="225"/>
      <c r="G50" s="225"/>
      <c r="H50" s="225"/>
      <c r="I50" s="225"/>
      <c r="J50" s="225"/>
      <c r="K50" s="225"/>
      <c r="L50" s="225"/>
    </row>
    <row r="51" spans="2:12" x14ac:dyDescent="0.2">
      <c r="B51" s="225"/>
      <c r="C51" s="225"/>
      <c r="D51" s="225"/>
      <c r="E51" s="225"/>
      <c r="F51" s="225"/>
      <c r="G51" s="225"/>
      <c r="H51" s="225"/>
      <c r="I51" s="225"/>
      <c r="J51" s="225"/>
      <c r="K51" s="225"/>
      <c r="L51" s="225"/>
    </row>
    <row r="52" spans="2:12" x14ac:dyDescent="0.2">
      <c r="B52" s="225"/>
      <c r="C52" s="225"/>
      <c r="D52" s="225"/>
      <c r="E52" s="225"/>
      <c r="F52" s="225"/>
      <c r="G52" s="225"/>
      <c r="H52" s="225"/>
      <c r="I52" s="225"/>
      <c r="J52" s="225"/>
      <c r="K52" s="225"/>
      <c r="L52" s="225"/>
    </row>
    <row r="53" spans="2:12" x14ac:dyDescent="0.2">
      <c r="B53" s="225"/>
      <c r="C53" s="225"/>
      <c r="D53" s="225"/>
      <c r="E53" s="225"/>
      <c r="F53" s="225"/>
      <c r="G53" s="225"/>
      <c r="H53" s="225"/>
      <c r="I53" s="225"/>
      <c r="J53" s="225"/>
      <c r="K53" s="225"/>
      <c r="L53" s="225"/>
    </row>
    <row r="54" spans="2:12" x14ac:dyDescent="0.2">
      <c r="B54" s="225"/>
      <c r="C54" s="225"/>
      <c r="D54" s="225"/>
      <c r="E54" s="225"/>
      <c r="F54" s="225"/>
      <c r="G54" s="225"/>
      <c r="H54" s="225"/>
      <c r="I54" s="225"/>
    </row>
  </sheetData>
  <mergeCells count="8">
    <mergeCell ref="B5:O5"/>
    <mergeCell ref="B6:O6"/>
    <mergeCell ref="B48:L48"/>
    <mergeCell ref="B8:O8"/>
    <mergeCell ref="B9:B10"/>
    <mergeCell ref="C9:I9"/>
    <mergeCell ref="J9:K9"/>
    <mergeCell ref="L9:O9"/>
  </mergeCells>
  <hyperlinks>
    <hyperlink ref="Q5" location="'Índice Pensiones Solidarias'!A1" display="Volver Sistema de Pensiones Solidadias" xr:uid="{00000000-0004-0000-0400-000000000000}"/>
  </hyperlinks>
  <pageMargins left="0.7" right="0.7" top="0.75" bottom="0.75" header="0.3" footer="0.3"/>
  <ignoredErrors>
    <ignoredError sqref="C32:D32 F32:G32 J32:O32" formulaRange="1"/>
    <ignoredError sqref="E32 H32:I32"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3"/>
  <dimension ref="A2:R30"/>
  <sheetViews>
    <sheetView showGridLines="0" zoomScale="90" zoomScaleNormal="90" workbookViewId="0">
      <selection activeCell="E13" sqref="E13"/>
    </sheetView>
  </sheetViews>
  <sheetFormatPr baseColWidth="10" defaultColWidth="11.42578125" defaultRowHeight="12" x14ac:dyDescent="0.2"/>
  <cols>
    <col min="1" max="1" width="6" style="167" customWidth="1"/>
    <col min="2" max="2" width="21.5703125" style="167" customWidth="1"/>
    <col min="3" max="16384" width="11.42578125" style="167"/>
  </cols>
  <sheetData>
    <row r="2" spans="1:18" s="348" customFormat="1" ht="12.75" x14ac:dyDescent="0.2">
      <c r="A2" s="196" t="s">
        <v>121</v>
      </c>
    </row>
    <row r="3" spans="1:18" s="348" customFormat="1" ht="12.75" x14ac:dyDescent="0.2">
      <c r="A3" s="196" t="s">
        <v>122</v>
      </c>
    </row>
    <row r="4" spans="1:18" s="348" customFormat="1" ht="12.75" x14ac:dyDescent="0.2"/>
    <row r="5" spans="1:18" s="348" customFormat="1" ht="12.75" x14ac:dyDescent="0.2">
      <c r="B5" s="418" t="s">
        <v>70</v>
      </c>
      <c r="C5" s="418"/>
      <c r="D5" s="418"/>
      <c r="E5" s="418"/>
      <c r="F5" s="418"/>
      <c r="G5" s="418"/>
      <c r="H5" s="418"/>
      <c r="I5" s="418"/>
      <c r="J5" s="418"/>
      <c r="K5" s="418"/>
      <c r="L5" s="418"/>
      <c r="M5" s="418"/>
      <c r="N5" s="418"/>
      <c r="O5" s="418"/>
      <c r="P5" s="418"/>
      <c r="R5" s="366" t="s">
        <v>595</v>
      </c>
    </row>
    <row r="6" spans="1:18" s="348" customFormat="1" ht="12.75" x14ac:dyDescent="0.2">
      <c r="B6" s="431" t="s">
        <v>652</v>
      </c>
      <c r="C6" s="431"/>
      <c r="D6" s="431"/>
      <c r="E6" s="431"/>
      <c r="F6" s="431"/>
      <c r="G6" s="431"/>
      <c r="H6" s="431"/>
      <c r="I6" s="431"/>
      <c r="J6" s="431"/>
      <c r="K6" s="431"/>
      <c r="L6" s="431"/>
      <c r="M6" s="431"/>
      <c r="N6" s="431"/>
      <c r="O6" s="431"/>
      <c r="P6" s="431"/>
    </row>
    <row r="7" spans="1:18" ht="12.75" thickBot="1" x14ac:dyDescent="0.25"/>
    <row r="8" spans="1:18" ht="12.75" thickBot="1" x14ac:dyDescent="0.25">
      <c r="B8" s="419" t="s">
        <v>0</v>
      </c>
      <c r="C8" s="420"/>
      <c r="D8" s="420"/>
      <c r="E8" s="420"/>
      <c r="F8" s="420"/>
      <c r="G8" s="420"/>
      <c r="H8" s="420"/>
      <c r="I8" s="420"/>
      <c r="J8" s="420"/>
      <c r="K8" s="420"/>
      <c r="L8" s="420"/>
      <c r="M8" s="420"/>
      <c r="N8" s="420"/>
      <c r="O8" s="420"/>
      <c r="P8" s="421"/>
    </row>
    <row r="9" spans="1:18" ht="12.75" thickBot="1" x14ac:dyDescent="0.25">
      <c r="B9" s="422" t="s">
        <v>49</v>
      </c>
      <c r="C9" s="419" t="s">
        <v>2</v>
      </c>
      <c r="D9" s="420"/>
      <c r="E9" s="420"/>
      <c r="F9" s="420"/>
      <c r="G9" s="420"/>
      <c r="H9" s="421"/>
      <c r="I9" s="419" t="s">
        <v>43</v>
      </c>
      <c r="J9" s="421"/>
      <c r="K9" s="432" t="s">
        <v>3</v>
      </c>
      <c r="L9" s="433"/>
      <c r="M9" s="432" t="s">
        <v>4</v>
      </c>
      <c r="N9" s="434"/>
      <c r="O9" s="434"/>
      <c r="P9" s="435"/>
    </row>
    <row r="10" spans="1:18" ht="36.75" thickBot="1" x14ac:dyDescent="0.25">
      <c r="B10" s="428"/>
      <c r="C10" s="120" t="s">
        <v>5</v>
      </c>
      <c r="D10" s="73" t="s">
        <v>6</v>
      </c>
      <c r="E10" s="121" t="s">
        <v>7</v>
      </c>
      <c r="F10" s="73" t="s">
        <v>8</v>
      </c>
      <c r="G10" s="73" t="s">
        <v>9</v>
      </c>
      <c r="H10" s="122" t="s">
        <v>10</v>
      </c>
      <c r="I10" s="123" t="s">
        <v>46</v>
      </c>
      <c r="J10" s="124" t="s">
        <v>50</v>
      </c>
      <c r="K10" s="77" t="s">
        <v>47</v>
      </c>
      <c r="L10" s="122" t="s">
        <v>13</v>
      </c>
      <c r="M10" s="125" t="s">
        <v>14</v>
      </c>
      <c r="N10" s="126" t="s">
        <v>15</v>
      </c>
      <c r="O10" s="126" t="s">
        <v>16</v>
      </c>
      <c r="P10" s="127" t="s">
        <v>17</v>
      </c>
    </row>
    <row r="11" spans="1:18" x14ac:dyDescent="0.2">
      <c r="B11" s="82" t="s">
        <v>51</v>
      </c>
      <c r="C11" s="83">
        <v>5225</v>
      </c>
      <c r="D11" s="84">
        <v>2236</v>
      </c>
      <c r="E11" s="84">
        <f>C11+D11</f>
        <v>7461</v>
      </c>
      <c r="F11" s="84">
        <v>16459</v>
      </c>
      <c r="G11" s="84">
        <v>824</v>
      </c>
      <c r="H11" s="85">
        <f>F11+G11</f>
        <v>17283</v>
      </c>
      <c r="I11" s="86">
        <f t="shared" ref="I11:I18" si="0">+C11+D11+F11+G11</f>
        <v>24744</v>
      </c>
      <c r="J11" s="87">
        <f t="shared" ref="J11:J18" si="1">I11/$I$27</f>
        <v>1.2100465552990885E-2</v>
      </c>
      <c r="K11" s="88">
        <v>15012</v>
      </c>
      <c r="L11" s="89">
        <v>9732</v>
      </c>
      <c r="M11" s="90">
        <v>15179</v>
      </c>
      <c r="N11" s="91">
        <v>4244</v>
      </c>
      <c r="O11" s="91">
        <v>687</v>
      </c>
      <c r="P11" s="92">
        <v>4634</v>
      </c>
    </row>
    <row r="12" spans="1:18" x14ac:dyDescent="0.2">
      <c r="B12" s="82" t="s">
        <v>52</v>
      </c>
      <c r="C12" s="93">
        <v>5275</v>
      </c>
      <c r="D12" s="94">
        <v>3922</v>
      </c>
      <c r="E12" s="94">
        <f>C12+D12</f>
        <v>9197</v>
      </c>
      <c r="F12" s="94">
        <v>17518</v>
      </c>
      <c r="G12" s="94">
        <v>1503</v>
      </c>
      <c r="H12" s="95">
        <f t="shared" ref="H12:H18" si="2">F12+G12</f>
        <v>19021</v>
      </c>
      <c r="I12" s="96">
        <f t="shared" si="0"/>
        <v>28218</v>
      </c>
      <c r="J12" s="97">
        <f t="shared" si="1"/>
        <v>1.3799342748718751E-2</v>
      </c>
      <c r="K12" s="88">
        <v>17702</v>
      </c>
      <c r="L12" s="89">
        <v>10516</v>
      </c>
      <c r="M12" s="93">
        <v>16801</v>
      </c>
      <c r="N12" s="94">
        <v>3727</v>
      </c>
      <c r="O12" s="94">
        <v>998</v>
      </c>
      <c r="P12" s="98">
        <v>6692</v>
      </c>
    </row>
    <row r="13" spans="1:18" x14ac:dyDescent="0.2">
      <c r="B13" s="82" t="s">
        <v>53</v>
      </c>
      <c r="C13" s="93">
        <v>10311</v>
      </c>
      <c r="D13" s="94">
        <v>4662</v>
      </c>
      <c r="E13" s="94">
        <f t="shared" ref="E13:E18" si="3">C13+D13</f>
        <v>14973</v>
      </c>
      <c r="F13" s="94">
        <v>30304</v>
      </c>
      <c r="G13" s="94">
        <v>1569</v>
      </c>
      <c r="H13" s="95">
        <f t="shared" si="2"/>
        <v>31873</v>
      </c>
      <c r="I13" s="96">
        <f t="shared" si="0"/>
        <v>46846</v>
      </c>
      <c r="J13" s="97">
        <f t="shared" si="1"/>
        <v>2.2908923751026954E-2</v>
      </c>
      <c r="K13" s="88">
        <v>31311</v>
      </c>
      <c r="L13" s="89">
        <v>15535</v>
      </c>
      <c r="M13" s="93">
        <v>33487</v>
      </c>
      <c r="N13" s="94">
        <v>6131</v>
      </c>
      <c r="O13" s="94">
        <v>631</v>
      </c>
      <c r="P13" s="98">
        <v>6597</v>
      </c>
    </row>
    <row r="14" spans="1:18" x14ac:dyDescent="0.2">
      <c r="B14" s="82" t="s">
        <v>54</v>
      </c>
      <c r="C14" s="93">
        <v>6690</v>
      </c>
      <c r="D14" s="94">
        <v>3217</v>
      </c>
      <c r="E14" s="94">
        <f t="shared" si="3"/>
        <v>9907</v>
      </c>
      <c r="F14" s="94">
        <v>19891</v>
      </c>
      <c r="G14" s="94">
        <v>1055</v>
      </c>
      <c r="H14" s="95">
        <f t="shared" si="2"/>
        <v>20946</v>
      </c>
      <c r="I14" s="96">
        <f t="shared" si="0"/>
        <v>30853</v>
      </c>
      <c r="J14" s="97">
        <f t="shared" si="1"/>
        <v>1.5087926919917061E-2</v>
      </c>
      <c r="K14" s="88">
        <v>19239</v>
      </c>
      <c r="L14" s="89">
        <v>11614</v>
      </c>
      <c r="M14" s="93">
        <v>19191</v>
      </c>
      <c r="N14" s="94">
        <v>4792</v>
      </c>
      <c r="O14" s="94">
        <v>903</v>
      </c>
      <c r="P14" s="98">
        <v>5967</v>
      </c>
    </row>
    <row r="15" spans="1:18" x14ac:dyDescent="0.2">
      <c r="B15" s="82" t="s">
        <v>55</v>
      </c>
      <c r="C15" s="93">
        <v>19336</v>
      </c>
      <c r="D15" s="94">
        <v>8632</v>
      </c>
      <c r="E15" s="94">
        <f t="shared" si="3"/>
        <v>27968</v>
      </c>
      <c r="F15" s="94">
        <v>58722</v>
      </c>
      <c r="G15" s="94">
        <v>2852</v>
      </c>
      <c r="H15" s="95">
        <f t="shared" si="2"/>
        <v>61574</v>
      </c>
      <c r="I15" s="96">
        <f t="shared" si="0"/>
        <v>89542</v>
      </c>
      <c r="J15" s="97">
        <f t="shared" si="1"/>
        <v>4.3788388560697937E-2</v>
      </c>
      <c r="K15" s="88">
        <v>55886</v>
      </c>
      <c r="L15" s="89">
        <v>33656</v>
      </c>
      <c r="M15" s="93">
        <v>68181</v>
      </c>
      <c r="N15" s="94">
        <v>10715</v>
      </c>
      <c r="O15" s="94">
        <v>1288</v>
      </c>
      <c r="P15" s="98">
        <v>9358</v>
      </c>
    </row>
    <row r="16" spans="1:18" x14ac:dyDescent="0.2">
      <c r="B16" s="82" t="s">
        <v>56</v>
      </c>
      <c r="C16" s="93">
        <v>48571</v>
      </c>
      <c r="D16" s="94">
        <v>23417</v>
      </c>
      <c r="E16" s="94">
        <f t="shared" si="3"/>
        <v>71988</v>
      </c>
      <c r="F16" s="94">
        <v>161098</v>
      </c>
      <c r="G16" s="94">
        <v>9027</v>
      </c>
      <c r="H16" s="95">
        <f t="shared" si="2"/>
        <v>170125</v>
      </c>
      <c r="I16" s="96">
        <f t="shared" si="0"/>
        <v>242113</v>
      </c>
      <c r="J16" s="97">
        <f t="shared" si="1"/>
        <v>0.11839961269120926</v>
      </c>
      <c r="K16" s="88">
        <v>153965</v>
      </c>
      <c r="L16" s="89">
        <v>88148</v>
      </c>
      <c r="M16" s="93">
        <v>158442</v>
      </c>
      <c r="N16" s="94">
        <v>40145</v>
      </c>
      <c r="O16" s="94">
        <v>6033</v>
      </c>
      <c r="P16" s="98">
        <v>37493</v>
      </c>
    </row>
    <row r="17" spans="2:16" x14ac:dyDescent="0.2">
      <c r="B17" s="82" t="s">
        <v>57</v>
      </c>
      <c r="C17" s="93">
        <v>23169</v>
      </c>
      <c r="D17" s="94">
        <v>13727</v>
      </c>
      <c r="E17" s="94">
        <f t="shared" si="3"/>
        <v>36896</v>
      </c>
      <c r="F17" s="94">
        <v>75671</v>
      </c>
      <c r="G17" s="94">
        <v>5117</v>
      </c>
      <c r="H17" s="95">
        <f t="shared" si="2"/>
        <v>80788</v>
      </c>
      <c r="I17" s="96">
        <f t="shared" si="0"/>
        <v>117684</v>
      </c>
      <c r="J17" s="97">
        <f t="shared" si="1"/>
        <v>5.7550565314346075E-2</v>
      </c>
      <c r="K17" s="88">
        <v>71396</v>
      </c>
      <c r="L17" s="89">
        <v>46288</v>
      </c>
      <c r="M17" s="93">
        <v>70812</v>
      </c>
      <c r="N17" s="94">
        <v>14809</v>
      </c>
      <c r="O17" s="94">
        <v>2871</v>
      </c>
      <c r="P17" s="98">
        <v>29192</v>
      </c>
    </row>
    <row r="18" spans="2:16" x14ac:dyDescent="0.2">
      <c r="B18" s="82" t="s">
        <v>58</v>
      </c>
      <c r="C18" s="93">
        <v>31694</v>
      </c>
      <c r="D18" s="94">
        <v>18403</v>
      </c>
      <c r="E18" s="94">
        <f t="shared" si="3"/>
        <v>50097</v>
      </c>
      <c r="F18" s="94">
        <v>88010</v>
      </c>
      <c r="G18" s="94">
        <v>5768</v>
      </c>
      <c r="H18" s="95">
        <f t="shared" si="2"/>
        <v>93778</v>
      </c>
      <c r="I18" s="96">
        <f t="shared" si="0"/>
        <v>143875</v>
      </c>
      <c r="J18" s="97">
        <f t="shared" si="1"/>
        <v>7.0358651852431439E-2</v>
      </c>
      <c r="K18" s="88">
        <v>85175</v>
      </c>
      <c r="L18" s="89">
        <v>58700</v>
      </c>
      <c r="M18" s="93">
        <v>90534</v>
      </c>
      <c r="N18" s="94">
        <v>21093</v>
      </c>
      <c r="O18" s="94">
        <v>3478</v>
      </c>
      <c r="P18" s="98">
        <v>28770</v>
      </c>
    </row>
    <row r="19" spans="2:16" x14ac:dyDescent="0.2">
      <c r="B19" s="82" t="s">
        <v>622</v>
      </c>
      <c r="C19" s="93">
        <v>16164</v>
      </c>
      <c r="D19" s="94">
        <v>20013</v>
      </c>
      <c r="E19" s="94">
        <f t="shared" ref="E19:E26" si="4">C19+D19</f>
        <v>36177</v>
      </c>
      <c r="F19" s="94">
        <v>41180</v>
      </c>
      <c r="G19" s="94">
        <v>4447</v>
      </c>
      <c r="H19" s="95">
        <f t="shared" ref="H19:H26" si="5">F19+G19</f>
        <v>45627</v>
      </c>
      <c r="I19" s="96">
        <f t="shared" ref="I19:I26" si="6">+C19+D19+F19+G19</f>
        <v>81804</v>
      </c>
      <c r="J19" s="97">
        <f t="shared" ref="J19:J26" si="7">I19/$I$27</f>
        <v>4.0004303431008179E-2</v>
      </c>
      <c r="K19" s="88">
        <v>50708</v>
      </c>
      <c r="L19" s="89">
        <v>31096</v>
      </c>
      <c r="M19" s="93">
        <v>48776</v>
      </c>
      <c r="N19" s="94">
        <v>10596</v>
      </c>
      <c r="O19" s="94">
        <v>1465</v>
      </c>
      <c r="P19" s="98">
        <v>20967</v>
      </c>
    </row>
    <row r="20" spans="2:16" x14ac:dyDescent="0.2">
      <c r="B20" s="82" t="s">
        <v>59</v>
      </c>
      <c r="C20" s="93">
        <v>42204</v>
      </c>
      <c r="D20" s="94">
        <v>31552</v>
      </c>
      <c r="E20" s="94">
        <f t="shared" si="4"/>
        <v>73756</v>
      </c>
      <c r="F20" s="94">
        <v>121298</v>
      </c>
      <c r="G20" s="94">
        <v>7506</v>
      </c>
      <c r="H20" s="95">
        <f t="shared" si="5"/>
        <v>128804</v>
      </c>
      <c r="I20" s="96">
        <f t="shared" si="6"/>
        <v>202560</v>
      </c>
      <c r="J20" s="97">
        <f t="shared" si="7"/>
        <v>9.9057157388208597E-2</v>
      </c>
      <c r="K20" s="88">
        <v>128761</v>
      </c>
      <c r="L20" s="89">
        <v>73799</v>
      </c>
      <c r="M20" s="93">
        <v>119986</v>
      </c>
      <c r="N20" s="94">
        <v>26745</v>
      </c>
      <c r="O20" s="94">
        <v>5694</v>
      </c>
      <c r="P20" s="98">
        <v>50135</v>
      </c>
    </row>
    <row r="21" spans="2:16" x14ac:dyDescent="0.2">
      <c r="B21" s="82" t="s">
        <v>60</v>
      </c>
      <c r="C21" s="93">
        <v>33851</v>
      </c>
      <c r="D21" s="94">
        <v>21970</v>
      </c>
      <c r="E21" s="94">
        <f t="shared" si="4"/>
        <v>55821</v>
      </c>
      <c r="F21" s="94">
        <v>69096</v>
      </c>
      <c r="G21" s="94">
        <v>4825</v>
      </c>
      <c r="H21" s="95">
        <f t="shared" si="5"/>
        <v>73921</v>
      </c>
      <c r="I21" s="96">
        <f t="shared" si="6"/>
        <v>129742</v>
      </c>
      <c r="J21" s="97">
        <f t="shared" si="7"/>
        <v>6.344724384804977E-2</v>
      </c>
      <c r="K21" s="88">
        <v>79355</v>
      </c>
      <c r="L21" s="89">
        <v>50387</v>
      </c>
      <c r="M21" s="93">
        <v>89308</v>
      </c>
      <c r="N21" s="94">
        <v>18263</v>
      </c>
      <c r="O21" s="94">
        <v>3198</v>
      </c>
      <c r="P21" s="98">
        <v>18973</v>
      </c>
    </row>
    <row r="22" spans="2:16" x14ac:dyDescent="0.2">
      <c r="B22" s="82" t="s">
        <v>61</v>
      </c>
      <c r="C22" s="93">
        <v>12118</v>
      </c>
      <c r="D22" s="94">
        <v>8209</v>
      </c>
      <c r="E22" s="94">
        <f t="shared" si="4"/>
        <v>20327</v>
      </c>
      <c r="F22" s="94">
        <v>31385</v>
      </c>
      <c r="G22" s="94">
        <v>3042</v>
      </c>
      <c r="H22" s="95">
        <f t="shared" si="5"/>
        <v>34427</v>
      </c>
      <c r="I22" s="96">
        <f t="shared" si="6"/>
        <v>54754</v>
      </c>
      <c r="J22" s="97">
        <f t="shared" si="7"/>
        <v>2.6776143343374671E-2</v>
      </c>
      <c r="K22" s="88">
        <v>33658</v>
      </c>
      <c r="L22" s="89">
        <v>21096</v>
      </c>
      <c r="M22" s="93">
        <v>39644</v>
      </c>
      <c r="N22" s="94">
        <v>8808</v>
      </c>
      <c r="O22" s="94">
        <v>1756</v>
      </c>
      <c r="P22" s="98">
        <v>4546</v>
      </c>
    </row>
    <row r="23" spans="2:16" x14ac:dyDescent="0.2">
      <c r="B23" s="82" t="s">
        <v>62</v>
      </c>
      <c r="C23" s="93">
        <v>24027</v>
      </c>
      <c r="D23" s="94">
        <v>14768</v>
      </c>
      <c r="E23" s="94">
        <f t="shared" si="4"/>
        <v>38795</v>
      </c>
      <c r="F23" s="94">
        <v>53998</v>
      </c>
      <c r="G23" s="94">
        <v>4823</v>
      </c>
      <c r="H23" s="95">
        <f t="shared" si="5"/>
        <v>58821</v>
      </c>
      <c r="I23" s="96">
        <f t="shared" si="6"/>
        <v>97616</v>
      </c>
      <c r="J23" s="97">
        <f t="shared" si="7"/>
        <v>4.7736786510699895E-2</v>
      </c>
      <c r="K23" s="88">
        <v>58140</v>
      </c>
      <c r="L23" s="89">
        <v>39476</v>
      </c>
      <c r="M23" s="93">
        <v>66328</v>
      </c>
      <c r="N23" s="94">
        <v>17595</v>
      </c>
      <c r="O23" s="94">
        <v>2964</v>
      </c>
      <c r="P23" s="98">
        <v>10729</v>
      </c>
    </row>
    <row r="24" spans="2:16" x14ac:dyDescent="0.2">
      <c r="B24" s="82" t="s">
        <v>63</v>
      </c>
      <c r="C24" s="93">
        <v>2348</v>
      </c>
      <c r="D24" s="94">
        <v>1168</v>
      </c>
      <c r="E24" s="94">
        <f t="shared" si="4"/>
        <v>3516</v>
      </c>
      <c r="F24" s="94">
        <v>6303</v>
      </c>
      <c r="G24" s="94">
        <v>507</v>
      </c>
      <c r="H24" s="95">
        <f t="shared" si="5"/>
        <v>6810</v>
      </c>
      <c r="I24" s="96">
        <f t="shared" si="6"/>
        <v>10326</v>
      </c>
      <c r="J24" s="97">
        <f t="shared" si="7"/>
        <v>5.049685067094402E-3</v>
      </c>
      <c r="K24" s="88">
        <v>5700</v>
      </c>
      <c r="L24" s="89">
        <v>4626</v>
      </c>
      <c r="M24" s="93">
        <v>7695</v>
      </c>
      <c r="N24" s="94">
        <v>1791</v>
      </c>
      <c r="O24" s="94">
        <v>151</v>
      </c>
      <c r="P24" s="98">
        <v>689</v>
      </c>
    </row>
    <row r="25" spans="2:16" x14ac:dyDescent="0.2">
      <c r="B25" s="82" t="s">
        <v>64</v>
      </c>
      <c r="C25" s="93">
        <v>3911</v>
      </c>
      <c r="D25" s="94">
        <v>1494</v>
      </c>
      <c r="E25" s="94">
        <f t="shared" si="4"/>
        <v>5405</v>
      </c>
      <c r="F25" s="94">
        <v>12543</v>
      </c>
      <c r="G25" s="94">
        <v>617</v>
      </c>
      <c r="H25" s="95">
        <f t="shared" si="5"/>
        <v>13160</v>
      </c>
      <c r="I25" s="96">
        <f t="shared" si="6"/>
        <v>18565</v>
      </c>
      <c r="J25" s="97">
        <f t="shared" si="7"/>
        <v>9.0787723484996672E-3</v>
      </c>
      <c r="K25" s="88">
        <v>11608</v>
      </c>
      <c r="L25" s="89">
        <v>6957</v>
      </c>
      <c r="M25" s="93">
        <v>14900</v>
      </c>
      <c r="N25" s="94">
        <v>2918</v>
      </c>
      <c r="O25" s="94">
        <v>697</v>
      </c>
      <c r="P25" s="98">
        <v>50</v>
      </c>
    </row>
    <row r="26" spans="2:16" x14ac:dyDescent="0.2">
      <c r="B26" s="82" t="s">
        <v>65</v>
      </c>
      <c r="C26" s="93">
        <v>154956</v>
      </c>
      <c r="D26" s="94">
        <v>65061</v>
      </c>
      <c r="E26" s="94">
        <f t="shared" si="4"/>
        <v>220017</v>
      </c>
      <c r="F26" s="94">
        <v>483125</v>
      </c>
      <c r="G26" s="94">
        <v>22496</v>
      </c>
      <c r="H26" s="95">
        <f t="shared" si="5"/>
        <v>505621</v>
      </c>
      <c r="I26" s="96">
        <f t="shared" si="6"/>
        <v>725638</v>
      </c>
      <c r="J26" s="97">
        <f t="shared" si="7"/>
        <v>0.35485603067172644</v>
      </c>
      <c r="K26" s="88">
        <v>470710</v>
      </c>
      <c r="L26" s="89">
        <v>254928</v>
      </c>
      <c r="M26" s="93">
        <v>446942</v>
      </c>
      <c r="N26" s="94">
        <v>104972</v>
      </c>
      <c r="O26" s="94">
        <v>24852</v>
      </c>
      <c r="P26" s="98">
        <v>148872</v>
      </c>
    </row>
    <row r="27" spans="2:16" ht="12.75" thickBot="1" x14ac:dyDescent="0.25">
      <c r="B27" s="99" t="s">
        <v>66</v>
      </c>
      <c r="C27" s="100">
        <f>SUM(C11:C26)</f>
        <v>439850</v>
      </c>
      <c r="D27" s="101">
        <f t="shared" ref="D27:P27" si="8">SUM(D11:D26)</f>
        <v>242451</v>
      </c>
      <c r="E27" s="102">
        <f t="shared" ref="E27" si="9">C27+D27</f>
        <v>682301</v>
      </c>
      <c r="F27" s="101">
        <f t="shared" si="8"/>
        <v>1286601</v>
      </c>
      <c r="G27" s="101">
        <f t="shared" si="8"/>
        <v>75978</v>
      </c>
      <c r="H27" s="103">
        <f t="shared" ref="H27" si="10">F27+G27</f>
        <v>1362579</v>
      </c>
      <c r="I27" s="104">
        <f>SUM(I11:I26)</f>
        <v>2044880</v>
      </c>
      <c r="J27" s="105">
        <f t="shared" ref="J27" si="11">I27/$I$27</f>
        <v>1</v>
      </c>
      <c r="K27" s="106">
        <f t="shared" si="8"/>
        <v>1288326</v>
      </c>
      <c r="L27" s="107">
        <f t="shared" si="8"/>
        <v>756554</v>
      </c>
      <c r="M27" s="108">
        <f t="shared" si="8"/>
        <v>1306206</v>
      </c>
      <c r="N27" s="109">
        <f t="shared" si="8"/>
        <v>297344</v>
      </c>
      <c r="O27" s="109">
        <f t="shared" si="8"/>
        <v>57666</v>
      </c>
      <c r="P27" s="110">
        <f t="shared" si="8"/>
        <v>383664</v>
      </c>
    </row>
    <row r="28" spans="2:16" ht="12.75" thickBot="1" x14ac:dyDescent="0.25">
      <c r="B28" s="111" t="s">
        <v>67</v>
      </c>
      <c r="C28" s="112">
        <f>+C27/$I$27</f>
        <v>0.21509819647118658</v>
      </c>
      <c r="D28" s="113">
        <f>+D27/$I$27</f>
        <v>0.11856490356402331</v>
      </c>
      <c r="E28" s="113"/>
      <c r="F28" s="113">
        <f t="shared" ref="F28:G28" si="12">+F27/$I$27</f>
        <v>0.62918166347169513</v>
      </c>
      <c r="G28" s="113">
        <f t="shared" si="12"/>
        <v>3.7155236493094948E-2</v>
      </c>
      <c r="H28" s="114"/>
      <c r="I28" s="429">
        <f>C28+D28+F28+G28</f>
        <v>1</v>
      </c>
      <c r="J28" s="430"/>
      <c r="K28" s="115">
        <f t="shared" ref="K28:P28" si="13">+K27/$I$27</f>
        <v>0.630025233754548</v>
      </c>
      <c r="L28" s="116">
        <f t="shared" si="13"/>
        <v>0.36997476624545206</v>
      </c>
      <c r="M28" s="117">
        <f t="shared" si="13"/>
        <v>0.63876902312116113</v>
      </c>
      <c r="N28" s="118">
        <f t="shared" si="13"/>
        <v>0.14540902155627713</v>
      </c>
      <c r="O28" s="118">
        <f t="shared" si="13"/>
        <v>2.8200187786080355E-2</v>
      </c>
      <c r="P28" s="119">
        <f t="shared" si="13"/>
        <v>0.18762176753648135</v>
      </c>
    </row>
    <row r="29" spans="2:16" x14ac:dyDescent="0.2">
      <c r="B29" s="167" t="s">
        <v>149</v>
      </c>
    </row>
    <row r="30" spans="2:16" x14ac:dyDescent="0.2">
      <c r="B30" s="167" t="s">
        <v>150</v>
      </c>
    </row>
  </sheetData>
  <mergeCells count="9">
    <mergeCell ref="I28:J28"/>
    <mergeCell ref="C9:H9"/>
    <mergeCell ref="B9:B10"/>
    <mergeCell ref="B5:P5"/>
    <mergeCell ref="B6:P6"/>
    <mergeCell ref="B8:P8"/>
    <mergeCell ref="I9:J9"/>
    <mergeCell ref="K9:L9"/>
    <mergeCell ref="M9:P9"/>
  </mergeCells>
  <hyperlinks>
    <hyperlink ref="R5" location="'Índice Pensiones Solidarias'!A1" display="Volver Sistema de Pensiones Solidadias" xr:uid="{00000000-0004-0000-0500-000000000000}"/>
  </hyperlinks>
  <pageMargins left="0.7" right="0.7" top="0.75" bottom="0.75" header="0.3" footer="0.3"/>
  <ignoredErrors>
    <ignoredError sqref="E27 H27 J27"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dimension ref="A2:R30"/>
  <sheetViews>
    <sheetView showGridLines="0" zoomScale="90" zoomScaleNormal="90" workbookViewId="0">
      <selection activeCell="B6" sqref="B6:P6"/>
    </sheetView>
  </sheetViews>
  <sheetFormatPr baseColWidth="10" defaultColWidth="11.42578125" defaultRowHeight="12" x14ac:dyDescent="0.2"/>
  <cols>
    <col min="1" max="1" width="6" style="167" customWidth="1"/>
    <col min="2" max="2" width="21.5703125" style="167" customWidth="1"/>
    <col min="3" max="16384" width="11.42578125" style="167"/>
  </cols>
  <sheetData>
    <row r="2" spans="1:18" s="348" customFormat="1" ht="12.75" x14ac:dyDescent="0.2">
      <c r="A2" s="196" t="s">
        <v>121</v>
      </c>
    </row>
    <row r="3" spans="1:18" s="348" customFormat="1" ht="12.75" x14ac:dyDescent="0.2">
      <c r="A3" s="196" t="s">
        <v>122</v>
      </c>
    </row>
    <row r="4" spans="1:18" s="348" customFormat="1" ht="12.75" x14ac:dyDescent="0.2"/>
    <row r="5" spans="1:18" s="348" customFormat="1" ht="12.75" x14ac:dyDescent="0.2">
      <c r="B5" s="436" t="s">
        <v>71</v>
      </c>
      <c r="C5" s="436"/>
      <c r="D5" s="436"/>
      <c r="E5" s="436"/>
      <c r="F5" s="436"/>
      <c r="G5" s="436"/>
      <c r="H5" s="436"/>
      <c r="I5" s="436"/>
      <c r="J5" s="436"/>
      <c r="K5" s="436"/>
      <c r="L5" s="436"/>
      <c r="M5" s="436"/>
      <c r="N5" s="436"/>
      <c r="O5" s="436"/>
      <c r="P5" s="436"/>
      <c r="R5" s="366" t="s">
        <v>595</v>
      </c>
    </row>
    <row r="6" spans="1:18" s="348" customFormat="1" ht="12.75" x14ac:dyDescent="0.2">
      <c r="B6" s="431" t="str">
        <f>'Solicitudes Regiones'!B6:P6</f>
        <v>Acumuladas de julio de 2008 a noviembre de 2018</v>
      </c>
      <c r="C6" s="431"/>
      <c r="D6" s="431"/>
      <c r="E6" s="431"/>
      <c r="F6" s="431"/>
      <c r="G6" s="431"/>
      <c r="H6" s="431"/>
      <c r="I6" s="431"/>
      <c r="J6" s="431"/>
      <c r="K6" s="431"/>
      <c r="L6" s="431"/>
      <c r="M6" s="431"/>
      <c r="N6" s="431"/>
      <c r="O6" s="431"/>
      <c r="P6" s="431"/>
    </row>
    <row r="7" spans="1:18" ht="12.75" thickBot="1" x14ac:dyDescent="0.25"/>
    <row r="8" spans="1:18" ht="12.75" thickBot="1" x14ac:dyDescent="0.25">
      <c r="B8" s="419" t="s">
        <v>68</v>
      </c>
      <c r="C8" s="420"/>
      <c r="D8" s="420"/>
      <c r="E8" s="420"/>
      <c r="F8" s="420"/>
      <c r="G8" s="420"/>
      <c r="H8" s="420"/>
      <c r="I8" s="420"/>
      <c r="J8" s="420"/>
      <c r="K8" s="420"/>
      <c r="L8" s="420"/>
      <c r="M8" s="420"/>
      <c r="N8" s="420"/>
      <c r="O8" s="420"/>
      <c r="P8" s="421"/>
    </row>
    <row r="9" spans="1:18" ht="12.75" thickBot="1" x14ac:dyDescent="0.25">
      <c r="B9" s="423" t="s">
        <v>49</v>
      </c>
      <c r="C9" s="440" t="s">
        <v>2</v>
      </c>
      <c r="D9" s="441"/>
      <c r="E9" s="441"/>
      <c r="F9" s="441"/>
      <c r="G9" s="441"/>
      <c r="H9" s="442"/>
      <c r="I9" s="443" t="s">
        <v>43</v>
      </c>
      <c r="J9" s="444"/>
      <c r="K9" s="440" t="s">
        <v>3</v>
      </c>
      <c r="L9" s="442"/>
      <c r="M9" s="440" t="s">
        <v>4</v>
      </c>
      <c r="N9" s="441"/>
      <c r="O9" s="441"/>
      <c r="P9" s="445"/>
    </row>
    <row r="10" spans="1:18" ht="36.75" thickBot="1" x14ac:dyDescent="0.25">
      <c r="B10" s="439"/>
      <c r="C10" s="149" t="s">
        <v>5</v>
      </c>
      <c r="D10" s="150" t="s">
        <v>6</v>
      </c>
      <c r="E10" s="151" t="s">
        <v>7</v>
      </c>
      <c r="F10" s="150" t="s">
        <v>8</v>
      </c>
      <c r="G10" s="150" t="s">
        <v>9</v>
      </c>
      <c r="H10" s="152" t="s">
        <v>10</v>
      </c>
      <c r="I10" s="153" t="s">
        <v>46</v>
      </c>
      <c r="J10" s="154" t="s">
        <v>69</v>
      </c>
      <c r="K10" s="155" t="s">
        <v>47</v>
      </c>
      <c r="L10" s="156" t="s">
        <v>13</v>
      </c>
      <c r="M10" s="157" t="s">
        <v>14</v>
      </c>
      <c r="N10" s="158" t="s">
        <v>15</v>
      </c>
      <c r="O10" s="158" t="s">
        <v>16</v>
      </c>
      <c r="P10" s="159" t="s">
        <v>17</v>
      </c>
    </row>
    <row r="11" spans="1:18" x14ac:dyDescent="0.2">
      <c r="B11" s="128" t="s">
        <v>51</v>
      </c>
      <c r="C11" s="129">
        <v>4820</v>
      </c>
      <c r="D11" s="130">
        <v>1583</v>
      </c>
      <c r="E11" s="130">
        <f>C11+D11</f>
        <v>6403</v>
      </c>
      <c r="F11" s="130">
        <v>14143</v>
      </c>
      <c r="G11" s="130">
        <v>659</v>
      </c>
      <c r="H11" s="131">
        <f>G11+F11</f>
        <v>14802</v>
      </c>
      <c r="I11" s="132">
        <f t="shared" ref="I11:I18" si="0">+C11+D11+F11+G11</f>
        <v>21205</v>
      </c>
      <c r="J11" s="133">
        <f t="shared" ref="J11:J18" si="1">I11/$I$27</f>
        <v>1.2691935219357102E-2</v>
      </c>
      <c r="K11" s="134">
        <v>12670</v>
      </c>
      <c r="L11" s="135">
        <v>8535</v>
      </c>
      <c r="M11" s="129">
        <v>13041</v>
      </c>
      <c r="N11" s="130">
        <v>3594</v>
      </c>
      <c r="O11" s="130">
        <v>555</v>
      </c>
      <c r="P11" s="136">
        <v>4015</v>
      </c>
    </row>
    <row r="12" spans="1:18" x14ac:dyDescent="0.2">
      <c r="B12" s="128" t="s">
        <v>52</v>
      </c>
      <c r="C12" s="137">
        <v>4564</v>
      </c>
      <c r="D12" s="138">
        <v>2341</v>
      </c>
      <c r="E12" s="138">
        <f t="shared" ref="E12:E18" si="2">C12+D12</f>
        <v>6905</v>
      </c>
      <c r="F12" s="138">
        <v>13958</v>
      </c>
      <c r="G12" s="138">
        <v>1145</v>
      </c>
      <c r="H12" s="139">
        <f t="shared" ref="H12:H18" si="3">G12+F12</f>
        <v>15103</v>
      </c>
      <c r="I12" s="132">
        <f t="shared" si="0"/>
        <v>22008</v>
      </c>
      <c r="J12" s="133">
        <f t="shared" si="1"/>
        <v>1.3172558844971049E-2</v>
      </c>
      <c r="K12" s="134">
        <v>13451</v>
      </c>
      <c r="L12" s="135">
        <v>8557</v>
      </c>
      <c r="M12" s="137">
        <v>13226</v>
      </c>
      <c r="N12" s="138">
        <v>3047</v>
      </c>
      <c r="O12" s="138">
        <v>749</v>
      </c>
      <c r="P12" s="140">
        <v>4986</v>
      </c>
    </row>
    <row r="13" spans="1:18" x14ac:dyDescent="0.2">
      <c r="B13" s="128" t="s">
        <v>53</v>
      </c>
      <c r="C13" s="137">
        <v>8433</v>
      </c>
      <c r="D13" s="138">
        <v>2976</v>
      </c>
      <c r="E13" s="138">
        <f t="shared" si="2"/>
        <v>11409</v>
      </c>
      <c r="F13" s="138">
        <v>23904</v>
      </c>
      <c r="G13" s="138">
        <v>1188</v>
      </c>
      <c r="H13" s="139">
        <f t="shared" si="3"/>
        <v>25092</v>
      </c>
      <c r="I13" s="132">
        <f t="shared" si="0"/>
        <v>36501</v>
      </c>
      <c r="J13" s="133">
        <f t="shared" si="1"/>
        <v>2.1847126972023276E-2</v>
      </c>
      <c r="K13" s="134">
        <v>23816</v>
      </c>
      <c r="L13" s="135">
        <v>12685</v>
      </c>
      <c r="M13" s="137">
        <v>26000</v>
      </c>
      <c r="N13" s="138">
        <v>4655</v>
      </c>
      <c r="O13" s="138">
        <v>485</v>
      </c>
      <c r="P13" s="140">
        <v>5361</v>
      </c>
    </row>
    <row r="14" spans="1:18" x14ac:dyDescent="0.2">
      <c r="B14" s="128" t="s">
        <v>54</v>
      </c>
      <c r="C14" s="137">
        <v>5785</v>
      </c>
      <c r="D14" s="138">
        <v>2148</v>
      </c>
      <c r="E14" s="138">
        <f t="shared" si="2"/>
        <v>7933</v>
      </c>
      <c r="F14" s="138">
        <v>16518</v>
      </c>
      <c r="G14" s="138">
        <v>822</v>
      </c>
      <c r="H14" s="139">
        <f t="shared" si="3"/>
        <v>17340</v>
      </c>
      <c r="I14" s="132">
        <f t="shared" si="0"/>
        <v>25273</v>
      </c>
      <c r="J14" s="133">
        <f t="shared" si="1"/>
        <v>1.5126775703787411E-2</v>
      </c>
      <c r="K14" s="134">
        <v>15395</v>
      </c>
      <c r="L14" s="135">
        <v>9878</v>
      </c>
      <c r="M14" s="137">
        <v>15532</v>
      </c>
      <c r="N14" s="138">
        <v>3955</v>
      </c>
      <c r="O14" s="138">
        <v>681</v>
      </c>
      <c r="P14" s="140">
        <v>5105</v>
      </c>
    </row>
    <row r="15" spans="1:18" x14ac:dyDescent="0.2">
      <c r="B15" s="128" t="s">
        <v>55</v>
      </c>
      <c r="C15" s="137">
        <v>16884</v>
      </c>
      <c r="D15" s="138">
        <v>5382</v>
      </c>
      <c r="E15" s="138">
        <f t="shared" si="2"/>
        <v>22266</v>
      </c>
      <c r="F15" s="138">
        <v>49083</v>
      </c>
      <c r="G15" s="138">
        <v>2385</v>
      </c>
      <c r="H15" s="139">
        <f t="shared" si="3"/>
        <v>51468</v>
      </c>
      <c r="I15" s="132">
        <f t="shared" si="0"/>
        <v>73734</v>
      </c>
      <c r="J15" s="133">
        <f t="shared" si="1"/>
        <v>4.4132381582837846E-2</v>
      </c>
      <c r="K15" s="134">
        <v>44589</v>
      </c>
      <c r="L15" s="135">
        <v>29145</v>
      </c>
      <c r="M15" s="137">
        <v>56323</v>
      </c>
      <c r="N15" s="138">
        <v>8872</v>
      </c>
      <c r="O15" s="138">
        <v>940</v>
      </c>
      <c r="P15" s="140">
        <v>7597</v>
      </c>
    </row>
    <row r="16" spans="1:18" x14ac:dyDescent="0.2">
      <c r="B16" s="128" t="s">
        <v>56</v>
      </c>
      <c r="C16" s="137">
        <v>42821</v>
      </c>
      <c r="D16" s="138">
        <v>14899</v>
      </c>
      <c r="E16" s="138">
        <f t="shared" si="2"/>
        <v>57720</v>
      </c>
      <c r="F16" s="138">
        <v>132002</v>
      </c>
      <c r="G16" s="138">
        <v>7125</v>
      </c>
      <c r="H16" s="139">
        <f t="shared" si="3"/>
        <v>139127</v>
      </c>
      <c r="I16" s="132">
        <f t="shared" si="0"/>
        <v>196847</v>
      </c>
      <c r="J16" s="133">
        <f t="shared" si="1"/>
        <v>0.11781982419829226</v>
      </c>
      <c r="K16" s="134">
        <v>122314</v>
      </c>
      <c r="L16" s="135">
        <v>74533</v>
      </c>
      <c r="M16" s="137">
        <v>127967</v>
      </c>
      <c r="N16" s="138">
        <v>32853</v>
      </c>
      <c r="O16" s="138">
        <v>4709</v>
      </c>
      <c r="P16" s="140">
        <v>31313</v>
      </c>
    </row>
    <row r="17" spans="2:16" x14ac:dyDescent="0.2">
      <c r="B17" s="128" t="s">
        <v>57</v>
      </c>
      <c r="C17" s="137">
        <v>20179</v>
      </c>
      <c r="D17" s="138">
        <v>7182</v>
      </c>
      <c r="E17" s="138">
        <f t="shared" si="2"/>
        <v>27361</v>
      </c>
      <c r="F17" s="138">
        <v>63641</v>
      </c>
      <c r="G17" s="138">
        <v>4071</v>
      </c>
      <c r="H17" s="139">
        <f t="shared" si="3"/>
        <v>67712</v>
      </c>
      <c r="I17" s="132">
        <f t="shared" si="0"/>
        <v>95073</v>
      </c>
      <c r="J17" s="133">
        <f t="shared" si="1"/>
        <v>5.6904520495634887E-2</v>
      </c>
      <c r="K17" s="134">
        <v>55323</v>
      </c>
      <c r="L17" s="135">
        <v>39750</v>
      </c>
      <c r="M17" s="137">
        <v>57512</v>
      </c>
      <c r="N17" s="138">
        <v>12214</v>
      </c>
      <c r="O17" s="138">
        <v>2274</v>
      </c>
      <c r="P17" s="140">
        <v>23071</v>
      </c>
    </row>
    <row r="18" spans="2:16" x14ac:dyDescent="0.2">
      <c r="B18" s="128" t="s">
        <v>58</v>
      </c>
      <c r="C18" s="137">
        <v>28798</v>
      </c>
      <c r="D18" s="138">
        <v>9859</v>
      </c>
      <c r="E18" s="138">
        <f t="shared" si="2"/>
        <v>38657</v>
      </c>
      <c r="F18" s="138">
        <v>76060</v>
      </c>
      <c r="G18" s="138">
        <v>4520</v>
      </c>
      <c r="H18" s="139">
        <f t="shared" si="3"/>
        <v>80580</v>
      </c>
      <c r="I18" s="132">
        <f t="shared" si="0"/>
        <v>119237</v>
      </c>
      <c r="J18" s="133">
        <f t="shared" si="1"/>
        <v>7.1367520855952965E-2</v>
      </c>
      <c r="K18" s="134">
        <v>68295</v>
      </c>
      <c r="L18" s="135">
        <v>50942</v>
      </c>
      <c r="M18" s="137">
        <v>75696</v>
      </c>
      <c r="N18" s="138">
        <v>18184</v>
      </c>
      <c r="O18" s="138">
        <v>2758</v>
      </c>
      <c r="P18" s="140">
        <v>22598</v>
      </c>
    </row>
    <row r="19" spans="2:16" x14ac:dyDescent="0.2">
      <c r="B19" s="128" t="s">
        <v>622</v>
      </c>
      <c r="C19" s="137">
        <v>14798</v>
      </c>
      <c r="D19" s="138">
        <v>8734</v>
      </c>
      <c r="E19" s="138">
        <f t="shared" ref="E19:E26" si="4">C19+D19</f>
        <v>23532</v>
      </c>
      <c r="F19" s="138">
        <v>35979</v>
      </c>
      <c r="G19" s="138">
        <v>3774</v>
      </c>
      <c r="H19" s="139">
        <f t="shared" ref="H19:H26" si="5">G19+F19</f>
        <v>39753</v>
      </c>
      <c r="I19" s="132">
        <f t="shared" ref="I19:I26" si="6">+C19+D19+F19+G19</f>
        <v>63285</v>
      </c>
      <c r="J19" s="133">
        <f t="shared" ref="J19:J26" si="7">I19/$I$27</f>
        <v>3.7878289099599817E-2</v>
      </c>
      <c r="K19" s="134">
        <v>36638</v>
      </c>
      <c r="L19" s="135">
        <v>26647</v>
      </c>
      <c r="M19" s="137">
        <v>38962</v>
      </c>
      <c r="N19" s="138">
        <v>9353</v>
      </c>
      <c r="O19" s="138">
        <v>1234</v>
      </c>
      <c r="P19" s="140">
        <v>13736</v>
      </c>
    </row>
    <row r="20" spans="2:16" x14ac:dyDescent="0.2">
      <c r="B20" s="128" t="s">
        <v>59</v>
      </c>
      <c r="C20" s="137">
        <v>37285</v>
      </c>
      <c r="D20" s="138">
        <v>15399</v>
      </c>
      <c r="E20" s="138">
        <f t="shared" si="4"/>
        <v>52684</v>
      </c>
      <c r="F20" s="138">
        <v>101452</v>
      </c>
      <c r="G20" s="138">
        <v>5944</v>
      </c>
      <c r="H20" s="139">
        <f t="shared" si="5"/>
        <v>107396</v>
      </c>
      <c r="I20" s="132">
        <f t="shared" si="6"/>
        <v>160080</v>
      </c>
      <c r="J20" s="133">
        <f t="shared" si="7"/>
        <v>9.5813486909440457E-2</v>
      </c>
      <c r="K20" s="134">
        <v>96950</v>
      </c>
      <c r="L20" s="135">
        <v>63130</v>
      </c>
      <c r="M20" s="137">
        <v>96593</v>
      </c>
      <c r="N20" s="138">
        <v>21947</v>
      </c>
      <c r="O20" s="138">
        <v>4380</v>
      </c>
      <c r="P20" s="140">
        <v>37160</v>
      </c>
    </row>
    <row r="21" spans="2:16" x14ac:dyDescent="0.2">
      <c r="B21" s="128" t="s">
        <v>60</v>
      </c>
      <c r="C21" s="137">
        <v>31152</v>
      </c>
      <c r="D21" s="138">
        <v>10312</v>
      </c>
      <c r="E21" s="138">
        <f t="shared" si="4"/>
        <v>41464</v>
      </c>
      <c r="F21" s="138">
        <v>59160</v>
      </c>
      <c r="G21" s="138">
        <v>3959</v>
      </c>
      <c r="H21" s="139">
        <f t="shared" si="5"/>
        <v>63119</v>
      </c>
      <c r="I21" s="132">
        <f t="shared" si="6"/>
        <v>104583</v>
      </c>
      <c r="J21" s="133">
        <f t="shared" si="7"/>
        <v>6.2596588589767688E-2</v>
      </c>
      <c r="K21" s="134">
        <v>61002</v>
      </c>
      <c r="L21" s="135">
        <v>43581</v>
      </c>
      <c r="M21" s="137">
        <v>72027</v>
      </c>
      <c r="N21" s="138">
        <v>15795</v>
      </c>
      <c r="O21" s="138">
        <v>2418</v>
      </c>
      <c r="P21" s="140">
        <v>14336</v>
      </c>
    </row>
    <row r="22" spans="2:16" x14ac:dyDescent="0.2">
      <c r="B22" s="128" t="s">
        <v>61</v>
      </c>
      <c r="C22" s="137">
        <v>11186</v>
      </c>
      <c r="D22" s="138">
        <v>5636</v>
      </c>
      <c r="E22" s="138">
        <f t="shared" si="4"/>
        <v>16822</v>
      </c>
      <c r="F22" s="138">
        <v>26792</v>
      </c>
      <c r="G22" s="138">
        <v>2561</v>
      </c>
      <c r="H22" s="139">
        <f t="shared" si="5"/>
        <v>29353</v>
      </c>
      <c r="I22" s="132">
        <f t="shared" si="6"/>
        <v>46175</v>
      </c>
      <c r="J22" s="133">
        <f t="shared" si="7"/>
        <v>2.7637354810366149E-2</v>
      </c>
      <c r="K22" s="134">
        <v>27623</v>
      </c>
      <c r="L22" s="135">
        <v>18552</v>
      </c>
      <c r="M22" s="137">
        <v>33363</v>
      </c>
      <c r="N22" s="138">
        <v>7595</v>
      </c>
      <c r="O22" s="138">
        <v>1392</v>
      </c>
      <c r="P22" s="140">
        <v>3823</v>
      </c>
    </row>
    <row r="23" spans="2:16" x14ac:dyDescent="0.2">
      <c r="B23" s="128" t="s">
        <v>62</v>
      </c>
      <c r="C23" s="137">
        <v>22258</v>
      </c>
      <c r="D23" s="138">
        <v>8484</v>
      </c>
      <c r="E23" s="138">
        <f t="shared" si="4"/>
        <v>30742</v>
      </c>
      <c r="F23" s="138">
        <v>46673</v>
      </c>
      <c r="G23" s="138">
        <v>3897</v>
      </c>
      <c r="H23" s="139">
        <f t="shared" si="5"/>
        <v>50570</v>
      </c>
      <c r="I23" s="132">
        <f t="shared" si="6"/>
        <v>81312</v>
      </c>
      <c r="J23" s="133">
        <f t="shared" si="7"/>
        <v>4.8668080007373951E-2</v>
      </c>
      <c r="K23" s="134">
        <v>47139</v>
      </c>
      <c r="L23" s="135">
        <v>34173</v>
      </c>
      <c r="M23" s="137">
        <v>54469</v>
      </c>
      <c r="N23" s="138">
        <v>15343</v>
      </c>
      <c r="O23" s="138">
        <v>2412</v>
      </c>
      <c r="P23" s="140">
        <v>9078</v>
      </c>
    </row>
    <row r="24" spans="2:16" x14ac:dyDescent="0.2">
      <c r="B24" s="128" t="s">
        <v>63</v>
      </c>
      <c r="C24" s="137">
        <v>2097</v>
      </c>
      <c r="D24" s="138">
        <v>573</v>
      </c>
      <c r="E24" s="138">
        <f t="shared" si="4"/>
        <v>2670</v>
      </c>
      <c r="F24" s="138">
        <v>5092</v>
      </c>
      <c r="G24" s="138">
        <v>387</v>
      </c>
      <c r="H24" s="139">
        <f t="shared" si="5"/>
        <v>5479</v>
      </c>
      <c r="I24" s="132">
        <f t="shared" si="6"/>
        <v>8149</v>
      </c>
      <c r="J24" s="133">
        <f t="shared" si="7"/>
        <v>4.8774619241943422E-3</v>
      </c>
      <c r="K24" s="134">
        <v>4310</v>
      </c>
      <c r="L24" s="135">
        <v>3839</v>
      </c>
      <c r="M24" s="137">
        <v>6070</v>
      </c>
      <c r="N24" s="138">
        <v>1414</v>
      </c>
      <c r="O24" s="138">
        <v>95</v>
      </c>
      <c r="P24" s="140">
        <v>570</v>
      </c>
    </row>
    <row r="25" spans="2:16" x14ac:dyDescent="0.2">
      <c r="B25" s="128" t="s">
        <v>64</v>
      </c>
      <c r="C25" s="137">
        <v>3490</v>
      </c>
      <c r="D25" s="138">
        <v>1007</v>
      </c>
      <c r="E25" s="138">
        <f t="shared" si="4"/>
        <v>4497</v>
      </c>
      <c r="F25" s="138">
        <v>9951</v>
      </c>
      <c r="G25" s="138">
        <v>484</v>
      </c>
      <c r="H25" s="139">
        <f t="shared" si="5"/>
        <v>10435</v>
      </c>
      <c r="I25" s="132">
        <f t="shared" si="6"/>
        <v>14932</v>
      </c>
      <c r="J25" s="133">
        <f t="shared" si="7"/>
        <v>8.93732500332187E-3</v>
      </c>
      <c r="K25" s="134">
        <v>9093</v>
      </c>
      <c r="L25" s="135">
        <v>5839</v>
      </c>
      <c r="M25" s="137">
        <v>12056</v>
      </c>
      <c r="N25" s="138">
        <v>2299</v>
      </c>
      <c r="O25" s="138">
        <v>540</v>
      </c>
      <c r="P25" s="140">
        <v>37</v>
      </c>
    </row>
    <row r="26" spans="2:16" x14ac:dyDescent="0.2">
      <c r="B26" s="128" t="s">
        <v>65</v>
      </c>
      <c r="C26" s="137">
        <v>137371</v>
      </c>
      <c r="D26" s="138">
        <v>41620</v>
      </c>
      <c r="E26" s="138">
        <f t="shared" si="4"/>
        <v>178991</v>
      </c>
      <c r="F26" s="138">
        <v>405555</v>
      </c>
      <c r="G26" s="138">
        <v>17806</v>
      </c>
      <c r="H26" s="139">
        <f t="shared" si="5"/>
        <v>423361</v>
      </c>
      <c r="I26" s="132">
        <f t="shared" si="6"/>
        <v>602352</v>
      </c>
      <c r="J26" s="133">
        <f t="shared" si="7"/>
        <v>0.36052876978307896</v>
      </c>
      <c r="K26" s="134">
        <v>384702</v>
      </c>
      <c r="L26" s="135">
        <v>217650</v>
      </c>
      <c r="M26" s="137">
        <v>371008</v>
      </c>
      <c r="N26" s="138">
        <v>87517</v>
      </c>
      <c r="O26" s="138">
        <v>19866</v>
      </c>
      <c r="P26" s="140">
        <v>123960</v>
      </c>
    </row>
    <row r="27" spans="2:16" ht="12.75" thickBot="1" x14ac:dyDescent="0.25">
      <c r="B27" s="99" t="s">
        <v>66</v>
      </c>
      <c r="C27" s="108">
        <f>SUM(C11:C26)</f>
        <v>391921</v>
      </c>
      <c r="D27" s="109">
        <f t="shared" ref="D27:P27" si="8">SUM(D11:D26)</f>
        <v>138135</v>
      </c>
      <c r="E27" s="141">
        <f t="shared" ref="E27" si="9">C27+D27</f>
        <v>530056</v>
      </c>
      <c r="F27" s="109">
        <f t="shared" si="8"/>
        <v>1079963</v>
      </c>
      <c r="G27" s="109">
        <f t="shared" si="8"/>
        <v>60727</v>
      </c>
      <c r="H27" s="142">
        <f t="shared" ref="H27" si="10">G27+F27</f>
        <v>1140690</v>
      </c>
      <c r="I27" s="104">
        <f>SUM(I11:I26)</f>
        <v>1670746</v>
      </c>
      <c r="J27" s="105">
        <f t="shared" ref="J27" si="11">I27/$I$27</f>
        <v>1</v>
      </c>
      <c r="K27" s="143">
        <f t="shared" si="8"/>
        <v>1023310</v>
      </c>
      <c r="L27" s="144">
        <f t="shared" si="8"/>
        <v>647436</v>
      </c>
      <c r="M27" s="145">
        <f t="shared" si="8"/>
        <v>1069845</v>
      </c>
      <c r="N27" s="141">
        <f t="shared" si="8"/>
        <v>248637</v>
      </c>
      <c r="O27" s="141">
        <f t="shared" si="8"/>
        <v>45488</v>
      </c>
      <c r="P27" s="146">
        <f t="shared" si="8"/>
        <v>306746</v>
      </c>
    </row>
    <row r="28" spans="2:16" ht="12.75" thickBot="1" x14ac:dyDescent="0.25">
      <c r="B28" s="111" t="s">
        <v>67</v>
      </c>
      <c r="C28" s="117">
        <f>+C27/$I$27</f>
        <v>0.23457844579606954</v>
      </c>
      <c r="D28" s="118">
        <f>+D27/$I$27</f>
        <v>8.2678635771086695E-2</v>
      </c>
      <c r="E28" s="118"/>
      <c r="F28" s="118">
        <f>+F27/$I$27</f>
        <v>0.64639568192891084</v>
      </c>
      <c r="G28" s="119">
        <f>+G27/$I$27</f>
        <v>3.6347236503932977E-2</v>
      </c>
      <c r="H28" s="147"/>
      <c r="I28" s="437">
        <f>C28+D28+F28+G28</f>
        <v>1</v>
      </c>
      <c r="J28" s="438"/>
      <c r="K28" s="112">
        <f t="shared" ref="K28:P28" si="12">+K27/$I$27</f>
        <v>0.61248687711956218</v>
      </c>
      <c r="L28" s="148">
        <f t="shared" si="12"/>
        <v>0.38751312288043782</v>
      </c>
      <c r="M28" s="112">
        <f t="shared" si="12"/>
        <v>0.64033970453916988</v>
      </c>
      <c r="N28" s="113">
        <f t="shared" si="12"/>
        <v>0.148817953177802</v>
      </c>
      <c r="O28" s="113">
        <f t="shared" si="12"/>
        <v>2.7226161247730057E-2</v>
      </c>
      <c r="P28" s="116">
        <f t="shared" si="12"/>
        <v>0.18359822498452788</v>
      </c>
    </row>
    <row r="29" spans="2:16" x14ac:dyDescent="0.2">
      <c r="B29" s="167" t="s">
        <v>149</v>
      </c>
    </row>
    <row r="30" spans="2:16" x14ac:dyDescent="0.2">
      <c r="B30" s="167" t="s">
        <v>150</v>
      </c>
    </row>
  </sheetData>
  <mergeCells count="9">
    <mergeCell ref="B5:P5"/>
    <mergeCell ref="B6:P6"/>
    <mergeCell ref="I28:J28"/>
    <mergeCell ref="B8:P8"/>
    <mergeCell ref="B9:B10"/>
    <mergeCell ref="C9:H9"/>
    <mergeCell ref="I9:J9"/>
    <mergeCell ref="K9:L9"/>
    <mergeCell ref="M9:P9"/>
  </mergeCells>
  <hyperlinks>
    <hyperlink ref="R5" location="'Índice Pensiones Solidarias'!A1" display="Volver Sistema de Pensiones Solidadias" xr:uid="{00000000-0004-0000-0600-000000000000}"/>
  </hyperlinks>
  <pageMargins left="0.7" right="0.7" top="0.75" bottom="0.75" header="0.3" footer="0.3"/>
  <ignoredErrors>
    <ignoredError sqref="E27 H27 J27"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2:O32"/>
  <sheetViews>
    <sheetView showGridLines="0" zoomScaleNormal="100" workbookViewId="0">
      <selection activeCell="C12" sqref="C12"/>
    </sheetView>
  </sheetViews>
  <sheetFormatPr baseColWidth="10" defaultColWidth="11.42578125" defaultRowHeight="12" x14ac:dyDescent="0.2"/>
  <cols>
    <col min="1" max="1" width="6" style="167" customWidth="1"/>
    <col min="2" max="2" width="15.85546875" style="167" customWidth="1"/>
    <col min="3" max="4" width="7.140625" style="167" bestFit="1" customWidth="1"/>
    <col min="5" max="6" width="7.85546875" style="167" bestFit="1" customWidth="1"/>
    <col min="7" max="7" width="7.140625" style="167" bestFit="1" customWidth="1"/>
    <col min="8" max="8" width="9.28515625" style="167" bestFit="1" customWidth="1"/>
    <col min="9" max="10" width="7.85546875" style="167" bestFit="1" customWidth="1"/>
    <col min="11" max="11" width="12.140625" style="167" customWidth="1"/>
    <col min="12" max="16384" width="11.42578125" style="167"/>
  </cols>
  <sheetData>
    <row r="2" spans="1:15" x14ac:dyDescent="0.2">
      <c r="A2" s="196" t="s">
        <v>121</v>
      </c>
    </row>
    <row r="3" spans="1:15" x14ac:dyDescent="0.2">
      <c r="A3" s="196" t="s">
        <v>122</v>
      </c>
    </row>
    <row r="5" spans="1:15" ht="12.75" x14ac:dyDescent="0.2">
      <c r="B5" s="418" t="s">
        <v>89</v>
      </c>
      <c r="C5" s="418"/>
      <c r="D5" s="418"/>
      <c r="E5" s="418"/>
      <c r="F5" s="418"/>
      <c r="G5" s="418"/>
      <c r="H5" s="418"/>
      <c r="I5" s="418"/>
      <c r="J5" s="418"/>
      <c r="K5" s="418"/>
      <c r="M5" s="356" t="s">
        <v>593</v>
      </c>
      <c r="O5" s="339"/>
    </row>
    <row r="6" spans="1:15" ht="12.75" x14ac:dyDescent="0.2">
      <c r="B6" s="431" t="str">
        <f>'Solicitudes Regiones'!$B$6:$P$6</f>
        <v>Acumuladas de julio de 2008 a noviembre de 2018</v>
      </c>
      <c r="C6" s="431"/>
      <c r="D6" s="431"/>
      <c r="E6" s="431"/>
      <c r="F6" s="431"/>
      <c r="G6" s="431"/>
      <c r="H6" s="431"/>
      <c r="I6" s="431"/>
      <c r="J6" s="431"/>
      <c r="K6" s="431"/>
    </row>
    <row r="8" spans="1:15" x14ac:dyDescent="0.2">
      <c r="B8" s="446" t="s">
        <v>73</v>
      </c>
      <c r="C8" s="446"/>
      <c r="D8" s="446"/>
      <c r="E8" s="446"/>
      <c r="F8" s="446"/>
      <c r="G8" s="446"/>
      <c r="H8" s="446"/>
      <c r="I8" s="446"/>
      <c r="J8" s="446"/>
      <c r="K8" s="446"/>
    </row>
    <row r="9" spans="1:15" ht="15" customHeight="1" x14ac:dyDescent="0.2">
      <c r="B9" s="446" t="s">
        <v>74</v>
      </c>
      <c r="C9" s="447" t="s">
        <v>2</v>
      </c>
      <c r="D9" s="448"/>
      <c r="E9" s="448"/>
      <c r="F9" s="448"/>
      <c r="G9" s="448"/>
      <c r="H9" s="448"/>
      <c r="I9" s="448"/>
      <c r="J9" s="448"/>
      <c r="K9" s="449"/>
    </row>
    <row r="10" spans="1:15" ht="24" x14ac:dyDescent="0.2">
      <c r="B10" s="446"/>
      <c r="C10" s="165" t="s">
        <v>75</v>
      </c>
      <c r="D10" s="165" t="s">
        <v>76</v>
      </c>
      <c r="E10" s="165" t="s">
        <v>77</v>
      </c>
      <c r="F10" s="165" t="s">
        <v>78</v>
      </c>
      <c r="G10" s="165" t="s">
        <v>8</v>
      </c>
      <c r="H10" s="165" t="s">
        <v>79</v>
      </c>
      <c r="I10" s="165" t="s">
        <v>80</v>
      </c>
      <c r="J10" s="165" t="s">
        <v>81</v>
      </c>
      <c r="K10" s="166" t="s">
        <v>46</v>
      </c>
    </row>
    <row r="11" spans="1:15" x14ac:dyDescent="0.2">
      <c r="B11" s="160" t="s">
        <v>85</v>
      </c>
      <c r="C11" s="160">
        <v>5092</v>
      </c>
      <c r="D11" s="160">
        <v>2177</v>
      </c>
      <c r="E11" s="160">
        <f t="shared" ref="E11:E15" si="0">C11+D11</f>
        <v>7269</v>
      </c>
      <c r="F11" s="161">
        <f>E11/$E$15</f>
        <v>0.97426618415761967</v>
      </c>
      <c r="G11" s="160">
        <v>16311</v>
      </c>
      <c r="H11" s="160">
        <v>822</v>
      </c>
      <c r="I11" s="160">
        <f t="shared" ref="I11:I15" si="1">G11+H11</f>
        <v>17133</v>
      </c>
      <c r="J11" s="161">
        <f>I11/$I$15</f>
        <v>0.99132095122374586</v>
      </c>
      <c r="K11" s="160">
        <f t="shared" ref="K11:K15" si="2">E11+I11</f>
        <v>24402</v>
      </c>
    </row>
    <row r="12" spans="1:15" x14ac:dyDescent="0.2">
      <c r="B12" s="160" t="s">
        <v>86</v>
      </c>
      <c r="C12" s="160">
        <v>24</v>
      </c>
      <c r="D12" s="160">
        <v>9</v>
      </c>
      <c r="E12" s="160">
        <f t="shared" si="0"/>
        <v>33</v>
      </c>
      <c r="F12" s="161">
        <f t="shared" ref="F12:F15" si="3">E12/$E$15</f>
        <v>4.4229995979091271E-3</v>
      </c>
      <c r="G12" s="160">
        <v>38</v>
      </c>
      <c r="H12" s="160">
        <v>1</v>
      </c>
      <c r="I12" s="160">
        <f t="shared" si="1"/>
        <v>39</v>
      </c>
      <c r="J12" s="161">
        <f t="shared" ref="J12:J15" si="4">I12/$I$15</f>
        <v>2.2565526818260719E-3</v>
      </c>
      <c r="K12" s="160">
        <f t="shared" si="2"/>
        <v>72</v>
      </c>
    </row>
    <row r="13" spans="1:15" x14ac:dyDescent="0.2">
      <c r="B13" s="160" t="s">
        <v>87</v>
      </c>
      <c r="C13" s="160">
        <v>74</v>
      </c>
      <c r="D13" s="160">
        <v>32</v>
      </c>
      <c r="E13" s="160">
        <f t="shared" si="0"/>
        <v>106</v>
      </c>
      <c r="F13" s="161">
        <f t="shared" si="3"/>
        <v>1.42072108296475E-2</v>
      </c>
      <c r="G13" s="160">
        <v>98</v>
      </c>
      <c r="H13" s="160">
        <v>1</v>
      </c>
      <c r="I13" s="160">
        <f t="shared" si="1"/>
        <v>99</v>
      </c>
      <c r="J13" s="161">
        <f t="shared" si="4"/>
        <v>5.7281721923277207E-3</v>
      </c>
      <c r="K13" s="160">
        <f t="shared" si="2"/>
        <v>205</v>
      </c>
    </row>
    <row r="14" spans="1:15" x14ac:dyDescent="0.2">
      <c r="B14" s="160" t="s">
        <v>88</v>
      </c>
      <c r="C14" s="160">
        <v>35</v>
      </c>
      <c r="D14" s="160">
        <v>18</v>
      </c>
      <c r="E14" s="160">
        <f t="shared" si="0"/>
        <v>53</v>
      </c>
      <c r="F14" s="161">
        <f t="shared" si="3"/>
        <v>7.1036054148237498E-3</v>
      </c>
      <c r="G14" s="160">
        <v>12</v>
      </c>
      <c r="H14" s="160">
        <v>0</v>
      </c>
      <c r="I14" s="160">
        <f t="shared" si="1"/>
        <v>12</v>
      </c>
      <c r="J14" s="161">
        <f t="shared" si="4"/>
        <v>6.9432390210032982E-4</v>
      </c>
      <c r="K14" s="160">
        <f t="shared" si="2"/>
        <v>65</v>
      </c>
    </row>
    <row r="15" spans="1:15" x14ac:dyDescent="0.2">
      <c r="B15" s="162" t="s">
        <v>66</v>
      </c>
      <c r="C15" s="160">
        <f t="shared" ref="C15:D15" si="5">SUM(C11:C14)</f>
        <v>5225</v>
      </c>
      <c r="D15" s="160">
        <f t="shared" si="5"/>
        <v>2236</v>
      </c>
      <c r="E15" s="162">
        <f t="shared" si="0"/>
        <v>7461</v>
      </c>
      <c r="F15" s="161">
        <f t="shared" si="3"/>
        <v>1</v>
      </c>
      <c r="G15" s="160">
        <f t="shared" ref="G15:H15" si="6">SUM(G11:G14)</f>
        <v>16459</v>
      </c>
      <c r="H15" s="160">
        <f t="shared" si="6"/>
        <v>824</v>
      </c>
      <c r="I15" s="162">
        <f t="shared" si="1"/>
        <v>17283</v>
      </c>
      <c r="J15" s="161">
        <f t="shared" si="4"/>
        <v>1</v>
      </c>
      <c r="K15" s="162">
        <f t="shared" si="2"/>
        <v>24744</v>
      </c>
    </row>
    <row r="16" spans="1:15" ht="24" x14ac:dyDescent="0.2">
      <c r="B16" s="174" t="s">
        <v>82</v>
      </c>
      <c r="C16" s="175">
        <f>+C15/$K$15</f>
        <v>0.21116230197219529</v>
      </c>
      <c r="D16" s="175">
        <f t="shared" ref="D16:E16" si="7">+D15/$K$15</f>
        <v>9.0365341092790166E-2</v>
      </c>
      <c r="E16" s="176">
        <f t="shared" si="7"/>
        <v>0.30152764306498547</v>
      </c>
      <c r="F16" s="176"/>
      <c r="G16" s="175">
        <f>+G15/$K$15</f>
        <v>0.66517135467183963</v>
      </c>
      <c r="H16" s="175">
        <f t="shared" ref="H16:I16" si="8">+H15/$K$15</f>
        <v>3.3301002263174909E-2</v>
      </c>
      <c r="I16" s="175">
        <f t="shared" si="8"/>
        <v>0.69847235693501453</v>
      </c>
      <c r="J16" s="176"/>
      <c r="K16" s="176">
        <f>E16+I16</f>
        <v>1</v>
      </c>
    </row>
    <row r="17" spans="1:12" x14ac:dyDescent="0.2">
      <c r="A17" s="197"/>
      <c r="B17" s="203"/>
      <c r="C17" s="203"/>
      <c r="D17" s="203"/>
      <c r="E17" s="203"/>
      <c r="F17" s="203"/>
      <c r="G17" s="203"/>
      <c r="H17" s="203"/>
      <c r="I17" s="203"/>
      <c r="J17" s="203"/>
      <c r="K17" s="204"/>
      <c r="L17" s="197"/>
    </row>
    <row r="18" spans="1:12" x14ac:dyDescent="0.2">
      <c r="A18" s="197"/>
      <c r="B18" s="203"/>
      <c r="C18" s="203"/>
      <c r="D18" s="203"/>
      <c r="E18" s="203"/>
      <c r="F18" s="203"/>
      <c r="G18" s="203"/>
      <c r="H18" s="203"/>
      <c r="I18" s="203"/>
      <c r="J18" s="203"/>
      <c r="K18" s="204"/>
      <c r="L18" s="197"/>
    </row>
    <row r="19" spans="1:12" ht="12.75" x14ac:dyDescent="0.2">
      <c r="A19" s="197"/>
      <c r="B19" s="418" t="s">
        <v>146</v>
      </c>
      <c r="C19" s="418"/>
      <c r="D19" s="418"/>
      <c r="E19" s="418"/>
      <c r="F19" s="418"/>
      <c r="G19" s="418"/>
      <c r="H19" s="418"/>
      <c r="I19" s="418"/>
      <c r="J19" s="418"/>
      <c r="K19" s="418"/>
      <c r="L19" s="197"/>
    </row>
    <row r="20" spans="1:12" ht="12.75" x14ac:dyDescent="0.2">
      <c r="A20" s="197"/>
      <c r="B20" s="431" t="str">
        <f>'Solicitudes Regiones'!$B$6:$P$6</f>
        <v>Acumuladas de julio de 2008 a noviembre de 2018</v>
      </c>
      <c r="C20" s="431"/>
      <c r="D20" s="431"/>
      <c r="E20" s="431"/>
      <c r="F20" s="431"/>
      <c r="G20" s="431"/>
      <c r="H20" s="431"/>
      <c r="I20" s="431"/>
      <c r="J20" s="431"/>
      <c r="K20" s="431"/>
      <c r="L20" s="197"/>
    </row>
    <row r="21" spans="1:12" x14ac:dyDescent="0.2">
      <c r="A21" s="197"/>
      <c r="B21" s="203"/>
      <c r="C21" s="203"/>
      <c r="D21" s="203"/>
      <c r="E21" s="203"/>
      <c r="F21" s="203"/>
      <c r="G21" s="203"/>
      <c r="H21" s="203"/>
      <c r="I21" s="203"/>
      <c r="J21" s="203"/>
      <c r="K21" s="204"/>
      <c r="L21" s="197"/>
    </row>
    <row r="22" spans="1:12" x14ac:dyDescent="0.2">
      <c r="B22" s="446" t="s">
        <v>83</v>
      </c>
      <c r="C22" s="446"/>
      <c r="D22" s="446"/>
      <c r="E22" s="446"/>
      <c r="F22" s="446"/>
      <c r="G22" s="446"/>
      <c r="H22" s="446"/>
      <c r="I22" s="446"/>
      <c r="J22" s="446"/>
      <c r="K22" s="446"/>
    </row>
    <row r="23" spans="1:12" ht="15" customHeight="1" x14ac:dyDescent="0.2">
      <c r="B23" s="446" t="s">
        <v>74</v>
      </c>
      <c r="C23" s="446" t="s">
        <v>2</v>
      </c>
      <c r="D23" s="446"/>
      <c r="E23" s="446"/>
      <c r="F23" s="446"/>
      <c r="G23" s="446"/>
      <c r="H23" s="446"/>
      <c r="I23" s="446"/>
      <c r="J23" s="446"/>
      <c r="K23" s="446"/>
    </row>
    <row r="24" spans="1:12" ht="24" x14ac:dyDescent="0.2">
      <c r="B24" s="446"/>
      <c r="C24" s="165" t="s">
        <v>75</v>
      </c>
      <c r="D24" s="165" t="s">
        <v>76</v>
      </c>
      <c r="E24" s="165" t="s">
        <v>77</v>
      </c>
      <c r="F24" s="165" t="s">
        <v>78</v>
      </c>
      <c r="G24" s="165" t="s">
        <v>8</v>
      </c>
      <c r="H24" s="165" t="s">
        <v>79</v>
      </c>
      <c r="I24" s="165" t="s">
        <v>80</v>
      </c>
      <c r="J24" s="165" t="s">
        <v>81</v>
      </c>
      <c r="K24" s="166" t="s">
        <v>46</v>
      </c>
    </row>
    <row r="25" spans="1:12" x14ac:dyDescent="0.2">
      <c r="B25" s="160" t="s">
        <v>85</v>
      </c>
      <c r="C25" s="160">
        <v>4699</v>
      </c>
      <c r="D25" s="160">
        <v>1559</v>
      </c>
      <c r="E25" s="160">
        <v>5994</v>
      </c>
      <c r="F25" s="161">
        <f>E25/$E$29</f>
        <v>0.93612369201936596</v>
      </c>
      <c r="G25" s="160">
        <v>14015</v>
      </c>
      <c r="H25" s="160">
        <v>657</v>
      </c>
      <c r="I25" s="160">
        <f t="shared" ref="I25:I29" si="9">G25+H25</f>
        <v>14672</v>
      </c>
      <c r="J25" s="161">
        <f>I25/$I$29</f>
        <v>0.99121740305364137</v>
      </c>
      <c r="K25" s="160">
        <f t="shared" ref="K25:K30" si="10">E25+I25</f>
        <v>20666</v>
      </c>
    </row>
    <row r="26" spans="1:12" x14ac:dyDescent="0.2">
      <c r="B26" s="160" t="s">
        <v>86</v>
      </c>
      <c r="C26" s="205">
        <v>21</v>
      </c>
      <c r="D26" s="205">
        <v>3</v>
      </c>
      <c r="E26" s="205">
        <v>23</v>
      </c>
      <c r="F26" s="206">
        <f t="shared" ref="F26:F29" si="11">E26/$E$29</f>
        <v>3.5920662189598625E-3</v>
      </c>
      <c r="G26" s="205">
        <v>34</v>
      </c>
      <c r="H26" s="205">
        <v>1</v>
      </c>
      <c r="I26" s="205">
        <f t="shared" si="9"/>
        <v>35</v>
      </c>
      <c r="J26" s="206">
        <f t="shared" ref="J26:J29" si="12">I26/$I$29</f>
        <v>2.3645453317119309E-3</v>
      </c>
      <c r="K26" s="205">
        <f t="shared" si="10"/>
        <v>58</v>
      </c>
    </row>
    <row r="27" spans="1:12" x14ac:dyDescent="0.2">
      <c r="B27" s="160" t="s">
        <v>87</v>
      </c>
      <c r="C27" s="205">
        <v>69</v>
      </c>
      <c r="D27" s="205">
        <v>14</v>
      </c>
      <c r="E27" s="205">
        <v>82</v>
      </c>
      <c r="F27" s="206">
        <f t="shared" si="11"/>
        <v>1.2806496954552554E-2</v>
      </c>
      <c r="G27" s="205">
        <v>82</v>
      </c>
      <c r="H27" s="205">
        <v>1</v>
      </c>
      <c r="I27" s="205">
        <f t="shared" si="9"/>
        <v>83</v>
      </c>
      <c r="J27" s="206">
        <f t="shared" si="12"/>
        <v>5.6073503580597213E-3</v>
      </c>
      <c r="K27" s="205">
        <f t="shared" si="10"/>
        <v>165</v>
      </c>
    </row>
    <row r="28" spans="1:12" x14ac:dyDescent="0.2">
      <c r="B28" s="160" t="s">
        <v>88</v>
      </c>
      <c r="C28" s="205">
        <v>31</v>
      </c>
      <c r="D28" s="205">
        <v>7</v>
      </c>
      <c r="E28" s="205">
        <v>37</v>
      </c>
      <c r="F28" s="206">
        <f t="shared" si="11"/>
        <v>5.778541308761518E-3</v>
      </c>
      <c r="G28" s="205">
        <v>12</v>
      </c>
      <c r="H28" s="205">
        <v>0</v>
      </c>
      <c r="I28" s="205">
        <f t="shared" si="9"/>
        <v>12</v>
      </c>
      <c r="J28" s="206">
        <f t="shared" si="12"/>
        <v>8.107012565869477E-4</v>
      </c>
      <c r="K28" s="205">
        <f t="shared" si="10"/>
        <v>49</v>
      </c>
    </row>
    <row r="29" spans="1:12" x14ac:dyDescent="0.2">
      <c r="B29" s="207" t="s">
        <v>66</v>
      </c>
      <c r="C29" s="205">
        <f t="shared" ref="C29:H29" si="13">SUM(C25:C28)</f>
        <v>4820</v>
      </c>
      <c r="D29" s="205">
        <f t="shared" si="13"/>
        <v>1583</v>
      </c>
      <c r="E29" s="207">
        <f t="shared" ref="E29" si="14">C29+D29</f>
        <v>6403</v>
      </c>
      <c r="F29" s="208">
        <f t="shared" si="11"/>
        <v>1</v>
      </c>
      <c r="G29" s="207">
        <f t="shared" si="13"/>
        <v>14143</v>
      </c>
      <c r="H29" s="207">
        <f t="shared" si="13"/>
        <v>659</v>
      </c>
      <c r="I29" s="207">
        <f t="shared" si="9"/>
        <v>14802</v>
      </c>
      <c r="J29" s="209">
        <f t="shared" si="12"/>
        <v>1</v>
      </c>
      <c r="K29" s="207">
        <f t="shared" si="10"/>
        <v>21205</v>
      </c>
    </row>
    <row r="30" spans="1:12" ht="24" x14ac:dyDescent="0.2">
      <c r="B30" s="174" t="s">
        <v>84</v>
      </c>
      <c r="C30" s="175">
        <f>+C29/$K$29</f>
        <v>0.22730488092431031</v>
      </c>
      <c r="D30" s="175">
        <f>+D29/$K$29</f>
        <v>7.4652204668710212E-2</v>
      </c>
      <c r="E30" s="176">
        <f>+E29/$K$29</f>
        <v>0.30195708559302054</v>
      </c>
      <c r="F30" s="176"/>
      <c r="G30" s="175">
        <f>+G29/$K$29</f>
        <v>0.66696533836359351</v>
      </c>
      <c r="H30" s="175">
        <f>+H29/$K$29</f>
        <v>3.1077576043385995E-2</v>
      </c>
      <c r="I30" s="176">
        <f>+I29/$K$29</f>
        <v>0.69804291440697952</v>
      </c>
      <c r="J30" s="176"/>
      <c r="K30" s="176">
        <f t="shared" si="10"/>
        <v>1</v>
      </c>
    </row>
    <row r="31" spans="1:12" x14ac:dyDescent="0.2">
      <c r="B31" s="167" t="s">
        <v>149</v>
      </c>
    </row>
    <row r="32" spans="1:12" x14ac:dyDescent="0.2">
      <c r="B32" s="167" t="s">
        <v>150</v>
      </c>
    </row>
  </sheetData>
  <mergeCells count="10">
    <mergeCell ref="B5:K5"/>
    <mergeCell ref="B6:K6"/>
    <mergeCell ref="B19:K19"/>
    <mergeCell ref="B20:K20"/>
    <mergeCell ref="B23:B24"/>
    <mergeCell ref="C23:K23"/>
    <mergeCell ref="B8:K8"/>
    <mergeCell ref="B9:B10"/>
    <mergeCell ref="C9:K9"/>
    <mergeCell ref="B22:K22"/>
  </mergeCells>
  <hyperlinks>
    <hyperlink ref="M5" location="'Índice Pensiones Solidarias'!A1" display="Volver Sistema de Pensiones Solidadias"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6">
    <pageSetUpPr fitToPage="1"/>
  </sheetPr>
  <dimension ref="A1:P41"/>
  <sheetViews>
    <sheetView showGridLines="0" zoomScaleNormal="100" workbookViewId="0"/>
  </sheetViews>
  <sheetFormatPr baseColWidth="10" defaultRowHeight="12" x14ac:dyDescent="0.2"/>
  <cols>
    <col min="1" max="1" width="6" style="168" customWidth="1"/>
    <col min="2" max="2" width="18.140625" style="168" customWidth="1"/>
    <col min="3" max="4" width="7.28515625" style="168" bestFit="1" customWidth="1"/>
    <col min="5" max="6" width="7.28515625" style="168" customWidth="1"/>
    <col min="7" max="8" width="7.28515625" style="168" bestFit="1" customWidth="1"/>
    <col min="9" max="11" width="7.28515625" style="168" customWidth="1"/>
    <col min="12" max="12" width="10.28515625" style="168" customWidth="1"/>
    <col min="13" max="251" width="11.42578125" style="168"/>
    <col min="252" max="252" width="18.140625" style="168" customWidth="1"/>
    <col min="253" max="254" width="7.28515625" style="168" bestFit="1" customWidth="1"/>
    <col min="255" max="256" width="7.28515625" style="168" customWidth="1"/>
    <col min="257" max="258" width="7.28515625" style="168" bestFit="1" customWidth="1"/>
    <col min="259" max="261" width="7.28515625" style="168" customWidth="1"/>
    <col min="262" max="267" width="0" style="168" hidden="1" customWidth="1"/>
    <col min="268" max="268" width="10.28515625" style="168" customWidth="1"/>
    <col min="269" max="507" width="11.42578125" style="168"/>
    <col min="508" max="508" width="18.140625" style="168" customWidth="1"/>
    <col min="509" max="510" width="7.28515625" style="168" bestFit="1" customWidth="1"/>
    <col min="511" max="512" width="7.28515625" style="168" customWidth="1"/>
    <col min="513" max="514" width="7.28515625" style="168" bestFit="1" customWidth="1"/>
    <col min="515" max="517" width="7.28515625" style="168" customWidth="1"/>
    <col min="518" max="523" width="0" style="168" hidden="1" customWidth="1"/>
    <col min="524" max="524" width="10.28515625" style="168" customWidth="1"/>
    <col min="525" max="763" width="11.42578125" style="168"/>
    <col min="764" max="764" width="18.140625" style="168" customWidth="1"/>
    <col min="765" max="766" width="7.28515625" style="168" bestFit="1" customWidth="1"/>
    <col min="767" max="768" width="7.28515625" style="168" customWidth="1"/>
    <col min="769" max="770" width="7.28515625" style="168" bestFit="1" customWidth="1"/>
    <col min="771" max="773" width="7.28515625" style="168" customWidth="1"/>
    <col min="774" max="779" width="0" style="168" hidden="1" customWidth="1"/>
    <col min="780" max="780" width="10.28515625" style="168" customWidth="1"/>
    <col min="781" max="1019" width="11.42578125" style="168"/>
    <col min="1020" max="1020" width="18.140625" style="168" customWidth="1"/>
    <col min="1021" max="1022" width="7.28515625" style="168" bestFit="1" customWidth="1"/>
    <col min="1023" max="1024" width="7.28515625" style="168" customWidth="1"/>
    <col min="1025" max="1026" width="7.28515625" style="168" bestFit="1" customWidth="1"/>
    <col min="1027" max="1029" width="7.28515625" style="168" customWidth="1"/>
    <col min="1030" max="1035" width="0" style="168" hidden="1" customWidth="1"/>
    <col min="1036" max="1036" width="10.28515625" style="168" customWidth="1"/>
    <col min="1037" max="1275" width="11.42578125" style="168"/>
    <col min="1276" max="1276" width="18.140625" style="168" customWidth="1"/>
    <col min="1277" max="1278" width="7.28515625" style="168" bestFit="1" customWidth="1"/>
    <col min="1279" max="1280" width="7.28515625" style="168" customWidth="1"/>
    <col min="1281" max="1282" width="7.28515625" style="168" bestFit="1" customWidth="1"/>
    <col min="1283" max="1285" width="7.28515625" style="168" customWidth="1"/>
    <col min="1286" max="1291" width="0" style="168" hidden="1" customWidth="1"/>
    <col min="1292" max="1292" width="10.28515625" style="168" customWidth="1"/>
    <col min="1293" max="1531" width="11.42578125" style="168"/>
    <col min="1532" max="1532" width="18.140625" style="168" customWidth="1"/>
    <col min="1533" max="1534" width="7.28515625" style="168" bestFit="1" customWidth="1"/>
    <col min="1535" max="1536" width="7.28515625" style="168" customWidth="1"/>
    <col min="1537" max="1538" width="7.28515625" style="168" bestFit="1" customWidth="1"/>
    <col min="1539" max="1541" width="7.28515625" style="168" customWidth="1"/>
    <col min="1542" max="1547" width="0" style="168" hidden="1" customWidth="1"/>
    <col min="1548" max="1548" width="10.28515625" style="168" customWidth="1"/>
    <col min="1549" max="1787" width="11.42578125" style="168"/>
    <col min="1788" max="1788" width="18.140625" style="168" customWidth="1"/>
    <col min="1789" max="1790" width="7.28515625" style="168" bestFit="1" customWidth="1"/>
    <col min="1791" max="1792" width="7.28515625" style="168" customWidth="1"/>
    <col min="1793" max="1794" width="7.28515625" style="168" bestFit="1" customWidth="1"/>
    <col min="1795" max="1797" width="7.28515625" style="168" customWidth="1"/>
    <col min="1798" max="1803" width="0" style="168" hidden="1" customWidth="1"/>
    <col min="1804" max="1804" width="10.28515625" style="168" customWidth="1"/>
    <col min="1805" max="2043" width="11.42578125" style="168"/>
    <col min="2044" max="2044" width="18.140625" style="168" customWidth="1"/>
    <col min="2045" max="2046" width="7.28515625" style="168" bestFit="1" customWidth="1"/>
    <col min="2047" max="2048" width="7.28515625" style="168" customWidth="1"/>
    <col min="2049" max="2050" width="7.28515625" style="168" bestFit="1" customWidth="1"/>
    <col min="2051" max="2053" width="7.28515625" style="168" customWidth="1"/>
    <col min="2054" max="2059" width="0" style="168" hidden="1" customWidth="1"/>
    <col min="2060" max="2060" width="10.28515625" style="168" customWidth="1"/>
    <col min="2061" max="2299" width="11.42578125" style="168"/>
    <col min="2300" max="2300" width="18.140625" style="168" customWidth="1"/>
    <col min="2301" max="2302" width="7.28515625" style="168" bestFit="1" customWidth="1"/>
    <col min="2303" max="2304" width="7.28515625" style="168" customWidth="1"/>
    <col min="2305" max="2306" width="7.28515625" style="168" bestFit="1" customWidth="1"/>
    <col min="2307" max="2309" width="7.28515625" style="168" customWidth="1"/>
    <col min="2310" max="2315" width="0" style="168" hidden="1" customWidth="1"/>
    <col min="2316" max="2316" width="10.28515625" style="168" customWidth="1"/>
    <col min="2317" max="2555" width="11.42578125" style="168"/>
    <col min="2556" max="2556" width="18.140625" style="168" customWidth="1"/>
    <col min="2557" max="2558" width="7.28515625" style="168" bestFit="1" customWidth="1"/>
    <col min="2559" max="2560" width="7.28515625" style="168" customWidth="1"/>
    <col min="2561" max="2562" width="7.28515625" style="168" bestFit="1" customWidth="1"/>
    <col min="2563" max="2565" width="7.28515625" style="168" customWidth="1"/>
    <col min="2566" max="2571" width="0" style="168" hidden="1" customWidth="1"/>
    <col min="2572" max="2572" width="10.28515625" style="168" customWidth="1"/>
    <col min="2573" max="2811" width="11.42578125" style="168"/>
    <col min="2812" max="2812" width="18.140625" style="168" customWidth="1"/>
    <col min="2813" max="2814" width="7.28515625" style="168" bestFit="1" customWidth="1"/>
    <col min="2815" max="2816" width="7.28515625" style="168" customWidth="1"/>
    <col min="2817" max="2818" width="7.28515625" style="168" bestFit="1" customWidth="1"/>
    <col min="2819" max="2821" width="7.28515625" style="168" customWidth="1"/>
    <col min="2822" max="2827" width="0" style="168" hidden="1" customWidth="1"/>
    <col min="2828" max="2828" width="10.28515625" style="168" customWidth="1"/>
    <col min="2829" max="3067" width="11.42578125" style="168"/>
    <col min="3068" max="3068" width="18.140625" style="168" customWidth="1"/>
    <col min="3069" max="3070" width="7.28515625" style="168" bestFit="1" customWidth="1"/>
    <col min="3071" max="3072" width="7.28515625" style="168" customWidth="1"/>
    <col min="3073" max="3074" width="7.28515625" style="168" bestFit="1" customWidth="1"/>
    <col min="3075" max="3077" width="7.28515625" style="168" customWidth="1"/>
    <col min="3078" max="3083" width="0" style="168" hidden="1" customWidth="1"/>
    <col min="3084" max="3084" width="10.28515625" style="168" customWidth="1"/>
    <col min="3085" max="3323" width="11.42578125" style="168"/>
    <col min="3324" max="3324" width="18.140625" style="168" customWidth="1"/>
    <col min="3325" max="3326" width="7.28515625" style="168" bestFit="1" customWidth="1"/>
    <col min="3327" max="3328" width="7.28515625" style="168" customWidth="1"/>
    <col min="3329" max="3330" width="7.28515625" style="168" bestFit="1" customWidth="1"/>
    <col min="3331" max="3333" width="7.28515625" style="168" customWidth="1"/>
    <col min="3334" max="3339" width="0" style="168" hidden="1" customWidth="1"/>
    <col min="3340" max="3340" width="10.28515625" style="168" customWidth="1"/>
    <col min="3341" max="3579" width="11.42578125" style="168"/>
    <col min="3580" max="3580" width="18.140625" style="168" customWidth="1"/>
    <col min="3581" max="3582" width="7.28515625" style="168" bestFit="1" customWidth="1"/>
    <col min="3583" max="3584" width="7.28515625" style="168" customWidth="1"/>
    <col min="3585" max="3586" width="7.28515625" style="168" bestFit="1" customWidth="1"/>
    <col min="3587" max="3589" width="7.28515625" style="168" customWidth="1"/>
    <col min="3590" max="3595" width="0" style="168" hidden="1" customWidth="1"/>
    <col min="3596" max="3596" width="10.28515625" style="168" customWidth="1"/>
    <col min="3597" max="3835" width="11.42578125" style="168"/>
    <col min="3836" max="3836" width="18.140625" style="168" customWidth="1"/>
    <col min="3837" max="3838" width="7.28515625" style="168" bestFit="1" customWidth="1"/>
    <col min="3839" max="3840" width="7.28515625" style="168" customWidth="1"/>
    <col min="3841" max="3842" width="7.28515625" style="168" bestFit="1" customWidth="1"/>
    <col min="3843" max="3845" width="7.28515625" style="168" customWidth="1"/>
    <col min="3846" max="3851" width="0" style="168" hidden="1" customWidth="1"/>
    <col min="3852" max="3852" width="10.28515625" style="168" customWidth="1"/>
    <col min="3853" max="4091" width="11.42578125" style="168"/>
    <col min="4092" max="4092" width="18.140625" style="168" customWidth="1"/>
    <col min="4093" max="4094" width="7.28515625" style="168" bestFit="1" customWidth="1"/>
    <col min="4095" max="4096" width="7.28515625" style="168" customWidth="1"/>
    <col min="4097" max="4098" width="7.28515625" style="168" bestFit="1" customWidth="1"/>
    <col min="4099" max="4101" width="7.28515625" style="168" customWidth="1"/>
    <col min="4102" max="4107" width="0" style="168" hidden="1" customWidth="1"/>
    <col min="4108" max="4108" width="10.28515625" style="168" customWidth="1"/>
    <col min="4109" max="4347" width="11.42578125" style="168"/>
    <col min="4348" max="4348" width="18.140625" style="168" customWidth="1"/>
    <col min="4349" max="4350" width="7.28515625" style="168" bestFit="1" customWidth="1"/>
    <col min="4351" max="4352" width="7.28515625" style="168" customWidth="1"/>
    <col min="4353" max="4354" width="7.28515625" style="168" bestFit="1" customWidth="1"/>
    <col min="4355" max="4357" width="7.28515625" style="168" customWidth="1"/>
    <col min="4358" max="4363" width="0" style="168" hidden="1" customWidth="1"/>
    <col min="4364" max="4364" width="10.28515625" style="168" customWidth="1"/>
    <col min="4365" max="4603" width="11.42578125" style="168"/>
    <col min="4604" max="4604" width="18.140625" style="168" customWidth="1"/>
    <col min="4605" max="4606" width="7.28515625" style="168" bestFit="1" customWidth="1"/>
    <col min="4607" max="4608" width="7.28515625" style="168" customWidth="1"/>
    <col min="4609" max="4610" width="7.28515625" style="168" bestFit="1" customWidth="1"/>
    <col min="4611" max="4613" width="7.28515625" style="168" customWidth="1"/>
    <col min="4614" max="4619" width="0" style="168" hidden="1" customWidth="1"/>
    <col min="4620" max="4620" width="10.28515625" style="168" customWidth="1"/>
    <col min="4621" max="4859" width="11.42578125" style="168"/>
    <col min="4860" max="4860" width="18.140625" style="168" customWidth="1"/>
    <col min="4861" max="4862" width="7.28515625" style="168" bestFit="1" customWidth="1"/>
    <col min="4863" max="4864" width="7.28515625" style="168" customWidth="1"/>
    <col min="4865" max="4866" width="7.28515625" style="168" bestFit="1" customWidth="1"/>
    <col min="4867" max="4869" width="7.28515625" style="168" customWidth="1"/>
    <col min="4870" max="4875" width="0" style="168" hidden="1" customWidth="1"/>
    <col min="4876" max="4876" width="10.28515625" style="168" customWidth="1"/>
    <col min="4877" max="5115" width="11.42578125" style="168"/>
    <col min="5116" max="5116" width="18.140625" style="168" customWidth="1"/>
    <col min="5117" max="5118" width="7.28515625" style="168" bestFit="1" customWidth="1"/>
    <col min="5119" max="5120" width="7.28515625" style="168" customWidth="1"/>
    <col min="5121" max="5122" width="7.28515625" style="168" bestFit="1" customWidth="1"/>
    <col min="5123" max="5125" width="7.28515625" style="168" customWidth="1"/>
    <col min="5126" max="5131" width="0" style="168" hidden="1" customWidth="1"/>
    <col min="5132" max="5132" width="10.28515625" style="168" customWidth="1"/>
    <col min="5133" max="5371" width="11.42578125" style="168"/>
    <col min="5372" max="5372" width="18.140625" style="168" customWidth="1"/>
    <col min="5373" max="5374" width="7.28515625" style="168" bestFit="1" customWidth="1"/>
    <col min="5375" max="5376" width="7.28515625" style="168" customWidth="1"/>
    <col min="5377" max="5378" width="7.28515625" style="168" bestFit="1" customWidth="1"/>
    <col min="5379" max="5381" width="7.28515625" style="168" customWidth="1"/>
    <col min="5382" max="5387" width="0" style="168" hidden="1" customWidth="1"/>
    <col min="5388" max="5388" width="10.28515625" style="168" customWidth="1"/>
    <col min="5389" max="5627" width="11.42578125" style="168"/>
    <col min="5628" max="5628" width="18.140625" style="168" customWidth="1"/>
    <col min="5629" max="5630" width="7.28515625" style="168" bestFit="1" customWidth="1"/>
    <col min="5631" max="5632" width="7.28515625" style="168" customWidth="1"/>
    <col min="5633" max="5634" width="7.28515625" style="168" bestFit="1" customWidth="1"/>
    <col min="5635" max="5637" width="7.28515625" style="168" customWidth="1"/>
    <col min="5638" max="5643" width="0" style="168" hidden="1" customWidth="1"/>
    <col min="5644" max="5644" width="10.28515625" style="168" customWidth="1"/>
    <col min="5645" max="5883" width="11.42578125" style="168"/>
    <col min="5884" max="5884" width="18.140625" style="168" customWidth="1"/>
    <col min="5885" max="5886" width="7.28515625" style="168" bestFit="1" customWidth="1"/>
    <col min="5887" max="5888" width="7.28515625" style="168" customWidth="1"/>
    <col min="5889" max="5890" width="7.28515625" style="168" bestFit="1" customWidth="1"/>
    <col min="5891" max="5893" width="7.28515625" style="168" customWidth="1"/>
    <col min="5894" max="5899" width="0" style="168" hidden="1" customWidth="1"/>
    <col min="5900" max="5900" width="10.28515625" style="168" customWidth="1"/>
    <col min="5901" max="6139" width="11.42578125" style="168"/>
    <col min="6140" max="6140" width="18.140625" style="168" customWidth="1"/>
    <col min="6141" max="6142" width="7.28515625" style="168" bestFit="1" customWidth="1"/>
    <col min="6143" max="6144" width="7.28515625" style="168" customWidth="1"/>
    <col min="6145" max="6146" width="7.28515625" style="168" bestFit="1" customWidth="1"/>
    <col min="6147" max="6149" width="7.28515625" style="168" customWidth="1"/>
    <col min="6150" max="6155" width="0" style="168" hidden="1" customWidth="1"/>
    <col min="6156" max="6156" width="10.28515625" style="168" customWidth="1"/>
    <col min="6157" max="6395" width="11.42578125" style="168"/>
    <col min="6396" max="6396" width="18.140625" style="168" customWidth="1"/>
    <col min="6397" max="6398" width="7.28515625" style="168" bestFit="1" customWidth="1"/>
    <col min="6399" max="6400" width="7.28515625" style="168" customWidth="1"/>
    <col min="6401" max="6402" width="7.28515625" style="168" bestFit="1" customWidth="1"/>
    <col min="6403" max="6405" width="7.28515625" style="168" customWidth="1"/>
    <col min="6406" max="6411" width="0" style="168" hidden="1" customWidth="1"/>
    <col min="6412" max="6412" width="10.28515625" style="168" customWidth="1"/>
    <col min="6413" max="6651" width="11.42578125" style="168"/>
    <col min="6652" max="6652" width="18.140625" style="168" customWidth="1"/>
    <col min="6653" max="6654" width="7.28515625" style="168" bestFit="1" customWidth="1"/>
    <col min="6655" max="6656" width="7.28515625" style="168" customWidth="1"/>
    <col min="6657" max="6658" width="7.28515625" style="168" bestFit="1" customWidth="1"/>
    <col min="6659" max="6661" width="7.28515625" style="168" customWidth="1"/>
    <col min="6662" max="6667" width="0" style="168" hidden="1" customWidth="1"/>
    <col min="6668" max="6668" width="10.28515625" style="168" customWidth="1"/>
    <col min="6669" max="6907" width="11.42578125" style="168"/>
    <col min="6908" max="6908" width="18.140625" style="168" customWidth="1"/>
    <col min="6909" max="6910" width="7.28515625" style="168" bestFit="1" customWidth="1"/>
    <col min="6911" max="6912" width="7.28515625" style="168" customWidth="1"/>
    <col min="6913" max="6914" width="7.28515625" style="168" bestFit="1" customWidth="1"/>
    <col min="6915" max="6917" width="7.28515625" style="168" customWidth="1"/>
    <col min="6918" max="6923" width="0" style="168" hidden="1" customWidth="1"/>
    <col min="6924" max="6924" width="10.28515625" style="168" customWidth="1"/>
    <col min="6925" max="7163" width="11.42578125" style="168"/>
    <col min="7164" max="7164" width="18.140625" style="168" customWidth="1"/>
    <col min="7165" max="7166" width="7.28515625" style="168" bestFit="1" customWidth="1"/>
    <col min="7167" max="7168" width="7.28515625" style="168" customWidth="1"/>
    <col min="7169" max="7170" width="7.28515625" style="168" bestFit="1" customWidth="1"/>
    <col min="7171" max="7173" width="7.28515625" style="168" customWidth="1"/>
    <col min="7174" max="7179" width="0" style="168" hidden="1" customWidth="1"/>
    <col min="7180" max="7180" width="10.28515625" style="168" customWidth="1"/>
    <col min="7181" max="7419" width="11.42578125" style="168"/>
    <col min="7420" max="7420" width="18.140625" style="168" customWidth="1"/>
    <col min="7421" max="7422" width="7.28515625" style="168" bestFit="1" customWidth="1"/>
    <col min="7423" max="7424" width="7.28515625" style="168" customWidth="1"/>
    <col min="7425" max="7426" width="7.28515625" style="168" bestFit="1" customWidth="1"/>
    <col min="7427" max="7429" width="7.28515625" style="168" customWidth="1"/>
    <col min="7430" max="7435" width="0" style="168" hidden="1" customWidth="1"/>
    <col min="7436" max="7436" width="10.28515625" style="168" customWidth="1"/>
    <col min="7437" max="7675" width="11.42578125" style="168"/>
    <col min="7676" max="7676" width="18.140625" style="168" customWidth="1"/>
    <col min="7677" max="7678" width="7.28515625" style="168" bestFit="1" customWidth="1"/>
    <col min="7679" max="7680" width="7.28515625" style="168" customWidth="1"/>
    <col min="7681" max="7682" width="7.28515625" style="168" bestFit="1" customWidth="1"/>
    <col min="7683" max="7685" width="7.28515625" style="168" customWidth="1"/>
    <col min="7686" max="7691" width="0" style="168" hidden="1" customWidth="1"/>
    <col min="7692" max="7692" width="10.28515625" style="168" customWidth="1"/>
    <col min="7693" max="7931" width="11.42578125" style="168"/>
    <col min="7932" max="7932" width="18.140625" style="168" customWidth="1"/>
    <col min="7933" max="7934" width="7.28515625" style="168" bestFit="1" customWidth="1"/>
    <col min="7935" max="7936" width="7.28515625" style="168" customWidth="1"/>
    <col min="7937" max="7938" width="7.28515625" style="168" bestFit="1" customWidth="1"/>
    <col min="7939" max="7941" width="7.28515625" style="168" customWidth="1"/>
    <col min="7942" max="7947" width="0" style="168" hidden="1" customWidth="1"/>
    <col min="7948" max="7948" width="10.28515625" style="168" customWidth="1"/>
    <col min="7949" max="8187" width="11.42578125" style="168"/>
    <col min="8188" max="8188" width="18.140625" style="168" customWidth="1"/>
    <col min="8189" max="8190" width="7.28515625" style="168" bestFit="1" customWidth="1"/>
    <col min="8191" max="8192" width="7.28515625" style="168" customWidth="1"/>
    <col min="8193" max="8194" width="7.28515625" style="168" bestFit="1" customWidth="1"/>
    <col min="8195" max="8197" width="7.28515625" style="168" customWidth="1"/>
    <col min="8198" max="8203" width="0" style="168" hidden="1" customWidth="1"/>
    <col min="8204" max="8204" width="10.28515625" style="168" customWidth="1"/>
    <col min="8205" max="8443" width="11.42578125" style="168"/>
    <col min="8444" max="8444" width="18.140625" style="168" customWidth="1"/>
    <col min="8445" max="8446" width="7.28515625" style="168" bestFit="1" customWidth="1"/>
    <col min="8447" max="8448" width="7.28515625" style="168" customWidth="1"/>
    <col min="8449" max="8450" width="7.28515625" style="168" bestFit="1" customWidth="1"/>
    <col min="8451" max="8453" width="7.28515625" style="168" customWidth="1"/>
    <col min="8454" max="8459" width="0" style="168" hidden="1" customWidth="1"/>
    <col min="8460" max="8460" width="10.28515625" style="168" customWidth="1"/>
    <col min="8461" max="8699" width="11.42578125" style="168"/>
    <col min="8700" max="8700" width="18.140625" style="168" customWidth="1"/>
    <col min="8701" max="8702" width="7.28515625" style="168" bestFit="1" customWidth="1"/>
    <col min="8703" max="8704" width="7.28515625" style="168" customWidth="1"/>
    <col min="8705" max="8706" width="7.28515625" style="168" bestFit="1" customWidth="1"/>
    <col min="8707" max="8709" width="7.28515625" style="168" customWidth="1"/>
    <col min="8710" max="8715" width="0" style="168" hidden="1" customWidth="1"/>
    <col min="8716" max="8716" width="10.28515625" style="168" customWidth="1"/>
    <col min="8717" max="8955" width="11.42578125" style="168"/>
    <col min="8956" max="8956" width="18.140625" style="168" customWidth="1"/>
    <col min="8957" max="8958" width="7.28515625" style="168" bestFit="1" customWidth="1"/>
    <col min="8959" max="8960" width="7.28515625" style="168" customWidth="1"/>
    <col min="8961" max="8962" width="7.28515625" style="168" bestFit="1" customWidth="1"/>
    <col min="8963" max="8965" width="7.28515625" style="168" customWidth="1"/>
    <col min="8966" max="8971" width="0" style="168" hidden="1" customWidth="1"/>
    <col min="8972" max="8972" width="10.28515625" style="168" customWidth="1"/>
    <col min="8973" max="9211" width="11.42578125" style="168"/>
    <col min="9212" max="9212" width="18.140625" style="168" customWidth="1"/>
    <col min="9213" max="9214" width="7.28515625" style="168" bestFit="1" customWidth="1"/>
    <col min="9215" max="9216" width="7.28515625" style="168" customWidth="1"/>
    <col min="9217" max="9218" width="7.28515625" style="168" bestFit="1" customWidth="1"/>
    <col min="9219" max="9221" width="7.28515625" style="168" customWidth="1"/>
    <col min="9222" max="9227" width="0" style="168" hidden="1" customWidth="1"/>
    <col min="9228" max="9228" width="10.28515625" style="168" customWidth="1"/>
    <col min="9229" max="9467" width="11.42578125" style="168"/>
    <col min="9468" max="9468" width="18.140625" style="168" customWidth="1"/>
    <col min="9469" max="9470" width="7.28515625" style="168" bestFit="1" customWidth="1"/>
    <col min="9471" max="9472" width="7.28515625" style="168" customWidth="1"/>
    <col min="9473" max="9474" width="7.28515625" style="168" bestFit="1" customWidth="1"/>
    <col min="9475" max="9477" width="7.28515625" style="168" customWidth="1"/>
    <col min="9478" max="9483" width="0" style="168" hidden="1" customWidth="1"/>
    <col min="9484" max="9484" width="10.28515625" style="168" customWidth="1"/>
    <col min="9485" max="9723" width="11.42578125" style="168"/>
    <col min="9724" max="9724" width="18.140625" style="168" customWidth="1"/>
    <col min="9725" max="9726" width="7.28515625" style="168" bestFit="1" customWidth="1"/>
    <col min="9727" max="9728" width="7.28515625" style="168" customWidth="1"/>
    <col min="9729" max="9730" width="7.28515625" style="168" bestFit="1" customWidth="1"/>
    <col min="9731" max="9733" width="7.28515625" style="168" customWidth="1"/>
    <col min="9734" max="9739" width="0" style="168" hidden="1" customWidth="1"/>
    <col min="9740" max="9740" width="10.28515625" style="168" customWidth="1"/>
    <col min="9741" max="9979" width="11.42578125" style="168"/>
    <col min="9980" max="9980" width="18.140625" style="168" customWidth="1"/>
    <col min="9981" max="9982" width="7.28515625" style="168" bestFit="1" customWidth="1"/>
    <col min="9983" max="9984" width="7.28515625" style="168" customWidth="1"/>
    <col min="9985" max="9986" width="7.28515625" style="168" bestFit="1" customWidth="1"/>
    <col min="9987" max="9989" width="7.28515625" style="168" customWidth="1"/>
    <col min="9990" max="9995" width="0" style="168" hidden="1" customWidth="1"/>
    <col min="9996" max="9996" width="10.28515625" style="168" customWidth="1"/>
    <col min="9997" max="10235" width="11.42578125" style="168"/>
    <col min="10236" max="10236" width="18.140625" style="168" customWidth="1"/>
    <col min="10237" max="10238" width="7.28515625" style="168" bestFit="1" customWidth="1"/>
    <col min="10239" max="10240" width="7.28515625" style="168" customWidth="1"/>
    <col min="10241" max="10242" width="7.28515625" style="168" bestFit="1" customWidth="1"/>
    <col min="10243" max="10245" width="7.28515625" style="168" customWidth="1"/>
    <col min="10246" max="10251" width="0" style="168" hidden="1" customWidth="1"/>
    <col min="10252" max="10252" width="10.28515625" style="168" customWidth="1"/>
    <col min="10253" max="10491" width="11.42578125" style="168"/>
    <col min="10492" max="10492" width="18.140625" style="168" customWidth="1"/>
    <col min="10493" max="10494" width="7.28515625" style="168" bestFit="1" customWidth="1"/>
    <col min="10495" max="10496" width="7.28515625" style="168" customWidth="1"/>
    <col min="10497" max="10498" width="7.28515625" style="168" bestFit="1" customWidth="1"/>
    <col min="10499" max="10501" width="7.28515625" style="168" customWidth="1"/>
    <col min="10502" max="10507" width="0" style="168" hidden="1" customWidth="1"/>
    <col min="10508" max="10508" width="10.28515625" style="168" customWidth="1"/>
    <col min="10509" max="10747" width="11.42578125" style="168"/>
    <col min="10748" max="10748" width="18.140625" style="168" customWidth="1"/>
    <col min="10749" max="10750" width="7.28515625" style="168" bestFit="1" customWidth="1"/>
    <col min="10751" max="10752" width="7.28515625" style="168" customWidth="1"/>
    <col min="10753" max="10754" width="7.28515625" style="168" bestFit="1" customWidth="1"/>
    <col min="10755" max="10757" width="7.28515625" style="168" customWidth="1"/>
    <col min="10758" max="10763" width="0" style="168" hidden="1" customWidth="1"/>
    <col min="10764" max="10764" width="10.28515625" style="168" customWidth="1"/>
    <col min="10765" max="11003" width="11.42578125" style="168"/>
    <col min="11004" max="11004" width="18.140625" style="168" customWidth="1"/>
    <col min="11005" max="11006" width="7.28515625" style="168" bestFit="1" customWidth="1"/>
    <col min="11007" max="11008" width="7.28515625" style="168" customWidth="1"/>
    <col min="11009" max="11010" width="7.28515625" style="168" bestFit="1" customWidth="1"/>
    <col min="11011" max="11013" width="7.28515625" style="168" customWidth="1"/>
    <col min="11014" max="11019" width="0" style="168" hidden="1" customWidth="1"/>
    <col min="11020" max="11020" width="10.28515625" style="168" customWidth="1"/>
    <col min="11021" max="11259" width="11.42578125" style="168"/>
    <col min="11260" max="11260" width="18.140625" style="168" customWidth="1"/>
    <col min="11261" max="11262" width="7.28515625" style="168" bestFit="1" customWidth="1"/>
    <col min="11263" max="11264" width="7.28515625" style="168" customWidth="1"/>
    <col min="11265" max="11266" width="7.28515625" style="168" bestFit="1" customWidth="1"/>
    <col min="11267" max="11269" width="7.28515625" style="168" customWidth="1"/>
    <col min="11270" max="11275" width="0" style="168" hidden="1" customWidth="1"/>
    <col min="11276" max="11276" width="10.28515625" style="168" customWidth="1"/>
    <col min="11277" max="11515" width="11.42578125" style="168"/>
    <col min="11516" max="11516" width="18.140625" style="168" customWidth="1"/>
    <col min="11517" max="11518" width="7.28515625" style="168" bestFit="1" customWidth="1"/>
    <col min="11519" max="11520" width="7.28515625" style="168" customWidth="1"/>
    <col min="11521" max="11522" width="7.28515625" style="168" bestFit="1" customWidth="1"/>
    <col min="11523" max="11525" width="7.28515625" style="168" customWidth="1"/>
    <col min="11526" max="11531" width="0" style="168" hidden="1" customWidth="1"/>
    <col min="11532" max="11532" width="10.28515625" style="168" customWidth="1"/>
    <col min="11533" max="11771" width="11.42578125" style="168"/>
    <col min="11772" max="11772" width="18.140625" style="168" customWidth="1"/>
    <col min="11773" max="11774" width="7.28515625" style="168" bestFit="1" customWidth="1"/>
    <col min="11775" max="11776" width="7.28515625" style="168" customWidth="1"/>
    <col min="11777" max="11778" width="7.28515625" style="168" bestFit="1" customWidth="1"/>
    <col min="11779" max="11781" width="7.28515625" style="168" customWidth="1"/>
    <col min="11782" max="11787" width="0" style="168" hidden="1" customWidth="1"/>
    <col min="11788" max="11788" width="10.28515625" style="168" customWidth="1"/>
    <col min="11789" max="12027" width="11.42578125" style="168"/>
    <col min="12028" max="12028" width="18.140625" style="168" customWidth="1"/>
    <col min="12029" max="12030" width="7.28515625" style="168" bestFit="1" customWidth="1"/>
    <col min="12031" max="12032" width="7.28515625" style="168" customWidth="1"/>
    <col min="12033" max="12034" width="7.28515625" style="168" bestFit="1" customWidth="1"/>
    <col min="12035" max="12037" width="7.28515625" style="168" customWidth="1"/>
    <col min="12038" max="12043" width="0" style="168" hidden="1" customWidth="1"/>
    <col min="12044" max="12044" width="10.28515625" style="168" customWidth="1"/>
    <col min="12045" max="12283" width="11.42578125" style="168"/>
    <col min="12284" max="12284" width="18.140625" style="168" customWidth="1"/>
    <col min="12285" max="12286" width="7.28515625" style="168" bestFit="1" customWidth="1"/>
    <col min="12287" max="12288" width="7.28515625" style="168" customWidth="1"/>
    <col min="12289" max="12290" width="7.28515625" style="168" bestFit="1" customWidth="1"/>
    <col min="12291" max="12293" width="7.28515625" style="168" customWidth="1"/>
    <col min="12294" max="12299" width="0" style="168" hidden="1" customWidth="1"/>
    <col min="12300" max="12300" width="10.28515625" style="168" customWidth="1"/>
    <col min="12301" max="12539" width="11.42578125" style="168"/>
    <col min="12540" max="12540" width="18.140625" style="168" customWidth="1"/>
    <col min="12541" max="12542" width="7.28515625" style="168" bestFit="1" customWidth="1"/>
    <col min="12543" max="12544" width="7.28515625" style="168" customWidth="1"/>
    <col min="12545" max="12546" width="7.28515625" style="168" bestFit="1" customWidth="1"/>
    <col min="12547" max="12549" width="7.28515625" style="168" customWidth="1"/>
    <col min="12550" max="12555" width="0" style="168" hidden="1" customWidth="1"/>
    <col min="12556" max="12556" width="10.28515625" style="168" customWidth="1"/>
    <col min="12557" max="12795" width="11.42578125" style="168"/>
    <col min="12796" max="12796" width="18.140625" style="168" customWidth="1"/>
    <col min="12797" max="12798" width="7.28515625" style="168" bestFit="1" customWidth="1"/>
    <col min="12799" max="12800" width="7.28515625" style="168" customWidth="1"/>
    <col min="12801" max="12802" width="7.28515625" style="168" bestFit="1" customWidth="1"/>
    <col min="12803" max="12805" width="7.28515625" style="168" customWidth="1"/>
    <col min="12806" max="12811" width="0" style="168" hidden="1" customWidth="1"/>
    <col min="12812" max="12812" width="10.28515625" style="168" customWidth="1"/>
    <col min="12813" max="13051" width="11.42578125" style="168"/>
    <col min="13052" max="13052" width="18.140625" style="168" customWidth="1"/>
    <col min="13053" max="13054" width="7.28515625" style="168" bestFit="1" customWidth="1"/>
    <col min="13055" max="13056" width="7.28515625" style="168" customWidth="1"/>
    <col min="13057" max="13058" width="7.28515625" style="168" bestFit="1" customWidth="1"/>
    <col min="13059" max="13061" width="7.28515625" style="168" customWidth="1"/>
    <col min="13062" max="13067" width="0" style="168" hidden="1" customWidth="1"/>
    <col min="13068" max="13068" width="10.28515625" style="168" customWidth="1"/>
    <col min="13069" max="13307" width="11.42578125" style="168"/>
    <col min="13308" max="13308" width="18.140625" style="168" customWidth="1"/>
    <col min="13309" max="13310" width="7.28515625" style="168" bestFit="1" customWidth="1"/>
    <col min="13311" max="13312" width="7.28515625" style="168" customWidth="1"/>
    <col min="13313" max="13314" width="7.28515625" style="168" bestFit="1" customWidth="1"/>
    <col min="13315" max="13317" width="7.28515625" style="168" customWidth="1"/>
    <col min="13318" max="13323" width="0" style="168" hidden="1" customWidth="1"/>
    <col min="13324" max="13324" width="10.28515625" style="168" customWidth="1"/>
    <col min="13325" max="13563" width="11.42578125" style="168"/>
    <col min="13564" max="13564" width="18.140625" style="168" customWidth="1"/>
    <col min="13565" max="13566" width="7.28515625" style="168" bestFit="1" customWidth="1"/>
    <col min="13567" max="13568" width="7.28515625" style="168" customWidth="1"/>
    <col min="13569" max="13570" width="7.28515625" style="168" bestFit="1" customWidth="1"/>
    <col min="13571" max="13573" width="7.28515625" style="168" customWidth="1"/>
    <col min="13574" max="13579" width="0" style="168" hidden="1" customWidth="1"/>
    <col min="13580" max="13580" width="10.28515625" style="168" customWidth="1"/>
    <col min="13581" max="13819" width="11.42578125" style="168"/>
    <col min="13820" max="13820" width="18.140625" style="168" customWidth="1"/>
    <col min="13821" max="13822" width="7.28515625" style="168" bestFit="1" customWidth="1"/>
    <col min="13823" max="13824" width="7.28515625" style="168" customWidth="1"/>
    <col min="13825" max="13826" width="7.28515625" style="168" bestFit="1" customWidth="1"/>
    <col min="13827" max="13829" width="7.28515625" style="168" customWidth="1"/>
    <col min="13830" max="13835" width="0" style="168" hidden="1" customWidth="1"/>
    <col min="13836" max="13836" width="10.28515625" style="168" customWidth="1"/>
    <col min="13837" max="14075" width="11.42578125" style="168"/>
    <col min="14076" max="14076" width="18.140625" style="168" customWidth="1"/>
    <col min="14077" max="14078" width="7.28515625" style="168" bestFit="1" customWidth="1"/>
    <col min="14079" max="14080" width="7.28515625" style="168" customWidth="1"/>
    <col min="14081" max="14082" width="7.28515625" style="168" bestFit="1" customWidth="1"/>
    <col min="14083" max="14085" width="7.28515625" style="168" customWidth="1"/>
    <col min="14086" max="14091" width="0" style="168" hidden="1" customWidth="1"/>
    <col min="14092" max="14092" width="10.28515625" style="168" customWidth="1"/>
    <col min="14093" max="14331" width="11.42578125" style="168"/>
    <col min="14332" max="14332" width="18.140625" style="168" customWidth="1"/>
    <col min="14333" max="14334" width="7.28515625" style="168" bestFit="1" customWidth="1"/>
    <col min="14335" max="14336" width="7.28515625" style="168" customWidth="1"/>
    <col min="14337" max="14338" width="7.28515625" style="168" bestFit="1" customWidth="1"/>
    <col min="14339" max="14341" width="7.28515625" style="168" customWidth="1"/>
    <col min="14342" max="14347" width="0" style="168" hidden="1" customWidth="1"/>
    <col min="14348" max="14348" width="10.28515625" style="168" customWidth="1"/>
    <col min="14349" max="14587" width="11.42578125" style="168"/>
    <col min="14588" max="14588" width="18.140625" style="168" customWidth="1"/>
    <col min="14589" max="14590" width="7.28515625" style="168" bestFit="1" customWidth="1"/>
    <col min="14591" max="14592" width="7.28515625" style="168" customWidth="1"/>
    <col min="14593" max="14594" width="7.28515625" style="168" bestFit="1" customWidth="1"/>
    <col min="14595" max="14597" width="7.28515625" style="168" customWidth="1"/>
    <col min="14598" max="14603" width="0" style="168" hidden="1" customWidth="1"/>
    <col min="14604" max="14604" width="10.28515625" style="168" customWidth="1"/>
    <col min="14605" max="14843" width="11.42578125" style="168"/>
    <col min="14844" max="14844" width="18.140625" style="168" customWidth="1"/>
    <col min="14845" max="14846" width="7.28515625" style="168" bestFit="1" customWidth="1"/>
    <col min="14847" max="14848" width="7.28515625" style="168" customWidth="1"/>
    <col min="14849" max="14850" width="7.28515625" style="168" bestFit="1" customWidth="1"/>
    <col min="14851" max="14853" width="7.28515625" style="168" customWidth="1"/>
    <col min="14854" max="14859" width="0" style="168" hidden="1" customWidth="1"/>
    <col min="14860" max="14860" width="10.28515625" style="168" customWidth="1"/>
    <col min="14861" max="15099" width="11.42578125" style="168"/>
    <col min="15100" max="15100" width="18.140625" style="168" customWidth="1"/>
    <col min="15101" max="15102" width="7.28515625" style="168" bestFit="1" customWidth="1"/>
    <col min="15103" max="15104" width="7.28515625" style="168" customWidth="1"/>
    <col min="15105" max="15106" width="7.28515625" style="168" bestFit="1" customWidth="1"/>
    <col min="15107" max="15109" width="7.28515625" style="168" customWidth="1"/>
    <col min="15110" max="15115" width="0" style="168" hidden="1" customWidth="1"/>
    <col min="15116" max="15116" width="10.28515625" style="168" customWidth="1"/>
    <col min="15117" max="15355" width="11.42578125" style="168"/>
    <col min="15356" max="15356" width="18.140625" style="168" customWidth="1"/>
    <col min="15357" max="15358" width="7.28515625" style="168" bestFit="1" customWidth="1"/>
    <col min="15359" max="15360" width="7.28515625" style="168" customWidth="1"/>
    <col min="15361" max="15362" width="7.28515625" style="168" bestFit="1" customWidth="1"/>
    <col min="15363" max="15365" width="7.28515625" style="168" customWidth="1"/>
    <col min="15366" max="15371" width="0" style="168" hidden="1" customWidth="1"/>
    <col min="15372" max="15372" width="10.28515625" style="168" customWidth="1"/>
    <col min="15373" max="15611" width="11.42578125" style="168"/>
    <col min="15612" max="15612" width="18.140625" style="168" customWidth="1"/>
    <col min="15613" max="15614" width="7.28515625" style="168" bestFit="1" customWidth="1"/>
    <col min="15615" max="15616" width="7.28515625" style="168" customWidth="1"/>
    <col min="15617" max="15618" width="7.28515625" style="168" bestFit="1" customWidth="1"/>
    <col min="15619" max="15621" width="7.28515625" style="168" customWidth="1"/>
    <col min="15622" max="15627" width="0" style="168" hidden="1" customWidth="1"/>
    <col min="15628" max="15628" width="10.28515625" style="168" customWidth="1"/>
    <col min="15629" max="15867" width="11.42578125" style="168"/>
    <col min="15868" max="15868" width="18.140625" style="168" customWidth="1"/>
    <col min="15869" max="15870" width="7.28515625" style="168" bestFit="1" customWidth="1"/>
    <col min="15871" max="15872" width="7.28515625" style="168" customWidth="1"/>
    <col min="15873" max="15874" width="7.28515625" style="168" bestFit="1" customWidth="1"/>
    <col min="15875" max="15877" width="7.28515625" style="168" customWidth="1"/>
    <col min="15878" max="15883" width="0" style="168" hidden="1" customWidth="1"/>
    <col min="15884" max="15884" width="10.28515625" style="168" customWidth="1"/>
    <col min="15885" max="16123" width="11.42578125" style="168"/>
    <col min="16124" max="16124" width="18.140625" style="168" customWidth="1"/>
    <col min="16125" max="16126" width="7.28515625" style="168" bestFit="1" customWidth="1"/>
    <col min="16127" max="16128" width="7.28515625" style="168" customWidth="1"/>
    <col min="16129" max="16130" width="7.28515625" style="168" bestFit="1" customWidth="1"/>
    <col min="16131" max="16133" width="7.28515625" style="168" customWidth="1"/>
    <col min="16134" max="16139" width="0" style="168" hidden="1" customWidth="1"/>
    <col min="16140" max="16140" width="10.28515625" style="168" customWidth="1"/>
    <col min="16141" max="16384" width="11.42578125" style="168"/>
  </cols>
  <sheetData>
    <row r="1" spans="1:16" s="169" customFormat="1" x14ac:dyDescent="0.2"/>
    <row r="2" spans="1:16" s="169" customFormat="1" x14ac:dyDescent="0.2">
      <c r="A2" s="196" t="s">
        <v>121</v>
      </c>
    </row>
    <row r="3" spans="1:16" s="169" customFormat="1" x14ac:dyDescent="0.2">
      <c r="A3" s="196" t="s">
        <v>122</v>
      </c>
    </row>
    <row r="4" spans="1:16" s="169" customFormat="1" x14ac:dyDescent="0.2"/>
    <row r="5" spans="1:16" s="169" customFormat="1" ht="12.75" x14ac:dyDescent="0.2">
      <c r="B5" s="418" t="s">
        <v>97</v>
      </c>
      <c r="C5" s="418"/>
      <c r="D5" s="418"/>
      <c r="E5" s="418"/>
      <c r="F5" s="418"/>
      <c r="G5" s="418"/>
      <c r="H5" s="418"/>
      <c r="I5" s="418"/>
      <c r="J5" s="418"/>
      <c r="K5" s="418"/>
      <c r="M5" s="367" t="s">
        <v>593</v>
      </c>
      <c r="O5" s="338"/>
    </row>
    <row r="6" spans="1:16" s="169" customFormat="1" ht="12.75" x14ac:dyDescent="0.2">
      <c r="B6" s="431" t="str">
        <f>'Solicitudes Regiones'!$B$6:$P$6</f>
        <v>Acumuladas de julio de 2008 a noviembre de 2018</v>
      </c>
      <c r="C6" s="431"/>
      <c r="D6" s="431"/>
      <c r="E6" s="431"/>
      <c r="F6" s="431"/>
      <c r="G6" s="431"/>
      <c r="H6" s="431"/>
      <c r="I6" s="431"/>
      <c r="J6" s="431"/>
      <c r="K6" s="431"/>
    </row>
    <row r="7" spans="1:16" x14ac:dyDescent="0.2">
      <c r="B7" s="170"/>
    </row>
    <row r="8" spans="1:16" ht="15" customHeight="1" x14ac:dyDescent="0.2">
      <c r="B8" s="446" t="s">
        <v>73</v>
      </c>
      <c r="C8" s="446"/>
      <c r="D8" s="446"/>
      <c r="E8" s="446"/>
      <c r="F8" s="446"/>
      <c r="G8" s="446"/>
      <c r="H8" s="446"/>
      <c r="I8" s="446"/>
      <c r="J8" s="446"/>
      <c r="K8" s="446"/>
      <c r="L8" s="181"/>
    </row>
    <row r="9" spans="1:16" ht="21" customHeight="1" x14ac:dyDescent="0.2">
      <c r="B9" s="446" t="s">
        <v>74</v>
      </c>
      <c r="C9" s="446" t="s">
        <v>2</v>
      </c>
      <c r="D9" s="446"/>
      <c r="E9" s="446"/>
      <c r="F9" s="446"/>
      <c r="G9" s="446"/>
      <c r="H9" s="446"/>
      <c r="I9" s="446"/>
      <c r="J9" s="446"/>
      <c r="K9" s="446"/>
    </row>
    <row r="10" spans="1:16" ht="24" x14ac:dyDescent="0.2">
      <c r="B10" s="446"/>
      <c r="C10" s="165" t="s">
        <v>75</v>
      </c>
      <c r="D10" s="165" t="s">
        <v>76</v>
      </c>
      <c r="E10" s="165" t="s">
        <v>77</v>
      </c>
      <c r="F10" s="165" t="s">
        <v>78</v>
      </c>
      <c r="G10" s="165" t="s">
        <v>8</v>
      </c>
      <c r="H10" s="165" t="s">
        <v>79</v>
      </c>
      <c r="I10" s="165" t="s">
        <v>80</v>
      </c>
      <c r="J10" s="165" t="s">
        <v>81</v>
      </c>
      <c r="K10" s="166" t="s">
        <v>46</v>
      </c>
    </row>
    <row r="11" spans="1:16" x14ac:dyDescent="0.2">
      <c r="B11" s="160" t="s">
        <v>151</v>
      </c>
      <c r="C11" s="160">
        <v>3632</v>
      </c>
      <c r="D11" s="160">
        <v>2298</v>
      </c>
      <c r="E11" s="160">
        <f>C11+D11</f>
        <v>5930</v>
      </c>
      <c r="F11" s="161">
        <f>E11/$E$18</f>
        <v>0.64477547026204196</v>
      </c>
      <c r="G11" s="160">
        <v>12628</v>
      </c>
      <c r="H11" s="160">
        <v>921</v>
      </c>
      <c r="I11" s="160">
        <f>G11+H11</f>
        <v>13549</v>
      </c>
      <c r="J11" s="161">
        <f>I11/$I$18</f>
        <v>0.71231796435518635</v>
      </c>
      <c r="K11" s="160">
        <f t="shared" ref="K11:K17" si="0">E11+I11</f>
        <v>19479</v>
      </c>
      <c r="P11" s="173"/>
    </row>
    <row r="12" spans="1:16" x14ac:dyDescent="0.2">
      <c r="B12" s="160" t="s">
        <v>90</v>
      </c>
      <c r="C12" s="160">
        <v>1046</v>
      </c>
      <c r="D12" s="160">
        <v>1240</v>
      </c>
      <c r="E12" s="160">
        <f t="shared" ref="E12:E17" si="1">C12+D12</f>
        <v>2286</v>
      </c>
      <c r="F12" s="161">
        <f t="shared" ref="F12:F17" si="2">E12/$E$18</f>
        <v>0.24855931281939764</v>
      </c>
      <c r="G12" s="160">
        <v>3488</v>
      </c>
      <c r="H12" s="160">
        <v>462</v>
      </c>
      <c r="I12" s="160">
        <f t="shared" ref="I12:I17" si="3">G12+H12</f>
        <v>3950</v>
      </c>
      <c r="J12" s="161">
        <f t="shared" ref="J12:J17" si="4">I12/$I$18</f>
        <v>0.20766521213395719</v>
      </c>
      <c r="K12" s="160">
        <f t="shared" si="0"/>
        <v>6236</v>
      </c>
      <c r="P12" s="173"/>
    </row>
    <row r="13" spans="1:16" x14ac:dyDescent="0.2">
      <c r="B13" s="160" t="s">
        <v>91</v>
      </c>
      <c r="C13" s="160">
        <v>253</v>
      </c>
      <c r="D13" s="160">
        <v>155</v>
      </c>
      <c r="E13" s="160">
        <f t="shared" si="1"/>
        <v>408</v>
      </c>
      <c r="F13" s="161">
        <f t="shared" si="2"/>
        <v>4.4362292051756007E-2</v>
      </c>
      <c r="G13" s="160">
        <v>701</v>
      </c>
      <c r="H13" s="160">
        <v>64</v>
      </c>
      <c r="I13" s="160">
        <f t="shared" si="3"/>
        <v>765</v>
      </c>
      <c r="J13" s="161">
        <f t="shared" si="4"/>
        <v>4.0218705641133487E-2</v>
      </c>
      <c r="K13" s="160">
        <f t="shared" si="0"/>
        <v>1173</v>
      </c>
      <c r="P13" s="173"/>
    </row>
    <row r="14" spans="1:16" x14ac:dyDescent="0.2">
      <c r="B14" s="160" t="s">
        <v>92</v>
      </c>
      <c r="C14" s="160">
        <v>54</v>
      </c>
      <c r="D14" s="160">
        <v>40</v>
      </c>
      <c r="E14" s="160">
        <f t="shared" si="1"/>
        <v>94</v>
      </c>
      <c r="F14" s="161">
        <f t="shared" si="2"/>
        <v>1.0220724149179079E-2</v>
      </c>
      <c r="G14" s="160">
        <v>55</v>
      </c>
      <c r="H14" s="160">
        <v>9</v>
      </c>
      <c r="I14" s="160">
        <f t="shared" si="3"/>
        <v>64</v>
      </c>
      <c r="J14" s="161">
        <f t="shared" si="4"/>
        <v>3.3647021712843697E-3</v>
      </c>
      <c r="K14" s="160">
        <f t="shared" si="0"/>
        <v>158</v>
      </c>
      <c r="P14" s="173"/>
    </row>
    <row r="15" spans="1:16" x14ac:dyDescent="0.2">
      <c r="B15" s="160" t="s">
        <v>93</v>
      </c>
      <c r="C15" s="160">
        <v>54</v>
      </c>
      <c r="D15" s="160">
        <v>34</v>
      </c>
      <c r="E15" s="160">
        <f t="shared" si="1"/>
        <v>88</v>
      </c>
      <c r="F15" s="161">
        <f t="shared" si="2"/>
        <v>9.5683375013591396E-3</v>
      </c>
      <c r="G15" s="160">
        <v>33</v>
      </c>
      <c r="H15" s="160">
        <v>5</v>
      </c>
      <c r="I15" s="160">
        <f t="shared" si="3"/>
        <v>38</v>
      </c>
      <c r="J15" s="161">
        <f t="shared" si="4"/>
        <v>1.9977919142000946E-3</v>
      </c>
      <c r="K15" s="160">
        <f t="shared" si="0"/>
        <v>126</v>
      </c>
      <c r="P15" s="173"/>
    </row>
    <row r="16" spans="1:16" x14ac:dyDescent="0.2">
      <c r="B16" s="160" t="s">
        <v>94</v>
      </c>
      <c r="C16" s="160">
        <v>90</v>
      </c>
      <c r="D16" s="160">
        <v>82</v>
      </c>
      <c r="E16" s="160">
        <f t="shared" si="1"/>
        <v>172</v>
      </c>
      <c r="F16" s="161">
        <f t="shared" si="2"/>
        <v>1.8701750570838317E-2</v>
      </c>
      <c r="G16" s="160">
        <v>207</v>
      </c>
      <c r="H16" s="160">
        <v>19</v>
      </c>
      <c r="I16" s="160">
        <f t="shared" si="3"/>
        <v>226</v>
      </c>
      <c r="J16" s="161">
        <f t="shared" si="4"/>
        <v>1.1881604542347931E-2</v>
      </c>
      <c r="K16" s="160">
        <f t="shared" si="0"/>
        <v>398</v>
      </c>
      <c r="P16" s="173"/>
    </row>
    <row r="17" spans="2:16" x14ac:dyDescent="0.2">
      <c r="B17" s="160" t="s">
        <v>95</v>
      </c>
      <c r="C17" s="160">
        <v>146</v>
      </c>
      <c r="D17" s="160">
        <v>73</v>
      </c>
      <c r="E17" s="160">
        <f t="shared" si="1"/>
        <v>219</v>
      </c>
      <c r="F17" s="161">
        <f t="shared" si="2"/>
        <v>2.3812112645427857E-2</v>
      </c>
      <c r="G17" s="160">
        <v>406</v>
      </c>
      <c r="H17" s="160">
        <v>23</v>
      </c>
      <c r="I17" s="160">
        <f t="shared" si="3"/>
        <v>429</v>
      </c>
      <c r="J17" s="161">
        <f t="shared" si="4"/>
        <v>2.255401924189054E-2</v>
      </c>
      <c r="K17" s="160">
        <f t="shared" si="0"/>
        <v>648</v>
      </c>
      <c r="P17" s="173"/>
    </row>
    <row r="18" spans="2:16" x14ac:dyDescent="0.2">
      <c r="B18" s="162" t="s">
        <v>66</v>
      </c>
      <c r="C18" s="160">
        <f>SUM(C11:C17)</f>
        <v>5275</v>
      </c>
      <c r="D18" s="160">
        <f t="shared" ref="D18:H18" si="5">SUM(D11:D17)</f>
        <v>3922</v>
      </c>
      <c r="E18" s="162">
        <f t="shared" ref="E18" si="6">C18+D18</f>
        <v>9197</v>
      </c>
      <c r="F18" s="163">
        <f t="shared" ref="F18" si="7">E18/$E$18</f>
        <v>1</v>
      </c>
      <c r="G18" s="160">
        <f t="shared" si="5"/>
        <v>17518</v>
      </c>
      <c r="H18" s="160">
        <f t="shared" si="5"/>
        <v>1503</v>
      </c>
      <c r="I18" s="162">
        <f t="shared" ref="I18" si="8">G18+H18</f>
        <v>19021</v>
      </c>
      <c r="J18" s="164">
        <f t="shared" ref="J18" si="9">I18/$I$18</f>
        <v>1</v>
      </c>
      <c r="K18" s="162">
        <f>SUM(K11:K17)</f>
        <v>28218</v>
      </c>
      <c r="P18" s="173"/>
    </row>
    <row r="19" spans="2:16" ht="25.5" customHeight="1" x14ac:dyDescent="0.2">
      <c r="B19" s="174" t="s">
        <v>82</v>
      </c>
      <c r="C19" s="199">
        <f>+C18/$K$18</f>
        <v>0.18693741583386492</v>
      </c>
      <c r="D19" s="199">
        <f>+D18/$K$18</f>
        <v>0.13898929761145368</v>
      </c>
      <c r="E19" s="200">
        <f>C19+D19</f>
        <v>0.32592671344531859</v>
      </c>
      <c r="F19" s="200"/>
      <c r="G19" s="199">
        <f>+G18/$K$18</f>
        <v>0.62080941243178112</v>
      </c>
      <c r="H19" s="199">
        <f>+H18/$K$18</f>
        <v>5.3263874122900276E-2</v>
      </c>
      <c r="I19" s="200">
        <f>H19+G19</f>
        <v>0.67407328655468135</v>
      </c>
      <c r="J19" s="200"/>
      <c r="K19" s="200">
        <f>E19+I19</f>
        <v>1</v>
      </c>
    </row>
    <row r="20" spans="2:16" x14ac:dyDescent="0.2">
      <c r="B20" s="177"/>
      <c r="C20" s="201"/>
      <c r="D20" s="201"/>
      <c r="E20" s="202"/>
      <c r="F20" s="202"/>
      <c r="G20" s="201"/>
      <c r="H20" s="201"/>
      <c r="I20" s="202"/>
      <c r="J20" s="202"/>
      <c r="K20" s="202"/>
    </row>
    <row r="21" spans="2:16" ht="12.75" x14ac:dyDescent="0.2">
      <c r="B21" s="418" t="s">
        <v>148</v>
      </c>
      <c r="C21" s="418"/>
      <c r="D21" s="418"/>
      <c r="E21" s="418"/>
      <c r="F21" s="418"/>
      <c r="G21" s="418"/>
      <c r="H21" s="418"/>
      <c r="I21" s="418"/>
      <c r="J21" s="418"/>
      <c r="K21" s="418"/>
    </row>
    <row r="22" spans="2:16" ht="12.75" x14ac:dyDescent="0.2">
      <c r="B22" s="431" t="str">
        <f>'Solicitudes Regiones'!$B$6:$P$6</f>
        <v>Acumuladas de julio de 2008 a noviembre de 2018</v>
      </c>
      <c r="C22" s="431"/>
      <c r="D22" s="431"/>
      <c r="E22" s="431"/>
      <c r="F22" s="431"/>
      <c r="G22" s="431"/>
      <c r="H22" s="431"/>
      <c r="I22" s="431"/>
      <c r="J22" s="431"/>
      <c r="K22" s="431"/>
    </row>
    <row r="23" spans="2:16" x14ac:dyDescent="0.2">
      <c r="B23" s="177"/>
      <c r="C23" s="202"/>
      <c r="D23" s="202"/>
      <c r="E23" s="202"/>
      <c r="F23" s="202"/>
      <c r="G23" s="202"/>
      <c r="H23" s="202"/>
      <c r="I23" s="202"/>
      <c r="J23" s="202"/>
      <c r="K23" s="202"/>
      <c r="L23" s="219"/>
    </row>
    <row r="24" spans="2:16" ht="12.75" customHeight="1" x14ac:dyDescent="0.2">
      <c r="B24" s="446" t="s">
        <v>83</v>
      </c>
      <c r="C24" s="446"/>
      <c r="D24" s="446"/>
      <c r="E24" s="446"/>
      <c r="F24" s="446"/>
      <c r="G24" s="446"/>
      <c r="H24" s="446"/>
      <c r="I24" s="446"/>
      <c r="J24" s="446"/>
      <c r="K24" s="446"/>
      <c r="L24" s="181"/>
    </row>
    <row r="25" spans="2:16" ht="20.25" customHeight="1" x14ac:dyDescent="0.2">
      <c r="B25" s="446" t="s">
        <v>74</v>
      </c>
      <c r="C25" s="446" t="s">
        <v>2</v>
      </c>
      <c r="D25" s="446"/>
      <c r="E25" s="446"/>
      <c r="F25" s="446"/>
      <c r="G25" s="446"/>
      <c r="H25" s="446"/>
      <c r="I25" s="446"/>
      <c r="J25" s="446"/>
      <c r="K25" s="446"/>
    </row>
    <row r="26" spans="2:16" ht="21" customHeight="1" x14ac:dyDescent="0.2">
      <c r="B26" s="446"/>
      <c r="C26" s="165" t="s">
        <v>75</v>
      </c>
      <c r="D26" s="165" t="s">
        <v>76</v>
      </c>
      <c r="E26" s="165" t="s">
        <v>77</v>
      </c>
      <c r="F26" s="165" t="s">
        <v>78</v>
      </c>
      <c r="G26" s="165" t="s">
        <v>8</v>
      </c>
      <c r="H26" s="165" t="s">
        <v>79</v>
      </c>
      <c r="I26" s="165" t="s">
        <v>80</v>
      </c>
      <c r="J26" s="165" t="s">
        <v>81</v>
      </c>
      <c r="K26" s="166" t="s">
        <v>46</v>
      </c>
    </row>
    <row r="27" spans="2:16" x14ac:dyDescent="0.2">
      <c r="B27" s="160" t="s">
        <v>151</v>
      </c>
      <c r="C27" s="160">
        <v>3093</v>
      </c>
      <c r="D27" s="160">
        <v>1383</v>
      </c>
      <c r="E27" s="160">
        <f>C27+D27</f>
        <v>4476</v>
      </c>
      <c r="F27" s="161">
        <f>E27/$E$18</f>
        <v>0.48668043927367621</v>
      </c>
      <c r="G27" s="160">
        <v>9914</v>
      </c>
      <c r="H27" s="160">
        <v>688</v>
      </c>
      <c r="I27" s="160">
        <f>G27+H27</f>
        <v>10602</v>
      </c>
      <c r="J27" s="161">
        <f>I27/$I$18</f>
        <v>0.55738394406182645</v>
      </c>
      <c r="K27" s="160">
        <f t="shared" ref="K27:K33" si="10">E27+I27</f>
        <v>15078</v>
      </c>
    </row>
    <row r="28" spans="2:16" x14ac:dyDescent="0.2">
      <c r="B28" s="160" t="s">
        <v>90</v>
      </c>
      <c r="C28" s="160">
        <v>951</v>
      </c>
      <c r="D28" s="160">
        <v>759</v>
      </c>
      <c r="E28" s="160">
        <f t="shared" ref="E28:E33" si="11">C28+D28</f>
        <v>1710</v>
      </c>
      <c r="F28" s="161">
        <f t="shared" ref="F28:F33" si="12">E28/$E$18</f>
        <v>0.18593019462868327</v>
      </c>
      <c r="G28" s="160">
        <v>2914</v>
      </c>
      <c r="H28" s="160">
        <v>361</v>
      </c>
      <c r="I28" s="160">
        <f t="shared" ref="I28:I33" si="13">G28+H28</f>
        <v>3275</v>
      </c>
      <c r="J28" s="161">
        <f t="shared" ref="J28:J33" si="14">I28/$I$18</f>
        <v>0.17217811892119236</v>
      </c>
      <c r="K28" s="160">
        <f t="shared" si="10"/>
        <v>4985</v>
      </c>
    </row>
    <row r="29" spans="2:16" x14ac:dyDescent="0.2">
      <c r="B29" s="160" t="s">
        <v>91</v>
      </c>
      <c r="C29" s="160">
        <v>210</v>
      </c>
      <c r="D29" s="160">
        <v>77</v>
      </c>
      <c r="E29" s="160">
        <f t="shared" si="11"/>
        <v>287</v>
      </c>
      <c r="F29" s="161">
        <f t="shared" si="12"/>
        <v>3.1205827987387191E-2</v>
      </c>
      <c r="G29" s="160">
        <v>554</v>
      </c>
      <c r="H29" s="160">
        <v>49</v>
      </c>
      <c r="I29" s="160">
        <f t="shared" si="13"/>
        <v>603</v>
      </c>
      <c r="J29" s="161">
        <f t="shared" si="14"/>
        <v>3.1701803270069925E-2</v>
      </c>
      <c r="K29" s="160">
        <f t="shared" si="10"/>
        <v>890</v>
      </c>
    </row>
    <row r="30" spans="2:16" x14ac:dyDescent="0.2">
      <c r="B30" s="160" t="s">
        <v>92</v>
      </c>
      <c r="C30" s="160">
        <v>53</v>
      </c>
      <c r="D30" s="160">
        <v>21</v>
      </c>
      <c r="E30" s="160">
        <f t="shared" si="11"/>
        <v>74</v>
      </c>
      <c r="F30" s="161">
        <f t="shared" si="12"/>
        <v>8.0461019897792758E-3</v>
      </c>
      <c r="G30" s="160">
        <v>51</v>
      </c>
      <c r="H30" s="160">
        <v>7</v>
      </c>
      <c r="I30" s="160">
        <f t="shared" si="13"/>
        <v>58</v>
      </c>
      <c r="J30" s="161">
        <f t="shared" si="14"/>
        <v>3.0492613427264602E-3</v>
      </c>
      <c r="K30" s="160">
        <f t="shared" si="10"/>
        <v>132</v>
      </c>
    </row>
    <row r="31" spans="2:16" x14ac:dyDescent="0.2">
      <c r="B31" s="160" t="s">
        <v>93</v>
      </c>
      <c r="C31" s="160">
        <v>50</v>
      </c>
      <c r="D31" s="160">
        <v>16</v>
      </c>
      <c r="E31" s="160">
        <f t="shared" si="11"/>
        <v>66</v>
      </c>
      <c r="F31" s="161">
        <f t="shared" si="12"/>
        <v>7.1762531260193543E-3</v>
      </c>
      <c r="G31" s="160">
        <v>29</v>
      </c>
      <c r="H31" s="160">
        <v>5</v>
      </c>
      <c r="I31" s="160">
        <f t="shared" si="13"/>
        <v>34</v>
      </c>
      <c r="J31" s="161">
        <f t="shared" si="14"/>
        <v>1.7874980284948215E-3</v>
      </c>
      <c r="K31" s="160">
        <f t="shared" si="10"/>
        <v>100</v>
      </c>
    </row>
    <row r="32" spans="2:16" x14ac:dyDescent="0.2">
      <c r="B32" s="160" t="s">
        <v>94</v>
      </c>
      <c r="C32" s="160">
        <v>82</v>
      </c>
      <c r="D32" s="160">
        <v>42</v>
      </c>
      <c r="E32" s="160">
        <f t="shared" si="11"/>
        <v>124</v>
      </c>
      <c r="F32" s="161">
        <f t="shared" si="12"/>
        <v>1.3482657388278786E-2</v>
      </c>
      <c r="G32" s="160">
        <v>168</v>
      </c>
      <c r="H32" s="160">
        <v>19</v>
      </c>
      <c r="I32" s="160">
        <f t="shared" si="13"/>
        <v>187</v>
      </c>
      <c r="J32" s="161">
        <f t="shared" si="14"/>
        <v>9.831239156721518E-3</v>
      </c>
      <c r="K32" s="160">
        <f t="shared" si="10"/>
        <v>311</v>
      </c>
    </row>
    <row r="33" spans="2:12" x14ac:dyDescent="0.2">
      <c r="B33" s="160" t="s">
        <v>95</v>
      </c>
      <c r="C33" s="160">
        <v>125</v>
      </c>
      <c r="D33" s="160">
        <v>43</v>
      </c>
      <c r="E33" s="160">
        <f t="shared" si="11"/>
        <v>168</v>
      </c>
      <c r="F33" s="161">
        <f t="shared" si="12"/>
        <v>1.8266826138958355E-2</v>
      </c>
      <c r="G33" s="160">
        <v>328</v>
      </c>
      <c r="H33" s="160">
        <v>16</v>
      </c>
      <c r="I33" s="160">
        <f t="shared" si="13"/>
        <v>344</v>
      </c>
      <c r="J33" s="161">
        <f t="shared" si="14"/>
        <v>1.808527417065349E-2</v>
      </c>
      <c r="K33" s="160">
        <f t="shared" si="10"/>
        <v>512</v>
      </c>
    </row>
    <row r="34" spans="2:12" x14ac:dyDescent="0.2">
      <c r="B34" s="162" t="s">
        <v>66</v>
      </c>
      <c r="C34" s="160">
        <f>SUM(C27:C33)</f>
        <v>4564</v>
      </c>
      <c r="D34" s="160">
        <f>SUM(D27:D33)</f>
        <v>2341</v>
      </c>
      <c r="E34" s="162">
        <f t="shared" ref="E34" si="15">C34+D34</f>
        <v>6905</v>
      </c>
      <c r="F34" s="163">
        <f t="shared" ref="F34" si="16">E34/$E$18</f>
        <v>0.75078830053278245</v>
      </c>
      <c r="G34" s="160">
        <f>SUM(G27:G33)</f>
        <v>13958</v>
      </c>
      <c r="H34" s="160">
        <f>SUM(H27:H33)</f>
        <v>1145</v>
      </c>
      <c r="I34" s="162">
        <f t="shared" ref="I34" si="17">G34+H34</f>
        <v>15103</v>
      </c>
      <c r="J34" s="164">
        <f t="shared" ref="J34" si="18">I34/$I$18</f>
        <v>0.79401713895168502</v>
      </c>
      <c r="K34" s="162">
        <f>SUM(K27:K33)</f>
        <v>22008</v>
      </c>
    </row>
    <row r="35" spans="2:12" ht="24" x14ac:dyDescent="0.2">
      <c r="B35" s="174" t="s">
        <v>84</v>
      </c>
      <c r="C35" s="199">
        <f>+C34/$K$34</f>
        <v>0.20737913486005088</v>
      </c>
      <c r="D35" s="199">
        <f>+D34/$K$34</f>
        <v>0.10637041075972374</v>
      </c>
      <c r="E35" s="200">
        <f>C35+D35</f>
        <v>0.31374954561977464</v>
      </c>
      <c r="F35" s="200"/>
      <c r="G35" s="199">
        <f>+G34/$K$34</f>
        <v>0.63422391857506366</v>
      </c>
      <c r="H35" s="199">
        <f>+H34/$K$34</f>
        <v>5.2026535805161762E-2</v>
      </c>
      <c r="I35" s="200">
        <f>G35+H35</f>
        <v>0.68625045438022547</v>
      </c>
      <c r="J35" s="200"/>
      <c r="K35" s="200">
        <f>E35+I35</f>
        <v>1</v>
      </c>
    </row>
    <row r="36" spans="2:12" x14ac:dyDescent="0.2">
      <c r="B36" s="167" t="s">
        <v>149</v>
      </c>
      <c r="L36" s="169"/>
    </row>
    <row r="37" spans="2:12" x14ac:dyDescent="0.2">
      <c r="B37" s="167" t="s">
        <v>150</v>
      </c>
      <c r="C37" s="220"/>
      <c r="D37" s="220"/>
      <c r="E37" s="220"/>
      <c r="F37" s="220"/>
      <c r="G37" s="220"/>
      <c r="H37" s="220"/>
      <c r="I37" s="220"/>
      <c r="J37" s="220"/>
      <c r="K37" s="220"/>
    </row>
    <row r="38" spans="2:12" x14ac:dyDescent="0.2">
      <c r="C38" s="221"/>
      <c r="D38" s="220"/>
      <c r="E38" s="220"/>
      <c r="F38" s="220"/>
      <c r="G38" s="220"/>
      <c r="H38" s="220"/>
      <c r="I38" s="220"/>
      <c r="J38" s="220"/>
      <c r="K38" s="220"/>
      <c r="L38" s="222"/>
    </row>
    <row r="39" spans="2:12" ht="15.75" customHeight="1" x14ac:dyDescent="0.2">
      <c r="D39" s="223"/>
      <c r="E39" s="223"/>
      <c r="F39" s="223"/>
      <c r="G39" s="223"/>
      <c r="H39" s="223"/>
      <c r="I39" s="223"/>
      <c r="J39" s="223"/>
      <c r="K39" s="223"/>
      <c r="L39" s="222"/>
    </row>
    <row r="40" spans="2:12" ht="15.75" customHeight="1" x14ac:dyDescent="0.2">
      <c r="C40" s="224"/>
      <c r="D40" s="224"/>
      <c r="E40" s="224"/>
      <c r="F40" s="224"/>
      <c r="G40" s="224"/>
      <c r="H40" s="224"/>
      <c r="I40" s="224"/>
      <c r="J40" s="224"/>
      <c r="K40" s="224"/>
      <c r="L40" s="223"/>
    </row>
    <row r="41" spans="2:12" x14ac:dyDescent="0.2">
      <c r="L41" s="169"/>
    </row>
  </sheetData>
  <mergeCells count="10">
    <mergeCell ref="B6:K6"/>
    <mergeCell ref="B5:K5"/>
    <mergeCell ref="B21:K21"/>
    <mergeCell ref="B22:K22"/>
    <mergeCell ref="B25:B26"/>
    <mergeCell ref="C25:K25"/>
    <mergeCell ref="B8:K8"/>
    <mergeCell ref="B9:B10"/>
    <mergeCell ref="C9:K9"/>
    <mergeCell ref="B24:K24"/>
  </mergeCells>
  <hyperlinks>
    <hyperlink ref="M5" location="'Índice Pensiones Solidarias'!A1" display="Volver Sistema de Pensiones Solidadias" xr:uid="{00000000-0004-0000-0800-000000000000}"/>
  </hyperlinks>
  <pageMargins left="0.74803149606299213" right="0.74803149606299213" top="0.98425196850393704" bottom="0.98425196850393704" header="0" footer="0"/>
  <pageSetup scale="84" orientation="portrait" r:id="rId1"/>
  <headerFooter alignWithMargins="0"/>
  <ignoredErrors>
    <ignoredError sqref="K18 K34"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7">
    <pageSetUpPr fitToPage="1"/>
  </sheetPr>
  <dimension ref="A1:Q131"/>
  <sheetViews>
    <sheetView showGridLines="0" topLeftCell="A4" zoomScaleNormal="100" workbookViewId="0"/>
  </sheetViews>
  <sheetFormatPr baseColWidth="10" defaultRowHeight="12" x14ac:dyDescent="0.2"/>
  <cols>
    <col min="1" max="1" width="6" style="168" customWidth="1"/>
    <col min="2" max="2" width="18.140625" style="168" customWidth="1"/>
    <col min="3" max="4" width="8.5703125" style="168" bestFit="1" customWidth="1"/>
    <col min="5" max="6" width="8.5703125" style="168" customWidth="1"/>
    <col min="7" max="7" width="9.42578125" style="168" bestFit="1" customWidth="1"/>
    <col min="8" max="8" width="7.5703125" style="168" bestFit="1" customWidth="1"/>
    <col min="9" max="10" width="7.5703125" style="168" customWidth="1"/>
    <col min="11" max="11" width="9.7109375" style="168" customWidth="1"/>
    <col min="12" max="12" width="11.140625" style="168" customWidth="1"/>
    <col min="13" max="14" width="11.42578125" style="168"/>
    <col min="15" max="15" width="12.42578125" style="168" bestFit="1" customWidth="1"/>
    <col min="16" max="251" width="11.42578125" style="168"/>
    <col min="252" max="252" width="18.140625" style="168" customWidth="1"/>
    <col min="253" max="254" width="8.5703125" style="168" bestFit="1" customWidth="1"/>
    <col min="255" max="256" width="8.5703125" style="168" customWidth="1"/>
    <col min="257" max="257" width="9.42578125" style="168" bestFit="1" customWidth="1"/>
    <col min="258" max="258" width="7.5703125" style="168" bestFit="1" customWidth="1"/>
    <col min="259" max="260" width="7.5703125" style="168" customWidth="1"/>
    <col min="261" max="261" width="9.7109375" style="168" customWidth="1"/>
    <col min="262" max="267" width="0" style="168" hidden="1" customWidth="1"/>
    <col min="268" max="268" width="11.140625" style="168" customWidth="1"/>
    <col min="269" max="270" width="11.42578125" style="168"/>
    <col min="271" max="271" width="12.42578125" style="168" bestFit="1" customWidth="1"/>
    <col min="272" max="507" width="11.42578125" style="168"/>
    <col min="508" max="508" width="18.140625" style="168" customWidth="1"/>
    <col min="509" max="510" width="8.5703125" style="168" bestFit="1" customWidth="1"/>
    <col min="511" max="512" width="8.5703125" style="168" customWidth="1"/>
    <col min="513" max="513" width="9.42578125" style="168" bestFit="1" customWidth="1"/>
    <col min="514" max="514" width="7.5703125" style="168" bestFit="1" customWidth="1"/>
    <col min="515" max="516" width="7.5703125" style="168" customWidth="1"/>
    <col min="517" max="517" width="9.7109375" style="168" customWidth="1"/>
    <col min="518" max="523" width="0" style="168" hidden="1" customWidth="1"/>
    <col min="524" max="524" width="11.140625" style="168" customWidth="1"/>
    <col min="525" max="526" width="11.42578125" style="168"/>
    <col min="527" max="527" width="12.42578125" style="168" bestFit="1" customWidth="1"/>
    <col min="528" max="763" width="11.42578125" style="168"/>
    <col min="764" max="764" width="18.140625" style="168" customWidth="1"/>
    <col min="765" max="766" width="8.5703125" style="168" bestFit="1" customWidth="1"/>
    <col min="767" max="768" width="8.5703125" style="168" customWidth="1"/>
    <col min="769" max="769" width="9.42578125" style="168" bestFit="1" customWidth="1"/>
    <col min="770" max="770" width="7.5703125" style="168" bestFit="1" customWidth="1"/>
    <col min="771" max="772" width="7.5703125" style="168" customWidth="1"/>
    <col min="773" max="773" width="9.7109375" style="168" customWidth="1"/>
    <col min="774" max="779" width="0" style="168" hidden="1" customWidth="1"/>
    <col min="780" max="780" width="11.140625" style="168" customWidth="1"/>
    <col min="781" max="782" width="11.42578125" style="168"/>
    <col min="783" max="783" width="12.42578125" style="168" bestFit="1" customWidth="1"/>
    <col min="784" max="1019" width="11.42578125" style="168"/>
    <col min="1020" max="1020" width="18.140625" style="168" customWidth="1"/>
    <col min="1021" max="1022" width="8.5703125" style="168" bestFit="1" customWidth="1"/>
    <col min="1023" max="1024" width="8.5703125" style="168" customWidth="1"/>
    <col min="1025" max="1025" width="9.42578125" style="168" bestFit="1" customWidth="1"/>
    <col min="1026" max="1026" width="7.5703125" style="168" bestFit="1" customWidth="1"/>
    <col min="1027" max="1028" width="7.5703125" style="168" customWidth="1"/>
    <col min="1029" max="1029" width="9.7109375" style="168" customWidth="1"/>
    <col min="1030" max="1035" width="0" style="168" hidden="1" customWidth="1"/>
    <col min="1036" max="1036" width="11.140625" style="168" customWidth="1"/>
    <col min="1037" max="1038" width="11.42578125" style="168"/>
    <col min="1039" max="1039" width="12.42578125" style="168" bestFit="1" customWidth="1"/>
    <col min="1040" max="1275" width="11.42578125" style="168"/>
    <col min="1276" max="1276" width="18.140625" style="168" customWidth="1"/>
    <col min="1277" max="1278" width="8.5703125" style="168" bestFit="1" customWidth="1"/>
    <col min="1279" max="1280" width="8.5703125" style="168" customWidth="1"/>
    <col min="1281" max="1281" width="9.42578125" style="168" bestFit="1" customWidth="1"/>
    <col min="1282" max="1282" width="7.5703125" style="168" bestFit="1" customWidth="1"/>
    <col min="1283" max="1284" width="7.5703125" style="168" customWidth="1"/>
    <col min="1285" max="1285" width="9.7109375" style="168" customWidth="1"/>
    <col min="1286" max="1291" width="0" style="168" hidden="1" customWidth="1"/>
    <col min="1292" max="1292" width="11.140625" style="168" customWidth="1"/>
    <col min="1293" max="1294" width="11.42578125" style="168"/>
    <col min="1295" max="1295" width="12.42578125" style="168" bestFit="1" customWidth="1"/>
    <col min="1296" max="1531" width="11.42578125" style="168"/>
    <col min="1532" max="1532" width="18.140625" style="168" customWidth="1"/>
    <col min="1533" max="1534" width="8.5703125" style="168" bestFit="1" customWidth="1"/>
    <col min="1535" max="1536" width="8.5703125" style="168" customWidth="1"/>
    <col min="1537" max="1537" width="9.42578125" style="168" bestFit="1" customWidth="1"/>
    <col min="1538" max="1538" width="7.5703125" style="168" bestFit="1" customWidth="1"/>
    <col min="1539" max="1540" width="7.5703125" style="168" customWidth="1"/>
    <col min="1541" max="1541" width="9.7109375" style="168" customWidth="1"/>
    <col min="1542" max="1547" width="0" style="168" hidden="1" customWidth="1"/>
    <col min="1548" max="1548" width="11.140625" style="168" customWidth="1"/>
    <col min="1549" max="1550" width="11.42578125" style="168"/>
    <col min="1551" max="1551" width="12.42578125" style="168" bestFit="1" customWidth="1"/>
    <col min="1552" max="1787" width="11.42578125" style="168"/>
    <col min="1788" max="1788" width="18.140625" style="168" customWidth="1"/>
    <col min="1789" max="1790" width="8.5703125" style="168" bestFit="1" customWidth="1"/>
    <col min="1791" max="1792" width="8.5703125" style="168" customWidth="1"/>
    <col min="1793" max="1793" width="9.42578125" style="168" bestFit="1" customWidth="1"/>
    <col min="1794" max="1794" width="7.5703125" style="168" bestFit="1" customWidth="1"/>
    <col min="1795" max="1796" width="7.5703125" style="168" customWidth="1"/>
    <col min="1797" max="1797" width="9.7109375" style="168" customWidth="1"/>
    <col min="1798" max="1803" width="0" style="168" hidden="1" customWidth="1"/>
    <col min="1804" max="1804" width="11.140625" style="168" customWidth="1"/>
    <col min="1805" max="1806" width="11.42578125" style="168"/>
    <col min="1807" max="1807" width="12.42578125" style="168" bestFit="1" customWidth="1"/>
    <col min="1808" max="2043" width="11.42578125" style="168"/>
    <col min="2044" max="2044" width="18.140625" style="168" customWidth="1"/>
    <col min="2045" max="2046" width="8.5703125" style="168" bestFit="1" customWidth="1"/>
    <col min="2047" max="2048" width="8.5703125" style="168" customWidth="1"/>
    <col min="2049" max="2049" width="9.42578125" style="168" bestFit="1" customWidth="1"/>
    <col min="2050" max="2050" width="7.5703125" style="168" bestFit="1" customWidth="1"/>
    <col min="2051" max="2052" width="7.5703125" style="168" customWidth="1"/>
    <col min="2053" max="2053" width="9.7109375" style="168" customWidth="1"/>
    <col min="2054" max="2059" width="0" style="168" hidden="1" customWidth="1"/>
    <col min="2060" max="2060" width="11.140625" style="168" customWidth="1"/>
    <col min="2061" max="2062" width="11.42578125" style="168"/>
    <col min="2063" max="2063" width="12.42578125" style="168" bestFit="1" customWidth="1"/>
    <col min="2064" max="2299" width="11.42578125" style="168"/>
    <col min="2300" max="2300" width="18.140625" style="168" customWidth="1"/>
    <col min="2301" max="2302" width="8.5703125" style="168" bestFit="1" customWidth="1"/>
    <col min="2303" max="2304" width="8.5703125" style="168" customWidth="1"/>
    <col min="2305" max="2305" width="9.42578125" style="168" bestFit="1" customWidth="1"/>
    <col min="2306" max="2306" width="7.5703125" style="168" bestFit="1" customWidth="1"/>
    <col min="2307" max="2308" width="7.5703125" style="168" customWidth="1"/>
    <col min="2309" max="2309" width="9.7109375" style="168" customWidth="1"/>
    <col min="2310" max="2315" width="0" style="168" hidden="1" customWidth="1"/>
    <col min="2316" max="2316" width="11.140625" style="168" customWidth="1"/>
    <col min="2317" max="2318" width="11.42578125" style="168"/>
    <col min="2319" max="2319" width="12.42578125" style="168" bestFit="1" customWidth="1"/>
    <col min="2320" max="2555" width="11.42578125" style="168"/>
    <col min="2556" max="2556" width="18.140625" style="168" customWidth="1"/>
    <col min="2557" max="2558" width="8.5703125" style="168" bestFit="1" customWidth="1"/>
    <col min="2559" max="2560" width="8.5703125" style="168" customWidth="1"/>
    <col min="2561" max="2561" width="9.42578125" style="168" bestFit="1" customWidth="1"/>
    <col min="2562" max="2562" width="7.5703125" style="168" bestFit="1" customWidth="1"/>
    <col min="2563" max="2564" width="7.5703125" style="168" customWidth="1"/>
    <col min="2565" max="2565" width="9.7109375" style="168" customWidth="1"/>
    <col min="2566" max="2571" width="0" style="168" hidden="1" customWidth="1"/>
    <col min="2572" max="2572" width="11.140625" style="168" customWidth="1"/>
    <col min="2573" max="2574" width="11.42578125" style="168"/>
    <col min="2575" max="2575" width="12.42578125" style="168" bestFit="1" customWidth="1"/>
    <col min="2576" max="2811" width="11.42578125" style="168"/>
    <col min="2812" max="2812" width="18.140625" style="168" customWidth="1"/>
    <col min="2813" max="2814" width="8.5703125" style="168" bestFit="1" customWidth="1"/>
    <col min="2815" max="2816" width="8.5703125" style="168" customWidth="1"/>
    <col min="2817" max="2817" width="9.42578125" style="168" bestFit="1" customWidth="1"/>
    <col min="2818" max="2818" width="7.5703125" style="168" bestFit="1" customWidth="1"/>
    <col min="2819" max="2820" width="7.5703125" style="168" customWidth="1"/>
    <col min="2821" max="2821" width="9.7109375" style="168" customWidth="1"/>
    <col min="2822" max="2827" width="0" style="168" hidden="1" customWidth="1"/>
    <col min="2828" max="2828" width="11.140625" style="168" customWidth="1"/>
    <col min="2829" max="2830" width="11.42578125" style="168"/>
    <col min="2831" max="2831" width="12.42578125" style="168" bestFit="1" customWidth="1"/>
    <col min="2832" max="3067" width="11.42578125" style="168"/>
    <col min="3068" max="3068" width="18.140625" style="168" customWidth="1"/>
    <col min="3069" max="3070" width="8.5703125" style="168" bestFit="1" customWidth="1"/>
    <col min="3071" max="3072" width="8.5703125" style="168" customWidth="1"/>
    <col min="3073" max="3073" width="9.42578125" style="168" bestFit="1" customWidth="1"/>
    <col min="3074" max="3074" width="7.5703125" style="168" bestFit="1" customWidth="1"/>
    <col min="3075" max="3076" width="7.5703125" style="168" customWidth="1"/>
    <col min="3077" max="3077" width="9.7109375" style="168" customWidth="1"/>
    <col min="3078" max="3083" width="0" style="168" hidden="1" customWidth="1"/>
    <col min="3084" max="3084" width="11.140625" style="168" customWidth="1"/>
    <col min="3085" max="3086" width="11.42578125" style="168"/>
    <col min="3087" max="3087" width="12.42578125" style="168" bestFit="1" customWidth="1"/>
    <col min="3088" max="3323" width="11.42578125" style="168"/>
    <col min="3324" max="3324" width="18.140625" style="168" customWidth="1"/>
    <col min="3325" max="3326" width="8.5703125" style="168" bestFit="1" customWidth="1"/>
    <col min="3327" max="3328" width="8.5703125" style="168" customWidth="1"/>
    <col min="3329" max="3329" width="9.42578125" style="168" bestFit="1" customWidth="1"/>
    <col min="3330" max="3330" width="7.5703125" style="168" bestFit="1" customWidth="1"/>
    <col min="3331" max="3332" width="7.5703125" style="168" customWidth="1"/>
    <col min="3333" max="3333" width="9.7109375" style="168" customWidth="1"/>
    <col min="3334" max="3339" width="0" style="168" hidden="1" customWidth="1"/>
    <col min="3340" max="3340" width="11.140625" style="168" customWidth="1"/>
    <col min="3341" max="3342" width="11.42578125" style="168"/>
    <col min="3343" max="3343" width="12.42578125" style="168" bestFit="1" customWidth="1"/>
    <col min="3344" max="3579" width="11.42578125" style="168"/>
    <col min="3580" max="3580" width="18.140625" style="168" customWidth="1"/>
    <col min="3581" max="3582" width="8.5703125" style="168" bestFit="1" customWidth="1"/>
    <col min="3583" max="3584" width="8.5703125" style="168" customWidth="1"/>
    <col min="3585" max="3585" width="9.42578125" style="168" bestFit="1" customWidth="1"/>
    <col min="3586" max="3586" width="7.5703125" style="168" bestFit="1" customWidth="1"/>
    <col min="3587" max="3588" width="7.5703125" style="168" customWidth="1"/>
    <col min="3589" max="3589" width="9.7109375" style="168" customWidth="1"/>
    <col min="3590" max="3595" width="0" style="168" hidden="1" customWidth="1"/>
    <col min="3596" max="3596" width="11.140625" style="168" customWidth="1"/>
    <col min="3597" max="3598" width="11.42578125" style="168"/>
    <col min="3599" max="3599" width="12.42578125" style="168" bestFit="1" customWidth="1"/>
    <col min="3600" max="3835" width="11.42578125" style="168"/>
    <col min="3836" max="3836" width="18.140625" style="168" customWidth="1"/>
    <col min="3837" max="3838" width="8.5703125" style="168" bestFit="1" customWidth="1"/>
    <col min="3839" max="3840" width="8.5703125" style="168" customWidth="1"/>
    <col min="3841" max="3841" width="9.42578125" style="168" bestFit="1" customWidth="1"/>
    <col min="3842" max="3842" width="7.5703125" style="168" bestFit="1" customWidth="1"/>
    <col min="3843" max="3844" width="7.5703125" style="168" customWidth="1"/>
    <col min="3845" max="3845" width="9.7109375" style="168" customWidth="1"/>
    <col min="3846" max="3851" width="0" style="168" hidden="1" customWidth="1"/>
    <col min="3852" max="3852" width="11.140625" style="168" customWidth="1"/>
    <col min="3853" max="3854" width="11.42578125" style="168"/>
    <col min="3855" max="3855" width="12.42578125" style="168" bestFit="1" customWidth="1"/>
    <col min="3856" max="4091" width="11.42578125" style="168"/>
    <col min="4092" max="4092" width="18.140625" style="168" customWidth="1"/>
    <col min="4093" max="4094" width="8.5703125" style="168" bestFit="1" customWidth="1"/>
    <col min="4095" max="4096" width="8.5703125" style="168" customWidth="1"/>
    <col min="4097" max="4097" width="9.42578125" style="168" bestFit="1" customWidth="1"/>
    <col min="4098" max="4098" width="7.5703125" style="168" bestFit="1" customWidth="1"/>
    <col min="4099" max="4100" width="7.5703125" style="168" customWidth="1"/>
    <col min="4101" max="4101" width="9.7109375" style="168" customWidth="1"/>
    <col min="4102" max="4107" width="0" style="168" hidden="1" customWidth="1"/>
    <col min="4108" max="4108" width="11.140625" style="168" customWidth="1"/>
    <col min="4109" max="4110" width="11.42578125" style="168"/>
    <col min="4111" max="4111" width="12.42578125" style="168" bestFit="1" customWidth="1"/>
    <col min="4112" max="4347" width="11.42578125" style="168"/>
    <col min="4348" max="4348" width="18.140625" style="168" customWidth="1"/>
    <col min="4349" max="4350" width="8.5703125" style="168" bestFit="1" customWidth="1"/>
    <col min="4351" max="4352" width="8.5703125" style="168" customWidth="1"/>
    <col min="4353" max="4353" width="9.42578125" style="168" bestFit="1" customWidth="1"/>
    <col min="4354" max="4354" width="7.5703125" style="168" bestFit="1" customWidth="1"/>
    <col min="4355" max="4356" width="7.5703125" style="168" customWidth="1"/>
    <col min="4357" max="4357" width="9.7109375" style="168" customWidth="1"/>
    <col min="4358" max="4363" width="0" style="168" hidden="1" customWidth="1"/>
    <col min="4364" max="4364" width="11.140625" style="168" customWidth="1"/>
    <col min="4365" max="4366" width="11.42578125" style="168"/>
    <col min="4367" max="4367" width="12.42578125" style="168" bestFit="1" customWidth="1"/>
    <col min="4368" max="4603" width="11.42578125" style="168"/>
    <col min="4604" max="4604" width="18.140625" style="168" customWidth="1"/>
    <col min="4605" max="4606" width="8.5703125" style="168" bestFit="1" customWidth="1"/>
    <col min="4607" max="4608" width="8.5703125" style="168" customWidth="1"/>
    <col min="4609" max="4609" width="9.42578125" style="168" bestFit="1" customWidth="1"/>
    <col min="4610" max="4610" width="7.5703125" style="168" bestFit="1" customWidth="1"/>
    <col min="4611" max="4612" width="7.5703125" style="168" customWidth="1"/>
    <col min="4613" max="4613" width="9.7109375" style="168" customWidth="1"/>
    <col min="4614" max="4619" width="0" style="168" hidden="1" customWidth="1"/>
    <col min="4620" max="4620" width="11.140625" style="168" customWidth="1"/>
    <col min="4621" max="4622" width="11.42578125" style="168"/>
    <col min="4623" max="4623" width="12.42578125" style="168" bestFit="1" customWidth="1"/>
    <col min="4624" max="4859" width="11.42578125" style="168"/>
    <col min="4860" max="4860" width="18.140625" style="168" customWidth="1"/>
    <col min="4861" max="4862" width="8.5703125" style="168" bestFit="1" customWidth="1"/>
    <col min="4863" max="4864" width="8.5703125" style="168" customWidth="1"/>
    <col min="4865" max="4865" width="9.42578125" style="168" bestFit="1" customWidth="1"/>
    <col min="4866" max="4866" width="7.5703125" style="168" bestFit="1" customWidth="1"/>
    <col min="4867" max="4868" width="7.5703125" style="168" customWidth="1"/>
    <col min="4869" max="4869" width="9.7109375" style="168" customWidth="1"/>
    <col min="4870" max="4875" width="0" style="168" hidden="1" customWidth="1"/>
    <col min="4876" max="4876" width="11.140625" style="168" customWidth="1"/>
    <col min="4877" max="4878" width="11.42578125" style="168"/>
    <col min="4879" max="4879" width="12.42578125" style="168" bestFit="1" customWidth="1"/>
    <col min="4880" max="5115" width="11.42578125" style="168"/>
    <col min="5116" max="5116" width="18.140625" style="168" customWidth="1"/>
    <col min="5117" max="5118" width="8.5703125" style="168" bestFit="1" customWidth="1"/>
    <col min="5119" max="5120" width="8.5703125" style="168" customWidth="1"/>
    <col min="5121" max="5121" width="9.42578125" style="168" bestFit="1" customWidth="1"/>
    <col min="5122" max="5122" width="7.5703125" style="168" bestFit="1" customWidth="1"/>
    <col min="5123" max="5124" width="7.5703125" style="168" customWidth="1"/>
    <col min="5125" max="5125" width="9.7109375" style="168" customWidth="1"/>
    <col min="5126" max="5131" width="0" style="168" hidden="1" customWidth="1"/>
    <col min="5132" max="5132" width="11.140625" style="168" customWidth="1"/>
    <col min="5133" max="5134" width="11.42578125" style="168"/>
    <col min="5135" max="5135" width="12.42578125" style="168" bestFit="1" customWidth="1"/>
    <col min="5136" max="5371" width="11.42578125" style="168"/>
    <col min="5372" max="5372" width="18.140625" style="168" customWidth="1"/>
    <col min="5373" max="5374" width="8.5703125" style="168" bestFit="1" customWidth="1"/>
    <col min="5375" max="5376" width="8.5703125" style="168" customWidth="1"/>
    <col min="5377" max="5377" width="9.42578125" style="168" bestFit="1" customWidth="1"/>
    <col min="5378" max="5378" width="7.5703125" style="168" bestFit="1" customWidth="1"/>
    <col min="5379" max="5380" width="7.5703125" style="168" customWidth="1"/>
    <col min="5381" max="5381" width="9.7109375" style="168" customWidth="1"/>
    <col min="5382" max="5387" width="0" style="168" hidden="1" customWidth="1"/>
    <col min="5388" max="5388" width="11.140625" style="168" customWidth="1"/>
    <col min="5389" max="5390" width="11.42578125" style="168"/>
    <col min="5391" max="5391" width="12.42578125" style="168" bestFit="1" customWidth="1"/>
    <col min="5392" max="5627" width="11.42578125" style="168"/>
    <col min="5628" max="5628" width="18.140625" style="168" customWidth="1"/>
    <col min="5629" max="5630" width="8.5703125" style="168" bestFit="1" customWidth="1"/>
    <col min="5631" max="5632" width="8.5703125" style="168" customWidth="1"/>
    <col min="5633" max="5633" width="9.42578125" style="168" bestFit="1" customWidth="1"/>
    <col min="5634" max="5634" width="7.5703125" style="168" bestFit="1" customWidth="1"/>
    <col min="5635" max="5636" width="7.5703125" style="168" customWidth="1"/>
    <col min="5637" max="5637" width="9.7109375" style="168" customWidth="1"/>
    <col min="5638" max="5643" width="0" style="168" hidden="1" customWidth="1"/>
    <col min="5644" max="5644" width="11.140625" style="168" customWidth="1"/>
    <col min="5645" max="5646" width="11.42578125" style="168"/>
    <col min="5647" max="5647" width="12.42578125" style="168" bestFit="1" customWidth="1"/>
    <col min="5648" max="5883" width="11.42578125" style="168"/>
    <col min="5884" max="5884" width="18.140625" style="168" customWidth="1"/>
    <col min="5885" max="5886" width="8.5703125" style="168" bestFit="1" customWidth="1"/>
    <col min="5887" max="5888" width="8.5703125" style="168" customWidth="1"/>
    <col min="5889" max="5889" width="9.42578125" style="168" bestFit="1" customWidth="1"/>
    <col min="5890" max="5890" width="7.5703125" style="168" bestFit="1" customWidth="1"/>
    <col min="5891" max="5892" width="7.5703125" style="168" customWidth="1"/>
    <col min="5893" max="5893" width="9.7109375" style="168" customWidth="1"/>
    <col min="5894" max="5899" width="0" style="168" hidden="1" customWidth="1"/>
    <col min="5900" max="5900" width="11.140625" style="168" customWidth="1"/>
    <col min="5901" max="5902" width="11.42578125" style="168"/>
    <col min="5903" max="5903" width="12.42578125" style="168" bestFit="1" customWidth="1"/>
    <col min="5904" max="6139" width="11.42578125" style="168"/>
    <col min="6140" max="6140" width="18.140625" style="168" customWidth="1"/>
    <col min="6141" max="6142" width="8.5703125" style="168" bestFit="1" customWidth="1"/>
    <col min="6143" max="6144" width="8.5703125" style="168" customWidth="1"/>
    <col min="6145" max="6145" width="9.42578125" style="168" bestFit="1" customWidth="1"/>
    <col min="6146" max="6146" width="7.5703125" style="168" bestFit="1" customWidth="1"/>
    <col min="6147" max="6148" width="7.5703125" style="168" customWidth="1"/>
    <col min="6149" max="6149" width="9.7109375" style="168" customWidth="1"/>
    <col min="6150" max="6155" width="0" style="168" hidden="1" customWidth="1"/>
    <col min="6156" max="6156" width="11.140625" style="168" customWidth="1"/>
    <col min="6157" max="6158" width="11.42578125" style="168"/>
    <col min="6159" max="6159" width="12.42578125" style="168" bestFit="1" customWidth="1"/>
    <col min="6160" max="6395" width="11.42578125" style="168"/>
    <col min="6396" max="6396" width="18.140625" style="168" customWidth="1"/>
    <col min="6397" max="6398" width="8.5703125" style="168" bestFit="1" customWidth="1"/>
    <col min="6399" max="6400" width="8.5703125" style="168" customWidth="1"/>
    <col min="6401" max="6401" width="9.42578125" style="168" bestFit="1" customWidth="1"/>
    <col min="6402" max="6402" width="7.5703125" style="168" bestFit="1" customWidth="1"/>
    <col min="6403" max="6404" width="7.5703125" style="168" customWidth="1"/>
    <col min="6405" max="6405" width="9.7109375" style="168" customWidth="1"/>
    <col min="6406" max="6411" width="0" style="168" hidden="1" customWidth="1"/>
    <col min="6412" max="6412" width="11.140625" style="168" customWidth="1"/>
    <col min="6413" max="6414" width="11.42578125" style="168"/>
    <col min="6415" max="6415" width="12.42578125" style="168" bestFit="1" customWidth="1"/>
    <col min="6416" max="6651" width="11.42578125" style="168"/>
    <col min="6652" max="6652" width="18.140625" style="168" customWidth="1"/>
    <col min="6653" max="6654" width="8.5703125" style="168" bestFit="1" customWidth="1"/>
    <col min="6655" max="6656" width="8.5703125" style="168" customWidth="1"/>
    <col min="6657" max="6657" width="9.42578125" style="168" bestFit="1" customWidth="1"/>
    <col min="6658" max="6658" width="7.5703125" style="168" bestFit="1" customWidth="1"/>
    <col min="6659" max="6660" width="7.5703125" style="168" customWidth="1"/>
    <col min="6661" max="6661" width="9.7109375" style="168" customWidth="1"/>
    <col min="6662" max="6667" width="0" style="168" hidden="1" customWidth="1"/>
    <col min="6668" max="6668" width="11.140625" style="168" customWidth="1"/>
    <col min="6669" max="6670" width="11.42578125" style="168"/>
    <col min="6671" max="6671" width="12.42578125" style="168" bestFit="1" customWidth="1"/>
    <col min="6672" max="6907" width="11.42578125" style="168"/>
    <col min="6908" max="6908" width="18.140625" style="168" customWidth="1"/>
    <col min="6909" max="6910" width="8.5703125" style="168" bestFit="1" customWidth="1"/>
    <col min="6911" max="6912" width="8.5703125" style="168" customWidth="1"/>
    <col min="6913" max="6913" width="9.42578125" style="168" bestFit="1" customWidth="1"/>
    <col min="6914" max="6914" width="7.5703125" style="168" bestFit="1" customWidth="1"/>
    <col min="6915" max="6916" width="7.5703125" style="168" customWidth="1"/>
    <col min="6917" max="6917" width="9.7109375" style="168" customWidth="1"/>
    <col min="6918" max="6923" width="0" style="168" hidden="1" customWidth="1"/>
    <col min="6924" max="6924" width="11.140625" style="168" customWidth="1"/>
    <col min="6925" max="6926" width="11.42578125" style="168"/>
    <col min="6927" max="6927" width="12.42578125" style="168" bestFit="1" customWidth="1"/>
    <col min="6928" max="7163" width="11.42578125" style="168"/>
    <col min="7164" max="7164" width="18.140625" style="168" customWidth="1"/>
    <col min="7165" max="7166" width="8.5703125" style="168" bestFit="1" customWidth="1"/>
    <col min="7167" max="7168" width="8.5703125" style="168" customWidth="1"/>
    <col min="7169" max="7169" width="9.42578125" style="168" bestFit="1" customWidth="1"/>
    <col min="7170" max="7170" width="7.5703125" style="168" bestFit="1" customWidth="1"/>
    <col min="7171" max="7172" width="7.5703125" style="168" customWidth="1"/>
    <col min="7173" max="7173" width="9.7109375" style="168" customWidth="1"/>
    <col min="7174" max="7179" width="0" style="168" hidden="1" customWidth="1"/>
    <col min="7180" max="7180" width="11.140625" style="168" customWidth="1"/>
    <col min="7181" max="7182" width="11.42578125" style="168"/>
    <col min="7183" max="7183" width="12.42578125" style="168" bestFit="1" customWidth="1"/>
    <col min="7184" max="7419" width="11.42578125" style="168"/>
    <col min="7420" max="7420" width="18.140625" style="168" customWidth="1"/>
    <col min="7421" max="7422" width="8.5703125" style="168" bestFit="1" customWidth="1"/>
    <col min="7423" max="7424" width="8.5703125" style="168" customWidth="1"/>
    <col min="7425" max="7425" width="9.42578125" style="168" bestFit="1" customWidth="1"/>
    <col min="7426" max="7426" width="7.5703125" style="168" bestFit="1" customWidth="1"/>
    <col min="7427" max="7428" width="7.5703125" style="168" customWidth="1"/>
    <col min="7429" max="7429" width="9.7109375" style="168" customWidth="1"/>
    <col min="7430" max="7435" width="0" style="168" hidden="1" customWidth="1"/>
    <col min="7436" max="7436" width="11.140625" style="168" customWidth="1"/>
    <col min="7437" max="7438" width="11.42578125" style="168"/>
    <col min="7439" max="7439" width="12.42578125" style="168" bestFit="1" customWidth="1"/>
    <col min="7440" max="7675" width="11.42578125" style="168"/>
    <col min="7676" max="7676" width="18.140625" style="168" customWidth="1"/>
    <col min="7677" max="7678" width="8.5703125" style="168" bestFit="1" customWidth="1"/>
    <col min="7679" max="7680" width="8.5703125" style="168" customWidth="1"/>
    <col min="7681" max="7681" width="9.42578125" style="168" bestFit="1" customWidth="1"/>
    <col min="7682" max="7682" width="7.5703125" style="168" bestFit="1" customWidth="1"/>
    <col min="7683" max="7684" width="7.5703125" style="168" customWidth="1"/>
    <col min="7685" max="7685" width="9.7109375" style="168" customWidth="1"/>
    <col min="7686" max="7691" width="0" style="168" hidden="1" customWidth="1"/>
    <col min="7692" max="7692" width="11.140625" style="168" customWidth="1"/>
    <col min="7693" max="7694" width="11.42578125" style="168"/>
    <col min="7695" max="7695" width="12.42578125" style="168" bestFit="1" customWidth="1"/>
    <col min="7696" max="7931" width="11.42578125" style="168"/>
    <col min="7932" max="7932" width="18.140625" style="168" customWidth="1"/>
    <col min="7933" max="7934" width="8.5703125" style="168" bestFit="1" customWidth="1"/>
    <col min="7935" max="7936" width="8.5703125" style="168" customWidth="1"/>
    <col min="7937" max="7937" width="9.42578125" style="168" bestFit="1" customWidth="1"/>
    <col min="7938" max="7938" width="7.5703125" style="168" bestFit="1" customWidth="1"/>
    <col min="7939" max="7940" width="7.5703125" style="168" customWidth="1"/>
    <col min="7941" max="7941" width="9.7109375" style="168" customWidth="1"/>
    <col min="7942" max="7947" width="0" style="168" hidden="1" customWidth="1"/>
    <col min="7948" max="7948" width="11.140625" style="168" customWidth="1"/>
    <col min="7949" max="7950" width="11.42578125" style="168"/>
    <col min="7951" max="7951" width="12.42578125" style="168" bestFit="1" customWidth="1"/>
    <col min="7952" max="8187" width="11.42578125" style="168"/>
    <col min="8188" max="8188" width="18.140625" style="168" customWidth="1"/>
    <col min="8189" max="8190" width="8.5703125" style="168" bestFit="1" customWidth="1"/>
    <col min="8191" max="8192" width="8.5703125" style="168" customWidth="1"/>
    <col min="8193" max="8193" width="9.42578125" style="168" bestFit="1" customWidth="1"/>
    <col min="8194" max="8194" width="7.5703125" style="168" bestFit="1" customWidth="1"/>
    <col min="8195" max="8196" width="7.5703125" style="168" customWidth="1"/>
    <col min="8197" max="8197" width="9.7109375" style="168" customWidth="1"/>
    <col min="8198" max="8203" width="0" style="168" hidden="1" customWidth="1"/>
    <col min="8204" max="8204" width="11.140625" style="168" customWidth="1"/>
    <col min="8205" max="8206" width="11.42578125" style="168"/>
    <col min="8207" max="8207" width="12.42578125" style="168" bestFit="1" customWidth="1"/>
    <col min="8208" max="8443" width="11.42578125" style="168"/>
    <col min="8444" max="8444" width="18.140625" style="168" customWidth="1"/>
    <col min="8445" max="8446" width="8.5703125" style="168" bestFit="1" customWidth="1"/>
    <col min="8447" max="8448" width="8.5703125" style="168" customWidth="1"/>
    <col min="8449" max="8449" width="9.42578125" style="168" bestFit="1" customWidth="1"/>
    <col min="8450" max="8450" width="7.5703125" style="168" bestFit="1" customWidth="1"/>
    <col min="8451" max="8452" width="7.5703125" style="168" customWidth="1"/>
    <col min="8453" max="8453" width="9.7109375" style="168" customWidth="1"/>
    <col min="8454" max="8459" width="0" style="168" hidden="1" customWidth="1"/>
    <col min="8460" max="8460" width="11.140625" style="168" customWidth="1"/>
    <col min="8461" max="8462" width="11.42578125" style="168"/>
    <col min="8463" max="8463" width="12.42578125" style="168" bestFit="1" customWidth="1"/>
    <col min="8464" max="8699" width="11.42578125" style="168"/>
    <col min="8700" max="8700" width="18.140625" style="168" customWidth="1"/>
    <col min="8701" max="8702" width="8.5703125" style="168" bestFit="1" customWidth="1"/>
    <col min="8703" max="8704" width="8.5703125" style="168" customWidth="1"/>
    <col min="8705" max="8705" width="9.42578125" style="168" bestFit="1" customWidth="1"/>
    <col min="8706" max="8706" width="7.5703125" style="168" bestFit="1" customWidth="1"/>
    <col min="8707" max="8708" width="7.5703125" style="168" customWidth="1"/>
    <col min="8709" max="8709" width="9.7109375" style="168" customWidth="1"/>
    <col min="8710" max="8715" width="0" style="168" hidden="1" customWidth="1"/>
    <col min="8716" max="8716" width="11.140625" style="168" customWidth="1"/>
    <col min="8717" max="8718" width="11.42578125" style="168"/>
    <col min="8719" max="8719" width="12.42578125" style="168" bestFit="1" customWidth="1"/>
    <col min="8720" max="8955" width="11.42578125" style="168"/>
    <col min="8956" max="8956" width="18.140625" style="168" customWidth="1"/>
    <col min="8957" max="8958" width="8.5703125" style="168" bestFit="1" customWidth="1"/>
    <col min="8959" max="8960" width="8.5703125" style="168" customWidth="1"/>
    <col min="8961" max="8961" width="9.42578125" style="168" bestFit="1" customWidth="1"/>
    <col min="8962" max="8962" width="7.5703125" style="168" bestFit="1" customWidth="1"/>
    <col min="8963" max="8964" width="7.5703125" style="168" customWidth="1"/>
    <col min="8965" max="8965" width="9.7109375" style="168" customWidth="1"/>
    <col min="8966" max="8971" width="0" style="168" hidden="1" customWidth="1"/>
    <col min="8972" max="8972" width="11.140625" style="168" customWidth="1"/>
    <col min="8973" max="8974" width="11.42578125" style="168"/>
    <col min="8975" max="8975" width="12.42578125" style="168" bestFit="1" customWidth="1"/>
    <col min="8976" max="9211" width="11.42578125" style="168"/>
    <col min="9212" max="9212" width="18.140625" style="168" customWidth="1"/>
    <col min="9213" max="9214" width="8.5703125" style="168" bestFit="1" customWidth="1"/>
    <col min="9215" max="9216" width="8.5703125" style="168" customWidth="1"/>
    <col min="9217" max="9217" width="9.42578125" style="168" bestFit="1" customWidth="1"/>
    <col min="9218" max="9218" width="7.5703125" style="168" bestFit="1" customWidth="1"/>
    <col min="9219" max="9220" width="7.5703125" style="168" customWidth="1"/>
    <col min="9221" max="9221" width="9.7109375" style="168" customWidth="1"/>
    <col min="9222" max="9227" width="0" style="168" hidden="1" customWidth="1"/>
    <col min="9228" max="9228" width="11.140625" style="168" customWidth="1"/>
    <col min="9229" max="9230" width="11.42578125" style="168"/>
    <col min="9231" max="9231" width="12.42578125" style="168" bestFit="1" customWidth="1"/>
    <col min="9232" max="9467" width="11.42578125" style="168"/>
    <col min="9468" max="9468" width="18.140625" style="168" customWidth="1"/>
    <col min="9469" max="9470" width="8.5703125" style="168" bestFit="1" customWidth="1"/>
    <col min="9471" max="9472" width="8.5703125" style="168" customWidth="1"/>
    <col min="9473" max="9473" width="9.42578125" style="168" bestFit="1" customWidth="1"/>
    <col min="9474" max="9474" width="7.5703125" style="168" bestFit="1" customWidth="1"/>
    <col min="9475" max="9476" width="7.5703125" style="168" customWidth="1"/>
    <col min="9477" max="9477" width="9.7109375" style="168" customWidth="1"/>
    <col min="9478" max="9483" width="0" style="168" hidden="1" customWidth="1"/>
    <col min="9484" max="9484" width="11.140625" style="168" customWidth="1"/>
    <col min="9485" max="9486" width="11.42578125" style="168"/>
    <col min="9487" max="9487" width="12.42578125" style="168" bestFit="1" customWidth="1"/>
    <col min="9488" max="9723" width="11.42578125" style="168"/>
    <col min="9724" max="9724" width="18.140625" style="168" customWidth="1"/>
    <col min="9725" max="9726" width="8.5703125" style="168" bestFit="1" customWidth="1"/>
    <col min="9727" max="9728" width="8.5703125" style="168" customWidth="1"/>
    <col min="9729" max="9729" width="9.42578125" style="168" bestFit="1" customWidth="1"/>
    <col min="9730" max="9730" width="7.5703125" style="168" bestFit="1" customWidth="1"/>
    <col min="9731" max="9732" width="7.5703125" style="168" customWidth="1"/>
    <col min="9733" max="9733" width="9.7109375" style="168" customWidth="1"/>
    <col min="9734" max="9739" width="0" style="168" hidden="1" customWidth="1"/>
    <col min="9740" max="9740" width="11.140625" style="168" customWidth="1"/>
    <col min="9741" max="9742" width="11.42578125" style="168"/>
    <col min="9743" max="9743" width="12.42578125" style="168" bestFit="1" customWidth="1"/>
    <col min="9744" max="9979" width="11.42578125" style="168"/>
    <col min="9980" max="9980" width="18.140625" style="168" customWidth="1"/>
    <col min="9981" max="9982" width="8.5703125" style="168" bestFit="1" customWidth="1"/>
    <col min="9983" max="9984" width="8.5703125" style="168" customWidth="1"/>
    <col min="9985" max="9985" width="9.42578125" style="168" bestFit="1" customWidth="1"/>
    <col min="9986" max="9986" width="7.5703125" style="168" bestFit="1" customWidth="1"/>
    <col min="9987" max="9988" width="7.5703125" style="168" customWidth="1"/>
    <col min="9989" max="9989" width="9.7109375" style="168" customWidth="1"/>
    <col min="9990" max="9995" width="0" style="168" hidden="1" customWidth="1"/>
    <col min="9996" max="9996" width="11.140625" style="168" customWidth="1"/>
    <col min="9997" max="9998" width="11.42578125" style="168"/>
    <col min="9999" max="9999" width="12.42578125" style="168" bestFit="1" customWidth="1"/>
    <col min="10000" max="10235" width="11.42578125" style="168"/>
    <col min="10236" max="10236" width="18.140625" style="168" customWidth="1"/>
    <col min="10237" max="10238" width="8.5703125" style="168" bestFit="1" customWidth="1"/>
    <col min="10239" max="10240" width="8.5703125" style="168" customWidth="1"/>
    <col min="10241" max="10241" width="9.42578125" style="168" bestFit="1" customWidth="1"/>
    <col min="10242" max="10242" width="7.5703125" style="168" bestFit="1" customWidth="1"/>
    <col min="10243" max="10244" width="7.5703125" style="168" customWidth="1"/>
    <col min="10245" max="10245" width="9.7109375" style="168" customWidth="1"/>
    <col min="10246" max="10251" width="0" style="168" hidden="1" customWidth="1"/>
    <col min="10252" max="10252" width="11.140625" style="168" customWidth="1"/>
    <col min="10253" max="10254" width="11.42578125" style="168"/>
    <col min="10255" max="10255" width="12.42578125" style="168" bestFit="1" customWidth="1"/>
    <col min="10256" max="10491" width="11.42578125" style="168"/>
    <col min="10492" max="10492" width="18.140625" style="168" customWidth="1"/>
    <col min="10493" max="10494" width="8.5703125" style="168" bestFit="1" customWidth="1"/>
    <col min="10495" max="10496" width="8.5703125" style="168" customWidth="1"/>
    <col min="10497" max="10497" width="9.42578125" style="168" bestFit="1" customWidth="1"/>
    <col min="10498" max="10498" width="7.5703125" style="168" bestFit="1" customWidth="1"/>
    <col min="10499" max="10500" width="7.5703125" style="168" customWidth="1"/>
    <col min="10501" max="10501" width="9.7109375" style="168" customWidth="1"/>
    <col min="10502" max="10507" width="0" style="168" hidden="1" customWidth="1"/>
    <col min="10508" max="10508" width="11.140625" style="168" customWidth="1"/>
    <col min="10509" max="10510" width="11.42578125" style="168"/>
    <col min="10511" max="10511" width="12.42578125" style="168" bestFit="1" customWidth="1"/>
    <col min="10512" max="10747" width="11.42578125" style="168"/>
    <col min="10748" max="10748" width="18.140625" style="168" customWidth="1"/>
    <col min="10749" max="10750" width="8.5703125" style="168" bestFit="1" customWidth="1"/>
    <col min="10751" max="10752" width="8.5703125" style="168" customWidth="1"/>
    <col min="10753" max="10753" width="9.42578125" style="168" bestFit="1" customWidth="1"/>
    <col min="10754" max="10754" width="7.5703125" style="168" bestFit="1" customWidth="1"/>
    <col min="10755" max="10756" width="7.5703125" style="168" customWidth="1"/>
    <col min="10757" max="10757" width="9.7109375" style="168" customWidth="1"/>
    <col min="10758" max="10763" width="0" style="168" hidden="1" customWidth="1"/>
    <col min="10764" max="10764" width="11.140625" style="168" customWidth="1"/>
    <col min="10765" max="10766" width="11.42578125" style="168"/>
    <col min="10767" max="10767" width="12.42578125" style="168" bestFit="1" customWidth="1"/>
    <col min="10768" max="11003" width="11.42578125" style="168"/>
    <col min="11004" max="11004" width="18.140625" style="168" customWidth="1"/>
    <col min="11005" max="11006" width="8.5703125" style="168" bestFit="1" customWidth="1"/>
    <col min="11007" max="11008" width="8.5703125" style="168" customWidth="1"/>
    <col min="11009" max="11009" width="9.42578125" style="168" bestFit="1" customWidth="1"/>
    <col min="11010" max="11010" width="7.5703125" style="168" bestFit="1" customWidth="1"/>
    <col min="11011" max="11012" width="7.5703125" style="168" customWidth="1"/>
    <col min="11013" max="11013" width="9.7109375" style="168" customWidth="1"/>
    <col min="11014" max="11019" width="0" style="168" hidden="1" customWidth="1"/>
    <col min="11020" max="11020" width="11.140625" style="168" customWidth="1"/>
    <col min="11021" max="11022" width="11.42578125" style="168"/>
    <col min="11023" max="11023" width="12.42578125" style="168" bestFit="1" customWidth="1"/>
    <col min="11024" max="11259" width="11.42578125" style="168"/>
    <col min="11260" max="11260" width="18.140625" style="168" customWidth="1"/>
    <col min="11261" max="11262" width="8.5703125" style="168" bestFit="1" customWidth="1"/>
    <col min="11263" max="11264" width="8.5703125" style="168" customWidth="1"/>
    <col min="11265" max="11265" width="9.42578125" style="168" bestFit="1" customWidth="1"/>
    <col min="11266" max="11266" width="7.5703125" style="168" bestFit="1" customWidth="1"/>
    <col min="11267" max="11268" width="7.5703125" style="168" customWidth="1"/>
    <col min="11269" max="11269" width="9.7109375" style="168" customWidth="1"/>
    <col min="11270" max="11275" width="0" style="168" hidden="1" customWidth="1"/>
    <col min="11276" max="11276" width="11.140625" style="168" customWidth="1"/>
    <col min="11277" max="11278" width="11.42578125" style="168"/>
    <col min="11279" max="11279" width="12.42578125" style="168" bestFit="1" customWidth="1"/>
    <col min="11280" max="11515" width="11.42578125" style="168"/>
    <col min="11516" max="11516" width="18.140625" style="168" customWidth="1"/>
    <col min="11517" max="11518" width="8.5703125" style="168" bestFit="1" customWidth="1"/>
    <col min="11519" max="11520" width="8.5703125" style="168" customWidth="1"/>
    <col min="11521" max="11521" width="9.42578125" style="168" bestFit="1" customWidth="1"/>
    <col min="11522" max="11522" width="7.5703125" style="168" bestFit="1" customWidth="1"/>
    <col min="11523" max="11524" width="7.5703125" style="168" customWidth="1"/>
    <col min="11525" max="11525" width="9.7109375" style="168" customWidth="1"/>
    <col min="11526" max="11531" width="0" style="168" hidden="1" customWidth="1"/>
    <col min="11532" max="11532" width="11.140625" style="168" customWidth="1"/>
    <col min="11533" max="11534" width="11.42578125" style="168"/>
    <col min="11535" max="11535" width="12.42578125" style="168" bestFit="1" customWidth="1"/>
    <col min="11536" max="11771" width="11.42578125" style="168"/>
    <col min="11772" max="11772" width="18.140625" style="168" customWidth="1"/>
    <col min="11773" max="11774" width="8.5703125" style="168" bestFit="1" customWidth="1"/>
    <col min="11775" max="11776" width="8.5703125" style="168" customWidth="1"/>
    <col min="11777" max="11777" width="9.42578125" style="168" bestFit="1" customWidth="1"/>
    <col min="11778" max="11778" width="7.5703125" style="168" bestFit="1" customWidth="1"/>
    <col min="11779" max="11780" width="7.5703125" style="168" customWidth="1"/>
    <col min="11781" max="11781" width="9.7109375" style="168" customWidth="1"/>
    <col min="11782" max="11787" width="0" style="168" hidden="1" customWidth="1"/>
    <col min="11788" max="11788" width="11.140625" style="168" customWidth="1"/>
    <col min="11789" max="11790" width="11.42578125" style="168"/>
    <col min="11791" max="11791" width="12.42578125" style="168" bestFit="1" customWidth="1"/>
    <col min="11792" max="12027" width="11.42578125" style="168"/>
    <col min="12028" max="12028" width="18.140625" style="168" customWidth="1"/>
    <col min="12029" max="12030" width="8.5703125" style="168" bestFit="1" customWidth="1"/>
    <col min="12031" max="12032" width="8.5703125" style="168" customWidth="1"/>
    <col min="12033" max="12033" width="9.42578125" style="168" bestFit="1" customWidth="1"/>
    <col min="12034" max="12034" width="7.5703125" style="168" bestFit="1" customWidth="1"/>
    <col min="12035" max="12036" width="7.5703125" style="168" customWidth="1"/>
    <col min="12037" max="12037" width="9.7109375" style="168" customWidth="1"/>
    <col min="12038" max="12043" width="0" style="168" hidden="1" customWidth="1"/>
    <col min="12044" max="12044" width="11.140625" style="168" customWidth="1"/>
    <col min="12045" max="12046" width="11.42578125" style="168"/>
    <col min="12047" max="12047" width="12.42578125" style="168" bestFit="1" customWidth="1"/>
    <col min="12048" max="12283" width="11.42578125" style="168"/>
    <col min="12284" max="12284" width="18.140625" style="168" customWidth="1"/>
    <col min="12285" max="12286" width="8.5703125" style="168" bestFit="1" customWidth="1"/>
    <col min="12287" max="12288" width="8.5703125" style="168" customWidth="1"/>
    <col min="12289" max="12289" width="9.42578125" style="168" bestFit="1" customWidth="1"/>
    <col min="12290" max="12290" width="7.5703125" style="168" bestFit="1" customWidth="1"/>
    <col min="12291" max="12292" width="7.5703125" style="168" customWidth="1"/>
    <col min="12293" max="12293" width="9.7109375" style="168" customWidth="1"/>
    <col min="12294" max="12299" width="0" style="168" hidden="1" customWidth="1"/>
    <col min="12300" max="12300" width="11.140625" style="168" customWidth="1"/>
    <col min="12301" max="12302" width="11.42578125" style="168"/>
    <col min="12303" max="12303" width="12.42578125" style="168" bestFit="1" customWidth="1"/>
    <col min="12304" max="12539" width="11.42578125" style="168"/>
    <col min="12540" max="12540" width="18.140625" style="168" customWidth="1"/>
    <col min="12541" max="12542" width="8.5703125" style="168" bestFit="1" customWidth="1"/>
    <col min="12543" max="12544" width="8.5703125" style="168" customWidth="1"/>
    <col min="12545" max="12545" width="9.42578125" style="168" bestFit="1" customWidth="1"/>
    <col min="12546" max="12546" width="7.5703125" style="168" bestFit="1" customWidth="1"/>
    <col min="12547" max="12548" width="7.5703125" style="168" customWidth="1"/>
    <col min="12549" max="12549" width="9.7109375" style="168" customWidth="1"/>
    <col min="12550" max="12555" width="0" style="168" hidden="1" customWidth="1"/>
    <col min="12556" max="12556" width="11.140625" style="168" customWidth="1"/>
    <col min="12557" max="12558" width="11.42578125" style="168"/>
    <col min="12559" max="12559" width="12.42578125" style="168" bestFit="1" customWidth="1"/>
    <col min="12560" max="12795" width="11.42578125" style="168"/>
    <col min="12796" max="12796" width="18.140625" style="168" customWidth="1"/>
    <col min="12797" max="12798" width="8.5703125" style="168" bestFit="1" customWidth="1"/>
    <col min="12799" max="12800" width="8.5703125" style="168" customWidth="1"/>
    <col min="12801" max="12801" width="9.42578125" style="168" bestFit="1" customWidth="1"/>
    <col min="12802" max="12802" width="7.5703125" style="168" bestFit="1" customWidth="1"/>
    <col min="12803" max="12804" width="7.5703125" style="168" customWidth="1"/>
    <col min="12805" max="12805" width="9.7109375" style="168" customWidth="1"/>
    <col min="12806" max="12811" width="0" style="168" hidden="1" customWidth="1"/>
    <col min="12812" max="12812" width="11.140625" style="168" customWidth="1"/>
    <col min="12813" max="12814" width="11.42578125" style="168"/>
    <col min="12815" max="12815" width="12.42578125" style="168" bestFit="1" customWidth="1"/>
    <col min="12816" max="13051" width="11.42578125" style="168"/>
    <col min="13052" max="13052" width="18.140625" style="168" customWidth="1"/>
    <col min="13053" max="13054" width="8.5703125" style="168" bestFit="1" customWidth="1"/>
    <col min="13055" max="13056" width="8.5703125" style="168" customWidth="1"/>
    <col min="13057" max="13057" width="9.42578125" style="168" bestFit="1" customWidth="1"/>
    <col min="13058" max="13058" width="7.5703125" style="168" bestFit="1" customWidth="1"/>
    <col min="13059" max="13060" width="7.5703125" style="168" customWidth="1"/>
    <col min="13061" max="13061" width="9.7109375" style="168" customWidth="1"/>
    <col min="13062" max="13067" width="0" style="168" hidden="1" customWidth="1"/>
    <col min="13068" max="13068" width="11.140625" style="168" customWidth="1"/>
    <col min="13069" max="13070" width="11.42578125" style="168"/>
    <col min="13071" max="13071" width="12.42578125" style="168" bestFit="1" customWidth="1"/>
    <col min="13072" max="13307" width="11.42578125" style="168"/>
    <col min="13308" max="13308" width="18.140625" style="168" customWidth="1"/>
    <col min="13309" max="13310" width="8.5703125" style="168" bestFit="1" customWidth="1"/>
    <col min="13311" max="13312" width="8.5703125" style="168" customWidth="1"/>
    <col min="13313" max="13313" width="9.42578125" style="168" bestFit="1" customWidth="1"/>
    <col min="13314" max="13314" width="7.5703125" style="168" bestFit="1" customWidth="1"/>
    <col min="13315" max="13316" width="7.5703125" style="168" customWidth="1"/>
    <col min="13317" max="13317" width="9.7109375" style="168" customWidth="1"/>
    <col min="13318" max="13323" width="0" style="168" hidden="1" customWidth="1"/>
    <col min="13324" max="13324" width="11.140625" style="168" customWidth="1"/>
    <col min="13325" max="13326" width="11.42578125" style="168"/>
    <col min="13327" max="13327" width="12.42578125" style="168" bestFit="1" customWidth="1"/>
    <col min="13328" max="13563" width="11.42578125" style="168"/>
    <col min="13564" max="13564" width="18.140625" style="168" customWidth="1"/>
    <col min="13565" max="13566" width="8.5703125" style="168" bestFit="1" customWidth="1"/>
    <col min="13567" max="13568" width="8.5703125" style="168" customWidth="1"/>
    <col min="13569" max="13569" width="9.42578125" style="168" bestFit="1" customWidth="1"/>
    <col min="13570" max="13570" width="7.5703125" style="168" bestFit="1" customWidth="1"/>
    <col min="13571" max="13572" width="7.5703125" style="168" customWidth="1"/>
    <col min="13573" max="13573" width="9.7109375" style="168" customWidth="1"/>
    <col min="13574" max="13579" width="0" style="168" hidden="1" customWidth="1"/>
    <col min="13580" max="13580" width="11.140625" style="168" customWidth="1"/>
    <col min="13581" max="13582" width="11.42578125" style="168"/>
    <col min="13583" max="13583" width="12.42578125" style="168" bestFit="1" customWidth="1"/>
    <col min="13584" max="13819" width="11.42578125" style="168"/>
    <col min="13820" max="13820" width="18.140625" style="168" customWidth="1"/>
    <col min="13821" max="13822" width="8.5703125" style="168" bestFit="1" customWidth="1"/>
    <col min="13823" max="13824" width="8.5703125" style="168" customWidth="1"/>
    <col min="13825" max="13825" width="9.42578125" style="168" bestFit="1" customWidth="1"/>
    <col min="13826" max="13826" width="7.5703125" style="168" bestFit="1" customWidth="1"/>
    <col min="13827" max="13828" width="7.5703125" style="168" customWidth="1"/>
    <col min="13829" max="13829" width="9.7109375" style="168" customWidth="1"/>
    <col min="13830" max="13835" width="0" style="168" hidden="1" customWidth="1"/>
    <col min="13836" max="13836" width="11.140625" style="168" customWidth="1"/>
    <col min="13837" max="13838" width="11.42578125" style="168"/>
    <col min="13839" max="13839" width="12.42578125" style="168" bestFit="1" customWidth="1"/>
    <col min="13840" max="14075" width="11.42578125" style="168"/>
    <col min="14076" max="14076" width="18.140625" style="168" customWidth="1"/>
    <col min="14077" max="14078" width="8.5703125" style="168" bestFit="1" customWidth="1"/>
    <col min="14079" max="14080" width="8.5703125" style="168" customWidth="1"/>
    <col min="14081" max="14081" width="9.42578125" style="168" bestFit="1" customWidth="1"/>
    <col min="14082" max="14082" width="7.5703125" style="168" bestFit="1" customWidth="1"/>
    <col min="14083" max="14084" width="7.5703125" style="168" customWidth="1"/>
    <col min="14085" max="14085" width="9.7109375" style="168" customWidth="1"/>
    <col min="14086" max="14091" width="0" style="168" hidden="1" customWidth="1"/>
    <col min="14092" max="14092" width="11.140625" style="168" customWidth="1"/>
    <col min="14093" max="14094" width="11.42578125" style="168"/>
    <col min="14095" max="14095" width="12.42578125" style="168" bestFit="1" customWidth="1"/>
    <col min="14096" max="14331" width="11.42578125" style="168"/>
    <col min="14332" max="14332" width="18.140625" style="168" customWidth="1"/>
    <col min="14333" max="14334" width="8.5703125" style="168" bestFit="1" customWidth="1"/>
    <col min="14335" max="14336" width="8.5703125" style="168" customWidth="1"/>
    <col min="14337" max="14337" width="9.42578125" style="168" bestFit="1" customWidth="1"/>
    <col min="14338" max="14338" width="7.5703125" style="168" bestFit="1" customWidth="1"/>
    <col min="14339" max="14340" width="7.5703125" style="168" customWidth="1"/>
    <col min="14341" max="14341" width="9.7109375" style="168" customWidth="1"/>
    <col min="14342" max="14347" width="0" style="168" hidden="1" customWidth="1"/>
    <col min="14348" max="14348" width="11.140625" style="168" customWidth="1"/>
    <col min="14349" max="14350" width="11.42578125" style="168"/>
    <col min="14351" max="14351" width="12.42578125" style="168" bestFit="1" customWidth="1"/>
    <col min="14352" max="14587" width="11.42578125" style="168"/>
    <col min="14588" max="14588" width="18.140625" style="168" customWidth="1"/>
    <col min="14589" max="14590" width="8.5703125" style="168" bestFit="1" customWidth="1"/>
    <col min="14591" max="14592" width="8.5703125" style="168" customWidth="1"/>
    <col min="14593" max="14593" width="9.42578125" style="168" bestFit="1" customWidth="1"/>
    <col min="14594" max="14594" width="7.5703125" style="168" bestFit="1" customWidth="1"/>
    <col min="14595" max="14596" width="7.5703125" style="168" customWidth="1"/>
    <col min="14597" max="14597" width="9.7109375" style="168" customWidth="1"/>
    <col min="14598" max="14603" width="0" style="168" hidden="1" customWidth="1"/>
    <col min="14604" max="14604" width="11.140625" style="168" customWidth="1"/>
    <col min="14605" max="14606" width="11.42578125" style="168"/>
    <col min="14607" max="14607" width="12.42578125" style="168" bestFit="1" customWidth="1"/>
    <col min="14608" max="14843" width="11.42578125" style="168"/>
    <col min="14844" max="14844" width="18.140625" style="168" customWidth="1"/>
    <col min="14845" max="14846" width="8.5703125" style="168" bestFit="1" customWidth="1"/>
    <col min="14847" max="14848" width="8.5703125" style="168" customWidth="1"/>
    <col min="14849" max="14849" width="9.42578125" style="168" bestFit="1" customWidth="1"/>
    <col min="14850" max="14850" width="7.5703125" style="168" bestFit="1" customWidth="1"/>
    <col min="14851" max="14852" width="7.5703125" style="168" customWidth="1"/>
    <col min="14853" max="14853" width="9.7109375" style="168" customWidth="1"/>
    <col min="14854" max="14859" width="0" style="168" hidden="1" customWidth="1"/>
    <col min="14860" max="14860" width="11.140625" style="168" customWidth="1"/>
    <col min="14861" max="14862" width="11.42578125" style="168"/>
    <col min="14863" max="14863" width="12.42578125" style="168" bestFit="1" customWidth="1"/>
    <col min="14864" max="15099" width="11.42578125" style="168"/>
    <col min="15100" max="15100" width="18.140625" style="168" customWidth="1"/>
    <col min="15101" max="15102" width="8.5703125" style="168" bestFit="1" customWidth="1"/>
    <col min="15103" max="15104" width="8.5703125" style="168" customWidth="1"/>
    <col min="15105" max="15105" width="9.42578125" style="168" bestFit="1" customWidth="1"/>
    <col min="15106" max="15106" width="7.5703125" style="168" bestFit="1" customWidth="1"/>
    <col min="15107" max="15108" width="7.5703125" style="168" customWidth="1"/>
    <col min="15109" max="15109" width="9.7109375" style="168" customWidth="1"/>
    <col min="15110" max="15115" width="0" style="168" hidden="1" customWidth="1"/>
    <col min="15116" max="15116" width="11.140625" style="168" customWidth="1"/>
    <col min="15117" max="15118" width="11.42578125" style="168"/>
    <col min="15119" max="15119" width="12.42578125" style="168" bestFit="1" customWidth="1"/>
    <col min="15120" max="15355" width="11.42578125" style="168"/>
    <col min="15356" max="15356" width="18.140625" style="168" customWidth="1"/>
    <col min="15357" max="15358" width="8.5703125" style="168" bestFit="1" customWidth="1"/>
    <col min="15359" max="15360" width="8.5703125" style="168" customWidth="1"/>
    <col min="15361" max="15361" width="9.42578125" style="168" bestFit="1" customWidth="1"/>
    <col min="15362" max="15362" width="7.5703125" style="168" bestFit="1" customWidth="1"/>
    <col min="15363" max="15364" width="7.5703125" style="168" customWidth="1"/>
    <col min="15365" max="15365" width="9.7109375" style="168" customWidth="1"/>
    <col min="15366" max="15371" width="0" style="168" hidden="1" customWidth="1"/>
    <col min="15372" max="15372" width="11.140625" style="168" customWidth="1"/>
    <col min="15373" max="15374" width="11.42578125" style="168"/>
    <col min="15375" max="15375" width="12.42578125" style="168" bestFit="1" customWidth="1"/>
    <col min="15376" max="15611" width="11.42578125" style="168"/>
    <col min="15612" max="15612" width="18.140625" style="168" customWidth="1"/>
    <col min="15613" max="15614" width="8.5703125" style="168" bestFit="1" customWidth="1"/>
    <col min="15615" max="15616" width="8.5703125" style="168" customWidth="1"/>
    <col min="15617" max="15617" width="9.42578125" style="168" bestFit="1" customWidth="1"/>
    <col min="15618" max="15618" width="7.5703125" style="168" bestFit="1" customWidth="1"/>
    <col min="15619" max="15620" width="7.5703125" style="168" customWidth="1"/>
    <col min="15621" max="15621" width="9.7109375" style="168" customWidth="1"/>
    <col min="15622" max="15627" width="0" style="168" hidden="1" customWidth="1"/>
    <col min="15628" max="15628" width="11.140625" style="168" customWidth="1"/>
    <col min="15629" max="15630" width="11.42578125" style="168"/>
    <col min="15631" max="15631" width="12.42578125" style="168" bestFit="1" customWidth="1"/>
    <col min="15632" max="15867" width="11.42578125" style="168"/>
    <col min="15868" max="15868" width="18.140625" style="168" customWidth="1"/>
    <col min="15869" max="15870" width="8.5703125" style="168" bestFit="1" customWidth="1"/>
    <col min="15871" max="15872" width="8.5703125" style="168" customWidth="1"/>
    <col min="15873" max="15873" width="9.42578125" style="168" bestFit="1" customWidth="1"/>
    <col min="15874" max="15874" width="7.5703125" style="168" bestFit="1" customWidth="1"/>
    <col min="15875" max="15876" width="7.5703125" style="168" customWidth="1"/>
    <col min="15877" max="15877" width="9.7109375" style="168" customWidth="1"/>
    <col min="15878" max="15883" width="0" style="168" hidden="1" customWidth="1"/>
    <col min="15884" max="15884" width="11.140625" style="168" customWidth="1"/>
    <col min="15885" max="15886" width="11.42578125" style="168"/>
    <col min="15887" max="15887" width="12.42578125" style="168" bestFit="1" customWidth="1"/>
    <col min="15888" max="16123" width="11.42578125" style="168"/>
    <col min="16124" max="16124" width="18.140625" style="168" customWidth="1"/>
    <col min="16125" max="16126" width="8.5703125" style="168" bestFit="1" customWidth="1"/>
    <col min="16127" max="16128" width="8.5703125" style="168" customWidth="1"/>
    <col min="16129" max="16129" width="9.42578125" style="168" bestFit="1" customWidth="1"/>
    <col min="16130" max="16130" width="7.5703125" style="168" bestFit="1" customWidth="1"/>
    <col min="16131" max="16132" width="7.5703125" style="168" customWidth="1"/>
    <col min="16133" max="16133" width="9.7109375" style="168" customWidth="1"/>
    <col min="16134" max="16139" width="0" style="168" hidden="1" customWidth="1"/>
    <col min="16140" max="16140" width="11.140625" style="168" customWidth="1"/>
    <col min="16141" max="16142" width="11.42578125" style="168"/>
    <col min="16143" max="16143" width="12.42578125" style="168" bestFit="1" customWidth="1"/>
    <col min="16144" max="16384" width="11.42578125" style="168"/>
  </cols>
  <sheetData>
    <row r="1" spans="1:17" s="169" customFormat="1" x14ac:dyDescent="0.2"/>
    <row r="2" spans="1:17" s="169" customFormat="1" x14ac:dyDescent="0.2">
      <c r="A2" s="196" t="s">
        <v>121</v>
      </c>
    </row>
    <row r="3" spans="1:17" s="169" customFormat="1" ht="15" x14ac:dyDescent="0.25">
      <c r="A3" s="196" t="s">
        <v>122</v>
      </c>
      <c r="J3" s="337"/>
    </row>
    <row r="4" spans="1:17" s="169" customFormat="1" x14ac:dyDescent="0.2"/>
    <row r="5" spans="1:17" s="169" customFormat="1" ht="12.75" x14ac:dyDescent="0.2">
      <c r="B5" s="418" t="s">
        <v>99</v>
      </c>
      <c r="C5" s="418"/>
      <c r="D5" s="418"/>
      <c r="E5" s="418"/>
      <c r="F5" s="418"/>
      <c r="G5" s="418"/>
      <c r="H5" s="418"/>
      <c r="I5" s="418"/>
      <c r="J5" s="418"/>
      <c r="K5" s="418"/>
      <c r="M5" s="367" t="s">
        <v>593</v>
      </c>
      <c r="O5" s="338"/>
    </row>
    <row r="6" spans="1:17" s="169" customFormat="1" ht="12.75" x14ac:dyDescent="0.2">
      <c r="B6" s="431" t="str">
        <f>'Solicitudes Regiones'!$B$6:$P$6</f>
        <v>Acumuladas de julio de 2008 a noviembre de 2018</v>
      </c>
      <c r="C6" s="431"/>
      <c r="D6" s="431"/>
      <c r="E6" s="431"/>
      <c r="F6" s="431"/>
      <c r="G6" s="431"/>
      <c r="H6" s="431"/>
      <c r="I6" s="431"/>
      <c r="J6" s="431"/>
      <c r="K6" s="431"/>
    </row>
    <row r="7" spans="1:17" s="172" customFormat="1" x14ac:dyDescent="0.2">
      <c r="B7" s="170"/>
      <c r="C7" s="171"/>
      <c r="D7" s="171"/>
      <c r="E7" s="171"/>
      <c r="F7" s="171"/>
      <c r="G7" s="171"/>
      <c r="H7" s="171"/>
      <c r="I7" s="171"/>
      <c r="J7" s="171"/>
      <c r="K7" s="171"/>
      <c r="L7" s="171"/>
    </row>
    <row r="8" spans="1:17" ht="15" customHeight="1" x14ac:dyDescent="0.2">
      <c r="B8" s="446" t="s">
        <v>98</v>
      </c>
      <c r="C8" s="446"/>
      <c r="D8" s="446"/>
      <c r="E8" s="446"/>
      <c r="F8" s="446"/>
      <c r="G8" s="446"/>
      <c r="H8" s="446"/>
      <c r="I8" s="446"/>
      <c r="J8" s="446"/>
      <c r="K8" s="446"/>
    </row>
    <row r="9" spans="1:17" ht="20.25" customHeight="1" x14ac:dyDescent="0.2">
      <c r="B9" s="446" t="s">
        <v>74</v>
      </c>
      <c r="C9" s="447" t="s">
        <v>2</v>
      </c>
      <c r="D9" s="448"/>
      <c r="E9" s="448"/>
      <c r="F9" s="448"/>
      <c r="G9" s="448"/>
      <c r="H9" s="448"/>
      <c r="I9" s="448"/>
      <c r="J9" s="448"/>
      <c r="K9" s="449"/>
    </row>
    <row r="10" spans="1:17" ht="24" x14ac:dyDescent="0.2">
      <c r="B10" s="446"/>
      <c r="C10" s="165" t="s">
        <v>75</v>
      </c>
      <c r="D10" s="165" t="s">
        <v>76</v>
      </c>
      <c r="E10" s="165" t="s">
        <v>77</v>
      </c>
      <c r="F10" s="165" t="s">
        <v>78</v>
      </c>
      <c r="G10" s="165" t="s">
        <v>8</v>
      </c>
      <c r="H10" s="165" t="s">
        <v>79</v>
      </c>
      <c r="I10" s="165" t="s">
        <v>80</v>
      </c>
      <c r="J10" s="165" t="s">
        <v>81</v>
      </c>
      <c r="K10" s="166" t="s">
        <v>46</v>
      </c>
    </row>
    <row r="11" spans="1:17" x14ac:dyDescent="0.2">
      <c r="B11" s="160" t="s">
        <v>53</v>
      </c>
      <c r="C11" s="160">
        <v>6338</v>
      </c>
      <c r="D11" s="160">
        <v>3007</v>
      </c>
      <c r="E11" s="160">
        <f>C11+D11</f>
        <v>9345</v>
      </c>
      <c r="F11" s="161">
        <f>E11/$E$20</f>
        <v>0.62412342215988781</v>
      </c>
      <c r="G11" s="160">
        <v>19757</v>
      </c>
      <c r="H11" s="160">
        <v>1081</v>
      </c>
      <c r="I11" s="160">
        <f>G11+H11</f>
        <v>20838</v>
      </c>
      <c r="J11" s="161">
        <f>I11/$I$20</f>
        <v>0.65378219809870419</v>
      </c>
      <c r="K11" s="160">
        <f t="shared" ref="K11:K19" si="0">E11+I11</f>
        <v>30183</v>
      </c>
      <c r="Q11" s="173"/>
    </row>
    <row r="12" spans="1:17" x14ac:dyDescent="0.2">
      <c r="B12" s="160" t="s">
        <v>152</v>
      </c>
      <c r="C12" s="160">
        <v>183</v>
      </c>
      <c r="D12" s="160">
        <v>70</v>
      </c>
      <c r="E12" s="160">
        <f t="shared" ref="E12:E19" si="1">C12+D12</f>
        <v>253</v>
      </c>
      <c r="F12" s="161">
        <f t="shared" ref="F12:F19" si="2">E12/$E$20</f>
        <v>1.6897081413210446E-2</v>
      </c>
      <c r="G12" s="160">
        <v>560</v>
      </c>
      <c r="H12" s="160">
        <v>25</v>
      </c>
      <c r="I12" s="160">
        <f t="shared" ref="I12:I19" si="3">G12+H12</f>
        <v>585</v>
      </c>
      <c r="J12" s="161">
        <f t="shared" ref="J12:J19" si="4">I12/$I$20</f>
        <v>1.8354092805823112E-2</v>
      </c>
      <c r="K12" s="160">
        <f t="shared" si="0"/>
        <v>838</v>
      </c>
      <c r="Q12" s="173"/>
    </row>
    <row r="13" spans="1:17" x14ac:dyDescent="0.2">
      <c r="B13" s="160" t="s">
        <v>153</v>
      </c>
      <c r="C13" s="160">
        <v>22</v>
      </c>
      <c r="D13" s="160">
        <v>5</v>
      </c>
      <c r="E13" s="160">
        <f t="shared" si="1"/>
        <v>27</v>
      </c>
      <c r="F13" s="161">
        <f t="shared" si="2"/>
        <v>1.8032458425165298E-3</v>
      </c>
      <c r="G13" s="160">
        <v>39</v>
      </c>
      <c r="H13" s="160">
        <v>2</v>
      </c>
      <c r="I13" s="160">
        <f t="shared" si="3"/>
        <v>41</v>
      </c>
      <c r="J13" s="161">
        <f t="shared" si="4"/>
        <v>1.2863552222884573E-3</v>
      </c>
      <c r="K13" s="160">
        <f t="shared" si="0"/>
        <v>68</v>
      </c>
      <c r="Q13" s="173"/>
    </row>
    <row r="14" spans="1:17" x14ac:dyDescent="0.2">
      <c r="B14" s="160" t="s">
        <v>154</v>
      </c>
      <c r="C14" s="160">
        <v>287</v>
      </c>
      <c r="D14" s="160">
        <v>217</v>
      </c>
      <c r="E14" s="160">
        <f t="shared" si="1"/>
        <v>504</v>
      </c>
      <c r="F14" s="161">
        <f t="shared" si="2"/>
        <v>3.3660589060308554E-2</v>
      </c>
      <c r="G14" s="160">
        <v>962</v>
      </c>
      <c r="H14" s="160">
        <v>47</v>
      </c>
      <c r="I14" s="160">
        <f t="shared" si="3"/>
        <v>1009</v>
      </c>
      <c r="J14" s="161">
        <f t="shared" si="4"/>
        <v>3.1656888275342764E-2</v>
      </c>
      <c r="K14" s="160">
        <f t="shared" si="0"/>
        <v>1513</v>
      </c>
      <c r="Q14" s="173"/>
    </row>
    <row r="15" spans="1:17" x14ac:dyDescent="0.2">
      <c r="B15" s="160" t="s">
        <v>155</v>
      </c>
      <c r="C15" s="160">
        <v>2544</v>
      </c>
      <c r="D15" s="160">
        <v>879</v>
      </c>
      <c r="E15" s="160">
        <f t="shared" si="1"/>
        <v>3423</v>
      </c>
      <c r="F15" s="161">
        <f t="shared" si="2"/>
        <v>0.22861150070126227</v>
      </c>
      <c r="G15" s="160">
        <v>6327</v>
      </c>
      <c r="H15" s="160">
        <v>290</v>
      </c>
      <c r="I15" s="160">
        <f t="shared" si="3"/>
        <v>6617</v>
      </c>
      <c r="J15" s="161">
        <f t="shared" si="4"/>
        <v>0.20760518307031028</v>
      </c>
      <c r="K15" s="160">
        <f t="shared" si="0"/>
        <v>10040</v>
      </c>
      <c r="Q15" s="173"/>
    </row>
    <row r="16" spans="1:17" x14ac:dyDescent="0.2">
      <c r="B16" s="160" t="s">
        <v>156</v>
      </c>
      <c r="C16" s="160">
        <v>15</v>
      </c>
      <c r="D16" s="160">
        <v>1</v>
      </c>
      <c r="E16" s="160">
        <f t="shared" si="1"/>
        <v>16</v>
      </c>
      <c r="F16" s="161">
        <f t="shared" si="2"/>
        <v>1.0685901288986844E-3</v>
      </c>
      <c r="G16" s="160">
        <v>13</v>
      </c>
      <c r="H16" s="160">
        <v>0</v>
      </c>
      <c r="I16" s="160">
        <f t="shared" si="3"/>
        <v>13</v>
      </c>
      <c r="J16" s="161">
        <f t="shared" si="4"/>
        <v>4.0786872901829135E-4</v>
      </c>
      <c r="K16" s="160">
        <f t="shared" si="0"/>
        <v>29</v>
      </c>
      <c r="Q16" s="173"/>
    </row>
    <row r="17" spans="2:17" ht="24" x14ac:dyDescent="0.2">
      <c r="B17" s="160" t="s">
        <v>157</v>
      </c>
      <c r="C17" s="160">
        <v>150</v>
      </c>
      <c r="D17" s="160">
        <v>41</v>
      </c>
      <c r="E17" s="160">
        <f t="shared" si="1"/>
        <v>191</v>
      </c>
      <c r="F17" s="161">
        <f t="shared" si="2"/>
        <v>1.2756294663728044E-2</v>
      </c>
      <c r="G17" s="160">
        <v>270</v>
      </c>
      <c r="H17" s="160">
        <v>10</v>
      </c>
      <c r="I17" s="160">
        <f t="shared" si="3"/>
        <v>280</v>
      </c>
      <c r="J17" s="161">
        <f t="shared" si="4"/>
        <v>8.7848649327016606E-3</v>
      </c>
      <c r="K17" s="160">
        <f t="shared" si="0"/>
        <v>471</v>
      </c>
      <c r="Q17" s="173"/>
    </row>
    <row r="18" spans="2:17" x14ac:dyDescent="0.2">
      <c r="B18" s="160" t="s">
        <v>158</v>
      </c>
      <c r="C18" s="160">
        <v>702</v>
      </c>
      <c r="D18" s="160">
        <v>422</v>
      </c>
      <c r="E18" s="160">
        <f t="shared" si="1"/>
        <v>1124</v>
      </c>
      <c r="F18" s="161">
        <f t="shared" si="2"/>
        <v>7.5068456555132571E-2</v>
      </c>
      <c r="G18" s="160">
        <v>2195</v>
      </c>
      <c r="H18" s="160">
        <v>107</v>
      </c>
      <c r="I18" s="160">
        <f t="shared" si="3"/>
        <v>2302</v>
      </c>
      <c r="J18" s="161">
        <f t="shared" si="4"/>
        <v>7.2224139553854358E-2</v>
      </c>
      <c r="K18" s="160">
        <f t="shared" si="0"/>
        <v>3426</v>
      </c>
      <c r="Q18" s="173"/>
    </row>
    <row r="19" spans="2:17" x14ac:dyDescent="0.2">
      <c r="B19" s="160" t="s">
        <v>159</v>
      </c>
      <c r="C19" s="160">
        <v>70</v>
      </c>
      <c r="D19" s="160">
        <v>20</v>
      </c>
      <c r="E19" s="160">
        <f t="shared" si="1"/>
        <v>90</v>
      </c>
      <c r="F19" s="161">
        <f t="shared" si="2"/>
        <v>6.0108194750550991E-3</v>
      </c>
      <c r="G19" s="160">
        <v>181</v>
      </c>
      <c r="H19" s="160">
        <v>7</v>
      </c>
      <c r="I19" s="160">
        <f t="shared" si="3"/>
        <v>188</v>
      </c>
      <c r="J19" s="161">
        <f t="shared" si="4"/>
        <v>5.8984093119568287E-3</v>
      </c>
      <c r="K19" s="160">
        <f t="shared" si="0"/>
        <v>278</v>
      </c>
      <c r="Q19" s="173"/>
    </row>
    <row r="20" spans="2:17" x14ac:dyDescent="0.2">
      <c r="B20" s="162" t="s">
        <v>66</v>
      </c>
      <c r="C20" s="160">
        <f>SUM(C11:C19)</f>
        <v>10311</v>
      </c>
      <c r="D20" s="160">
        <f>SUM(D11:D19)</f>
        <v>4662</v>
      </c>
      <c r="E20" s="162">
        <f t="shared" ref="E20" si="5">C20+D20</f>
        <v>14973</v>
      </c>
      <c r="F20" s="164">
        <f t="shared" ref="F20" si="6">E20/$E$20</f>
        <v>1</v>
      </c>
      <c r="G20" s="160">
        <f t="shared" ref="G20:H20" si="7">SUM(G11:G19)</f>
        <v>30304</v>
      </c>
      <c r="H20" s="160">
        <f t="shared" si="7"/>
        <v>1569</v>
      </c>
      <c r="I20" s="162">
        <f t="shared" ref="I20" si="8">G20+H20</f>
        <v>31873</v>
      </c>
      <c r="J20" s="164">
        <f t="shared" ref="J20" si="9">I20/$I$20</f>
        <v>1</v>
      </c>
      <c r="K20" s="162">
        <f t="shared" ref="K20:K21" si="10">E20+I20</f>
        <v>46846</v>
      </c>
      <c r="Q20" s="173"/>
    </row>
    <row r="21" spans="2:17" ht="25.5" customHeight="1" x14ac:dyDescent="0.2">
      <c r="B21" s="174" t="s">
        <v>82</v>
      </c>
      <c r="C21" s="175">
        <f>+C20/$K$20</f>
        <v>0.22010417111386243</v>
      </c>
      <c r="D21" s="175">
        <f>+D20/$K$20</f>
        <v>9.9517568202194429E-2</v>
      </c>
      <c r="E21" s="176">
        <f>C21+D21</f>
        <v>0.31962173931605686</v>
      </c>
      <c r="F21" s="176"/>
      <c r="G21" s="175">
        <f>+G20/$K$20</f>
        <v>0.64688553985398967</v>
      </c>
      <c r="H21" s="175">
        <f>+H20/$K$20</f>
        <v>3.3492720829953464E-2</v>
      </c>
      <c r="I21" s="176">
        <f>G21+H21</f>
        <v>0.68037826068394314</v>
      </c>
      <c r="J21" s="176"/>
      <c r="K21" s="176">
        <f t="shared" si="10"/>
        <v>1</v>
      </c>
    </row>
    <row r="22" spans="2:17" ht="15.75" customHeight="1" x14ac:dyDescent="0.2">
      <c r="B22" s="177"/>
      <c r="C22" s="178"/>
      <c r="D22" s="178"/>
      <c r="E22" s="179"/>
      <c r="F22" s="179"/>
      <c r="G22" s="178"/>
      <c r="H22" s="178"/>
      <c r="I22" s="179"/>
      <c r="J22" s="179"/>
      <c r="K22" s="179"/>
      <c r="L22" s="179"/>
    </row>
    <row r="23" spans="2:17" ht="15.75" customHeight="1" x14ac:dyDescent="0.2">
      <c r="B23" s="418" t="s">
        <v>100</v>
      </c>
      <c r="C23" s="418"/>
      <c r="D23" s="418"/>
      <c r="E23" s="418"/>
      <c r="F23" s="418"/>
      <c r="G23" s="418"/>
      <c r="H23" s="418"/>
      <c r="I23" s="418"/>
      <c r="J23" s="418"/>
      <c r="K23" s="418"/>
      <c r="L23" s="179"/>
    </row>
    <row r="24" spans="2:17" ht="15.75" customHeight="1" x14ac:dyDescent="0.2">
      <c r="B24" s="431" t="str">
        <f>'Solicitudes Regiones'!$B$6:$P$6</f>
        <v>Acumuladas de julio de 2008 a noviembre de 2018</v>
      </c>
      <c r="C24" s="431"/>
      <c r="D24" s="431"/>
      <c r="E24" s="431"/>
      <c r="F24" s="431"/>
      <c r="G24" s="431"/>
      <c r="H24" s="431"/>
      <c r="I24" s="431"/>
      <c r="J24" s="431"/>
      <c r="K24" s="431"/>
      <c r="L24" s="179"/>
    </row>
    <row r="25" spans="2:17" x14ac:dyDescent="0.2">
      <c r="B25" s="180"/>
      <c r="C25" s="180"/>
      <c r="D25" s="180"/>
      <c r="E25" s="180"/>
      <c r="F25" s="180"/>
      <c r="G25" s="180"/>
      <c r="H25" s="180"/>
      <c r="I25" s="180"/>
      <c r="J25" s="180"/>
      <c r="K25" s="180"/>
    </row>
    <row r="26" spans="2:17" ht="12.75" customHeight="1" x14ac:dyDescent="0.2">
      <c r="B26" s="446" t="s">
        <v>83</v>
      </c>
      <c r="C26" s="446"/>
      <c r="D26" s="446"/>
      <c r="E26" s="446"/>
      <c r="F26" s="446"/>
      <c r="G26" s="446"/>
      <c r="H26" s="446"/>
      <c r="I26" s="446"/>
      <c r="J26" s="446"/>
      <c r="K26" s="446"/>
      <c r="L26" s="181"/>
    </row>
    <row r="27" spans="2:17" ht="20.25" customHeight="1" x14ac:dyDescent="0.2">
      <c r="B27" s="446" t="s">
        <v>74</v>
      </c>
      <c r="C27" s="446" t="s">
        <v>2</v>
      </c>
      <c r="D27" s="446"/>
      <c r="E27" s="446"/>
      <c r="F27" s="446"/>
      <c r="G27" s="446"/>
      <c r="H27" s="446"/>
      <c r="I27" s="446"/>
      <c r="J27" s="446"/>
      <c r="K27" s="446"/>
    </row>
    <row r="28" spans="2:17" ht="24" customHeight="1" x14ac:dyDescent="0.2">
      <c r="B28" s="446"/>
      <c r="C28" s="165" t="s">
        <v>75</v>
      </c>
      <c r="D28" s="165" t="s">
        <v>76</v>
      </c>
      <c r="E28" s="165" t="s">
        <v>77</v>
      </c>
      <c r="F28" s="165" t="s">
        <v>78</v>
      </c>
      <c r="G28" s="165" t="s">
        <v>8</v>
      </c>
      <c r="H28" s="165" t="s">
        <v>79</v>
      </c>
      <c r="I28" s="165" t="s">
        <v>80</v>
      </c>
      <c r="J28" s="165" t="s">
        <v>81</v>
      </c>
      <c r="K28" s="166" t="s">
        <v>46</v>
      </c>
    </row>
    <row r="29" spans="2:17" ht="15.75" customHeight="1" x14ac:dyDescent="0.2">
      <c r="B29" s="160" t="s">
        <v>53</v>
      </c>
      <c r="C29" s="160">
        <v>5196</v>
      </c>
      <c r="D29" s="160">
        <v>1914</v>
      </c>
      <c r="E29" s="160">
        <f>D29+C29</f>
        <v>7110</v>
      </c>
      <c r="F29" s="161">
        <f>E29/$E$38</f>
        <v>0.62319221667104918</v>
      </c>
      <c r="G29" s="160">
        <v>15520</v>
      </c>
      <c r="H29" s="160">
        <v>830</v>
      </c>
      <c r="I29" s="160">
        <f>G29+H29</f>
        <v>16350</v>
      </c>
      <c r="J29" s="161">
        <f>I29/$I$38</f>
        <v>0.65160210425633669</v>
      </c>
      <c r="K29" s="160">
        <f t="shared" ref="K29:K37" si="11">E29+I29</f>
        <v>23460</v>
      </c>
    </row>
    <row r="30" spans="2:17" x14ac:dyDescent="0.2">
      <c r="B30" s="160" t="s">
        <v>152</v>
      </c>
      <c r="C30" s="160">
        <v>139</v>
      </c>
      <c r="D30" s="160">
        <v>43</v>
      </c>
      <c r="E30" s="160">
        <f t="shared" ref="E30:E37" si="12">D30+C30</f>
        <v>182</v>
      </c>
      <c r="F30" s="161">
        <f t="shared" ref="F30:F37" si="13">E30/$E$38</f>
        <v>1.5952318345166097E-2</v>
      </c>
      <c r="G30" s="160">
        <v>427</v>
      </c>
      <c r="H30" s="160">
        <v>20</v>
      </c>
      <c r="I30" s="160">
        <f t="shared" ref="I30:I37" si="14">G30+H30</f>
        <v>447</v>
      </c>
      <c r="J30" s="161">
        <f t="shared" ref="J30:J37" si="15">I30/$I$38</f>
        <v>1.7814442850310856E-2</v>
      </c>
      <c r="K30" s="160">
        <f t="shared" si="11"/>
        <v>629</v>
      </c>
    </row>
    <row r="31" spans="2:17" x14ac:dyDescent="0.2">
      <c r="B31" s="160" t="s">
        <v>153</v>
      </c>
      <c r="C31" s="160">
        <v>19</v>
      </c>
      <c r="D31" s="160">
        <v>2</v>
      </c>
      <c r="E31" s="160">
        <f t="shared" si="12"/>
        <v>21</v>
      </c>
      <c r="F31" s="161">
        <f t="shared" si="13"/>
        <v>1.8406521167499343E-3</v>
      </c>
      <c r="G31" s="160">
        <v>29</v>
      </c>
      <c r="H31" s="160">
        <v>1</v>
      </c>
      <c r="I31" s="160">
        <f t="shared" si="14"/>
        <v>30</v>
      </c>
      <c r="J31" s="161">
        <f t="shared" si="15"/>
        <v>1.1956001912960307E-3</v>
      </c>
      <c r="K31" s="160">
        <f t="shared" si="11"/>
        <v>51</v>
      </c>
    </row>
    <row r="32" spans="2:17" x14ac:dyDescent="0.2">
      <c r="B32" s="160" t="s">
        <v>154</v>
      </c>
      <c r="C32" s="160">
        <v>221</v>
      </c>
      <c r="D32" s="160">
        <v>110</v>
      </c>
      <c r="E32" s="160">
        <f t="shared" si="12"/>
        <v>331</v>
      </c>
      <c r="F32" s="161">
        <f t="shared" si="13"/>
        <v>2.9012183364010867E-2</v>
      </c>
      <c r="G32" s="160">
        <v>746</v>
      </c>
      <c r="H32" s="160">
        <v>31</v>
      </c>
      <c r="I32" s="160">
        <f t="shared" si="14"/>
        <v>777</v>
      </c>
      <c r="J32" s="161">
        <f t="shared" si="15"/>
        <v>3.0966044954567194E-2</v>
      </c>
      <c r="K32" s="160">
        <f t="shared" si="11"/>
        <v>1108</v>
      </c>
    </row>
    <row r="33" spans="2:11" x14ac:dyDescent="0.2">
      <c r="B33" s="160" t="s">
        <v>155</v>
      </c>
      <c r="C33" s="160">
        <v>2072</v>
      </c>
      <c r="D33" s="160">
        <v>635</v>
      </c>
      <c r="E33" s="160">
        <f t="shared" si="12"/>
        <v>2707</v>
      </c>
      <c r="F33" s="161">
        <f t="shared" si="13"/>
        <v>0.2372688228591463</v>
      </c>
      <c r="G33" s="160">
        <v>5022</v>
      </c>
      <c r="H33" s="160">
        <v>214</v>
      </c>
      <c r="I33" s="160">
        <f t="shared" si="14"/>
        <v>5236</v>
      </c>
      <c r="J33" s="161">
        <f t="shared" si="15"/>
        <v>0.20867208672086721</v>
      </c>
      <c r="K33" s="160">
        <f t="shared" si="11"/>
        <v>7943</v>
      </c>
    </row>
    <row r="34" spans="2:11" x14ac:dyDescent="0.2">
      <c r="B34" s="160" t="s">
        <v>156</v>
      </c>
      <c r="C34" s="160">
        <v>14</v>
      </c>
      <c r="D34" s="160">
        <v>1</v>
      </c>
      <c r="E34" s="160">
        <f t="shared" si="12"/>
        <v>15</v>
      </c>
      <c r="F34" s="161">
        <f t="shared" si="13"/>
        <v>1.3147515119642387E-3</v>
      </c>
      <c r="G34" s="160">
        <v>13</v>
      </c>
      <c r="H34" s="160">
        <v>0</v>
      </c>
      <c r="I34" s="160">
        <f t="shared" si="14"/>
        <v>13</v>
      </c>
      <c r="J34" s="161">
        <f t="shared" si="15"/>
        <v>5.1809341622827988E-4</v>
      </c>
      <c r="K34" s="160">
        <f t="shared" si="11"/>
        <v>28</v>
      </c>
    </row>
    <row r="35" spans="2:11" ht="24" x14ac:dyDescent="0.2">
      <c r="B35" s="160" t="s">
        <v>157</v>
      </c>
      <c r="C35" s="160">
        <v>132</v>
      </c>
      <c r="D35" s="160">
        <v>26</v>
      </c>
      <c r="E35" s="160">
        <f t="shared" si="12"/>
        <v>158</v>
      </c>
      <c r="F35" s="161">
        <f t="shared" si="13"/>
        <v>1.3848715926023315E-2</v>
      </c>
      <c r="G35" s="160">
        <v>225</v>
      </c>
      <c r="H35" s="160">
        <v>7</v>
      </c>
      <c r="I35" s="160">
        <f t="shared" si="14"/>
        <v>232</v>
      </c>
      <c r="J35" s="161">
        <f t="shared" si="15"/>
        <v>9.2459748126893036E-3</v>
      </c>
      <c r="K35" s="160">
        <f t="shared" si="11"/>
        <v>390</v>
      </c>
    </row>
    <row r="36" spans="2:11" x14ac:dyDescent="0.2">
      <c r="B36" s="160" t="s">
        <v>158</v>
      </c>
      <c r="C36" s="160">
        <v>590</v>
      </c>
      <c r="D36" s="160">
        <v>232</v>
      </c>
      <c r="E36" s="160">
        <f t="shared" si="12"/>
        <v>822</v>
      </c>
      <c r="F36" s="161">
        <f t="shared" si="13"/>
        <v>7.2048382855640289E-2</v>
      </c>
      <c r="G36" s="160">
        <v>1786</v>
      </c>
      <c r="H36" s="160">
        <v>80</v>
      </c>
      <c r="I36" s="160">
        <f t="shared" si="14"/>
        <v>1866</v>
      </c>
      <c r="J36" s="161">
        <f t="shared" si="15"/>
        <v>7.4366331898613108E-2</v>
      </c>
      <c r="K36" s="160">
        <f t="shared" si="11"/>
        <v>2688</v>
      </c>
    </row>
    <row r="37" spans="2:11" x14ac:dyDescent="0.2">
      <c r="B37" s="160" t="s">
        <v>159</v>
      </c>
      <c r="C37" s="160">
        <v>50</v>
      </c>
      <c r="D37" s="160">
        <v>13</v>
      </c>
      <c r="E37" s="160">
        <f t="shared" si="12"/>
        <v>63</v>
      </c>
      <c r="F37" s="161">
        <f t="shared" si="13"/>
        <v>5.5219563502498029E-3</v>
      </c>
      <c r="G37" s="160">
        <v>136</v>
      </c>
      <c r="H37" s="160">
        <v>5</v>
      </c>
      <c r="I37" s="160">
        <f t="shared" si="14"/>
        <v>141</v>
      </c>
      <c r="J37" s="161">
        <f t="shared" si="15"/>
        <v>5.6193208990913436E-3</v>
      </c>
      <c r="K37" s="160">
        <f t="shared" si="11"/>
        <v>204</v>
      </c>
    </row>
    <row r="38" spans="2:11" x14ac:dyDescent="0.2">
      <c r="B38" s="162" t="s">
        <v>66</v>
      </c>
      <c r="C38" s="160">
        <f t="shared" ref="C38:H38" si="16">SUM(C29:C37)</f>
        <v>8433</v>
      </c>
      <c r="D38" s="160">
        <f t="shared" si="16"/>
        <v>2976</v>
      </c>
      <c r="E38" s="162">
        <f t="shared" ref="E38" si="17">D38+C38</f>
        <v>11409</v>
      </c>
      <c r="F38" s="164">
        <f t="shared" ref="F38" si="18">E38/$E$38</f>
        <v>1</v>
      </c>
      <c r="G38" s="160">
        <f t="shared" si="16"/>
        <v>23904</v>
      </c>
      <c r="H38" s="160">
        <f t="shared" si="16"/>
        <v>1188</v>
      </c>
      <c r="I38" s="162">
        <f t="shared" ref="I38" si="19">G38+H38</f>
        <v>25092</v>
      </c>
      <c r="J38" s="164">
        <f t="shared" ref="J38" si="20">I38/$I$38</f>
        <v>1</v>
      </c>
      <c r="K38" s="162">
        <f>SUM(K29:K37)</f>
        <v>36501</v>
      </c>
    </row>
    <row r="39" spans="2:11" ht="24" x14ac:dyDescent="0.2">
      <c r="B39" s="174" t="s">
        <v>84</v>
      </c>
      <c r="C39" s="175">
        <f>+C38/$K$38</f>
        <v>0.23103476617078983</v>
      </c>
      <c r="D39" s="175">
        <f>+D38/$K$38</f>
        <v>8.1532012821566538E-2</v>
      </c>
      <c r="E39" s="176">
        <f>C39+D39</f>
        <v>0.31256677899235635</v>
      </c>
      <c r="F39" s="176"/>
      <c r="G39" s="175">
        <f>+G38/$K$38</f>
        <v>0.65488616750226025</v>
      </c>
      <c r="H39" s="175">
        <f>+H38/$K$38</f>
        <v>3.2547053505383415E-2</v>
      </c>
      <c r="I39" s="176">
        <f>G39+H39</f>
        <v>0.6874332210076437</v>
      </c>
      <c r="J39" s="176"/>
      <c r="K39" s="176">
        <f>E39+I39</f>
        <v>1</v>
      </c>
    </row>
    <row r="40" spans="2:11" x14ac:dyDescent="0.2">
      <c r="B40" s="167" t="s">
        <v>149</v>
      </c>
    </row>
    <row r="41" spans="2:11" x14ac:dyDescent="0.2">
      <c r="B41" s="167" t="s">
        <v>150</v>
      </c>
    </row>
    <row r="131" spans="2:2" x14ac:dyDescent="0.2">
      <c r="B131" s="168" t="s">
        <v>96</v>
      </c>
    </row>
  </sheetData>
  <mergeCells count="10">
    <mergeCell ref="B6:K6"/>
    <mergeCell ref="B5:K5"/>
    <mergeCell ref="B23:K23"/>
    <mergeCell ref="B24:K24"/>
    <mergeCell ref="B27:B28"/>
    <mergeCell ref="C27:K27"/>
    <mergeCell ref="B8:K8"/>
    <mergeCell ref="B9:B10"/>
    <mergeCell ref="C9:K9"/>
    <mergeCell ref="B26:K26"/>
  </mergeCells>
  <hyperlinks>
    <hyperlink ref="M5" location="'Índice Pensiones Solidarias'!A1" display="Volver Sistema de Pensiones Solidadias" xr:uid="{00000000-0004-0000-0900-000000000000}"/>
  </hyperlinks>
  <pageMargins left="0.74803149606299213" right="0.74803149606299213" top="0.98425196850393704" bottom="0.98425196850393704" header="0" footer="0"/>
  <pageSetup scale="78" orientation="portrait" r:id="rId1"/>
  <headerFooter alignWithMargins="0"/>
  <ignoredErrors>
    <ignoredError sqref="K38"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1">
    <pageSetUpPr fitToPage="1"/>
  </sheetPr>
  <dimension ref="A1:Q131"/>
  <sheetViews>
    <sheetView showGridLines="0" zoomScaleNormal="100" workbookViewId="0"/>
  </sheetViews>
  <sheetFormatPr baseColWidth="10" defaultRowHeight="12" x14ac:dyDescent="0.2"/>
  <cols>
    <col min="1" max="1" width="6" style="168" customWidth="1"/>
    <col min="2" max="2" width="18.140625" style="168" customWidth="1"/>
    <col min="3" max="3" width="8.42578125" style="168" bestFit="1" customWidth="1"/>
    <col min="4" max="4" width="8.28515625" style="168" bestFit="1" customWidth="1"/>
    <col min="5" max="6" width="8.28515625" style="168" customWidth="1"/>
    <col min="7" max="7" width="8.42578125" style="168" bestFit="1" customWidth="1"/>
    <col min="8" max="8" width="7.42578125" style="168" bestFit="1" customWidth="1"/>
    <col min="9" max="11" width="7.42578125" style="168" customWidth="1"/>
    <col min="12" max="12" width="10.140625" style="168" customWidth="1"/>
    <col min="13" max="14" width="11.42578125" style="168"/>
    <col min="15" max="15" width="12.42578125" style="168" bestFit="1" customWidth="1"/>
    <col min="16" max="251" width="11.42578125" style="168"/>
    <col min="252" max="252" width="18.140625" style="168" customWidth="1"/>
    <col min="253" max="253" width="8.42578125" style="168" bestFit="1" customWidth="1"/>
    <col min="254" max="254" width="8.28515625" style="168" bestFit="1" customWidth="1"/>
    <col min="255" max="256" width="8.28515625" style="168" customWidth="1"/>
    <col min="257" max="257" width="8.42578125" style="168" bestFit="1" customWidth="1"/>
    <col min="258" max="258" width="7.42578125" style="168" bestFit="1" customWidth="1"/>
    <col min="259" max="261" width="7.42578125" style="168" customWidth="1"/>
    <col min="262" max="267" width="0" style="168" hidden="1" customWidth="1"/>
    <col min="268" max="268" width="10.140625" style="168" customWidth="1"/>
    <col min="269" max="270" width="11.42578125" style="168"/>
    <col min="271" max="271" width="12.42578125" style="168" bestFit="1" customWidth="1"/>
    <col min="272" max="507" width="11.42578125" style="168"/>
    <col min="508" max="508" width="18.140625" style="168" customWidth="1"/>
    <col min="509" max="509" width="8.42578125" style="168" bestFit="1" customWidth="1"/>
    <col min="510" max="510" width="8.28515625" style="168" bestFit="1" customWidth="1"/>
    <col min="511" max="512" width="8.28515625" style="168" customWidth="1"/>
    <col min="513" max="513" width="8.42578125" style="168" bestFit="1" customWidth="1"/>
    <col min="514" max="514" width="7.42578125" style="168" bestFit="1" customWidth="1"/>
    <col min="515" max="517" width="7.42578125" style="168" customWidth="1"/>
    <col min="518" max="523" width="0" style="168" hidden="1" customWidth="1"/>
    <col min="524" max="524" width="10.140625" style="168" customWidth="1"/>
    <col min="525" max="526" width="11.42578125" style="168"/>
    <col min="527" max="527" width="12.42578125" style="168" bestFit="1" customWidth="1"/>
    <col min="528" max="763" width="11.42578125" style="168"/>
    <col min="764" max="764" width="18.140625" style="168" customWidth="1"/>
    <col min="765" max="765" width="8.42578125" style="168" bestFit="1" customWidth="1"/>
    <col min="766" max="766" width="8.28515625" style="168" bestFit="1" customWidth="1"/>
    <col min="767" max="768" width="8.28515625" style="168" customWidth="1"/>
    <col min="769" max="769" width="8.42578125" style="168" bestFit="1" customWidth="1"/>
    <col min="770" max="770" width="7.42578125" style="168" bestFit="1" customWidth="1"/>
    <col min="771" max="773" width="7.42578125" style="168" customWidth="1"/>
    <col min="774" max="779" width="0" style="168" hidden="1" customWidth="1"/>
    <col min="780" max="780" width="10.140625" style="168" customWidth="1"/>
    <col min="781" max="782" width="11.42578125" style="168"/>
    <col min="783" max="783" width="12.42578125" style="168" bestFit="1" customWidth="1"/>
    <col min="784" max="1019" width="11.42578125" style="168"/>
    <col min="1020" max="1020" width="18.140625" style="168" customWidth="1"/>
    <col min="1021" max="1021" width="8.42578125" style="168" bestFit="1" customWidth="1"/>
    <col min="1022" max="1022" width="8.28515625" style="168" bestFit="1" customWidth="1"/>
    <col min="1023" max="1024" width="8.28515625" style="168" customWidth="1"/>
    <col min="1025" max="1025" width="8.42578125" style="168" bestFit="1" customWidth="1"/>
    <col min="1026" max="1026" width="7.42578125" style="168" bestFit="1" customWidth="1"/>
    <col min="1027" max="1029" width="7.42578125" style="168" customWidth="1"/>
    <col min="1030" max="1035" width="0" style="168" hidden="1" customWidth="1"/>
    <col min="1036" max="1036" width="10.140625" style="168" customWidth="1"/>
    <col min="1037" max="1038" width="11.42578125" style="168"/>
    <col min="1039" max="1039" width="12.42578125" style="168" bestFit="1" customWidth="1"/>
    <col min="1040" max="1275" width="11.42578125" style="168"/>
    <col min="1276" max="1276" width="18.140625" style="168" customWidth="1"/>
    <col min="1277" max="1277" width="8.42578125" style="168" bestFit="1" customWidth="1"/>
    <col min="1278" max="1278" width="8.28515625" style="168" bestFit="1" customWidth="1"/>
    <col min="1279" max="1280" width="8.28515625" style="168" customWidth="1"/>
    <col min="1281" max="1281" width="8.42578125" style="168" bestFit="1" customWidth="1"/>
    <col min="1282" max="1282" width="7.42578125" style="168" bestFit="1" customWidth="1"/>
    <col min="1283" max="1285" width="7.42578125" style="168" customWidth="1"/>
    <col min="1286" max="1291" width="0" style="168" hidden="1" customWidth="1"/>
    <col min="1292" max="1292" width="10.140625" style="168" customWidth="1"/>
    <col min="1293" max="1294" width="11.42578125" style="168"/>
    <col min="1295" max="1295" width="12.42578125" style="168" bestFit="1" customWidth="1"/>
    <col min="1296" max="1531" width="11.42578125" style="168"/>
    <col min="1532" max="1532" width="18.140625" style="168" customWidth="1"/>
    <col min="1533" max="1533" width="8.42578125" style="168" bestFit="1" customWidth="1"/>
    <col min="1534" max="1534" width="8.28515625" style="168" bestFit="1" customWidth="1"/>
    <col min="1535" max="1536" width="8.28515625" style="168" customWidth="1"/>
    <col min="1537" max="1537" width="8.42578125" style="168" bestFit="1" customWidth="1"/>
    <col min="1538" max="1538" width="7.42578125" style="168" bestFit="1" customWidth="1"/>
    <col min="1539" max="1541" width="7.42578125" style="168" customWidth="1"/>
    <col min="1542" max="1547" width="0" style="168" hidden="1" customWidth="1"/>
    <col min="1548" max="1548" width="10.140625" style="168" customWidth="1"/>
    <col min="1549" max="1550" width="11.42578125" style="168"/>
    <col min="1551" max="1551" width="12.42578125" style="168" bestFit="1" customWidth="1"/>
    <col min="1552" max="1787" width="11.42578125" style="168"/>
    <col min="1788" max="1788" width="18.140625" style="168" customWidth="1"/>
    <col min="1789" max="1789" width="8.42578125" style="168" bestFit="1" customWidth="1"/>
    <col min="1790" max="1790" width="8.28515625" style="168" bestFit="1" customWidth="1"/>
    <col min="1791" max="1792" width="8.28515625" style="168" customWidth="1"/>
    <col min="1793" max="1793" width="8.42578125" style="168" bestFit="1" customWidth="1"/>
    <col min="1794" max="1794" width="7.42578125" style="168" bestFit="1" customWidth="1"/>
    <col min="1795" max="1797" width="7.42578125" style="168" customWidth="1"/>
    <col min="1798" max="1803" width="0" style="168" hidden="1" customWidth="1"/>
    <col min="1804" max="1804" width="10.140625" style="168" customWidth="1"/>
    <col min="1805" max="1806" width="11.42578125" style="168"/>
    <col min="1807" max="1807" width="12.42578125" style="168" bestFit="1" customWidth="1"/>
    <col min="1808" max="2043" width="11.42578125" style="168"/>
    <col min="2044" max="2044" width="18.140625" style="168" customWidth="1"/>
    <col min="2045" max="2045" width="8.42578125" style="168" bestFit="1" customWidth="1"/>
    <col min="2046" max="2046" width="8.28515625" style="168" bestFit="1" customWidth="1"/>
    <col min="2047" max="2048" width="8.28515625" style="168" customWidth="1"/>
    <col min="2049" max="2049" width="8.42578125" style="168" bestFit="1" customWidth="1"/>
    <col min="2050" max="2050" width="7.42578125" style="168" bestFit="1" customWidth="1"/>
    <col min="2051" max="2053" width="7.42578125" style="168" customWidth="1"/>
    <col min="2054" max="2059" width="0" style="168" hidden="1" customWidth="1"/>
    <col min="2060" max="2060" width="10.140625" style="168" customWidth="1"/>
    <col min="2061" max="2062" width="11.42578125" style="168"/>
    <col min="2063" max="2063" width="12.42578125" style="168" bestFit="1" customWidth="1"/>
    <col min="2064" max="2299" width="11.42578125" style="168"/>
    <col min="2300" max="2300" width="18.140625" style="168" customWidth="1"/>
    <col min="2301" max="2301" width="8.42578125" style="168" bestFit="1" customWidth="1"/>
    <col min="2302" max="2302" width="8.28515625" style="168" bestFit="1" customWidth="1"/>
    <col min="2303" max="2304" width="8.28515625" style="168" customWidth="1"/>
    <col min="2305" max="2305" width="8.42578125" style="168" bestFit="1" customWidth="1"/>
    <col min="2306" max="2306" width="7.42578125" style="168" bestFit="1" customWidth="1"/>
    <col min="2307" max="2309" width="7.42578125" style="168" customWidth="1"/>
    <col min="2310" max="2315" width="0" style="168" hidden="1" customWidth="1"/>
    <col min="2316" max="2316" width="10.140625" style="168" customWidth="1"/>
    <col min="2317" max="2318" width="11.42578125" style="168"/>
    <col min="2319" max="2319" width="12.42578125" style="168" bestFit="1" customWidth="1"/>
    <col min="2320" max="2555" width="11.42578125" style="168"/>
    <col min="2556" max="2556" width="18.140625" style="168" customWidth="1"/>
    <col min="2557" max="2557" width="8.42578125" style="168" bestFit="1" customWidth="1"/>
    <col min="2558" max="2558" width="8.28515625" style="168" bestFit="1" customWidth="1"/>
    <col min="2559" max="2560" width="8.28515625" style="168" customWidth="1"/>
    <col min="2561" max="2561" width="8.42578125" style="168" bestFit="1" customWidth="1"/>
    <col min="2562" max="2562" width="7.42578125" style="168" bestFit="1" customWidth="1"/>
    <col min="2563" max="2565" width="7.42578125" style="168" customWidth="1"/>
    <col min="2566" max="2571" width="0" style="168" hidden="1" customWidth="1"/>
    <col min="2572" max="2572" width="10.140625" style="168" customWidth="1"/>
    <col min="2573" max="2574" width="11.42578125" style="168"/>
    <col min="2575" max="2575" width="12.42578125" style="168" bestFit="1" customWidth="1"/>
    <col min="2576" max="2811" width="11.42578125" style="168"/>
    <col min="2812" max="2812" width="18.140625" style="168" customWidth="1"/>
    <col min="2813" max="2813" width="8.42578125" style="168" bestFit="1" customWidth="1"/>
    <col min="2814" max="2814" width="8.28515625" style="168" bestFit="1" customWidth="1"/>
    <col min="2815" max="2816" width="8.28515625" style="168" customWidth="1"/>
    <col min="2817" max="2817" width="8.42578125" style="168" bestFit="1" customWidth="1"/>
    <col min="2818" max="2818" width="7.42578125" style="168" bestFit="1" customWidth="1"/>
    <col min="2819" max="2821" width="7.42578125" style="168" customWidth="1"/>
    <col min="2822" max="2827" width="0" style="168" hidden="1" customWidth="1"/>
    <col min="2828" max="2828" width="10.140625" style="168" customWidth="1"/>
    <col min="2829" max="2830" width="11.42578125" style="168"/>
    <col min="2831" max="2831" width="12.42578125" style="168" bestFit="1" customWidth="1"/>
    <col min="2832" max="3067" width="11.42578125" style="168"/>
    <col min="3068" max="3068" width="18.140625" style="168" customWidth="1"/>
    <col min="3069" max="3069" width="8.42578125" style="168" bestFit="1" customWidth="1"/>
    <col min="3070" max="3070" width="8.28515625" style="168" bestFit="1" customWidth="1"/>
    <col min="3071" max="3072" width="8.28515625" style="168" customWidth="1"/>
    <col min="3073" max="3073" width="8.42578125" style="168" bestFit="1" customWidth="1"/>
    <col min="3074" max="3074" width="7.42578125" style="168" bestFit="1" customWidth="1"/>
    <col min="3075" max="3077" width="7.42578125" style="168" customWidth="1"/>
    <col min="3078" max="3083" width="0" style="168" hidden="1" customWidth="1"/>
    <col min="3084" max="3084" width="10.140625" style="168" customWidth="1"/>
    <col min="3085" max="3086" width="11.42578125" style="168"/>
    <col min="3087" max="3087" width="12.42578125" style="168" bestFit="1" customWidth="1"/>
    <col min="3088" max="3323" width="11.42578125" style="168"/>
    <col min="3324" max="3324" width="18.140625" style="168" customWidth="1"/>
    <col min="3325" max="3325" width="8.42578125" style="168" bestFit="1" customWidth="1"/>
    <col min="3326" max="3326" width="8.28515625" style="168" bestFit="1" customWidth="1"/>
    <col min="3327" max="3328" width="8.28515625" style="168" customWidth="1"/>
    <col min="3329" max="3329" width="8.42578125" style="168" bestFit="1" customWidth="1"/>
    <col min="3330" max="3330" width="7.42578125" style="168" bestFit="1" customWidth="1"/>
    <col min="3331" max="3333" width="7.42578125" style="168" customWidth="1"/>
    <col min="3334" max="3339" width="0" style="168" hidden="1" customWidth="1"/>
    <col min="3340" max="3340" width="10.140625" style="168" customWidth="1"/>
    <col min="3341" max="3342" width="11.42578125" style="168"/>
    <col min="3343" max="3343" width="12.42578125" style="168" bestFit="1" customWidth="1"/>
    <col min="3344" max="3579" width="11.42578125" style="168"/>
    <col min="3580" max="3580" width="18.140625" style="168" customWidth="1"/>
    <col min="3581" max="3581" width="8.42578125" style="168" bestFit="1" customWidth="1"/>
    <col min="3582" max="3582" width="8.28515625" style="168" bestFit="1" customWidth="1"/>
    <col min="3583" max="3584" width="8.28515625" style="168" customWidth="1"/>
    <col min="3585" max="3585" width="8.42578125" style="168" bestFit="1" customWidth="1"/>
    <col min="3586" max="3586" width="7.42578125" style="168" bestFit="1" customWidth="1"/>
    <col min="3587" max="3589" width="7.42578125" style="168" customWidth="1"/>
    <col min="3590" max="3595" width="0" style="168" hidden="1" customWidth="1"/>
    <col min="3596" max="3596" width="10.140625" style="168" customWidth="1"/>
    <col min="3597" max="3598" width="11.42578125" style="168"/>
    <col min="3599" max="3599" width="12.42578125" style="168" bestFit="1" customWidth="1"/>
    <col min="3600" max="3835" width="11.42578125" style="168"/>
    <col min="3836" max="3836" width="18.140625" style="168" customWidth="1"/>
    <col min="3837" max="3837" width="8.42578125" style="168" bestFit="1" customWidth="1"/>
    <col min="3838" max="3838" width="8.28515625" style="168" bestFit="1" customWidth="1"/>
    <col min="3839" max="3840" width="8.28515625" style="168" customWidth="1"/>
    <col min="3841" max="3841" width="8.42578125" style="168" bestFit="1" customWidth="1"/>
    <col min="3842" max="3842" width="7.42578125" style="168" bestFit="1" customWidth="1"/>
    <col min="3843" max="3845" width="7.42578125" style="168" customWidth="1"/>
    <col min="3846" max="3851" width="0" style="168" hidden="1" customWidth="1"/>
    <col min="3852" max="3852" width="10.140625" style="168" customWidth="1"/>
    <col min="3853" max="3854" width="11.42578125" style="168"/>
    <col min="3855" max="3855" width="12.42578125" style="168" bestFit="1" customWidth="1"/>
    <col min="3856" max="4091" width="11.42578125" style="168"/>
    <col min="4092" max="4092" width="18.140625" style="168" customWidth="1"/>
    <col min="4093" max="4093" width="8.42578125" style="168" bestFit="1" customWidth="1"/>
    <col min="4094" max="4094" width="8.28515625" style="168" bestFit="1" customWidth="1"/>
    <col min="4095" max="4096" width="8.28515625" style="168" customWidth="1"/>
    <col min="4097" max="4097" width="8.42578125" style="168" bestFit="1" customWidth="1"/>
    <col min="4098" max="4098" width="7.42578125" style="168" bestFit="1" customWidth="1"/>
    <col min="4099" max="4101" width="7.42578125" style="168" customWidth="1"/>
    <col min="4102" max="4107" width="0" style="168" hidden="1" customWidth="1"/>
    <col min="4108" max="4108" width="10.140625" style="168" customWidth="1"/>
    <col min="4109" max="4110" width="11.42578125" style="168"/>
    <col min="4111" max="4111" width="12.42578125" style="168" bestFit="1" customWidth="1"/>
    <col min="4112" max="4347" width="11.42578125" style="168"/>
    <col min="4348" max="4348" width="18.140625" style="168" customWidth="1"/>
    <col min="4349" max="4349" width="8.42578125" style="168" bestFit="1" customWidth="1"/>
    <col min="4350" max="4350" width="8.28515625" style="168" bestFit="1" customWidth="1"/>
    <col min="4351" max="4352" width="8.28515625" style="168" customWidth="1"/>
    <col min="4353" max="4353" width="8.42578125" style="168" bestFit="1" customWidth="1"/>
    <col min="4354" max="4354" width="7.42578125" style="168" bestFit="1" customWidth="1"/>
    <col min="4355" max="4357" width="7.42578125" style="168" customWidth="1"/>
    <col min="4358" max="4363" width="0" style="168" hidden="1" customWidth="1"/>
    <col min="4364" max="4364" width="10.140625" style="168" customWidth="1"/>
    <col min="4365" max="4366" width="11.42578125" style="168"/>
    <col min="4367" max="4367" width="12.42578125" style="168" bestFit="1" customWidth="1"/>
    <col min="4368" max="4603" width="11.42578125" style="168"/>
    <col min="4604" max="4604" width="18.140625" style="168" customWidth="1"/>
    <col min="4605" max="4605" width="8.42578125" style="168" bestFit="1" customWidth="1"/>
    <col min="4606" max="4606" width="8.28515625" style="168" bestFit="1" customWidth="1"/>
    <col min="4607" max="4608" width="8.28515625" style="168" customWidth="1"/>
    <col min="4609" max="4609" width="8.42578125" style="168" bestFit="1" customWidth="1"/>
    <col min="4610" max="4610" width="7.42578125" style="168" bestFit="1" customWidth="1"/>
    <col min="4611" max="4613" width="7.42578125" style="168" customWidth="1"/>
    <col min="4614" max="4619" width="0" style="168" hidden="1" customWidth="1"/>
    <col min="4620" max="4620" width="10.140625" style="168" customWidth="1"/>
    <col min="4621" max="4622" width="11.42578125" style="168"/>
    <col min="4623" max="4623" width="12.42578125" style="168" bestFit="1" customWidth="1"/>
    <col min="4624" max="4859" width="11.42578125" style="168"/>
    <col min="4860" max="4860" width="18.140625" style="168" customWidth="1"/>
    <col min="4861" max="4861" width="8.42578125" style="168" bestFit="1" customWidth="1"/>
    <col min="4862" max="4862" width="8.28515625" style="168" bestFit="1" customWidth="1"/>
    <col min="4863" max="4864" width="8.28515625" style="168" customWidth="1"/>
    <col min="4865" max="4865" width="8.42578125" style="168" bestFit="1" customWidth="1"/>
    <col min="4866" max="4866" width="7.42578125" style="168" bestFit="1" customWidth="1"/>
    <col min="4867" max="4869" width="7.42578125" style="168" customWidth="1"/>
    <col min="4870" max="4875" width="0" style="168" hidden="1" customWidth="1"/>
    <col min="4876" max="4876" width="10.140625" style="168" customWidth="1"/>
    <col min="4877" max="4878" width="11.42578125" style="168"/>
    <col min="4879" max="4879" width="12.42578125" style="168" bestFit="1" customWidth="1"/>
    <col min="4880" max="5115" width="11.42578125" style="168"/>
    <col min="5116" max="5116" width="18.140625" style="168" customWidth="1"/>
    <col min="5117" max="5117" width="8.42578125" style="168" bestFit="1" customWidth="1"/>
    <col min="5118" max="5118" width="8.28515625" style="168" bestFit="1" customWidth="1"/>
    <col min="5119" max="5120" width="8.28515625" style="168" customWidth="1"/>
    <col min="5121" max="5121" width="8.42578125" style="168" bestFit="1" customWidth="1"/>
    <col min="5122" max="5122" width="7.42578125" style="168" bestFit="1" customWidth="1"/>
    <col min="5123" max="5125" width="7.42578125" style="168" customWidth="1"/>
    <col min="5126" max="5131" width="0" style="168" hidden="1" customWidth="1"/>
    <col min="5132" max="5132" width="10.140625" style="168" customWidth="1"/>
    <col min="5133" max="5134" width="11.42578125" style="168"/>
    <col min="5135" max="5135" width="12.42578125" style="168" bestFit="1" customWidth="1"/>
    <col min="5136" max="5371" width="11.42578125" style="168"/>
    <col min="5372" max="5372" width="18.140625" style="168" customWidth="1"/>
    <col min="5373" max="5373" width="8.42578125" style="168" bestFit="1" customWidth="1"/>
    <col min="5374" max="5374" width="8.28515625" style="168" bestFit="1" customWidth="1"/>
    <col min="5375" max="5376" width="8.28515625" style="168" customWidth="1"/>
    <col min="5377" max="5377" width="8.42578125" style="168" bestFit="1" customWidth="1"/>
    <col min="5378" max="5378" width="7.42578125" style="168" bestFit="1" customWidth="1"/>
    <col min="5379" max="5381" width="7.42578125" style="168" customWidth="1"/>
    <col min="5382" max="5387" width="0" style="168" hidden="1" customWidth="1"/>
    <col min="5388" max="5388" width="10.140625" style="168" customWidth="1"/>
    <col min="5389" max="5390" width="11.42578125" style="168"/>
    <col min="5391" max="5391" width="12.42578125" style="168" bestFit="1" customWidth="1"/>
    <col min="5392" max="5627" width="11.42578125" style="168"/>
    <col min="5628" max="5628" width="18.140625" style="168" customWidth="1"/>
    <col min="5629" max="5629" width="8.42578125" style="168" bestFit="1" customWidth="1"/>
    <col min="5630" max="5630" width="8.28515625" style="168" bestFit="1" customWidth="1"/>
    <col min="5631" max="5632" width="8.28515625" style="168" customWidth="1"/>
    <col min="5633" max="5633" width="8.42578125" style="168" bestFit="1" customWidth="1"/>
    <col min="5634" max="5634" width="7.42578125" style="168" bestFit="1" customWidth="1"/>
    <col min="5635" max="5637" width="7.42578125" style="168" customWidth="1"/>
    <col min="5638" max="5643" width="0" style="168" hidden="1" customWidth="1"/>
    <col min="5644" max="5644" width="10.140625" style="168" customWidth="1"/>
    <col min="5645" max="5646" width="11.42578125" style="168"/>
    <col min="5647" max="5647" width="12.42578125" style="168" bestFit="1" customWidth="1"/>
    <col min="5648" max="5883" width="11.42578125" style="168"/>
    <col min="5884" max="5884" width="18.140625" style="168" customWidth="1"/>
    <col min="5885" max="5885" width="8.42578125" style="168" bestFit="1" customWidth="1"/>
    <col min="5886" max="5886" width="8.28515625" style="168" bestFit="1" customWidth="1"/>
    <col min="5887" max="5888" width="8.28515625" style="168" customWidth="1"/>
    <col min="5889" max="5889" width="8.42578125" style="168" bestFit="1" customWidth="1"/>
    <col min="5890" max="5890" width="7.42578125" style="168" bestFit="1" customWidth="1"/>
    <col min="5891" max="5893" width="7.42578125" style="168" customWidth="1"/>
    <col min="5894" max="5899" width="0" style="168" hidden="1" customWidth="1"/>
    <col min="5900" max="5900" width="10.140625" style="168" customWidth="1"/>
    <col min="5901" max="5902" width="11.42578125" style="168"/>
    <col min="5903" max="5903" width="12.42578125" style="168" bestFit="1" customWidth="1"/>
    <col min="5904" max="6139" width="11.42578125" style="168"/>
    <col min="6140" max="6140" width="18.140625" style="168" customWidth="1"/>
    <col min="6141" max="6141" width="8.42578125" style="168" bestFit="1" customWidth="1"/>
    <col min="6142" max="6142" width="8.28515625" style="168" bestFit="1" customWidth="1"/>
    <col min="6143" max="6144" width="8.28515625" style="168" customWidth="1"/>
    <col min="6145" max="6145" width="8.42578125" style="168" bestFit="1" customWidth="1"/>
    <col min="6146" max="6146" width="7.42578125" style="168" bestFit="1" customWidth="1"/>
    <col min="6147" max="6149" width="7.42578125" style="168" customWidth="1"/>
    <col min="6150" max="6155" width="0" style="168" hidden="1" customWidth="1"/>
    <col min="6156" max="6156" width="10.140625" style="168" customWidth="1"/>
    <col min="6157" max="6158" width="11.42578125" style="168"/>
    <col min="6159" max="6159" width="12.42578125" style="168" bestFit="1" customWidth="1"/>
    <col min="6160" max="6395" width="11.42578125" style="168"/>
    <col min="6396" max="6396" width="18.140625" style="168" customWidth="1"/>
    <col min="6397" max="6397" width="8.42578125" style="168" bestFit="1" customWidth="1"/>
    <col min="6398" max="6398" width="8.28515625" style="168" bestFit="1" customWidth="1"/>
    <col min="6399" max="6400" width="8.28515625" style="168" customWidth="1"/>
    <col min="6401" max="6401" width="8.42578125" style="168" bestFit="1" customWidth="1"/>
    <col min="6402" max="6402" width="7.42578125" style="168" bestFit="1" customWidth="1"/>
    <col min="6403" max="6405" width="7.42578125" style="168" customWidth="1"/>
    <col min="6406" max="6411" width="0" style="168" hidden="1" customWidth="1"/>
    <col min="6412" max="6412" width="10.140625" style="168" customWidth="1"/>
    <col min="6413" max="6414" width="11.42578125" style="168"/>
    <col min="6415" max="6415" width="12.42578125" style="168" bestFit="1" customWidth="1"/>
    <col min="6416" max="6651" width="11.42578125" style="168"/>
    <col min="6652" max="6652" width="18.140625" style="168" customWidth="1"/>
    <col min="6653" max="6653" width="8.42578125" style="168" bestFit="1" customWidth="1"/>
    <col min="6654" max="6654" width="8.28515625" style="168" bestFit="1" customWidth="1"/>
    <col min="6655" max="6656" width="8.28515625" style="168" customWidth="1"/>
    <col min="6657" max="6657" width="8.42578125" style="168" bestFit="1" customWidth="1"/>
    <col min="6658" max="6658" width="7.42578125" style="168" bestFit="1" customWidth="1"/>
    <col min="6659" max="6661" width="7.42578125" style="168" customWidth="1"/>
    <col min="6662" max="6667" width="0" style="168" hidden="1" customWidth="1"/>
    <col min="6668" max="6668" width="10.140625" style="168" customWidth="1"/>
    <col min="6669" max="6670" width="11.42578125" style="168"/>
    <col min="6671" max="6671" width="12.42578125" style="168" bestFit="1" customWidth="1"/>
    <col min="6672" max="6907" width="11.42578125" style="168"/>
    <col min="6908" max="6908" width="18.140625" style="168" customWidth="1"/>
    <col min="6909" max="6909" width="8.42578125" style="168" bestFit="1" customWidth="1"/>
    <col min="6910" max="6910" width="8.28515625" style="168" bestFit="1" customWidth="1"/>
    <col min="6911" max="6912" width="8.28515625" style="168" customWidth="1"/>
    <col min="6913" max="6913" width="8.42578125" style="168" bestFit="1" customWidth="1"/>
    <col min="6914" max="6914" width="7.42578125" style="168" bestFit="1" customWidth="1"/>
    <col min="6915" max="6917" width="7.42578125" style="168" customWidth="1"/>
    <col min="6918" max="6923" width="0" style="168" hidden="1" customWidth="1"/>
    <col min="6924" max="6924" width="10.140625" style="168" customWidth="1"/>
    <col min="6925" max="6926" width="11.42578125" style="168"/>
    <col min="6927" max="6927" width="12.42578125" style="168" bestFit="1" customWidth="1"/>
    <col min="6928" max="7163" width="11.42578125" style="168"/>
    <col min="7164" max="7164" width="18.140625" style="168" customWidth="1"/>
    <col min="7165" max="7165" width="8.42578125" style="168" bestFit="1" customWidth="1"/>
    <col min="7166" max="7166" width="8.28515625" style="168" bestFit="1" customWidth="1"/>
    <col min="7167" max="7168" width="8.28515625" style="168" customWidth="1"/>
    <col min="7169" max="7169" width="8.42578125" style="168" bestFit="1" customWidth="1"/>
    <col min="7170" max="7170" width="7.42578125" style="168" bestFit="1" customWidth="1"/>
    <col min="7171" max="7173" width="7.42578125" style="168" customWidth="1"/>
    <col min="7174" max="7179" width="0" style="168" hidden="1" customWidth="1"/>
    <col min="7180" max="7180" width="10.140625" style="168" customWidth="1"/>
    <col min="7181" max="7182" width="11.42578125" style="168"/>
    <col min="7183" max="7183" width="12.42578125" style="168" bestFit="1" customWidth="1"/>
    <col min="7184" max="7419" width="11.42578125" style="168"/>
    <col min="7420" max="7420" width="18.140625" style="168" customWidth="1"/>
    <col min="7421" max="7421" width="8.42578125" style="168" bestFit="1" customWidth="1"/>
    <col min="7422" max="7422" width="8.28515625" style="168" bestFit="1" customWidth="1"/>
    <col min="7423" max="7424" width="8.28515625" style="168" customWidth="1"/>
    <col min="7425" max="7425" width="8.42578125" style="168" bestFit="1" customWidth="1"/>
    <col min="7426" max="7426" width="7.42578125" style="168" bestFit="1" customWidth="1"/>
    <col min="7427" max="7429" width="7.42578125" style="168" customWidth="1"/>
    <col min="7430" max="7435" width="0" style="168" hidden="1" customWidth="1"/>
    <col min="7436" max="7436" width="10.140625" style="168" customWidth="1"/>
    <col min="7437" max="7438" width="11.42578125" style="168"/>
    <col min="7439" max="7439" width="12.42578125" style="168" bestFit="1" customWidth="1"/>
    <col min="7440" max="7675" width="11.42578125" style="168"/>
    <col min="7676" max="7676" width="18.140625" style="168" customWidth="1"/>
    <col min="7677" max="7677" width="8.42578125" style="168" bestFit="1" customWidth="1"/>
    <col min="7678" max="7678" width="8.28515625" style="168" bestFit="1" customWidth="1"/>
    <col min="7679" max="7680" width="8.28515625" style="168" customWidth="1"/>
    <col min="7681" max="7681" width="8.42578125" style="168" bestFit="1" customWidth="1"/>
    <col min="7682" max="7682" width="7.42578125" style="168" bestFit="1" customWidth="1"/>
    <col min="7683" max="7685" width="7.42578125" style="168" customWidth="1"/>
    <col min="7686" max="7691" width="0" style="168" hidden="1" customWidth="1"/>
    <col min="7692" max="7692" width="10.140625" style="168" customWidth="1"/>
    <col min="7693" max="7694" width="11.42578125" style="168"/>
    <col min="7695" max="7695" width="12.42578125" style="168" bestFit="1" customWidth="1"/>
    <col min="7696" max="7931" width="11.42578125" style="168"/>
    <col min="7932" max="7932" width="18.140625" style="168" customWidth="1"/>
    <col min="7933" max="7933" width="8.42578125" style="168" bestFit="1" customWidth="1"/>
    <col min="7934" max="7934" width="8.28515625" style="168" bestFit="1" customWidth="1"/>
    <col min="7935" max="7936" width="8.28515625" style="168" customWidth="1"/>
    <col min="7937" max="7937" width="8.42578125" style="168" bestFit="1" customWidth="1"/>
    <col min="7938" max="7938" width="7.42578125" style="168" bestFit="1" customWidth="1"/>
    <col min="7939" max="7941" width="7.42578125" style="168" customWidth="1"/>
    <col min="7942" max="7947" width="0" style="168" hidden="1" customWidth="1"/>
    <col min="7948" max="7948" width="10.140625" style="168" customWidth="1"/>
    <col min="7949" max="7950" width="11.42578125" style="168"/>
    <col min="7951" max="7951" width="12.42578125" style="168" bestFit="1" customWidth="1"/>
    <col min="7952" max="8187" width="11.42578125" style="168"/>
    <col min="8188" max="8188" width="18.140625" style="168" customWidth="1"/>
    <col min="8189" max="8189" width="8.42578125" style="168" bestFit="1" customWidth="1"/>
    <col min="8190" max="8190" width="8.28515625" style="168" bestFit="1" customWidth="1"/>
    <col min="8191" max="8192" width="8.28515625" style="168" customWidth="1"/>
    <col min="8193" max="8193" width="8.42578125" style="168" bestFit="1" customWidth="1"/>
    <col min="8194" max="8194" width="7.42578125" style="168" bestFit="1" customWidth="1"/>
    <col min="8195" max="8197" width="7.42578125" style="168" customWidth="1"/>
    <col min="8198" max="8203" width="0" style="168" hidden="1" customWidth="1"/>
    <col min="8204" max="8204" width="10.140625" style="168" customWidth="1"/>
    <col min="8205" max="8206" width="11.42578125" style="168"/>
    <col min="8207" max="8207" width="12.42578125" style="168" bestFit="1" customWidth="1"/>
    <col min="8208" max="8443" width="11.42578125" style="168"/>
    <col min="8444" max="8444" width="18.140625" style="168" customWidth="1"/>
    <col min="8445" max="8445" width="8.42578125" style="168" bestFit="1" customWidth="1"/>
    <col min="8446" max="8446" width="8.28515625" style="168" bestFit="1" customWidth="1"/>
    <col min="8447" max="8448" width="8.28515625" style="168" customWidth="1"/>
    <col min="8449" max="8449" width="8.42578125" style="168" bestFit="1" customWidth="1"/>
    <col min="8450" max="8450" width="7.42578125" style="168" bestFit="1" customWidth="1"/>
    <col min="8451" max="8453" width="7.42578125" style="168" customWidth="1"/>
    <col min="8454" max="8459" width="0" style="168" hidden="1" customWidth="1"/>
    <col min="8460" max="8460" width="10.140625" style="168" customWidth="1"/>
    <col min="8461" max="8462" width="11.42578125" style="168"/>
    <col min="8463" max="8463" width="12.42578125" style="168" bestFit="1" customWidth="1"/>
    <col min="8464" max="8699" width="11.42578125" style="168"/>
    <col min="8700" max="8700" width="18.140625" style="168" customWidth="1"/>
    <col min="8701" max="8701" width="8.42578125" style="168" bestFit="1" customWidth="1"/>
    <col min="8702" max="8702" width="8.28515625" style="168" bestFit="1" customWidth="1"/>
    <col min="8703" max="8704" width="8.28515625" style="168" customWidth="1"/>
    <col min="8705" max="8705" width="8.42578125" style="168" bestFit="1" customWidth="1"/>
    <col min="8706" max="8706" width="7.42578125" style="168" bestFit="1" customWidth="1"/>
    <col min="8707" max="8709" width="7.42578125" style="168" customWidth="1"/>
    <col min="8710" max="8715" width="0" style="168" hidden="1" customWidth="1"/>
    <col min="8716" max="8716" width="10.140625" style="168" customWidth="1"/>
    <col min="8717" max="8718" width="11.42578125" style="168"/>
    <col min="8719" max="8719" width="12.42578125" style="168" bestFit="1" customWidth="1"/>
    <col min="8720" max="8955" width="11.42578125" style="168"/>
    <col min="8956" max="8956" width="18.140625" style="168" customWidth="1"/>
    <col min="8957" max="8957" width="8.42578125" style="168" bestFit="1" customWidth="1"/>
    <col min="8958" max="8958" width="8.28515625" style="168" bestFit="1" customWidth="1"/>
    <col min="8959" max="8960" width="8.28515625" style="168" customWidth="1"/>
    <col min="8961" max="8961" width="8.42578125" style="168" bestFit="1" customWidth="1"/>
    <col min="8962" max="8962" width="7.42578125" style="168" bestFit="1" customWidth="1"/>
    <col min="8963" max="8965" width="7.42578125" style="168" customWidth="1"/>
    <col min="8966" max="8971" width="0" style="168" hidden="1" customWidth="1"/>
    <col min="8972" max="8972" width="10.140625" style="168" customWidth="1"/>
    <col min="8973" max="8974" width="11.42578125" style="168"/>
    <col min="8975" max="8975" width="12.42578125" style="168" bestFit="1" customWidth="1"/>
    <col min="8976" max="9211" width="11.42578125" style="168"/>
    <col min="9212" max="9212" width="18.140625" style="168" customWidth="1"/>
    <col min="9213" max="9213" width="8.42578125" style="168" bestFit="1" customWidth="1"/>
    <col min="9214" max="9214" width="8.28515625" style="168" bestFit="1" customWidth="1"/>
    <col min="9215" max="9216" width="8.28515625" style="168" customWidth="1"/>
    <col min="9217" max="9217" width="8.42578125" style="168" bestFit="1" customWidth="1"/>
    <col min="9218" max="9218" width="7.42578125" style="168" bestFit="1" customWidth="1"/>
    <col min="9219" max="9221" width="7.42578125" style="168" customWidth="1"/>
    <col min="9222" max="9227" width="0" style="168" hidden="1" customWidth="1"/>
    <col min="9228" max="9228" width="10.140625" style="168" customWidth="1"/>
    <col min="9229" max="9230" width="11.42578125" style="168"/>
    <col min="9231" max="9231" width="12.42578125" style="168" bestFit="1" customWidth="1"/>
    <col min="9232" max="9467" width="11.42578125" style="168"/>
    <col min="9468" max="9468" width="18.140625" style="168" customWidth="1"/>
    <col min="9469" max="9469" width="8.42578125" style="168" bestFit="1" customWidth="1"/>
    <col min="9470" max="9470" width="8.28515625" style="168" bestFit="1" customWidth="1"/>
    <col min="9471" max="9472" width="8.28515625" style="168" customWidth="1"/>
    <col min="9473" max="9473" width="8.42578125" style="168" bestFit="1" customWidth="1"/>
    <col min="9474" max="9474" width="7.42578125" style="168" bestFit="1" customWidth="1"/>
    <col min="9475" max="9477" width="7.42578125" style="168" customWidth="1"/>
    <col min="9478" max="9483" width="0" style="168" hidden="1" customWidth="1"/>
    <col min="9484" max="9484" width="10.140625" style="168" customWidth="1"/>
    <col min="9485" max="9486" width="11.42578125" style="168"/>
    <col min="9487" max="9487" width="12.42578125" style="168" bestFit="1" customWidth="1"/>
    <col min="9488" max="9723" width="11.42578125" style="168"/>
    <col min="9724" max="9724" width="18.140625" style="168" customWidth="1"/>
    <col min="9725" max="9725" width="8.42578125" style="168" bestFit="1" customWidth="1"/>
    <col min="9726" max="9726" width="8.28515625" style="168" bestFit="1" customWidth="1"/>
    <col min="9727" max="9728" width="8.28515625" style="168" customWidth="1"/>
    <col min="9729" max="9729" width="8.42578125" style="168" bestFit="1" customWidth="1"/>
    <col min="9730" max="9730" width="7.42578125" style="168" bestFit="1" customWidth="1"/>
    <col min="9731" max="9733" width="7.42578125" style="168" customWidth="1"/>
    <col min="9734" max="9739" width="0" style="168" hidden="1" customWidth="1"/>
    <col min="9740" max="9740" width="10.140625" style="168" customWidth="1"/>
    <col min="9741" max="9742" width="11.42578125" style="168"/>
    <col min="9743" max="9743" width="12.42578125" style="168" bestFit="1" customWidth="1"/>
    <col min="9744" max="9979" width="11.42578125" style="168"/>
    <col min="9980" max="9980" width="18.140625" style="168" customWidth="1"/>
    <col min="9981" max="9981" width="8.42578125" style="168" bestFit="1" customWidth="1"/>
    <col min="9982" max="9982" width="8.28515625" style="168" bestFit="1" customWidth="1"/>
    <col min="9983" max="9984" width="8.28515625" style="168" customWidth="1"/>
    <col min="9985" max="9985" width="8.42578125" style="168" bestFit="1" customWidth="1"/>
    <col min="9986" max="9986" width="7.42578125" style="168" bestFit="1" customWidth="1"/>
    <col min="9987" max="9989" width="7.42578125" style="168" customWidth="1"/>
    <col min="9990" max="9995" width="0" style="168" hidden="1" customWidth="1"/>
    <col min="9996" max="9996" width="10.140625" style="168" customWidth="1"/>
    <col min="9997" max="9998" width="11.42578125" style="168"/>
    <col min="9999" max="9999" width="12.42578125" style="168" bestFit="1" customWidth="1"/>
    <col min="10000" max="10235" width="11.42578125" style="168"/>
    <col min="10236" max="10236" width="18.140625" style="168" customWidth="1"/>
    <col min="10237" max="10237" width="8.42578125" style="168" bestFit="1" customWidth="1"/>
    <col min="10238" max="10238" width="8.28515625" style="168" bestFit="1" customWidth="1"/>
    <col min="10239" max="10240" width="8.28515625" style="168" customWidth="1"/>
    <col min="10241" max="10241" width="8.42578125" style="168" bestFit="1" customWidth="1"/>
    <col min="10242" max="10242" width="7.42578125" style="168" bestFit="1" customWidth="1"/>
    <col min="10243" max="10245" width="7.42578125" style="168" customWidth="1"/>
    <col min="10246" max="10251" width="0" style="168" hidden="1" customWidth="1"/>
    <col min="10252" max="10252" width="10.140625" style="168" customWidth="1"/>
    <col min="10253" max="10254" width="11.42578125" style="168"/>
    <col min="10255" max="10255" width="12.42578125" style="168" bestFit="1" customWidth="1"/>
    <col min="10256" max="10491" width="11.42578125" style="168"/>
    <col min="10492" max="10492" width="18.140625" style="168" customWidth="1"/>
    <col min="10493" max="10493" width="8.42578125" style="168" bestFit="1" customWidth="1"/>
    <col min="10494" max="10494" width="8.28515625" style="168" bestFit="1" customWidth="1"/>
    <col min="10495" max="10496" width="8.28515625" style="168" customWidth="1"/>
    <col min="10497" max="10497" width="8.42578125" style="168" bestFit="1" customWidth="1"/>
    <col min="10498" max="10498" width="7.42578125" style="168" bestFit="1" customWidth="1"/>
    <col min="10499" max="10501" width="7.42578125" style="168" customWidth="1"/>
    <col min="10502" max="10507" width="0" style="168" hidden="1" customWidth="1"/>
    <col min="10508" max="10508" width="10.140625" style="168" customWidth="1"/>
    <col min="10509" max="10510" width="11.42578125" style="168"/>
    <col min="10511" max="10511" width="12.42578125" style="168" bestFit="1" customWidth="1"/>
    <col min="10512" max="10747" width="11.42578125" style="168"/>
    <col min="10748" max="10748" width="18.140625" style="168" customWidth="1"/>
    <col min="10749" max="10749" width="8.42578125" style="168" bestFit="1" customWidth="1"/>
    <col min="10750" max="10750" width="8.28515625" style="168" bestFit="1" customWidth="1"/>
    <col min="10751" max="10752" width="8.28515625" style="168" customWidth="1"/>
    <col min="10753" max="10753" width="8.42578125" style="168" bestFit="1" customWidth="1"/>
    <col min="10754" max="10754" width="7.42578125" style="168" bestFit="1" customWidth="1"/>
    <col min="10755" max="10757" width="7.42578125" style="168" customWidth="1"/>
    <col min="10758" max="10763" width="0" style="168" hidden="1" customWidth="1"/>
    <col min="10764" max="10764" width="10.140625" style="168" customWidth="1"/>
    <col min="10765" max="10766" width="11.42578125" style="168"/>
    <col min="10767" max="10767" width="12.42578125" style="168" bestFit="1" customWidth="1"/>
    <col min="10768" max="11003" width="11.42578125" style="168"/>
    <col min="11004" max="11004" width="18.140625" style="168" customWidth="1"/>
    <col min="11005" max="11005" width="8.42578125" style="168" bestFit="1" customWidth="1"/>
    <col min="11006" max="11006" width="8.28515625" style="168" bestFit="1" customWidth="1"/>
    <col min="11007" max="11008" width="8.28515625" style="168" customWidth="1"/>
    <col min="11009" max="11009" width="8.42578125" style="168" bestFit="1" customWidth="1"/>
    <col min="11010" max="11010" width="7.42578125" style="168" bestFit="1" customWidth="1"/>
    <col min="11011" max="11013" width="7.42578125" style="168" customWidth="1"/>
    <col min="11014" max="11019" width="0" style="168" hidden="1" customWidth="1"/>
    <col min="11020" max="11020" width="10.140625" style="168" customWidth="1"/>
    <col min="11021" max="11022" width="11.42578125" style="168"/>
    <col min="11023" max="11023" width="12.42578125" style="168" bestFit="1" customWidth="1"/>
    <col min="11024" max="11259" width="11.42578125" style="168"/>
    <col min="11260" max="11260" width="18.140625" style="168" customWidth="1"/>
    <col min="11261" max="11261" width="8.42578125" style="168" bestFit="1" customWidth="1"/>
    <col min="11262" max="11262" width="8.28515625" style="168" bestFit="1" customWidth="1"/>
    <col min="11263" max="11264" width="8.28515625" style="168" customWidth="1"/>
    <col min="11265" max="11265" width="8.42578125" style="168" bestFit="1" customWidth="1"/>
    <col min="11266" max="11266" width="7.42578125" style="168" bestFit="1" customWidth="1"/>
    <col min="11267" max="11269" width="7.42578125" style="168" customWidth="1"/>
    <col min="11270" max="11275" width="0" style="168" hidden="1" customWidth="1"/>
    <col min="11276" max="11276" width="10.140625" style="168" customWidth="1"/>
    <col min="11277" max="11278" width="11.42578125" style="168"/>
    <col min="11279" max="11279" width="12.42578125" style="168" bestFit="1" customWidth="1"/>
    <col min="11280" max="11515" width="11.42578125" style="168"/>
    <col min="11516" max="11516" width="18.140625" style="168" customWidth="1"/>
    <col min="11517" max="11517" width="8.42578125" style="168" bestFit="1" customWidth="1"/>
    <col min="11518" max="11518" width="8.28515625" style="168" bestFit="1" customWidth="1"/>
    <col min="11519" max="11520" width="8.28515625" style="168" customWidth="1"/>
    <col min="11521" max="11521" width="8.42578125" style="168" bestFit="1" customWidth="1"/>
    <col min="11522" max="11522" width="7.42578125" style="168" bestFit="1" customWidth="1"/>
    <col min="11523" max="11525" width="7.42578125" style="168" customWidth="1"/>
    <col min="11526" max="11531" width="0" style="168" hidden="1" customWidth="1"/>
    <col min="11532" max="11532" width="10.140625" style="168" customWidth="1"/>
    <col min="11533" max="11534" width="11.42578125" style="168"/>
    <col min="11535" max="11535" width="12.42578125" style="168" bestFit="1" customWidth="1"/>
    <col min="11536" max="11771" width="11.42578125" style="168"/>
    <col min="11772" max="11772" width="18.140625" style="168" customWidth="1"/>
    <col min="11773" max="11773" width="8.42578125" style="168" bestFit="1" customWidth="1"/>
    <col min="11774" max="11774" width="8.28515625" style="168" bestFit="1" customWidth="1"/>
    <col min="11775" max="11776" width="8.28515625" style="168" customWidth="1"/>
    <col min="11777" max="11777" width="8.42578125" style="168" bestFit="1" customWidth="1"/>
    <col min="11778" max="11778" width="7.42578125" style="168" bestFit="1" customWidth="1"/>
    <col min="11779" max="11781" width="7.42578125" style="168" customWidth="1"/>
    <col min="11782" max="11787" width="0" style="168" hidden="1" customWidth="1"/>
    <col min="11788" max="11788" width="10.140625" style="168" customWidth="1"/>
    <col min="11789" max="11790" width="11.42578125" style="168"/>
    <col min="11791" max="11791" width="12.42578125" style="168" bestFit="1" customWidth="1"/>
    <col min="11792" max="12027" width="11.42578125" style="168"/>
    <col min="12028" max="12028" width="18.140625" style="168" customWidth="1"/>
    <col min="12029" max="12029" width="8.42578125" style="168" bestFit="1" customWidth="1"/>
    <col min="12030" max="12030" width="8.28515625" style="168" bestFit="1" customWidth="1"/>
    <col min="12031" max="12032" width="8.28515625" style="168" customWidth="1"/>
    <col min="12033" max="12033" width="8.42578125" style="168" bestFit="1" customWidth="1"/>
    <col min="12034" max="12034" width="7.42578125" style="168" bestFit="1" customWidth="1"/>
    <col min="12035" max="12037" width="7.42578125" style="168" customWidth="1"/>
    <col min="12038" max="12043" width="0" style="168" hidden="1" customWidth="1"/>
    <col min="12044" max="12044" width="10.140625" style="168" customWidth="1"/>
    <col min="12045" max="12046" width="11.42578125" style="168"/>
    <col min="12047" max="12047" width="12.42578125" style="168" bestFit="1" customWidth="1"/>
    <col min="12048" max="12283" width="11.42578125" style="168"/>
    <col min="12284" max="12284" width="18.140625" style="168" customWidth="1"/>
    <col min="12285" max="12285" width="8.42578125" style="168" bestFit="1" customWidth="1"/>
    <col min="12286" max="12286" width="8.28515625" style="168" bestFit="1" customWidth="1"/>
    <col min="12287" max="12288" width="8.28515625" style="168" customWidth="1"/>
    <col min="12289" max="12289" width="8.42578125" style="168" bestFit="1" customWidth="1"/>
    <col min="12290" max="12290" width="7.42578125" style="168" bestFit="1" customWidth="1"/>
    <col min="12291" max="12293" width="7.42578125" style="168" customWidth="1"/>
    <col min="12294" max="12299" width="0" style="168" hidden="1" customWidth="1"/>
    <col min="12300" max="12300" width="10.140625" style="168" customWidth="1"/>
    <col min="12301" max="12302" width="11.42578125" style="168"/>
    <col min="12303" max="12303" width="12.42578125" style="168" bestFit="1" customWidth="1"/>
    <col min="12304" max="12539" width="11.42578125" style="168"/>
    <col min="12540" max="12540" width="18.140625" style="168" customWidth="1"/>
    <col min="12541" max="12541" width="8.42578125" style="168" bestFit="1" customWidth="1"/>
    <col min="12542" max="12542" width="8.28515625" style="168" bestFit="1" customWidth="1"/>
    <col min="12543" max="12544" width="8.28515625" style="168" customWidth="1"/>
    <col min="12545" max="12545" width="8.42578125" style="168" bestFit="1" customWidth="1"/>
    <col min="12546" max="12546" width="7.42578125" style="168" bestFit="1" customWidth="1"/>
    <col min="12547" max="12549" width="7.42578125" style="168" customWidth="1"/>
    <col min="12550" max="12555" width="0" style="168" hidden="1" customWidth="1"/>
    <col min="12556" max="12556" width="10.140625" style="168" customWidth="1"/>
    <col min="12557" max="12558" width="11.42578125" style="168"/>
    <col min="12559" max="12559" width="12.42578125" style="168" bestFit="1" customWidth="1"/>
    <col min="12560" max="12795" width="11.42578125" style="168"/>
    <col min="12796" max="12796" width="18.140625" style="168" customWidth="1"/>
    <col min="12797" max="12797" width="8.42578125" style="168" bestFit="1" customWidth="1"/>
    <col min="12798" max="12798" width="8.28515625" style="168" bestFit="1" customWidth="1"/>
    <col min="12799" max="12800" width="8.28515625" style="168" customWidth="1"/>
    <col min="12801" max="12801" width="8.42578125" style="168" bestFit="1" customWidth="1"/>
    <col min="12802" max="12802" width="7.42578125" style="168" bestFit="1" customWidth="1"/>
    <col min="12803" max="12805" width="7.42578125" style="168" customWidth="1"/>
    <col min="12806" max="12811" width="0" style="168" hidden="1" customWidth="1"/>
    <col min="12812" max="12812" width="10.140625" style="168" customWidth="1"/>
    <col min="12813" max="12814" width="11.42578125" style="168"/>
    <col min="12815" max="12815" width="12.42578125" style="168" bestFit="1" customWidth="1"/>
    <col min="12816" max="13051" width="11.42578125" style="168"/>
    <col min="13052" max="13052" width="18.140625" style="168" customWidth="1"/>
    <col min="13053" max="13053" width="8.42578125" style="168" bestFit="1" customWidth="1"/>
    <col min="13054" max="13054" width="8.28515625" style="168" bestFit="1" customWidth="1"/>
    <col min="13055" max="13056" width="8.28515625" style="168" customWidth="1"/>
    <col min="13057" max="13057" width="8.42578125" style="168" bestFit="1" customWidth="1"/>
    <col min="13058" max="13058" width="7.42578125" style="168" bestFit="1" customWidth="1"/>
    <col min="13059" max="13061" width="7.42578125" style="168" customWidth="1"/>
    <col min="13062" max="13067" width="0" style="168" hidden="1" customWidth="1"/>
    <col min="13068" max="13068" width="10.140625" style="168" customWidth="1"/>
    <col min="13069" max="13070" width="11.42578125" style="168"/>
    <col min="13071" max="13071" width="12.42578125" style="168" bestFit="1" customWidth="1"/>
    <col min="13072" max="13307" width="11.42578125" style="168"/>
    <col min="13308" max="13308" width="18.140625" style="168" customWidth="1"/>
    <col min="13309" max="13309" width="8.42578125" style="168" bestFit="1" customWidth="1"/>
    <col min="13310" max="13310" width="8.28515625" style="168" bestFit="1" customWidth="1"/>
    <col min="13311" max="13312" width="8.28515625" style="168" customWidth="1"/>
    <col min="13313" max="13313" width="8.42578125" style="168" bestFit="1" customWidth="1"/>
    <col min="13314" max="13314" width="7.42578125" style="168" bestFit="1" customWidth="1"/>
    <col min="13315" max="13317" width="7.42578125" style="168" customWidth="1"/>
    <col min="13318" max="13323" width="0" style="168" hidden="1" customWidth="1"/>
    <col min="13324" max="13324" width="10.140625" style="168" customWidth="1"/>
    <col min="13325" max="13326" width="11.42578125" style="168"/>
    <col min="13327" max="13327" width="12.42578125" style="168" bestFit="1" customWidth="1"/>
    <col min="13328" max="13563" width="11.42578125" style="168"/>
    <col min="13564" max="13564" width="18.140625" style="168" customWidth="1"/>
    <col min="13565" max="13565" width="8.42578125" style="168" bestFit="1" customWidth="1"/>
    <col min="13566" max="13566" width="8.28515625" style="168" bestFit="1" customWidth="1"/>
    <col min="13567" max="13568" width="8.28515625" style="168" customWidth="1"/>
    <col min="13569" max="13569" width="8.42578125" style="168" bestFit="1" customWidth="1"/>
    <col min="13570" max="13570" width="7.42578125" style="168" bestFit="1" customWidth="1"/>
    <col min="13571" max="13573" width="7.42578125" style="168" customWidth="1"/>
    <col min="13574" max="13579" width="0" style="168" hidden="1" customWidth="1"/>
    <col min="13580" max="13580" width="10.140625" style="168" customWidth="1"/>
    <col min="13581" max="13582" width="11.42578125" style="168"/>
    <col min="13583" max="13583" width="12.42578125" style="168" bestFit="1" customWidth="1"/>
    <col min="13584" max="13819" width="11.42578125" style="168"/>
    <col min="13820" max="13820" width="18.140625" style="168" customWidth="1"/>
    <col min="13821" max="13821" width="8.42578125" style="168" bestFit="1" customWidth="1"/>
    <col min="13822" max="13822" width="8.28515625" style="168" bestFit="1" customWidth="1"/>
    <col min="13823" max="13824" width="8.28515625" style="168" customWidth="1"/>
    <col min="13825" max="13825" width="8.42578125" style="168" bestFit="1" customWidth="1"/>
    <col min="13826" max="13826" width="7.42578125" style="168" bestFit="1" customWidth="1"/>
    <col min="13827" max="13829" width="7.42578125" style="168" customWidth="1"/>
    <col min="13830" max="13835" width="0" style="168" hidden="1" customWidth="1"/>
    <col min="13836" max="13836" width="10.140625" style="168" customWidth="1"/>
    <col min="13837" max="13838" width="11.42578125" style="168"/>
    <col min="13839" max="13839" width="12.42578125" style="168" bestFit="1" customWidth="1"/>
    <col min="13840" max="14075" width="11.42578125" style="168"/>
    <col min="14076" max="14076" width="18.140625" style="168" customWidth="1"/>
    <col min="14077" max="14077" width="8.42578125" style="168" bestFit="1" customWidth="1"/>
    <col min="14078" max="14078" width="8.28515625" style="168" bestFit="1" customWidth="1"/>
    <col min="14079" max="14080" width="8.28515625" style="168" customWidth="1"/>
    <col min="14081" max="14081" width="8.42578125" style="168" bestFit="1" customWidth="1"/>
    <col min="14082" max="14082" width="7.42578125" style="168" bestFit="1" customWidth="1"/>
    <col min="14083" max="14085" width="7.42578125" style="168" customWidth="1"/>
    <col min="14086" max="14091" width="0" style="168" hidden="1" customWidth="1"/>
    <col min="14092" max="14092" width="10.140625" style="168" customWidth="1"/>
    <col min="14093" max="14094" width="11.42578125" style="168"/>
    <col min="14095" max="14095" width="12.42578125" style="168" bestFit="1" customWidth="1"/>
    <col min="14096" max="14331" width="11.42578125" style="168"/>
    <col min="14332" max="14332" width="18.140625" style="168" customWidth="1"/>
    <col min="14333" max="14333" width="8.42578125" style="168" bestFit="1" customWidth="1"/>
    <col min="14334" max="14334" width="8.28515625" style="168" bestFit="1" customWidth="1"/>
    <col min="14335" max="14336" width="8.28515625" style="168" customWidth="1"/>
    <col min="14337" max="14337" width="8.42578125" style="168" bestFit="1" customWidth="1"/>
    <col min="14338" max="14338" width="7.42578125" style="168" bestFit="1" customWidth="1"/>
    <col min="14339" max="14341" width="7.42578125" style="168" customWidth="1"/>
    <col min="14342" max="14347" width="0" style="168" hidden="1" customWidth="1"/>
    <col min="14348" max="14348" width="10.140625" style="168" customWidth="1"/>
    <col min="14349" max="14350" width="11.42578125" style="168"/>
    <col min="14351" max="14351" width="12.42578125" style="168" bestFit="1" customWidth="1"/>
    <col min="14352" max="14587" width="11.42578125" style="168"/>
    <col min="14588" max="14588" width="18.140625" style="168" customWidth="1"/>
    <col min="14589" max="14589" width="8.42578125" style="168" bestFit="1" customWidth="1"/>
    <col min="14590" max="14590" width="8.28515625" style="168" bestFit="1" customWidth="1"/>
    <col min="14591" max="14592" width="8.28515625" style="168" customWidth="1"/>
    <col min="14593" max="14593" width="8.42578125" style="168" bestFit="1" customWidth="1"/>
    <col min="14594" max="14594" width="7.42578125" style="168" bestFit="1" customWidth="1"/>
    <col min="14595" max="14597" width="7.42578125" style="168" customWidth="1"/>
    <col min="14598" max="14603" width="0" style="168" hidden="1" customWidth="1"/>
    <col min="14604" max="14604" width="10.140625" style="168" customWidth="1"/>
    <col min="14605" max="14606" width="11.42578125" style="168"/>
    <col min="14607" max="14607" width="12.42578125" style="168" bestFit="1" customWidth="1"/>
    <col min="14608" max="14843" width="11.42578125" style="168"/>
    <col min="14844" max="14844" width="18.140625" style="168" customWidth="1"/>
    <col min="14845" max="14845" width="8.42578125" style="168" bestFit="1" customWidth="1"/>
    <col min="14846" max="14846" width="8.28515625" style="168" bestFit="1" customWidth="1"/>
    <col min="14847" max="14848" width="8.28515625" style="168" customWidth="1"/>
    <col min="14849" max="14849" width="8.42578125" style="168" bestFit="1" customWidth="1"/>
    <col min="14850" max="14850" width="7.42578125" style="168" bestFit="1" customWidth="1"/>
    <col min="14851" max="14853" width="7.42578125" style="168" customWidth="1"/>
    <col min="14854" max="14859" width="0" style="168" hidden="1" customWidth="1"/>
    <col min="14860" max="14860" width="10.140625" style="168" customWidth="1"/>
    <col min="14861" max="14862" width="11.42578125" style="168"/>
    <col min="14863" max="14863" width="12.42578125" style="168" bestFit="1" customWidth="1"/>
    <col min="14864" max="15099" width="11.42578125" style="168"/>
    <col min="15100" max="15100" width="18.140625" style="168" customWidth="1"/>
    <col min="15101" max="15101" width="8.42578125" style="168" bestFit="1" customWidth="1"/>
    <col min="15102" max="15102" width="8.28515625" style="168" bestFit="1" customWidth="1"/>
    <col min="15103" max="15104" width="8.28515625" style="168" customWidth="1"/>
    <col min="15105" max="15105" width="8.42578125" style="168" bestFit="1" customWidth="1"/>
    <col min="15106" max="15106" width="7.42578125" style="168" bestFit="1" customWidth="1"/>
    <col min="15107" max="15109" width="7.42578125" style="168" customWidth="1"/>
    <col min="15110" max="15115" width="0" style="168" hidden="1" customWidth="1"/>
    <col min="15116" max="15116" width="10.140625" style="168" customWidth="1"/>
    <col min="15117" max="15118" width="11.42578125" style="168"/>
    <col min="15119" max="15119" width="12.42578125" style="168" bestFit="1" customWidth="1"/>
    <col min="15120" max="15355" width="11.42578125" style="168"/>
    <col min="15356" max="15356" width="18.140625" style="168" customWidth="1"/>
    <col min="15357" max="15357" width="8.42578125" style="168" bestFit="1" customWidth="1"/>
    <col min="15358" max="15358" width="8.28515625" style="168" bestFit="1" customWidth="1"/>
    <col min="15359" max="15360" width="8.28515625" style="168" customWidth="1"/>
    <col min="15361" max="15361" width="8.42578125" style="168" bestFit="1" customWidth="1"/>
    <col min="15362" max="15362" width="7.42578125" style="168" bestFit="1" customWidth="1"/>
    <col min="15363" max="15365" width="7.42578125" style="168" customWidth="1"/>
    <col min="15366" max="15371" width="0" style="168" hidden="1" customWidth="1"/>
    <col min="15372" max="15372" width="10.140625" style="168" customWidth="1"/>
    <col min="15373" max="15374" width="11.42578125" style="168"/>
    <col min="15375" max="15375" width="12.42578125" style="168" bestFit="1" customWidth="1"/>
    <col min="15376" max="15611" width="11.42578125" style="168"/>
    <col min="15612" max="15612" width="18.140625" style="168" customWidth="1"/>
    <col min="15613" max="15613" width="8.42578125" style="168" bestFit="1" customWidth="1"/>
    <col min="15614" max="15614" width="8.28515625" style="168" bestFit="1" customWidth="1"/>
    <col min="15615" max="15616" width="8.28515625" style="168" customWidth="1"/>
    <col min="15617" max="15617" width="8.42578125" style="168" bestFit="1" customWidth="1"/>
    <col min="15618" max="15618" width="7.42578125" style="168" bestFit="1" customWidth="1"/>
    <col min="15619" max="15621" width="7.42578125" style="168" customWidth="1"/>
    <col min="15622" max="15627" width="0" style="168" hidden="1" customWidth="1"/>
    <col min="15628" max="15628" width="10.140625" style="168" customWidth="1"/>
    <col min="15629" max="15630" width="11.42578125" style="168"/>
    <col min="15631" max="15631" width="12.42578125" style="168" bestFit="1" customWidth="1"/>
    <col min="15632" max="15867" width="11.42578125" style="168"/>
    <col min="15868" max="15868" width="18.140625" style="168" customWidth="1"/>
    <col min="15869" max="15869" width="8.42578125" style="168" bestFit="1" customWidth="1"/>
    <col min="15870" max="15870" width="8.28515625" style="168" bestFit="1" customWidth="1"/>
    <col min="15871" max="15872" width="8.28515625" style="168" customWidth="1"/>
    <col min="15873" max="15873" width="8.42578125" style="168" bestFit="1" customWidth="1"/>
    <col min="15874" max="15874" width="7.42578125" style="168" bestFit="1" customWidth="1"/>
    <col min="15875" max="15877" width="7.42578125" style="168" customWidth="1"/>
    <col min="15878" max="15883" width="0" style="168" hidden="1" customWidth="1"/>
    <col min="15884" max="15884" width="10.140625" style="168" customWidth="1"/>
    <col min="15885" max="15886" width="11.42578125" style="168"/>
    <col min="15887" max="15887" width="12.42578125" style="168" bestFit="1" customWidth="1"/>
    <col min="15888" max="16123" width="11.42578125" style="168"/>
    <col min="16124" max="16124" width="18.140625" style="168" customWidth="1"/>
    <col min="16125" max="16125" width="8.42578125" style="168" bestFit="1" customWidth="1"/>
    <col min="16126" max="16126" width="8.28515625" style="168" bestFit="1" customWidth="1"/>
    <col min="16127" max="16128" width="8.28515625" style="168" customWidth="1"/>
    <col min="16129" max="16129" width="8.42578125" style="168" bestFit="1" customWidth="1"/>
    <col min="16130" max="16130" width="7.42578125" style="168" bestFit="1" customWidth="1"/>
    <col min="16131" max="16133" width="7.42578125" style="168" customWidth="1"/>
    <col min="16134" max="16139" width="0" style="168" hidden="1" customWidth="1"/>
    <col min="16140" max="16140" width="10.140625" style="168" customWidth="1"/>
    <col min="16141" max="16142" width="11.42578125" style="168"/>
    <col min="16143" max="16143" width="12.42578125" style="168" bestFit="1" customWidth="1"/>
    <col min="16144" max="16384" width="11.42578125" style="168"/>
  </cols>
  <sheetData>
    <row r="1" spans="1:17" s="169" customFormat="1" x14ac:dyDescent="0.2">
      <c r="B1" s="182"/>
      <c r="C1" s="182"/>
      <c r="D1" s="182"/>
      <c r="E1" s="182"/>
      <c r="F1" s="182"/>
      <c r="G1" s="182"/>
      <c r="H1" s="182"/>
      <c r="I1" s="182"/>
      <c r="J1" s="182"/>
      <c r="K1" s="182"/>
      <c r="L1" s="182"/>
    </row>
    <row r="2" spans="1:17" s="169" customFormat="1" x14ac:dyDescent="0.2">
      <c r="A2" s="196" t="s">
        <v>121</v>
      </c>
      <c r="B2" s="182"/>
      <c r="C2" s="182"/>
      <c r="D2" s="182"/>
      <c r="E2" s="182"/>
      <c r="F2" s="182"/>
      <c r="G2" s="182"/>
      <c r="H2" s="182"/>
      <c r="I2" s="182"/>
      <c r="K2" s="182"/>
      <c r="L2" s="182"/>
    </row>
    <row r="3" spans="1:17" s="169" customFormat="1" ht="15" x14ac:dyDescent="0.25">
      <c r="A3" s="196" t="s">
        <v>122</v>
      </c>
      <c r="B3" s="182"/>
      <c r="C3" s="182"/>
      <c r="D3" s="182"/>
      <c r="E3" s="182"/>
      <c r="F3" s="182"/>
      <c r="G3" s="182"/>
      <c r="H3" s="182"/>
      <c r="I3" s="182"/>
      <c r="J3" s="337"/>
      <c r="K3" s="182"/>
      <c r="L3" s="182"/>
    </row>
    <row r="4" spans="1:17" s="169" customFormat="1" x14ac:dyDescent="0.2">
      <c r="B4" s="182"/>
      <c r="C4" s="182"/>
      <c r="D4" s="182"/>
      <c r="E4" s="182"/>
      <c r="F4" s="182"/>
      <c r="G4" s="182"/>
      <c r="H4" s="182"/>
      <c r="I4" s="182"/>
      <c r="J4" s="182"/>
      <c r="K4" s="182"/>
      <c r="L4" s="182"/>
    </row>
    <row r="5" spans="1:17" s="169" customFormat="1" ht="12.75" x14ac:dyDescent="0.2">
      <c r="B5" s="418" t="s">
        <v>139</v>
      </c>
      <c r="C5" s="418"/>
      <c r="D5" s="418"/>
      <c r="E5" s="418"/>
      <c r="F5" s="418"/>
      <c r="G5" s="418"/>
      <c r="H5" s="418"/>
      <c r="I5" s="418"/>
      <c r="J5" s="418"/>
      <c r="K5" s="418"/>
      <c r="L5" s="182"/>
      <c r="M5" s="367" t="s">
        <v>593</v>
      </c>
      <c r="O5" s="338"/>
    </row>
    <row r="6" spans="1:17" s="169" customFormat="1" ht="12.75" x14ac:dyDescent="0.2">
      <c r="B6" s="431" t="str">
        <f>'Solicitudes Regiones'!$B$6:$P$6</f>
        <v>Acumuladas de julio de 2008 a noviembre de 2018</v>
      </c>
      <c r="C6" s="431"/>
      <c r="D6" s="431"/>
      <c r="E6" s="431"/>
      <c r="F6" s="431"/>
      <c r="G6" s="431"/>
      <c r="H6" s="431"/>
      <c r="I6" s="431"/>
      <c r="J6" s="431"/>
      <c r="K6" s="431"/>
    </row>
    <row r="7" spans="1:17" s="172" customFormat="1" x14ac:dyDescent="0.2">
      <c r="B7" s="170"/>
      <c r="C7" s="171"/>
      <c r="D7" s="171"/>
      <c r="E7" s="171"/>
      <c r="F7" s="171"/>
      <c r="G7" s="171"/>
      <c r="H7" s="171"/>
      <c r="I7" s="171"/>
      <c r="J7" s="171"/>
      <c r="K7" s="171"/>
      <c r="L7" s="171"/>
    </row>
    <row r="8" spans="1:17" ht="15" customHeight="1" x14ac:dyDescent="0.2">
      <c r="B8" s="447" t="s">
        <v>98</v>
      </c>
      <c r="C8" s="448"/>
      <c r="D8" s="448"/>
      <c r="E8" s="448"/>
      <c r="F8" s="448"/>
      <c r="G8" s="448"/>
      <c r="H8" s="448"/>
      <c r="I8" s="448"/>
      <c r="J8" s="448"/>
      <c r="K8" s="449"/>
    </row>
    <row r="9" spans="1:17" ht="20.25" customHeight="1" x14ac:dyDescent="0.2">
      <c r="B9" s="446" t="s">
        <v>74</v>
      </c>
      <c r="C9" s="447" t="s">
        <v>2</v>
      </c>
      <c r="D9" s="448"/>
      <c r="E9" s="448"/>
      <c r="F9" s="448"/>
      <c r="G9" s="448"/>
      <c r="H9" s="448"/>
      <c r="I9" s="448"/>
      <c r="J9" s="448"/>
      <c r="K9" s="449"/>
    </row>
    <row r="10" spans="1:17" ht="24" x14ac:dyDescent="0.2">
      <c r="B10" s="446"/>
      <c r="C10" s="165" t="s">
        <v>75</v>
      </c>
      <c r="D10" s="165" t="s">
        <v>76</v>
      </c>
      <c r="E10" s="165" t="s">
        <v>77</v>
      </c>
      <c r="F10" s="165" t="s">
        <v>78</v>
      </c>
      <c r="G10" s="165" t="s">
        <v>8</v>
      </c>
      <c r="H10" s="165" t="s">
        <v>79</v>
      </c>
      <c r="I10" s="165" t="s">
        <v>80</v>
      </c>
      <c r="J10" s="186" t="s">
        <v>81</v>
      </c>
      <c r="K10" s="226" t="s">
        <v>46</v>
      </c>
    </row>
    <row r="11" spans="1:17" x14ac:dyDescent="0.2">
      <c r="B11" s="162" t="s">
        <v>160</v>
      </c>
      <c r="C11" s="160">
        <v>3148</v>
      </c>
      <c r="D11" s="160">
        <v>1475</v>
      </c>
      <c r="E11" s="160">
        <f>C11+D11</f>
        <v>4623</v>
      </c>
      <c r="F11" s="161">
        <f>E11/$E$20</f>
        <v>0.4666397496719491</v>
      </c>
      <c r="G11" s="160">
        <v>9604</v>
      </c>
      <c r="H11" s="160">
        <v>557</v>
      </c>
      <c r="I11" s="160">
        <f>G11+H11</f>
        <v>10161</v>
      </c>
      <c r="J11" s="183">
        <f>I11/$I$20</f>
        <v>0.48510455456889146</v>
      </c>
      <c r="K11" s="160">
        <f t="shared" ref="K11:K19" si="0">E11+I11</f>
        <v>14784</v>
      </c>
      <c r="Q11" s="173"/>
    </row>
    <row r="12" spans="1:17" x14ac:dyDescent="0.2">
      <c r="B12" s="162" t="s">
        <v>161</v>
      </c>
      <c r="C12" s="160">
        <v>362</v>
      </c>
      <c r="D12" s="160">
        <v>181</v>
      </c>
      <c r="E12" s="160">
        <f t="shared" ref="E12:E19" si="1">C12+D12</f>
        <v>543</v>
      </c>
      <c r="F12" s="161">
        <f t="shared" ref="F12:F19" si="2">E12/$E$20</f>
        <v>5.4809730493590392E-2</v>
      </c>
      <c r="G12" s="160">
        <v>1101</v>
      </c>
      <c r="H12" s="160">
        <v>68</v>
      </c>
      <c r="I12" s="160">
        <f t="shared" ref="I12:I19" si="3">G12+H12</f>
        <v>1169</v>
      </c>
      <c r="J12" s="183">
        <f t="shared" ref="J12:J19" si="4">I12/$I$20</f>
        <v>5.5810178554377927E-2</v>
      </c>
      <c r="K12" s="160">
        <f t="shared" si="0"/>
        <v>1712</v>
      </c>
      <c r="Q12" s="173"/>
    </row>
    <row r="13" spans="1:17" x14ac:dyDescent="0.2">
      <c r="B13" s="162" t="s">
        <v>162</v>
      </c>
      <c r="C13" s="160">
        <v>228</v>
      </c>
      <c r="D13" s="160">
        <v>158</v>
      </c>
      <c r="E13" s="160">
        <f t="shared" si="1"/>
        <v>386</v>
      </c>
      <c r="F13" s="161">
        <f t="shared" si="2"/>
        <v>3.896234985363884E-2</v>
      </c>
      <c r="G13" s="160">
        <v>733</v>
      </c>
      <c r="H13" s="160">
        <v>51</v>
      </c>
      <c r="I13" s="160">
        <f t="shared" si="3"/>
        <v>784</v>
      </c>
      <c r="J13" s="183">
        <f t="shared" si="4"/>
        <v>3.7429580826888187E-2</v>
      </c>
      <c r="K13" s="160">
        <f t="shared" si="0"/>
        <v>1170</v>
      </c>
      <c r="Q13" s="173"/>
    </row>
    <row r="14" spans="1:17" x14ac:dyDescent="0.2">
      <c r="B14" s="162" t="s">
        <v>163</v>
      </c>
      <c r="C14" s="160">
        <v>427</v>
      </c>
      <c r="D14" s="160">
        <v>187</v>
      </c>
      <c r="E14" s="160">
        <f t="shared" si="1"/>
        <v>614</v>
      </c>
      <c r="F14" s="161">
        <f t="shared" si="2"/>
        <v>6.1976380337135359E-2</v>
      </c>
      <c r="G14" s="160">
        <v>1106</v>
      </c>
      <c r="H14" s="160">
        <v>67</v>
      </c>
      <c r="I14" s="160">
        <f t="shared" si="3"/>
        <v>1173</v>
      </c>
      <c r="J14" s="183">
        <f t="shared" si="4"/>
        <v>5.6001145803494704E-2</v>
      </c>
      <c r="K14" s="160">
        <f t="shared" si="0"/>
        <v>1787</v>
      </c>
      <c r="Q14" s="173"/>
    </row>
    <row r="15" spans="1:17" x14ac:dyDescent="0.2">
      <c r="B15" s="162" t="s">
        <v>164</v>
      </c>
      <c r="C15" s="160">
        <v>267</v>
      </c>
      <c r="D15" s="160">
        <v>188</v>
      </c>
      <c r="E15" s="160">
        <f t="shared" si="1"/>
        <v>455</v>
      </c>
      <c r="F15" s="161">
        <f t="shared" si="2"/>
        <v>4.5927122236802259E-2</v>
      </c>
      <c r="G15" s="160">
        <v>653</v>
      </c>
      <c r="H15" s="160">
        <v>36</v>
      </c>
      <c r="I15" s="160">
        <f t="shared" si="3"/>
        <v>689</v>
      </c>
      <c r="J15" s="183">
        <f t="shared" si="4"/>
        <v>3.2894108660364747E-2</v>
      </c>
      <c r="K15" s="160">
        <f t="shared" si="0"/>
        <v>1144</v>
      </c>
      <c r="Q15" s="173"/>
    </row>
    <row r="16" spans="1:17" x14ac:dyDescent="0.2">
      <c r="B16" s="162" t="s">
        <v>165</v>
      </c>
      <c r="C16" s="160">
        <v>1614</v>
      </c>
      <c r="D16" s="160">
        <v>746</v>
      </c>
      <c r="E16" s="160">
        <f t="shared" si="1"/>
        <v>2360</v>
      </c>
      <c r="F16" s="161">
        <f t="shared" si="2"/>
        <v>0.23821540325022711</v>
      </c>
      <c r="G16" s="160">
        <v>4903</v>
      </c>
      <c r="H16" s="160">
        <v>204</v>
      </c>
      <c r="I16" s="160">
        <f t="shared" si="3"/>
        <v>5107</v>
      </c>
      <c r="J16" s="183">
        <f t="shared" si="4"/>
        <v>0.24381743530984437</v>
      </c>
      <c r="K16" s="160">
        <f t="shared" si="0"/>
        <v>7467</v>
      </c>
      <c r="Q16" s="173"/>
    </row>
    <row r="17" spans="2:17" x14ac:dyDescent="0.2">
      <c r="B17" s="162" t="s">
        <v>166</v>
      </c>
      <c r="C17" s="160">
        <v>172</v>
      </c>
      <c r="D17" s="160">
        <v>95</v>
      </c>
      <c r="E17" s="160">
        <f t="shared" si="1"/>
        <v>267</v>
      </c>
      <c r="F17" s="161">
        <f t="shared" si="2"/>
        <v>2.695064096093671E-2</v>
      </c>
      <c r="G17" s="160">
        <v>474</v>
      </c>
      <c r="H17" s="160">
        <v>17</v>
      </c>
      <c r="I17" s="160">
        <f t="shared" si="3"/>
        <v>491</v>
      </c>
      <c r="J17" s="183">
        <f t="shared" si="4"/>
        <v>2.3441229829084313E-2</v>
      </c>
      <c r="K17" s="160">
        <f t="shared" si="0"/>
        <v>758</v>
      </c>
      <c r="Q17" s="173"/>
    </row>
    <row r="18" spans="2:17" x14ac:dyDescent="0.2">
      <c r="B18" s="162" t="s">
        <v>167</v>
      </c>
      <c r="C18" s="160">
        <v>192</v>
      </c>
      <c r="D18" s="160">
        <v>88</v>
      </c>
      <c r="E18" s="160">
        <f t="shared" si="1"/>
        <v>280</v>
      </c>
      <c r="F18" s="161">
        <f t="shared" si="2"/>
        <v>2.8262844453416775E-2</v>
      </c>
      <c r="G18" s="160">
        <v>559</v>
      </c>
      <c r="H18" s="160">
        <v>25</v>
      </c>
      <c r="I18" s="160">
        <f t="shared" si="3"/>
        <v>584</v>
      </c>
      <c r="J18" s="183">
        <f t="shared" si="4"/>
        <v>2.7881218371049364E-2</v>
      </c>
      <c r="K18" s="160">
        <f t="shared" si="0"/>
        <v>864</v>
      </c>
      <c r="M18" s="172"/>
      <c r="Q18" s="173"/>
    </row>
    <row r="19" spans="2:17" x14ac:dyDescent="0.2">
      <c r="B19" s="162" t="s">
        <v>168</v>
      </c>
      <c r="C19" s="160">
        <v>280</v>
      </c>
      <c r="D19" s="160">
        <v>99</v>
      </c>
      <c r="E19" s="160">
        <f t="shared" si="1"/>
        <v>379</v>
      </c>
      <c r="F19" s="161">
        <f t="shared" si="2"/>
        <v>3.8255778742303424E-2</v>
      </c>
      <c r="G19" s="160">
        <v>758</v>
      </c>
      <c r="H19" s="160">
        <v>30</v>
      </c>
      <c r="I19" s="160">
        <f t="shared" si="3"/>
        <v>788</v>
      </c>
      <c r="J19" s="183">
        <f t="shared" si="4"/>
        <v>3.7620548076004963E-2</v>
      </c>
      <c r="K19" s="160">
        <f t="shared" si="0"/>
        <v>1167</v>
      </c>
      <c r="Q19" s="173"/>
    </row>
    <row r="20" spans="2:17" x14ac:dyDescent="0.2">
      <c r="B20" s="162" t="s">
        <v>66</v>
      </c>
      <c r="C20" s="160">
        <f>SUM(C11:C19)</f>
        <v>6690</v>
      </c>
      <c r="D20" s="160">
        <f>SUM(D11:D19)</f>
        <v>3217</v>
      </c>
      <c r="E20" s="162">
        <f t="shared" ref="E20" si="5">C20+D20</f>
        <v>9907</v>
      </c>
      <c r="F20" s="164">
        <f t="shared" ref="F20" si="6">E20/$E$20</f>
        <v>1</v>
      </c>
      <c r="G20" s="160">
        <f t="shared" ref="G20:H20" si="7">SUM(G11:G19)</f>
        <v>19891</v>
      </c>
      <c r="H20" s="160">
        <f t="shared" si="7"/>
        <v>1055</v>
      </c>
      <c r="I20" s="162">
        <f t="shared" ref="I20" si="8">G20+H20</f>
        <v>20946</v>
      </c>
      <c r="J20" s="184">
        <f t="shared" ref="J20" si="9">I20/$I$20</f>
        <v>1</v>
      </c>
      <c r="K20" s="162">
        <f t="shared" ref="K20:K21" si="10">E20+I20</f>
        <v>30853</v>
      </c>
      <c r="Q20" s="173"/>
    </row>
    <row r="21" spans="2:17" ht="25.5" customHeight="1" x14ac:dyDescent="0.2">
      <c r="B21" s="174" t="s">
        <v>82</v>
      </c>
      <c r="C21" s="175">
        <f>+C20/$K$20</f>
        <v>0.2168346676174116</v>
      </c>
      <c r="D21" s="175">
        <f>+D20/$K$20</f>
        <v>0.10426862865847729</v>
      </c>
      <c r="E21" s="176">
        <f>C21+D21</f>
        <v>0.32110329627588891</v>
      </c>
      <c r="F21" s="176"/>
      <c r="G21" s="175">
        <f>+G20/$K$20</f>
        <v>0.64470229799371215</v>
      </c>
      <c r="H21" s="175">
        <f>+H20/$K$20</f>
        <v>3.4194405730398988E-2</v>
      </c>
      <c r="I21" s="176">
        <f>G21+H21</f>
        <v>0.67889670372411115</v>
      </c>
      <c r="J21" s="185"/>
      <c r="K21" s="176">
        <f t="shared" si="10"/>
        <v>1</v>
      </c>
    </row>
    <row r="22" spans="2:17" x14ac:dyDescent="0.2">
      <c r="B22" s="177"/>
      <c r="C22" s="178"/>
      <c r="D22" s="178"/>
      <c r="E22" s="179"/>
      <c r="F22" s="179"/>
      <c r="G22" s="178"/>
      <c r="H22" s="178"/>
      <c r="I22" s="179"/>
      <c r="J22" s="179"/>
      <c r="K22" s="179"/>
      <c r="L22" s="204"/>
    </row>
    <row r="23" spans="2:17" ht="12.75" x14ac:dyDescent="0.2">
      <c r="B23" s="450" t="s">
        <v>138</v>
      </c>
      <c r="C23" s="450"/>
      <c r="D23" s="450"/>
      <c r="E23" s="450"/>
      <c r="F23" s="450"/>
      <c r="G23" s="450"/>
      <c r="H23" s="450"/>
      <c r="I23" s="450"/>
      <c r="J23" s="450"/>
      <c r="K23" s="450"/>
      <c r="L23" s="204"/>
    </row>
    <row r="24" spans="2:17" ht="12.75" x14ac:dyDescent="0.2">
      <c r="B24" s="431" t="str">
        <f>'Solicitudes Regiones'!$B$6:$P$6</f>
        <v>Acumuladas de julio de 2008 a noviembre de 2018</v>
      </c>
      <c r="C24" s="431"/>
      <c r="D24" s="431"/>
      <c r="E24" s="431"/>
      <c r="F24" s="431"/>
      <c r="G24" s="431"/>
      <c r="H24" s="431"/>
      <c r="I24" s="431"/>
      <c r="J24" s="431"/>
      <c r="K24" s="431"/>
      <c r="L24" s="204"/>
    </row>
    <row r="25" spans="2:17" x14ac:dyDescent="0.2">
      <c r="B25" s="177"/>
      <c r="C25" s="179"/>
      <c r="D25" s="179"/>
      <c r="E25" s="179"/>
      <c r="F25" s="179"/>
      <c r="G25" s="179"/>
      <c r="H25" s="179"/>
      <c r="I25" s="179"/>
      <c r="J25" s="179"/>
      <c r="K25" s="179"/>
      <c r="L25" s="179"/>
      <c r="M25" s="204"/>
    </row>
    <row r="26" spans="2:17" ht="12.75" customHeight="1" x14ac:dyDescent="0.2">
      <c r="B26" s="446" t="s">
        <v>83</v>
      </c>
      <c r="C26" s="446"/>
      <c r="D26" s="446"/>
      <c r="E26" s="446"/>
      <c r="F26" s="446"/>
      <c r="G26" s="446"/>
      <c r="H26" s="446"/>
      <c r="I26" s="446"/>
      <c r="J26" s="446"/>
      <c r="K26" s="446"/>
    </row>
    <row r="27" spans="2:17" ht="20.25" customHeight="1" x14ac:dyDescent="0.2">
      <c r="B27" s="446" t="s">
        <v>74</v>
      </c>
      <c r="C27" s="446" t="s">
        <v>2</v>
      </c>
      <c r="D27" s="446"/>
      <c r="E27" s="446"/>
      <c r="F27" s="446"/>
      <c r="G27" s="446"/>
      <c r="H27" s="446"/>
      <c r="I27" s="446"/>
      <c r="J27" s="446"/>
      <c r="K27" s="446"/>
    </row>
    <row r="28" spans="2:17" ht="24" customHeight="1" x14ac:dyDescent="0.2">
      <c r="B28" s="446"/>
      <c r="C28" s="165" t="s">
        <v>75</v>
      </c>
      <c r="D28" s="165" t="s">
        <v>76</v>
      </c>
      <c r="E28" s="165" t="s">
        <v>77</v>
      </c>
      <c r="F28" s="165" t="s">
        <v>78</v>
      </c>
      <c r="G28" s="165" t="s">
        <v>8</v>
      </c>
      <c r="H28" s="165" t="s">
        <v>79</v>
      </c>
      <c r="I28" s="165" t="s">
        <v>80</v>
      </c>
      <c r="J28" s="165" t="s">
        <v>81</v>
      </c>
      <c r="K28" s="166" t="s">
        <v>46</v>
      </c>
    </row>
    <row r="29" spans="2:17" ht="15.75" customHeight="1" x14ac:dyDescent="0.2">
      <c r="B29" s="162" t="s">
        <v>160</v>
      </c>
      <c r="C29" s="160">
        <v>2730</v>
      </c>
      <c r="D29" s="160">
        <v>1001</v>
      </c>
      <c r="E29" s="160">
        <f>C29+D29</f>
        <v>3731</v>
      </c>
      <c r="F29" s="161">
        <f>E29/$E$38</f>
        <v>0.47031387873440061</v>
      </c>
      <c r="G29" s="160">
        <v>7858</v>
      </c>
      <c r="H29" s="160">
        <v>447</v>
      </c>
      <c r="I29" s="160">
        <f>G29+H29</f>
        <v>8305</v>
      </c>
      <c r="J29" s="161">
        <f>I29/$I$38</f>
        <v>0.47895040369088809</v>
      </c>
      <c r="K29" s="160">
        <f t="shared" ref="K29:K37" si="11">E29+I29</f>
        <v>12036</v>
      </c>
    </row>
    <row r="30" spans="2:17" x14ac:dyDescent="0.2">
      <c r="B30" s="162" t="s">
        <v>161</v>
      </c>
      <c r="C30" s="160">
        <v>316</v>
      </c>
      <c r="D30" s="160">
        <v>120</v>
      </c>
      <c r="E30" s="160">
        <f t="shared" ref="E30:E37" si="12">C30+D30</f>
        <v>436</v>
      </c>
      <c r="F30" s="161">
        <f t="shared" ref="F30:F37" si="13">E30/$E$38</f>
        <v>5.4960292449262572E-2</v>
      </c>
      <c r="G30" s="160">
        <v>889</v>
      </c>
      <c r="H30" s="160">
        <v>52</v>
      </c>
      <c r="I30" s="160">
        <f t="shared" ref="I30:I37" si="14">G30+H30</f>
        <v>941</v>
      </c>
      <c r="J30" s="161">
        <f t="shared" ref="J30:J37" si="15">I30/$I$38</f>
        <v>5.4267589388696656E-2</v>
      </c>
      <c r="K30" s="160">
        <f t="shared" si="11"/>
        <v>1377</v>
      </c>
    </row>
    <row r="31" spans="2:17" x14ac:dyDescent="0.2">
      <c r="B31" s="162" t="s">
        <v>162</v>
      </c>
      <c r="C31" s="160">
        <v>201</v>
      </c>
      <c r="D31" s="160">
        <v>100</v>
      </c>
      <c r="E31" s="160">
        <f t="shared" si="12"/>
        <v>301</v>
      </c>
      <c r="F31" s="161">
        <f t="shared" si="13"/>
        <v>3.7942770704651456E-2</v>
      </c>
      <c r="G31" s="160">
        <v>625</v>
      </c>
      <c r="H31" s="160">
        <v>38</v>
      </c>
      <c r="I31" s="160">
        <f t="shared" si="14"/>
        <v>663</v>
      </c>
      <c r="J31" s="161">
        <f t="shared" si="15"/>
        <v>3.8235294117647062E-2</v>
      </c>
      <c r="K31" s="160">
        <f t="shared" si="11"/>
        <v>964</v>
      </c>
    </row>
    <row r="32" spans="2:17" x14ac:dyDescent="0.2">
      <c r="B32" s="162" t="s">
        <v>163</v>
      </c>
      <c r="C32" s="160">
        <v>364</v>
      </c>
      <c r="D32" s="160">
        <v>123</v>
      </c>
      <c r="E32" s="160">
        <f t="shared" si="12"/>
        <v>487</v>
      </c>
      <c r="F32" s="161">
        <f t="shared" si="13"/>
        <v>6.1389133997226772E-2</v>
      </c>
      <c r="G32" s="160">
        <v>910</v>
      </c>
      <c r="H32" s="160">
        <v>34</v>
      </c>
      <c r="I32" s="160">
        <f t="shared" si="14"/>
        <v>944</v>
      </c>
      <c r="J32" s="161">
        <f t="shared" si="15"/>
        <v>5.4440599769319489E-2</v>
      </c>
      <c r="K32" s="160">
        <f t="shared" si="11"/>
        <v>1431</v>
      </c>
    </row>
    <row r="33" spans="2:11" x14ac:dyDescent="0.2">
      <c r="B33" s="162" t="s">
        <v>164</v>
      </c>
      <c r="C33" s="160">
        <v>205</v>
      </c>
      <c r="D33" s="160">
        <v>107</v>
      </c>
      <c r="E33" s="160">
        <f t="shared" si="12"/>
        <v>312</v>
      </c>
      <c r="F33" s="161">
        <f t="shared" si="13"/>
        <v>3.9329383587545695E-2</v>
      </c>
      <c r="G33" s="160">
        <v>541</v>
      </c>
      <c r="H33" s="160">
        <v>20</v>
      </c>
      <c r="I33" s="160">
        <f t="shared" si="14"/>
        <v>561</v>
      </c>
      <c r="J33" s="161">
        <f t="shared" si="15"/>
        <v>3.2352941176470591E-2</v>
      </c>
      <c r="K33" s="160">
        <f t="shared" si="11"/>
        <v>873</v>
      </c>
    </row>
    <row r="34" spans="2:11" x14ac:dyDescent="0.2">
      <c r="B34" s="162" t="s">
        <v>165</v>
      </c>
      <c r="C34" s="160">
        <v>1411</v>
      </c>
      <c r="D34" s="160">
        <v>496</v>
      </c>
      <c r="E34" s="160">
        <f t="shared" si="12"/>
        <v>1907</v>
      </c>
      <c r="F34" s="161">
        <f t="shared" si="13"/>
        <v>0.24038825160721039</v>
      </c>
      <c r="G34" s="160">
        <v>4141</v>
      </c>
      <c r="H34" s="160">
        <v>170</v>
      </c>
      <c r="I34" s="160">
        <f t="shared" si="14"/>
        <v>4311</v>
      </c>
      <c r="J34" s="161">
        <f t="shared" si="15"/>
        <v>0.24861591695501731</v>
      </c>
      <c r="K34" s="160">
        <f t="shared" si="11"/>
        <v>6218</v>
      </c>
    </row>
    <row r="35" spans="2:11" x14ac:dyDescent="0.2">
      <c r="B35" s="162" t="s">
        <v>166</v>
      </c>
      <c r="C35" s="160">
        <v>161</v>
      </c>
      <c r="D35" s="160">
        <v>60</v>
      </c>
      <c r="E35" s="160">
        <f t="shared" si="12"/>
        <v>221</v>
      </c>
      <c r="F35" s="161">
        <f t="shared" si="13"/>
        <v>2.7858313374511535E-2</v>
      </c>
      <c r="G35" s="160">
        <v>407</v>
      </c>
      <c r="H35" s="160">
        <v>16</v>
      </c>
      <c r="I35" s="160">
        <f t="shared" si="14"/>
        <v>423</v>
      </c>
      <c r="J35" s="161">
        <f t="shared" si="15"/>
        <v>2.4394463667820068E-2</v>
      </c>
      <c r="K35" s="160">
        <f t="shared" si="11"/>
        <v>644</v>
      </c>
    </row>
    <row r="36" spans="2:11" x14ac:dyDescent="0.2">
      <c r="B36" s="162" t="s">
        <v>167</v>
      </c>
      <c r="C36" s="160">
        <v>164</v>
      </c>
      <c r="D36" s="160">
        <v>71</v>
      </c>
      <c r="E36" s="160">
        <f t="shared" si="12"/>
        <v>235</v>
      </c>
      <c r="F36" s="161">
        <f t="shared" si="13"/>
        <v>2.9623093407286021E-2</v>
      </c>
      <c r="G36" s="160">
        <v>486</v>
      </c>
      <c r="H36" s="160">
        <v>15</v>
      </c>
      <c r="I36" s="160">
        <f t="shared" si="14"/>
        <v>501</v>
      </c>
      <c r="J36" s="161">
        <f t="shared" si="15"/>
        <v>2.8892733564013839E-2</v>
      </c>
      <c r="K36" s="160">
        <f t="shared" si="11"/>
        <v>736</v>
      </c>
    </row>
    <row r="37" spans="2:11" x14ac:dyDescent="0.2">
      <c r="B37" s="162" t="s">
        <v>168</v>
      </c>
      <c r="C37" s="160">
        <v>233</v>
      </c>
      <c r="D37" s="160">
        <v>70</v>
      </c>
      <c r="E37" s="160">
        <f t="shared" si="12"/>
        <v>303</v>
      </c>
      <c r="F37" s="161">
        <f t="shared" si="13"/>
        <v>3.8194882137904951E-2</v>
      </c>
      <c r="G37" s="160">
        <v>661</v>
      </c>
      <c r="H37" s="160">
        <v>30</v>
      </c>
      <c r="I37" s="160">
        <f t="shared" si="14"/>
        <v>691</v>
      </c>
      <c r="J37" s="161">
        <f t="shared" si="15"/>
        <v>3.9850057670126872E-2</v>
      </c>
      <c r="K37" s="160">
        <f t="shared" si="11"/>
        <v>994</v>
      </c>
    </row>
    <row r="38" spans="2:11" x14ac:dyDescent="0.2">
      <c r="B38" s="162" t="s">
        <v>66</v>
      </c>
      <c r="C38" s="160">
        <f>SUM(C29:C37)</f>
        <v>5785</v>
      </c>
      <c r="D38" s="160">
        <f>SUM(D29:D37)</f>
        <v>2148</v>
      </c>
      <c r="E38" s="162">
        <f t="shared" ref="E38" si="16">C38+D38</f>
        <v>7933</v>
      </c>
      <c r="F38" s="164">
        <f t="shared" ref="F38" si="17">E38/$E$38</f>
        <v>1</v>
      </c>
      <c r="G38" s="160">
        <f t="shared" ref="G38:H38" si="18">SUM(G29:G37)</f>
        <v>16518</v>
      </c>
      <c r="H38" s="160">
        <f t="shared" si="18"/>
        <v>822</v>
      </c>
      <c r="I38" s="162">
        <f t="shared" ref="I38" si="19">G38+H38</f>
        <v>17340</v>
      </c>
      <c r="J38" s="164">
        <f t="shared" ref="J38" si="20">I38/$I$38</f>
        <v>1</v>
      </c>
      <c r="K38" s="162">
        <f t="shared" ref="K38:K39" si="21">E38+I38</f>
        <v>25273</v>
      </c>
    </row>
    <row r="39" spans="2:11" ht="24" x14ac:dyDescent="0.2">
      <c r="B39" s="174" t="s">
        <v>84</v>
      </c>
      <c r="C39" s="175">
        <f>+C38/$K$38</f>
        <v>0.22890040754955882</v>
      </c>
      <c r="D39" s="175">
        <f>+D38/$K$38</f>
        <v>8.4991888576741975E-2</v>
      </c>
      <c r="E39" s="176">
        <f>C39+D39</f>
        <v>0.31389229612630076</v>
      </c>
      <c r="F39" s="176"/>
      <c r="G39" s="175">
        <f>+G38/$K$38</f>
        <v>0.65358287500494594</v>
      </c>
      <c r="H39" s="175">
        <f>+H38/$K$38</f>
        <v>3.2524828868753214E-2</v>
      </c>
      <c r="I39" s="176">
        <f>G39+H39</f>
        <v>0.68610770387369913</v>
      </c>
      <c r="J39" s="176"/>
      <c r="K39" s="176">
        <f t="shared" si="21"/>
        <v>0.99999999999999989</v>
      </c>
    </row>
    <row r="40" spans="2:11" x14ac:dyDescent="0.2">
      <c r="B40" s="167" t="s">
        <v>149</v>
      </c>
    </row>
    <row r="41" spans="2:11" x14ac:dyDescent="0.2">
      <c r="B41" s="167" t="s">
        <v>150</v>
      </c>
    </row>
    <row r="131" spans="2:2" x14ac:dyDescent="0.2">
      <c r="B131" s="168" t="s">
        <v>96</v>
      </c>
    </row>
  </sheetData>
  <mergeCells count="10">
    <mergeCell ref="B6:K6"/>
    <mergeCell ref="B5:K5"/>
    <mergeCell ref="B23:K23"/>
    <mergeCell ref="B24:K24"/>
    <mergeCell ref="B27:B28"/>
    <mergeCell ref="C27:K27"/>
    <mergeCell ref="B8:K8"/>
    <mergeCell ref="B9:B10"/>
    <mergeCell ref="C9:K9"/>
    <mergeCell ref="B26:K26"/>
  </mergeCells>
  <hyperlinks>
    <hyperlink ref="M5" location="'Índice Pensiones Solidarias'!A1" display="Volver Sistema de Pensiones Solidadias" xr:uid="{00000000-0004-0000-0A00-000000000000}"/>
  </hyperlinks>
  <pageMargins left="0.74803149606299213" right="0.74803149606299213" top="0.98425196850393704" bottom="0.98425196850393704" header="0" footer="0"/>
  <pageSetup scale="8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22">
    <pageSetUpPr fitToPage="1"/>
  </sheetPr>
  <dimension ref="A1:Q143"/>
  <sheetViews>
    <sheetView showGridLines="0" zoomScaleNormal="100" workbookViewId="0"/>
  </sheetViews>
  <sheetFormatPr baseColWidth="10" defaultRowHeight="12" x14ac:dyDescent="0.2"/>
  <cols>
    <col min="1" max="1" width="6" style="168" customWidth="1"/>
    <col min="2" max="2" width="18.140625" style="168" customWidth="1"/>
    <col min="3" max="4" width="8.42578125" style="168" bestFit="1" customWidth="1"/>
    <col min="5" max="6" width="8.42578125" style="168" customWidth="1"/>
    <col min="7" max="7" width="9.7109375" style="168" bestFit="1" customWidth="1"/>
    <col min="8" max="8" width="8.28515625" style="168" bestFit="1" customWidth="1"/>
    <col min="9" max="11" width="8.28515625" style="168" customWidth="1"/>
    <col min="12" max="12" width="9.140625" style="168" customWidth="1"/>
    <col min="13" max="13" width="11.42578125" style="168"/>
    <col min="14" max="14" width="11.28515625" style="168" customWidth="1"/>
    <col min="15" max="15" width="12.42578125" style="168" bestFit="1" customWidth="1"/>
    <col min="16" max="251" width="11.42578125" style="168"/>
    <col min="252" max="252" width="18.140625" style="168" customWidth="1"/>
    <col min="253" max="254" width="8.42578125" style="168" bestFit="1" customWidth="1"/>
    <col min="255" max="256" width="8.42578125" style="168" customWidth="1"/>
    <col min="257" max="257" width="9.7109375" style="168" bestFit="1" customWidth="1"/>
    <col min="258" max="258" width="8.28515625" style="168" bestFit="1" customWidth="1"/>
    <col min="259" max="261" width="8.28515625" style="168" customWidth="1"/>
    <col min="262" max="267" width="0" style="168" hidden="1" customWidth="1"/>
    <col min="268" max="268" width="9.140625" style="168" customWidth="1"/>
    <col min="269" max="270" width="11.42578125" style="168"/>
    <col min="271" max="271" width="12.42578125" style="168" bestFit="1" customWidth="1"/>
    <col min="272" max="507" width="11.42578125" style="168"/>
    <col min="508" max="508" width="18.140625" style="168" customWidth="1"/>
    <col min="509" max="510" width="8.42578125" style="168" bestFit="1" customWidth="1"/>
    <col min="511" max="512" width="8.42578125" style="168" customWidth="1"/>
    <col min="513" max="513" width="9.7109375" style="168" bestFit="1" customWidth="1"/>
    <col min="514" max="514" width="8.28515625" style="168" bestFit="1" customWidth="1"/>
    <col min="515" max="517" width="8.28515625" style="168" customWidth="1"/>
    <col min="518" max="523" width="0" style="168" hidden="1" customWidth="1"/>
    <col min="524" max="524" width="9.140625" style="168" customWidth="1"/>
    <col min="525" max="526" width="11.42578125" style="168"/>
    <col min="527" max="527" width="12.42578125" style="168" bestFit="1" customWidth="1"/>
    <col min="528" max="763" width="11.42578125" style="168"/>
    <col min="764" max="764" width="18.140625" style="168" customWidth="1"/>
    <col min="765" max="766" width="8.42578125" style="168" bestFit="1" customWidth="1"/>
    <col min="767" max="768" width="8.42578125" style="168" customWidth="1"/>
    <col min="769" max="769" width="9.7109375" style="168" bestFit="1" customWidth="1"/>
    <col min="770" max="770" width="8.28515625" style="168" bestFit="1" customWidth="1"/>
    <col min="771" max="773" width="8.28515625" style="168" customWidth="1"/>
    <col min="774" max="779" width="0" style="168" hidden="1" customWidth="1"/>
    <col min="780" max="780" width="9.140625" style="168" customWidth="1"/>
    <col min="781" max="782" width="11.42578125" style="168"/>
    <col min="783" max="783" width="12.42578125" style="168" bestFit="1" customWidth="1"/>
    <col min="784" max="1019" width="11.42578125" style="168"/>
    <col min="1020" max="1020" width="18.140625" style="168" customWidth="1"/>
    <col min="1021" max="1022" width="8.42578125" style="168" bestFit="1" customWidth="1"/>
    <col min="1023" max="1024" width="8.42578125" style="168" customWidth="1"/>
    <col min="1025" max="1025" width="9.7109375" style="168" bestFit="1" customWidth="1"/>
    <col min="1026" max="1026" width="8.28515625" style="168" bestFit="1" customWidth="1"/>
    <col min="1027" max="1029" width="8.28515625" style="168" customWidth="1"/>
    <col min="1030" max="1035" width="0" style="168" hidden="1" customWidth="1"/>
    <col min="1036" max="1036" width="9.140625" style="168" customWidth="1"/>
    <col min="1037" max="1038" width="11.42578125" style="168"/>
    <col min="1039" max="1039" width="12.42578125" style="168" bestFit="1" customWidth="1"/>
    <col min="1040" max="1275" width="11.42578125" style="168"/>
    <col min="1276" max="1276" width="18.140625" style="168" customWidth="1"/>
    <col min="1277" max="1278" width="8.42578125" style="168" bestFit="1" customWidth="1"/>
    <col min="1279" max="1280" width="8.42578125" style="168" customWidth="1"/>
    <col min="1281" max="1281" width="9.7109375" style="168" bestFit="1" customWidth="1"/>
    <col min="1282" max="1282" width="8.28515625" style="168" bestFit="1" customWidth="1"/>
    <col min="1283" max="1285" width="8.28515625" style="168" customWidth="1"/>
    <col min="1286" max="1291" width="0" style="168" hidden="1" customWidth="1"/>
    <col min="1292" max="1292" width="9.140625" style="168" customWidth="1"/>
    <col min="1293" max="1294" width="11.42578125" style="168"/>
    <col min="1295" max="1295" width="12.42578125" style="168" bestFit="1" customWidth="1"/>
    <col min="1296" max="1531" width="11.42578125" style="168"/>
    <col min="1532" max="1532" width="18.140625" style="168" customWidth="1"/>
    <col min="1533" max="1534" width="8.42578125" style="168" bestFit="1" customWidth="1"/>
    <col min="1535" max="1536" width="8.42578125" style="168" customWidth="1"/>
    <col min="1537" max="1537" width="9.7109375" style="168" bestFit="1" customWidth="1"/>
    <col min="1538" max="1538" width="8.28515625" style="168" bestFit="1" customWidth="1"/>
    <col min="1539" max="1541" width="8.28515625" style="168" customWidth="1"/>
    <col min="1542" max="1547" width="0" style="168" hidden="1" customWidth="1"/>
    <col min="1548" max="1548" width="9.140625" style="168" customWidth="1"/>
    <col min="1549" max="1550" width="11.42578125" style="168"/>
    <col min="1551" max="1551" width="12.42578125" style="168" bestFit="1" customWidth="1"/>
    <col min="1552" max="1787" width="11.42578125" style="168"/>
    <col min="1788" max="1788" width="18.140625" style="168" customWidth="1"/>
    <col min="1789" max="1790" width="8.42578125" style="168" bestFit="1" customWidth="1"/>
    <col min="1791" max="1792" width="8.42578125" style="168" customWidth="1"/>
    <col min="1793" max="1793" width="9.7109375" style="168" bestFit="1" customWidth="1"/>
    <col min="1794" max="1794" width="8.28515625" style="168" bestFit="1" customWidth="1"/>
    <col min="1795" max="1797" width="8.28515625" style="168" customWidth="1"/>
    <col min="1798" max="1803" width="0" style="168" hidden="1" customWidth="1"/>
    <col min="1804" max="1804" width="9.140625" style="168" customWidth="1"/>
    <col min="1805" max="1806" width="11.42578125" style="168"/>
    <col min="1807" max="1807" width="12.42578125" style="168" bestFit="1" customWidth="1"/>
    <col min="1808" max="2043" width="11.42578125" style="168"/>
    <col min="2044" max="2044" width="18.140625" style="168" customWidth="1"/>
    <col min="2045" max="2046" width="8.42578125" style="168" bestFit="1" customWidth="1"/>
    <col min="2047" max="2048" width="8.42578125" style="168" customWidth="1"/>
    <col min="2049" max="2049" width="9.7109375" style="168" bestFit="1" customWidth="1"/>
    <col min="2050" max="2050" width="8.28515625" style="168" bestFit="1" customWidth="1"/>
    <col min="2051" max="2053" width="8.28515625" style="168" customWidth="1"/>
    <col min="2054" max="2059" width="0" style="168" hidden="1" customWidth="1"/>
    <col min="2060" max="2060" width="9.140625" style="168" customWidth="1"/>
    <col min="2061" max="2062" width="11.42578125" style="168"/>
    <col min="2063" max="2063" width="12.42578125" style="168" bestFit="1" customWidth="1"/>
    <col min="2064" max="2299" width="11.42578125" style="168"/>
    <col min="2300" max="2300" width="18.140625" style="168" customWidth="1"/>
    <col min="2301" max="2302" width="8.42578125" style="168" bestFit="1" customWidth="1"/>
    <col min="2303" max="2304" width="8.42578125" style="168" customWidth="1"/>
    <col min="2305" max="2305" width="9.7109375" style="168" bestFit="1" customWidth="1"/>
    <col min="2306" max="2306" width="8.28515625" style="168" bestFit="1" customWidth="1"/>
    <col min="2307" max="2309" width="8.28515625" style="168" customWidth="1"/>
    <col min="2310" max="2315" width="0" style="168" hidden="1" customWidth="1"/>
    <col min="2316" max="2316" width="9.140625" style="168" customWidth="1"/>
    <col min="2317" max="2318" width="11.42578125" style="168"/>
    <col min="2319" max="2319" width="12.42578125" style="168" bestFit="1" customWidth="1"/>
    <col min="2320" max="2555" width="11.42578125" style="168"/>
    <col min="2556" max="2556" width="18.140625" style="168" customWidth="1"/>
    <col min="2557" max="2558" width="8.42578125" style="168" bestFit="1" customWidth="1"/>
    <col min="2559" max="2560" width="8.42578125" style="168" customWidth="1"/>
    <col min="2561" max="2561" width="9.7109375" style="168" bestFit="1" customWidth="1"/>
    <col min="2562" max="2562" width="8.28515625" style="168" bestFit="1" customWidth="1"/>
    <col min="2563" max="2565" width="8.28515625" style="168" customWidth="1"/>
    <col min="2566" max="2571" width="0" style="168" hidden="1" customWidth="1"/>
    <col min="2572" max="2572" width="9.140625" style="168" customWidth="1"/>
    <col min="2573" max="2574" width="11.42578125" style="168"/>
    <col min="2575" max="2575" width="12.42578125" style="168" bestFit="1" customWidth="1"/>
    <col min="2576" max="2811" width="11.42578125" style="168"/>
    <col min="2812" max="2812" width="18.140625" style="168" customWidth="1"/>
    <col min="2813" max="2814" width="8.42578125" style="168" bestFit="1" customWidth="1"/>
    <col min="2815" max="2816" width="8.42578125" style="168" customWidth="1"/>
    <col min="2817" max="2817" width="9.7109375" style="168" bestFit="1" customWidth="1"/>
    <col min="2818" max="2818" width="8.28515625" style="168" bestFit="1" customWidth="1"/>
    <col min="2819" max="2821" width="8.28515625" style="168" customWidth="1"/>
    <col min="2822" max="2827" width="0" style="168" hidden="1" customWidth="1"/>
    <col min="2828" max="2828" width="9.140625" style="168" customWidth="1"/>
    <col min="2829" max="2830" width="11.42578125" style="168"/>
    <col min="2831" max="2831" width="12.42578125" style="168" bestFit="1" customWidth="1"/>
    <col min="2832" max="3067" width="11.42578125" style="168"/>
    <col min="3068" max="3068" width="18.140625" style="168" customWidth="1"/>
    <col min="3069" max="3070" width="8.42578125" style="168" bestFit="1" customWidth="1"/>
    <col min="3071" max="3072" width="8.42578125" style="168" customWidth="1"/>
    <col min="3073" max="3073" width="9.7109375" style="168" bestFit="1" customWidth="1"/>
    <col min="3074" max="3074" width="8.28515625" style="168" bestFit="1" customWidth="1"/>
    <col min="3075" max="3077" width="8.28515625" style="168" customWidth="1"/>
    <col min="3078" max="3083" width="0" style="168" hidden="1" customWidth="1"/>
    <col min="3084" max="3084" width="9.140625" style="168" customWidth="1"/>
    <col min="3085" max="3086" width="11.42578125" style="168"/>
    <col min="3087" max="3087" width="12.42578125" style="168" bestFit="1" customWidth="1"/>
    <col min="3088" max="3323" width="11.42578125" style="168"/>
    <col min="3324" max="3324" width="18.140625" style="168" customWidth="1"/>
    <col min="3325" max="3326" width="8.42578125" style="168" bestFit="1" customWidth="1"/>
    <col min="3327" max="3328" width="8.42578125" style="168" customWidth="1"/>
    <col min="3329" max="3329" width="9.7109375" style="168" bestFit="1" customWidth="1"/>
    <col min="3330" max="3330" width="8.28515625" style="168" bestFit="1" customWidth="1"/>
    <col min="3331" max="3333" width="8.28515625" style="168" customWidth="1"/>
    <col min="3334" max="3339" width="0" style="168" hidden="1" customWidth="1"/>
    <col min="3340" max="3340" width="9.140625" style="168" customWidth="1"/>
    <col min="3341" max="3342" width="11.42578125" style="168"/>
    <col min="3343" max="3343" width="12.42578125" style="168" bestFit="1" customWidth="1"/>
    <col min="3344" max="3579" width="11.42578125" style="168"/>
    <col min="3580" max="3580" width="18.140625" style="168" customWidth="1"/>
    <col min="3581" max="3582" width="8.42578125" style="168" bestFit="1" customWidth="1"/>
    <col min="3583" max="3584" width="8.42578125" style="168" customWidth="1"/>
    <col min="3585" max="3585" width="9.7109375" style="168" bestFit="1" customWidth="1"/>
    <col min="3586" max="3586" width="8.28515625" style="168" bestFit="1" customWidth="1"/>
    <col min="3587" max="3589" width="8.28515625" style="168" customWidth="1"/>
    <col min="3590" max="3595" width="0" style="168" hidden="1" customWidth="1"/>
    <col min="3596" max="3596" width="9.140625" style="168" customWidth="1"/>
    <col min="3597" max="3598" width="11.42578125" style="168"/>
    <col min="3599" max="3599" width="12.42578125" style="168" bestFit="1" customWidth="1"/>
    <col min="3600" max="3835" width="11.42578125" style="168"/>
    <col min="3836" max="3836" width="18.140625" style="168" customWidth="1"/>
    <col min="3837" max="3838" width="8.42578125" style="168" bestFit="1" customWidth="1"/>
    <col min="3839" max="3840" width="8.42578125" style="168" customWidth="1"/>
    <col min="3841" max="3841" width="9.7109375" style="168" bestFit="1" customWidth="1"/>
    <col min="3842" max="3842" width="8.28515625" style="168" bestFit="1" customWidth="1"/>
    <col min="3843" max="3845" width="8.28515625" style="168" customWidth="1"/>
    <col min="3846" max="3851" width="0" style="168" hidden="1" customWidth="1"/>
    <col min="3852" max="3852" width="9.140625" style="168" customWidth="1"/>
    <col min="3853" max="3854" width="11.42578125" style="168"/>
    <col min="3855" max="3855" width="12.42578125" style="168" bestFit="1" customWidth="1"/>
    <col min="3856" max="4091" width="11.42578125" style="168"/>
    <col min="4092" max="4092" width="18.140625" style="168" customWidth="1"/>
    <col min="4093" max="4094" width="8.42578125" style="168" bestFit="1" customWidth="1"/>
    <col min="4095" max="4096" width="8.42578125" style="168" customWidth="1"/>
    <col min="4097" max="4097" width="9.7109375" style="168" bestFit="1" customWidth="1"/>
    <col min="4098" max="4098" width="8.28515625" style="168" bestFit="1" customWidth="1"/>
    <col min="4099" max="4101" width="8.28515625" style="168" customWidth="1"/>
    <col min="4102" max="4107" width="0" style="168" hidden="1" customWidth="1"/>
    <col min="4108" max="4108" width="9.140625" style="168" customWidth="1"/>
    <col min="4109" max="4110" width="11.42578125" style="168"/>
    <col min="4111" max="4111" width="12.42578125" style="168" bestFit="1" customWidth="1"/>
    <col min="4112" max="4347" width="11.42578125" style="168"/>
    <col min="4348" max="4348" width="18.140625" style="168" customWidth="1"/>
    <col min="4349" max="4350" width="8.42578125" style="168" bestFit="1" customWidth="1"/>
    <col min="4351" max="4352" width="8.42578125" style="168" customWidth="1"/>
    <col min="4353" max="4353" width="9.7109375" style="168" bestFit="1" customWidth="1"/>
    <col min="4354" max="4354" width="8.28515625" style="168" bestFit="1" customWidth="1"/>
    <col min="4355" max="4357" width="8.28515625" style="168" customWidth="1"/>
    <col min="4358" max="4363" width="0" style="168" hidden="1" customWidth="1"/>
    <col min="4364" max="4364" width="9.140625" style="168" customWidth="1"/>
    <col min="4365" max="4366" width="11.42578125" style="168"/>
    <col min="4367" max="4367" width="12.42578125" style="168" bestFit="1" customWidth="1"/>
    <col min="4368" max="4603" width="11.42578125" style="168"/>
    <col min="4604" max="4604" width="18.140625" style="168" customWidth="1"/>
    <col min="4605" max="4606" width="8.42578125" style="168" bestFit="1" customWidth="1"/>
    <col min="4607" max="4608" width="8.42578125" style="168" customWidth="1"/>
    <col min="4609" max="4609" width="9.7109375" style="168" bestFit="1" customWidth="1"/>
    <col min="4610" max="4610" width="8.28515625" style="168" bestFit="1" customWidth="1"/>
    <col min="4611" max="4613" width="8.28515625" style="168" customWidth="1"/>
    <col min="4614" max="4619" width="0" style="168" hidden="1" customWidth="1"/>
    <col min="4620" max="4620" width="9.140625" style="168" customWidth="1"/>
    <col min="4621" max="4622" width="11.42578125" style="168"/>
    <col min="4623" max="4623" width="12.42578125" style="168" bestFit="1" customWidth="1"/>
    <col min="4624" max="4859" width="11.42578125" style="168"/>
    <col min="4860" max="4860" width="18.140625" style="168" customWidth="1"/>
    <col min="4861" max="4862" width="8.42578125" style="168" bestFit="1" customWidth="1"/>
    <col min="4863" max="4864" width="8.42578125" style="168" customWidth="1"/>
    <col min="4865" max="4865" width="9.7109375" style="168" bestFit="1" customWidth="1"/>
    <col min="4866" max="4866" width="8.28515625" style="168" bestFit="1" customWidth="1"/>
    <col min="4867" max="4869" width="8.28515625" style="168" customWidth="1"/>
    <col min="4870" max="4875" width="0" style="168" hidden="1" customWidth="1"/>
    <col min="4876" max="4876" width="9.140625" style="168" customWidth="1"/>
    <col min="4877" max="4878" width="11.42578125" style="168"/>
    <col min="4879" max="4879" width="12.42578125" style="168" bestFit="1" customWidth="1"/>
    <col min="4880" max="5115" width="11.42578125" style="168"/>
    <col min="5116" max="5116" width="18.140625" style="168" customWidth="1"/>
    <col min="5117" max="5118" width="8.42578125" style="168" bestFit="1" customWidth="1"/>
    <col min="5119" max="5120" width="8.42578125" style="168" customWidth="1"/>
    <col min="5121" max="5121" width="9.7109375" style="168" bestFit="1" customWidth="1"/>
    <col min="5122" max="5122" width="8.28515625" style="168" bestFit="1" customWidth="1"/>
    <col min="5123" max="5125" width="8.28515625" style="168" customWidth="1"/>
    <col min="5126" max="5131" width="0" style="168" hidden="1" customWidth="1"/>
    <col min="5132" max="5132" width="9.140625" style="168" customWidth="1"/>
    <col min="5133" max="5134" width="11.42578125" style="168"/>
    <col min="5135" max="5135" width="12.42578125" style="168" bestFit="1" customWidth="1"/>
    <col min="5136" max="5371" width="11.42578125" style="168"/>
    <col min="5372" max="5372" width="18.140625" style="168" customWidth="1"/>
    <col min="5373" max="5374" width="8.42578125" style="168" bestFit="1" customWidth="1"/>
    <col min="5375" max="5376" width="8.42578125" style="168" customWidth="1"/>
    <col min="5377" max="5377" width="9.7109375" style="168" bestFit="1" customWidth="1"/>
    <col min="5378" max="5378" width="8.28515625" style="168" bestFit="1" customWidth="1"/>
    <col min="5379" max="5381" width="8.28515625" style="168" customWidth="1"/>
    <col min="5382" max="5387" width="0" style="168" hidden="1" customWidth="1"/>
    <col min="5388" max="5388" width="9.140625" style="168" customWidth="1"/>
    <col min="5389" max="5390" width="11.42578125" style="168"/>
    <col min="5391" max="5391" width="12.42578125" style="168" bestFit="1" customWidth="1"/>
    <col min="5392" max="5627" width="11.42578125" style="168"/>
    <col min="5628" max="5628" width="18.140625" style="168" customWidth="1"/>
    <col min="5629" max="5630" width="8.42578125" style="168" bestFit="1" customWidth="1"/>
    <col min="5631" max="5632" width="8.42578125" style="168" customWidth="1"/>
    <col min="5633" max="5633" width="9.7109375" style="168" bestFit="1" customWidth="1"/>
    <col min="5634" max="5634" width="8.28515625" style="168" bestFit="1" customWidth="1"/>
    <col min="5635" max="5637" width="8.28515625" style="168" customWidth="1"/>
    <col min="5638" max="5643" width="0" style="168" hidden="1" customWidth="1"/>
    <col min="5644" max="5644" width="9.140625" style="168" customWidth="1"/>
    <col min="5645" max="5646" width="11.42578125" style="168"/>
    <col min="5647" max="5647" width="12.42578125" style="168" bestFit="1" customWidth="1"/>
    <col min="5648" max="5883" width="11.42578125" style="168"/>
    <col min="5884" max="5884" width="18.140625" style="168" customWidth="1"/>
    <col min="5885" max="5886" width="8.42578125" style="168" bestFit="1" customWidth="1"/>
    <col min="5887" max="5888" width="8.42578125" style="168" customWidth="1"/>
    <col min="5889" max="5889" width="9.7109375" style="168" bestFit="1" customWidth="1"/>
    <col min="5890" max="5890" width="8.28515625" style="168" bestFit="1" customWidth="1"/>
    <col min="5891" max="5893" width="8.28515625" style="168" customWidth="1"/>
    <col min="5894" max="5899" width="0" style="168" hidden="1" customWidth="1"/>
    <col min="5900" max="5900" width="9.140625" style="168" customWidth="1"/>
    <col min="5901" max="5902" width="11.42578125" style="168"/>
    <col min="5903" max="5903" width="12.42578125" style="168" bestFit="1" customWidth="1"/>
    <col min="5904" max="6139" width="11.42578125" style="168"/>
    <col min="6140" max="6140" width="18.140625" style="168" customWidth="1"/>
    <col min="6141" max="6142" width="8.42578125" style="168" bestFit="1" customWidth="1"/>
    <col min="6143" max="6144" width="8.42578125" style="168" customWidth="1"/>
    <col min="6145" max="6145" width="9.7109375" style="168" bestFit="1" customWidth="1"/>
    <col min="6146" max="6146" width="8.28515625" style="168" bestFit="1" customWidth="1"/>
    <col min="6147" max="6149" width="8.28515625" style="168" customWidth="1"/>
    <col min="6150" max="6155" width="0" style="168" hidden="1" customWidth="1"/>
    <col min="6156" max="6156" width="9.140625" style="168" customWidth="1"/>
    <col min="6157" max="6158" width="11.42578125" style="168"/>
    <col min="6159" max="6159" width="12.42578125" style="168" bestFit="1" customWidth="1"/>
    <col min="6160" max="6395" width="11.42578125" style="168"/>
    <col min="6396" max="6396" width="18.140625" style="168" customWidth="1"/>
    <col min="6397" max="6398" width="8.42578125" style="168" bestFit="1" customWidth="1"/>
    <col min="6399" max="6400" width="8.42578125" style="168" customWidth="1"/>
    <col min="6401" max="6401" width="9.7109375" style="168" bestFit="1" customWidth="1"/>
    <col min="6402" max="6402" width="8.28515625" style="168" bestFit="1" customWidth="1"/>
    <col min="6403" max="6405" width="8.28515625" style="168" customWidth="1"/>
    <col min="6406" max="6411" width="0" style="168" hidden="1" customWidth="1"/>
    <col min="6412" max="6412" width="9.140625" style="168" customWidth="1"/>
    <col min="6413" max="6414" width="11.42578125" style="168"/>
    <col min="6415" max="6415" width="12.42578125" style="168" bestFit="1" customWidth="1"/>
    <col min="6416" max="6651" width="11.42578125" style="168"/>
    <col min="6652" max="6652" width="18.140625" style="168" customWidth="1"/>
    <col min="6653" max="6654" width="8.42578125" style="168" bestFit="1" customWidth="1"/>
    <col min="6655" max="6656" width="8.42578125" style="168" customWidth="1"/>
    <col min="6657" max="6657" width="9.7109375" style="168" bestFit="1" customWidth="1"/>
    <col min="6658" max="6658" width="8.28515625" style="168" bestFit="1" customWidth="1"/>
    <col min="6659" max="6661" width="8.28515625" style="168" customWidth="1"/>
    <col min="6662" max="6667" width="0" style="168" hidden="1" customWidth="1"/>
    <col min="6668" max="6668" width="9.140625" style="168" customWidth="1"/>
    <col min="6669" max="6670" width="11.42578125" style="168"/>
    <col min="6671" max="6671" width="12.42578125" style="168" bestFit="1" customWidth="1"/>
    <col min="6672" max="6907" width="11.42578125" style="168"/>
    <col min="6908" max="6908" width="18.140625" style="168" customWidth="1"/>
    <col min="6909" max="6910" width="8.42578125" style="168" bestFit="1" customWidth="1"/>
    <col min="6911" max="6912" width="8.42578125" style="168" customWidth="1"/>
    <col min="6913" max="6913" width="9.7109375" style="168" bestFit="1" customWidth="1"/>
    <col min="6914" max="6914" width="8.28515625" style="168" bestFit="1" customWidth="1"/>
    <col min="6915" max="6917" width="8.28515625" style="168" customWidth="1"/>
    <col min="6918" max="6923" width="0" style="168" hidden="1" customWidth="1"/>
    <col min="6924" max="6924" width="9.140625" style="168" customWidth="1"/>
    <col min="6925" max="6926" width="11.42578125" style="168"/>
    <col min="6927" max="6927" width="12.42578125" style="168" bestFit="1" customWidth="1"/>
    <col min="6928" max="7163" width="11.42578125" style="168"/>
    <col min="7164" max="7164" width="18.140625" style="168" customWidth="1"/>
    <col min="7165" max="7166" width="8.42578125" style="168" bestFit="1" customWidth="1"/>
    <col min="7167" max="7168" width="8.42578125" style="168" customWidth="1"/>
    <col min="7169" max="7169" width="9.7109375" style="168" bestFit="1" customWidth="1"/>
    <col min="7170" max="7170" width="8.28515625" style="168" bestFit="1" customWidth="1"/>
    <col min="7171" max="7173" width="8.28515625" style="168" customWidth="1"/>
    <col min="7174" max="7179" width="0" style="168" hidden="1" customWidth="1"/>
    <col min="7180" max="7180" width="9.140625" style="168" customWidth="1"/>
    <col min="7181" max="7182" width="11.42578125" style="168"/>
    <col min="7183" max="7183" width="12.42578125" style="168" bestFit="1" customWidth="1"/>
    <col min="7184" max="7419" width="11.42578125" style="168"/>
    <col min="7420" max="7420" width="18.140625" style="168" customWidth="1"/>
    <col min="7421" max="7422" width="8.42578125" style="168" bestFit="1" customWidth="1"/>
    <col min="7423" max="7424" width="8.42578125" style="168" customWidth="1"/>
    <col min="7425" max="7425" width="9.7109375" style="168" bestFit="1" customWidth="1"/>
    <col min="7426" max="7426" width="8.28515625" style="168" bestFit="1" customWidth="1"/>
    <col min="7427" max="7429" width="8.28515625" style="168" customWidth="1"/>
    <col min="7430" max="7435" width="0" style="168" hidden="1" customWidth="1"/>
    <col min="7436" max="7436" width="9.140625" style="168" customWidth="1"/>
    <col min="7437" max="7438" width="11.42578125" style="168"/>
    <col min="7439" max="7439" width="12.42578125" style="168" bestFit="1" customWidth="1"/>
    <col min="7440" max="7675" width="11.42578125" style="168"/>
    <col min="7676" max="7676" width="18.140625" style="168" customWidth="1"/>
    <col min="7677" max="7678" width="8.42578125" style="168" bestFit="1" customWidth="1"/>
    <col min="7679" max="7680" width="8.42578125" style="168" customWidth="1"/>
    <col min="7681" max="7681" width="9.7109375" style="168" bestFit="1" customWidth="1"/>
    <col min="7682" max="7682" width="8.28515625" style="168" bestFit="1" customWidth="1"/>
    <col min="7683" max="7685" width="8.28515625" style="168" customWidth="1"/>
    <col min="7686" max="7691" width="0" style="168" hidden="1" customWidth="1"/>
    <col min="7692" max="7692" width="9.140625" style="168" customWidth="1"/>
    <col min="7693" max="7694" width="11.42578125" style="168"/>
    <col min="7695" max="7695" width="12.42578125" style="168" bestFit="1" customWidth="1"/>
    <col min="7696" max="7931" width="11.42578125" style="168"/>
    <col min="7932" max="7932" width="18.140625" style="168" customWidth="1"/>
    <col min="7933" max="7934" width="8.42578125" style="168" bestFit="1" customWidth="1"/>
    <col min="7935" max="7936" width="8.42578125" style="168" customWidth="1"/>
    <col min="7937" max="7937" width="9.7109375" style="168" bestFit="1" customWidth="1"/>
    <col min="7938" max="7938" width="8.28515625" style="168" bestFit="1" customWidth="1"/>
    <col min="7939" max="7941" width="8.28515625" style="168" customWidth="1"/>
    <col min="7942" max="7947" width="0" style="168" hidden="1" customWidth="1"/>
    <col min="7948" max="7948" width="9.140625" style="168" customWidth="1"/>
    <col min="7949" max="7950" width="11.42578125" style="168"/>
    <col min="7951" max="7951" width="12.42578125" style="168" bestFit="1" customWidth="1"/>
    <col min="7952" max="8187" width="11.42578125" style="168"/>
    <col min="8188" max="8188" width="18.140625" style="168" customWidth="1"/>
    <col min="8189" max="8190" width="8.42578125" style="168" bestFit="1" customWidth="1"/>
    <col min="8191" max="8192" width="8.42578125" style="168" customWidth="1"/>
    <col min="8193" max="8193" width="9.7109375" style="168" bestFit="1" customWidth="1"/>
    <col min="8194" max="8194" width="8.28515625" style="168" bestFit="1" customWidth="1"/>
    <col min="8195" max="8197" width="8.28515625" style="168" customWidth="1"/>
    <col min="8198" max="8203" width="0" style="168" hidden="1" customWidth="1"/>
    <col min="8204" max="8204" width="9.140625" style="168" customWidth="1"/>
    <col min="8205" max="8206" width="11.42578125" style="168"/>
    <col min="8207" max="8207" width="12.42578125" style="168" bestFit="1" customWidth="1"/>
    <col min="8208" max="8443" width="11.42578125" style="168"/>
    <col min="8444" max="8444" width="18.140625" style="168" customWidth="1"/>
    <col min="8445" max="8446" width="8.42578125" style="168" bestFit="1" customWidth="1"/>
    <col min="8447" max="8448" width="8.42578125" style="168" customWidth="1"/>
    <col min="8449" max="8449" width="9.7109375" style="168" bestFit="1" customWidth="1"/>
    <col min="8450" max="8450" width="8.28515625" style="168" bestFit="1" customWidth="1"/>
    <col min="8451" max="8453" width="8.28515625" style="168" customWidth="1"/>
    <col min="8454" max="8459" width="0" style="168" hidden="1" customWidth="1"/>
    <col min="8460" max="8460" width="9.140625" style="168" customWidth="1"/>
    <col min="8461" max="8462" width="11.42578125" style="168"/>
    <col min="8463" max="8463" width="12.42578125" style="168" bestFit="1" customWidth="1"/>
    <col min="8464" max="8699" width="11.42578125" style="168"/>
    <col min="8700" max="8700" width="18.140625" style="168" customWidth="1"/>
    <col min="8701" max="8702" width="8.42578125" style="168" bestFit="1" customWidth="1"/>
    <col min="8703" max="8704" width="8.42578125" style="168" customWidth="1"/>
    <col min="8705" max="8705" width="9.7109375" style="168" bestFit="1" customWidth="1"/>
    <col min="8706" max="8706" width="8.28515625" style="168" bestFit="1" customWidth="1"/>
    <col min="8707" max="8709" width="8.28515625" style="168" customWidth="1"/>
    <col min="8710" max="8715" width="0" style="168" hidden="1" customWidth="1"/>
    <col min="8716" max="8716" width="9.140625" style="168" customWidth="1"/>
    <col min="8717" max="8718" width="11.42578125" style="168"/>
    <col min="8719" max="8719" width="12.42578125" style="168" bestFit="1" customWidth="1"/>
    <col min="8720" max="8955" width="11.42578125" style="168"/>
    <col min="8956" max="8956" width="18.140625" style="168" customWidth="1"/>
    <col min="8957" max="8958" width="8.42578125" style="168" bestFit="1" customWidth="1"/>
    <col min="8959" max="8960" width="8.42578125" style="168" customWidth="1"/>
    <col min="8961" max="8961" width="9.7109375" style="168" bestFit="1" customWidth="1"/>
    <col min="8962" max="8962" width="8.28515625" style="168" bestFit="1" customWidth="1"/>
    <col min="8963" max="8965" width="8.28515625" style="168" customWidth="1"/>
    <col min="8966" max="8971" width="0" style="168" hidden="1" customWidth="1"/>
    <col min="8972" max="8972" width="9.140625" style="168" customWidth="1"/>
    <col min="8973" max="8974" width="11.42578125" style="168"/>
    <col min="8975" max="8975" width="12.42578125" style="168" bestFit="1" customWidth="1"/>
    <col min="8976" max="9211" width="11.42578125" style="168"/>
    <col min="9212" max="9212" width="18.140625" style="168" customWidth="1"/>
    <col min="9213" max="9214" width="8.42578125" style="168" bestFit="1" customWidth="1"/>
    <col min="9215" max="9216" width="8.42578125" style="168" customWidth="1"/>
    <col min="9217" max="9217" width="9.7109375" style="168" bestFit="1" customWidth="1"/>
    <col min="9218" max="9218" width="8.28515625" style="168" bestFit="1" customWidth="1"/>
    <col min="9219" max="9221" width="8.28515625" style="168" customWidth="1"/>
    <col min="9222" max="9227" width="0" style="168" hidden="1" customWidth="1"/>
    <col min="9228" max="9228" width="9.140625" style="168" customWidth="1"/>
    <col min="9229" max="9230" width="11.42578125" style="168"/>
    <col min="9231" max="9231" width="12.42578125" style="168" bestFit="1" customWidth="1"/>
    <col min="9232" max="9467" width="11.42578125" style="168"/>
    <col min="9468" max="9468" width="18.140625" style="168" customWidth="1"/>
    <col min="9469" max="9470" width="8.42578125" style="168" bestFit="1" customWidth="1"/>
    <col min="9471" max="9472" width="8.42578125" style="168" customWidth="1"/>
    <col min="9473" max="9473" width="9.7109375" style="168" bestFit="1" customWidth="1"/>
    <col min="9474" max="9474" width="8.28515625" style="168" bestFit="1" customWidth="1"/>
    <col min="9475" max="9477" width="8.28515625" style="168" customWidth="1"/>
    <col min="9478" max="9483" width="0" style="168" hidden="1" customWidth="1"/>
    <col min="9484" max="9484" width="9.140625" style="168" customWidth="1"/>
    <col min="9485" max="9486" width="11.42578125" style="168"/>
    <col min="9487" max="9487" width="12.42578125" style="168" bestFit="1" customWidth="1"/>
    <col min="9488" max="9723" width="11.42578125" style="168"/>
    <col min="9724" max="9724" width="18.140625" style="168" customWidth="1"/>
    <col min="9725" max="9726" width="8.42578125" style="168" bestFit="1" customWidth="1"/>
    <col min="9727" max="9728" width="8.42578125" style="168" customWidth="1"/>
    <col min="9729" max="9729" width="9.7109375" style="168" bestFit="1" customWidth="1"/>
    <col min="9730" max="9730" width="8.28515625" style="168" bestFit="1" customWidth="1"/>
    <col min="9731" max="9733" width="8.28515625" style="168" customWidth="1"/>
    <col min="9734" max="9739" width="0" style="168" hidden="1" customWidth="1"/>
    <col min="9740" max="9740" width="9.140625" style="168" customWidth="1"/>
    <col min="9741" max="9742" width="11.42578125" style="168"/>
    <col min="9743" max="9743" width="12.42578125" style="168" bestFit="1" customWidth="1"/>
    <col min="9744" max="9979" width="11.42578125" style="168"/>
    <col min="9980" max="9980" width="18.140625" style="168" customWidth="1"/>
    <col min="9981" max="9982" width="8.42578125" style="168" bestFit="1" customWidth="1"/>
    <col min="9983" max="9984" width="8.42578125" style="168" customWidth="1"/>
    <col min="9985" max="9985" width="9.7109375" style="168" bestFit="1" customWidth="1"/>
    <col min="9986" max="9986" width="8.28515625" style="168" bestFit="1" customWidth="1"/>
    <col min="9987" max="9989" width="8.28515625" style="168" customWidth="1"/>
    <col min="9990" max="9995" width="0" style="168" hidden="1" customWidth="1"/>
    <col min="9996" max="9996" width="9.140625" style="168" customWidth="1"/>
    <col min="9997" max="9998" width="11.42578125" style="168"/>
    <col min="9999" max="9999" width="12.42578125" style="168" bestFit="1" customWidth="1"/>
    <col min="10000" max="10235" width="11.42578125" style="168"/>
    <col min="10236" max="10236" width="18.140625" style="168" customWidth="1"/>
    <col min="10237" max="10238" width="8.42578125" style="168" bestFit="1" customWidth="1"/>
    <col min="10239" max="10240" width="8.42578125" style="168" customWidth="1"/>
    <col min="10241" max="10241" width="9.7109375" style="168" bestFit="1" customWidth="1"/>
    <col min="10242" max="10242" width="8.28515625" style="168" bestFit="1" customWidth="1"/>
    <col min="10243" max="10245" width="8.28515625" style="168" customWidth="1"/>
    <col min="10246" max="10251" width="0" style="168" hidden="1" customWidth="1"/>
    <col min="10252" max="10252" width="9.140625" style="168" customWidth="1"/>
    <col min="10253" max="10254" width="11.42578125" style="168"/>
    <col min="10255" max="10255" width="12.42578125" style="168" bestFit="1" customWidth="1"/>
    <col min="10256" max="10491" width="11.42578125" style="168"/>
    <col min="10492" max="10492" width="18.140625" style="168" customWidth="1"/>
    <col min="10493" max="10494" width="8.42578125" style="168" bestFit="1" customWidth="1"/>
    <col min="10495" max="10496" width="8.42578125" style="168" customWidth="1"/>
    <col min="10497" max="10497" width="9.7109375" style="168" bestFit="1" customWidth="1"/>
    <col min="10498" max="10498" width="8.28515625" style="168" bestFit="1" customWidth="1"/>
    <col min="10499" max="10501" width="8.28515625" style="168" customWidth="1"/>
    <col min="10502" max="10507" width="0" style="168" hidden="1" customWidth="1"/>
    <col min="10508" max="10508" width="9.140625" style="168" customWidth="1"/>
    <col min="10509" max="10510" width="11.42578125" style="168"/>
    <col min="10511" max="10511" width="12.42578125" style="168" bestFit="1" customWidth="1"/>
    <col min="10512" max="10747" width="11.42578125" style="168"/>
    <col min="10748" max="10748" width="18.140625" style="168" customWidth="1"/>
    <col min="10749" max="10750" width="8.42578125" style="168" bestFit="1" customWidth="1"/>
    <col min="10751" max="10752" width="8.42578125" style="168" customWidth="1"/>
    <col min="10753" max="10753" width="9.7109375" style="168" bestFit="1" customWidth="1"/>
    <col min="10754" max="10754" width="8.28515625" style="168" bestFit="1" customWidth="1"/>
    <col min="10755" max="10757" width="8.28515625" style="168" customWidth="1"/>
    <col min="10758" max="10763" width="0" style="168" hidden="1" customWidth="1"/>
    <col min="10764" max="10764" width="9.140625" style="168" customWidth="1"/>
    <col min="10765" max="10766" width="11.42578125" style="168"/>
    <col min="10767" max="10767" width="12.42578125" style="168" bestFit="1" customWidth="1"/>
    <col min="10768" max="11003" width="11.42578125" style="168"/>
    <col min="11004" max="11004" width="18.140625" style="168" customWidth="1"/>
    <col min="11005" max="11006" width="8.42578125" style="168" bestFit="1" customWidth="1"/>
    <col min="11007" max="11008" width="8.42578125" style="168" customWidth="1"/>
    <col min="11009" max="11009" width="9.7109375" style="168" bestFit="1" customWidth="1"/>
    <col min="11010" max="11010" width="8.28515625" style="168" bestFit="1" customWidth="1"/>
    <col min="11011" max="11013" width="8.28515625" style="168" customWidth="1"/>
    <col min="11014" max="11019" width="0" style="168" hidden="1" customWidth="1"/>
    <col min="11020" max="11020" width="9.140625" style="168" customWidth="1"/>
    <col min="11021" max="11022" width="11.42578125" style="168"/>
    <col min="11023" max="11023" width="12.42578125" style="168" bestFit="1" customWidth="1"/>
    <col min="11024" max="11259" width="11.42578125" style="168"/>
    <col min="11260" max="11260" width="18.140625" style="168" customWidth="1"/>
    <col min="11261" max="11262" width="8.42578125" style="168" bestFit="1" customWidth="1"/>
    <col min="11263" max="11264" width="8.42578125" style="168" customWidth="1"/>
    <col min="11265" max="11265" width="9.7109375" style="168" bestFit="1" customWidth="1"/>
    <col min="11266" max="11266" width="8.28515625" style="168" bestFit="1" customWidth="1"/>
    <col min="11267" max="11269" width="8.28515625" style="168" customWidth="1"/>
    <col min="11270" max="11275" width="0" style="168" hidden="1" customWidth="1"/>
    <col min="11276" max="11276" width="9.140625" style="168" customWidth="1"/>
    <col min="11277" max="11278" width="11.42578125" style="168"/>
    <col min="11279" max="11279" width="12.42578125" style="168" bestFit="1" customWidth="1"/>
    <col min="11280" max="11515" width="11.42578125" style="168"/>
    <col min="11516" max="11516" width="18.140625" style="168" customWidth="1"/>
    <col min="11517" max="11518" width="8.42578125" style="168" bestFit="1" customWidth="1"/>
    <col min="11519" max="11520" width="8.42578125" style="168" customWidth="1"/>
    <col min="11521" max="11521" width="9.7109375" style="168" bestFit="1" customWidth="1"/>
    <col min="11522" max="11522" width="8.28515625" style="168" bestFit="1" customWidth="1"/>
    <col min="11523" max="11525" width="8.28515625" style="168" customWidth="1"/>
    <col min="11526" max="11531" width="0" style="168" hidden="1" customWidth="1"/>
    <col min="11532" max="11532" width="9.140625" style="168" customWidth="1"/>
    <col min="11533" max="11534" width="11.42578125" style="168"/>
    <col min="11535" max="11535" width="12.42578125" style="168" bestFit="1" customWidth="1"/>
    <col min="11536" max="11771" width="11.42578125" style="168"/>
    <col min="11772" max="11772" width="18.140625" style="168" customWidth="1"/>
    <col min="11773" max="11774" width="8.42578125" style="168" bestFit="1" customWidth="1"/>
    <col min="11775" max="11776" width="8.42578125" style="168" customWidth="1"/>
    <col min="11777" max="11777" width="9.7109375" style="168" bestFit="1" customWidth="1"/>
    <col min="11778" max="11778" width="8.28515625" style="168" bestFit="1" customWidth="1"/>
    <col min="11779" max="11781" width="8.28515625" style="168" customWidth="1"/>
    <col min="11782" max="11787" width="0" style="168" hidden="1" customWidth="1"/>
    <col min="11788" max="11788" width="9.140625" style="168" customWidth="1"/>
    <col min="11789" max="11790" width="11.42578125" style="168"/>
    <col min="11791" max="11791" width="12.42578125" style="168" bestFit="1" customWidth="1"/>
    <col min="11792" max="12027" width="11.42578125" style="168"/>
    <col min="12028" max="12028" width="18.140625" style="168" customWidth="1"/>
    <col min="12029" max="12030" width="8.42578125" style="168" bestFit="1" customWidth="1"/>
    <col min="12031" max="12032" width="8.42578125" style="168" customWidth="1"/>
    <col min="12033" max="12033" width="9.7109375" style="168" bestFit="1" customWidth="1"/>
    <col min="12034" max="12034" width="8.28515625" style="168" bestFit="1" customWidth="1"/>
    <col min="12035" max="12037" width="8.28515625" style="168" customWidth="1"/>
    <col min="12038" max="12043" width="0" style="168" hidden="1" customWidth="1"/>
    <col min="12044" max="12044" width="9.140625" style="168" customWidth="1"/>
    <col min="12045" max="12046" width="11.42578125" style="168"/>
    <col min="12047" max="12047" width="12.42578125" style="168" bestFit="1" customWidth="1"/>
    <col min="12048" max="12283" width="11.42578125" style="168"/>
    <col min="12284" max="12284" width="18.140625" style="168" customWidth="1"/>
    <col min="12285" max="12286" width="8.42578125" style="168" bestFit="1" customWidth="1"/>
    <col min="12287" max="12288" width="8.42578125" style="168" customWidth="1"/>
    <col min="12289" max="12289" width="9.7109375" style="168" bestFit="1" customWidth="1"/>
    <col min="12290" max="12290" width="8.28515625" style="168" bestFit="1" customWidth="1"/>
    <col min="12291" max="12293" width="8.28515625" style="168" customWidth="1"/>
    <col min="12294" max="12299" width="0" style="168" hidden="1" customWidth="1"/>
    <col min="12300" max="12300" width="9.140625" style="168" customWidth="1"/>
    <col min="12301" max="12302" width="11.42578125" style="168"/>
    <col min="12303" max="12303" width="12.42578125" style="168" bestFit="1" customWidth="1"/>
    <col min="12304" max="12539" width="11.42578125" style="168"/>
    <col min="12540" max="12540" width="18.140625" style="168" customWidth="1"/>
    <col min="12541" max="12542" width="8.42578125" style="168" bestFit="1" customWidth="1"/>
    <col min="12543" max="12544" width="8.42578125" style="168" customWidth="1"/>
    <col min="12545" max="12545" width="9.7109375" style="168" bestFit="1" customWidth="1"/>
    <col min="12546" max="12546" width="8.28515625" style="168" bestFit="1" customWidth="1"/>
    <col min="12547" max="12549" width="8.28515625" style="168" customWidth="1"/>
    <col min="12550" max="12555" width="0" style="168" hidden="1" customWidth="1"/>
    <col min="12556" max="12556" width="9.140625" style="168" customWidth="1"/>
    <col min="12557" max="12558" width="11.42578125" style="168"/>
    <col min="12559" max="12559" width="12.42578125" style="168" bestFit="1" customWidth="1"/>
    <col min="12560" max="12795" width="11.42578125" style="168"/>
    <col min="12796" max="12796" width="18.140625" style="168" customWidth="1"/>
    <col min="12797" max="12798" width="8.42578125" style="168" bestFit="1" customWidth="1"/>
    <col min="12799" max="12800" width="8.42578125" style="168" customWidth="1"/>
    <col min="12801" max="12801" width="9.7109375" style="168" bestFit="1" customWidth="1"/>
    <col min="12802" max="12802" width="8.28515625" style="168" bestFit="1" customWidth="1"/>
    <col min="12803" max="12805" width="8.28515625" style="168" customWidth="1"/>
    <col min="12806" max="12811" width="0" style="168" hidden="1" customWidth="1"/>
    <col min="12812" max="12812" width="9.140625" style="168" customWidth="1"/>
    <col min="12813" max="12814" width="11.42578125" style="168"/>
    <col min="12815" max="12815" width="12.42578125" style="168" bestFit="1" customWidth="1"/>
    <col min="12816" max="13051" width="11.42578125" style="168"/>
    <col min="13052" max="13052" width="18.140625" style="168" customWidth="1"/>
    <col min="13053" max="13054" width="8.42578125" style="168" bestFit="1" customWidth="1"/>
    <col min="13055" max="13056" width="8.42578125" style="168" customWidth="1"/>
    <col min="13057" max="13057" width="9.7109375" style="168" bestFit="1" customWidth="1"/>
    <col min="13058" max="13058" width="8.28515625" style="168" bestFit="1" customWidth="1"/>
    <col min="13059" max="13061" width="8.28515625" style="168" customWidth="1"/>
    <col min="13062" max="13067" width="0" style="168" hidden="1" customWidth="1"/>
    <col min="13068" max="13068" width="9.140625" style="168" customWidth="1"/>
    <col min="13069" max="13070" width="11.42578125" style="168"/>
    <col min="13071" max="13071" width="12.42578125" style="168" bestFit="1" customWidth="1"/>
    <col min="13072" max="13307" width="11.42578125" style="168"/>
    <col min="13308" max="13308" width="18.140625" style="168" customWidth="1"/>
    <col min="13309" max="13310" width="8.42578125" style="168" bestFit="1" customWidth="1"/>
    <col min="13311" max="13312" width="8.42578125" style="168" customWidth="1"/>
    <col min="13313" max="13313" width="9.7109375" style="168" bestFit="1" customWidth="1"/>
    <col min="13314" max="13314" width="8.28515625" style="168" bestFit="1" customWidth="1"/>
    <col min="13315" max="13317" width="8.28515625" style="168" customWidth="1"/>
    <col min="13318" max="13323" width="0" style="168" hidden="1" customWidth="1"/>
    <col min="13324" max="13324" width="9.140625" style="168" customWidth="1"/>
    <col min="13325" max="13326" width="11.42578125" style="168"/>
    <col min="13327" max="13327" width="12.42578125" style="168" bestFit="1" customWidth="1"/>
    <col min="13328" max="13563" width="11.42578125" style="168"/>
    <col min="13564" max="13564" width="18.140625" style="168" customWidth="1"/>
    <col min="13565" max="13566" width="8.42578125" style="168" bestFit="1" customWidth="1"/>
    <col min="13567" max="13568" width="8.42578125" style="168" customWidth="1"/>
    <col min="13569" max="13569" width="9.7109375" style="168" bestFit="1" customWidth="1"/>
    <col min="13570" max="13570" width="8.28515625" style="168" bestFit="1" customWidth="1"/>
    <col min="13571" max="13573" width="8.28515625" style="168" customWidth="1"/>
    <col min="13574" max="13579" width="0" style="168" hidden="1" customWidth="1"/>
    <col min="13580" max="13580" width="9.140625" style="168" customWidth="1"/>
    <col min="13581" max="13582" width="11.42578125" style="168"/>
    <col min="13583" max="13583" width="12.42578125" style="168" bestFit="1" customWidth="1"/>
    <col min="13584" max="13819" width="11.42578125" style="168"/>
    <col min="13820" max="13820" width="18.140625" style="168" customWidth="1"/>
    <col min="13821" max="13822" width="8.42578125" style="168" bestFit="1" customWidth="1"/>
    <col min="13823" max="13824" width="8.42578125" style="168" customWidth="1"/>
    <col min="13825" max="13825" width="9.7109375" style="168" bestFit="1" customWidth="1"/>
    <col min="13826" max="13826" width="8.28515625" style="168" bestFit="1" customWidth="1"/>
    <col min="13827" max="13829" width="8.28515625" style="168" customWidth="1"/>
    <col min="13830" max="13835" width="0" style="168" hidden="1" customWidth="1"/>
    <col min="13836" max="13836" width="9.140625" style="168" customWidth="1"/>
    <col min="13837" max="13838" width="11.42578125" style="168"/>
    <col min="13839" max="13839" width="12.42578125" style="168" bestFit="1" customWidth="1"/>
    <col min="13840" max="14075" width="11.42578125" style="168"/>
    <col min="14076" max="14076" width="18.140625" style="168" customWidth="1"/>
    <col min="14077" max="14078" width="8.42578125" style="168" bestFit="1" customWidth="1"/>
    <col min="14079" max="14080" width="8.42578125" style="168" customWidth="1"/>
    <col min="14081" max="14081" width="9.7109375" style="168" bestFit="1" customWidth="1"/>
    <col min="14082" max="14082" width="8.28515625" style="168" bestFit="1" customWidth="1"/>
    <col min="14083" max="14085" width="8.28515625" style="168" customWidth="1"/>
    <col min="14086" max="14091" width="0" style="168" hidden="1" customWidth="1"/>
    <col min="14092" max="14092" width="9.140625" style="168" customWidth="1"/>
    <col min="14093" max="14094" width="11.42578125" style="168"/>
    <col min="14095" max="14095" width="12.42578125" style="168" bestFit="1" customWidth="1"/>
    <col min="14096" max="14331" width="11.42578125" style="168"/>
    <col min="14332" max="14332" width="18.140625" style="168" customWidth="1"/>
    <col min="14333" max="14334" width="8.42578125" style="168" bestFit="1" customWidth="1"/>
    <col min="14335" max="14336" width="8.42578125" style="168" customWidth="1"/>
    <col min="14337" max="14337" width="9.7109375" style="168" bestFit="1" customWidth="1"/>
    <col min="14338" max="14338" width="8.28515625" style="168" bestFit="1" customWidth="1"/>
    <col min="14339" max="14341" width="8.28515625" style="168" customWidth="1"/>
    <col min="14342" max="14347" width="0" style="168" hidden="1" customWidth="1"/>
    <col min="14348" max="14348" width="9.140625" style="168" customWidth="1"/>
    <col min="14349" max="14350" width="11.42578125" style="168"/>
    <col min="14351" max="14351" width="12.42578125" style="168" bestFit="1" customWidth="1"/>
    <col min="14352" max="14587" width="11.42578125" style="168"/>
    <col min="14588" max="14588" width="18.140625" style="168" customWidth="1"/>
    <col min="14589" max="14590" width="8.42578125" style="168" bestFit="1" customWidth="1"/>
    <col min="14591" max="14592" width="8.42578125" style="168" customWidth="1"/>
    <col min="14593" max="14593" width="9.7109375" style="168" bestFit="1" customWidth="1"/>
    <col min="14594" max="14594" width="8.28515625" style="168" bestFit="1" customWidth="1"/>
    <col min="14595" max="14597" width="8.28515625" style="168" customWidth="1"/>
    <col min="14598" max="14603" width="0" style="168" hidden="1" customWidth="1"/>
    <col min="14604" max="14604" width="9.140625" style="168" customWidth="1"/>
    <col min="14605" max="14606" width="11.42578125" style="168"/>
    <col min="14607" max="14607" width="12.42578125" style="168" bestFit="1" customWidth="1"/>
    <col min="14608" max="14843" width="11.42578125" style="168"/>
    <col min="14844" max="14844" width="18.140625" style="168" customWidth="1"/>
    <col min="14845" max="14846" width="8.42578125" style="168" bestFit="1" customWidth="1"/>
    <col min="14847" max="14848" width="8.42578125" style="168" customWidth="1"/>
    <col min="14849" max="14849" width="9.7109375" style="168" bestFit="1" customWidth="1"/>
    <col min="14850" max="14850" width="8.28515625" style="168" bestFit="1" customWidth="1"/>
    <col min="14851" max="14853" width="8.28515625" style="168" customWidth="1"/>
    <col min="14854" max="14859" width="0" style="168" hidden="1" customWidth="1"/>
    <col min="14860" max="14860" width="9.140625" style="168" customWidth="1"/>
    <col min="14861" max="14862" width="11.42578125" style="168"/>
    <col min="14863" max="14863" width="12.42578125" style="168" bestFit="1" customWidth="1"/>
    <col min="14864" max="15099" width="11.42578125" style="168"/>
    <col min="15100" max="15100" width="18.140625" style="168" customWidth="1"/>
    <col min="15101" max="15102" width="8.42578125" style="168" bestFit="1" customWidth="1"/>
    <col min="15103" max="15104" width="8.42578125" style="168" customWidth="1"/>
    <col min="15105" max="15105" width="9.7109375" style="168" bestFit="1" customWidth="1"/>
    <col min="15106" max="15106" width="8.28515625" style="168" bestFit="1" customWidth="1"/>
    <col min="15107" max="15109" width="8.28515625" style="168" customWidth="1"/>
    <col min="15110" max="15115" width="0" style="168" hidden="1" customWidth="1"/>
    <col min="15116" max="15116" width="9.140625" style="168" customWidth="1"/>
    <col min="15117" max="15118" width="11.42578125" style="168"/>
    <col min="15119" max="15119" width="12.42578125" style="168" bestFit="1" customWidth="1"/>
    <col min="15120" max="15355" width="11.42578125" style="168"/>
    <col min="15356" max="15356" width="18.140625" style="168" customWidth="1"/>
    <col min="15357" max="15358" width="8.42578125" style="168" bestFit="1" customWidth="1"/>
    <col min="15359" max="15360" width="8.42578125" style="168" customWidth="1"/>
    <col min="15361" max="15361" width="9.7109375" style="168" bestFit="1" customWidth="1"/>
    <col min="15362" max="15362" width="8.28515625" style="168" bestFit="1" customWidth="1"/>
    <col min="15363" max="15365" width="8.28515625" style="168" customWidth="1"/>
    <col min="15366" max="15371" width="0" style="168" hidden="1" customWidth="1"/>
    <col min="15372" max="15372" width="9.140625" style="168" customWidth="1"/>
    <col min="15373" max="15374" width="11.42578125" style="168"/>
    <col min="15375" max="15375" width="12.42578125" style="168" bestFit="1" customWidth="1"/>
    <col min="15376" max="15611" width="11.42578125" style="168"/>
    <col min="15612" max="15612" width="18.140625" style="168" customWidth="1"/>
    <col min="15613" max="15614" width="8.42578125" style="168" bestFit="1" customWidth="1"/>
    <col min="15615" max="15616" width="8.42578125" style="168" customWidth="1"/>
    <col min="15617" max="15617" width="9.7109375" style="168" bestFit="1" customWidth="1"/>
    <col min="15618" max="15618" width="8.28515625" style="168" bestFit="1" customWidth="1"/>
    <col min="15619" max="15621" width="8.28515625" style="168" customWidth="1"/>
    <col min="15622" max="15627" width="0" style="168" hidden="1" customWidth="1"/>
    <col min="15628" max="15628" width="9.140625" style="168" customWidth="1"/>
    <col min="15629" max="15630" width="11.42578125" style="168"/>
    <col min="15631" max="15631" width="12.42578125" style="168" bestFit="1" customWidth="1"/>
    <col min="15632" max="15867" width="11.42578125" style="168"/>
    <col min="15868" max="15868" width="18.140625" style="168" customWidth="1"/>
    <col min="15869" max="15870" width="8.42578125" style="168" bestFit="1" customWidth="1"/>
    <col min="15871" max="15872" width="8.42578125" style="168" customWidth="1"/>
    <col min="15873" max="15873" width="9.7109375" style="168" bestFit="1" customWidth="1"/>
    <col min="15874" max="15874" width="8.28515625" style="168" bestFit="1" customWidth="1"/>
    <col min="15875" max="15877" width="8.28515625" style="168" customWidth="1"/>
    <col min="15878" max="15883" width="0" style="168" hidden="1" customWidth="1"/>
    <col min="15884" max="15884" width="9.140625" style="168" customWidth="1"/>
    <col min="15885" max="15886" width="11.42578125" style="168"/>
    <col min="15887" max="15887" width="12.42578125" style="168" bestFit="1" customWidth="1"/>
    <col min="15888" max="16123" width="11.42578125" style="168"/>
    <col min="16124" max="16124" width="18.140625" style="168" customWidth="1"/>
    <col min="16125" max="16126" width="8.42578125" style="168" bestFit="1" customWidth="1"/>
    <col min="16127" max="16128" width="8.42578125" style="168" customWidth="1"/>
    <col min="16129" max="16129" width="9.7109375" style="168" bestFit="1" customWidth="1"/>
    <col min="16130" max="16130" width="8.28515625" style="168" bestFit="1" customWidth="1"/>
    <col min="16131" max="16133" width="8.28515625" style="168" customWidth="1"/>
    <col min="16134" max="16139" width="0" style="168" hidden="1" customWidth="1"/>
    <col min="16140" max="16140" width="9.140625" style="168" customWidth="1"/>
    <col min="16141" max="16142" width="11.42578125" style="168"/>
    <col min="16143" max="16143" width="12.42578125" style="168" bestFit="1" customWidth="1"/>
    <col min="16144" max="16384" width="11.42578125" style="168"/>
  </cols>
  <sheetData>
    <row r="1" spans="1:17" s="169" customFormat="1" x14ac:dyDescent="0.2"/>
    <row r="2" spans="1:17" s="169" customFormat="1" x14ac:dyDescent="0.2">
      <c r="A2" s="196" t="s">
        <v>121</v>
      </c>
    </row>
    <row r="3" spans="1:17" s="169" customFormat="1" ht="15" x14ac:dyDescent="0.25">
      <c r="A3" s="196" t="s">
        <v>122</v>
      </c>
      <c r="J3" s="337"/>
    </row>
    <row r="4" spans="1:17" s="169" customFormat="1" x14ac:dyDescent="0.2"/>
    <row r="5" spans="1:17" s="169" customFormat="1" ht="12.75" x14ac:dyDescent="0.2">
      <c r="B5" s="418" t="s">
        <v>101</v>
      </c>
      <c r="C5" s="418"/>
      <c r="D5" s="418"/>
      <c r="E5" s="418"/>
      <c r="F5" s="418"/>
      <c r="G5" s="418"/>
      <c r="H5" s="418"/>
      <c r="I5" s="418"/>
      <c r="J5" s="418"/>
      <c r="K5" s="418"/>
      <c r="M5" s="367" t="s">
        <v>593</v>
      </c>
      <c r="O5" s="338"/>
    </row>
    <row r="6" spans="1:17" s="169" customFormat="1" ht="12.75" x14ac:dyDescent="0.2">
      <c r="B6" s="431" t="str">
        <f>'Solicitudes Regiones'!$B$6:$P$6</f>
        <v>Acumuladas de julio de 2008 a noviembre de 2018</v>
      </c>
      <c r="C6" s="431"/>
      <c r="D6" s="431"/>
      <c r="E6" s="431"/>
      <c r="F6" s="431"/>
      <c r="G6" s="431"/>
      <c r="H6" s="431"/>
      <c r="I6" s="431"/>
      <c r="J6" s="431"/>
      <c r="K6" s="431"/>
      <c r="L6" s="210"/>
    </row>
    <row r="7" spans="1:17" s="172" customFormat="1" x14ac:dyDescent="0.2">
      <c r="B7" s="170"/>
      <c r="C7" s="171"/>
      <c r="D7" s="171"/>
      <c r="E7" s="171"/>
      <c r="F7" s="171"/>
      <c r="G7" s="171"/>
      <c r="H7" s="171"/>
      <c r="I7" s="171"/>
      <c r="J7" s="171"/>
      <c r="K7" s="171"/>
      <c r="L7" s="171"/>
    </row>
    <row r="8" spans="1:17" ht="15" customHeight="1" x14ac:dyDescent="0.2">
      <c r="B8" s="447" t="s">
        <v>73</v>
      </c>
      <c r="C8" s="448"/>
      <c r="D8" s="448"/>
      <c r="E8" s="448"/>
      <c r="F8" s="448"/>
      <c r="G8" s="448"/>
      <c r="H8" s="448"/>
      <c r="I8" s="448"/>
      <c r="J8" s="448"/>
      <c r="K8" s="449"/>
      <c r="L8" s="187"/>
    </row>
    <row r="9" spans="1:17" ht="20.25" customHeight="1" x14ac:dyDescent="0.2">
      <c r="B9" s="446" t="s">
        <v>74</v>
      </c>
      <c r="C9" s="447" t="s">
        <v>2</v>
      </c>
      <c r="D9" s="448"/>
      <c r="E9" s="448"/>
      <c r="F9" s="448"/>
      <c r="G9" s="448"/>
      <c r="H9" s="448"/>
      <c r="I9" s="448"/>
      <c r="J9" s="448"/>
      <c r="K9" s="449"/>
    </row>
    <row r="10" spans="1:17" ht="24" x14ac:dyDescent="0.2">
      <c r="B10" s="446"/>
      <c r="C10" s="165" t="s">
        <v>75</v>
      </c>
      <c r="D10" s="165" t="s">
        <v>76</v>
      </c>
      <c r="E10" s="165" t="s">
        <v>77</v>
      </c>
      <c r="F10" s="165" t="s">
        <v>78</v>
      </c>
      <c r="G10" s="165" t="s">
        <v>8</v>
      </c>
      <c r="H10" s="165" t="s">
        <v>79</v>
      </c>
      <c r="I10" s="165" t="s">
        <v>80</v>
      </c>
      <c r="J10" s="165" t="s">
        <v>81</v>
      </c>
      <c r="K10" s="226" t="s">
        <v>46</v>
      </c>
    </row>
    <row r="11" spans="1:17" x14ac:dyDescent="0.2">
      <c r="B11" s="160" t="s">
        <v>169</v>
      </c>
      <c r="C11" s="160">
        <v>4490</v>
      </c>
      <c r="D11" s="160">
        <v>2075</v>
      </c>
      <c r="E11" s="160">
        <f>C11+D11</f>
        <v>6565</v>
      </c>
      <c r="F11" s="161">
        <f>E11/$E$26</f>
        <v>0.23473255148741418</v>
      </c>
      <c r="G11" s="160">
        <v>15108</v>
      </c>
      <c r="H11" s="160">
        <v>660</v>
      </c>
      <c r="I11" s="160">
        <f>G11+H11</f>
        <v>15768</v>
      </c>
      <c r="J11" s="161">
        <f>I11/$I$26</f>
        <v>0.25608211257998503</v>
      </c>
      <c r="K11" s="160">
        <f t="shared" ref="K11:K25" si="0">E11+I11</f>
        <v>22333</v>
      </c>
      <c r="Q11" s="173"/>
    </row>
    <row r="12" spans="1:17" x14ac:dyDescent="0.2">
      <c r="B12" s="160" t="s">
        <v>55</v>
      </c>
      <c r="C12" s="160">
        <v>5074</v>
      </c>
      <c r="D12" s="160">
        <v>2157</v>
      </c>
      <c r="E12" s="160">
        <f t="shared" ref="E12:E25" si="1">C12+D12</f>
        <v>7231</v>
      </c>
      <c r="F12" s="161">
        <f t="shared" ref="F12:F25" si="2">E12/$E$26</f>
        <v>0.25854548054919907</v>
      </c>
      <c r="G12" s="160">
        <v>16881</v>
      </c>
      <c r="H12" s="160">
        <v>787</v>
      </c>
      <c r="I12" s="160">
        <f t="shared" ref="I12:I25" si="3">G12+H12</f>
        <v>17668</v>
      </c>
      <c r="J12" s="161">
        <f t="shared" ref="J12:J25" si="4">I12/$I$26</f>
        <v>0.28693929255854744</v>
      </c>
      <c r="K12" s="160">
        <f t="shared" si="0"/>
        <v>24899</v>
      </c>
      <c r="Q12" s="173"/>
    </row>
    <row r="13" spans="1:17" x14ac:dyDescent="0.2">
      <c r="B13" s="160" t="s">
        <v>170</v>
      </c>
      <c r="C13" s="160">
        <v>323</v>
      </c>
      <c r="D13" s="160">
        <v>183</v>
      </c>
      <c r="E13" s="160">
        <f t="shared" si="1"/>
        <v>506</v>
      </c>
      <c r="F13" s="161">
        <f t="shared" si="2"/>
        <v>1.8092105263157895E-2</v>
      </c>
      <c r="G13" s="160">
        <v>1206</v>
      </c>
      <c r="H13" s="160">
        <v>43</v>
      </c>
      <c r="I13" s="160">
        <f t="shared" si="3"/>
        <v>1249</v>
      </c>
      <c r="J13" s="161">
        <f t="shared" si="4"/>
        <v>2.0284535680644429E-2</v>
      </c>
      <c r="K13" s="160">
        <f t="shared" si="0"/>
        <v>1755</v>
      </c>
      <c r="Q13" s="173"/>
    </row>
    <row r="14" spans="1:17" x14ac:dyDescent="0.2">
      <c r="B14" s="160" t="s">
        <v>171</v>
      </c>
      <c r="C14" s="160">
        <v>136</v>
      </c>
      <c r="D14" s="160">
        <v>50</v>
      </c>
      <c r="E14" s="160">
        <f t="shared" si="1"/>
        <v>186</v>
      </c>
      <c r="F14" s="161">
        <f t="shared" si="2"/>
        <v>6.6504576659038904E-3</v>
      </c>
      <c r="G14" s="160">
        <v>302</v>
      </c>
      <c r="H14" s="160">
        <v>13</v>
      </c>
      <c r="I14" s="160">
        <f t="shared" si="3"/>
        <v>315</v>
      </c>
      <c r="J14" s="161">
        <f t="shared" si="4"/>
        <v>5.1157956280248156E-3</v>
      </c>
      <c r="K14" s="160">
        <f t="shared" si="0"/>
        <v>501</v>
      </c>
      <c r="Q14" s="173"/>
    </row>
    <row r="15" spans="1:17" x14ac:dyDescent="0.2">
      <c r="B15" s="160" t="s">
        <v>172</v>
      </c>
      <c r="C15" s="160">
        <v>117</v>
      </c>
      <c r="D15" s="160">
        <v>43</v>
      </c>
      <c r="E15" s="160">
        <f t="shared" si="1"/>
        <v>160</v>
      </c>
      <c r="F15" s="161">
        <f t="shared" si="2"/>
        <v>5.7208237986270021E-3</v>
      </c>
      <c r="G15" s="160">
        <v>455</v>
      </c>
      <c r="H15" s="160">
        <v>14</v>
      </c>
      <c r="I15" s="160">
        <f t="shared" si="3"/>
        <v>469</v>
      </c>
      <c r="J15" s="161">
        <f t="shared" si="4"/>
        <v>7.6168512683925035E-3</v>
      </c>
      <c r="K15" s="160">
        <f t="shared" si="0"/>
        <v>629</v>
      </c>
      <c r="Q15" s="173"/>
    </row>
    <row r="16" spans="1:17" x14ac:dyDescent="0.2">
      <c r="B16" s="160" t="s">
        <v>173</v>
      </c>
      <c r="C16" s="160">
        <v>550</v>
      </c>
      <c r="D16" s="160">
        <v>279</v>
      </c>
      <c r="E16" s="160">
        <f t="shared" si="1"/>
        <v>829</v>
      </c>
      <c r="F16" s="161">
        <f t="shared" si="2"/>
        <v>2.9641018306636156E-2</v>
      </c>
      <c r="G16" s="160">
        <v>2439</v>
      </c>
      <c r="H16" s="160">
        <v>115</v>
      </c>
      <c r="I16" s="160">
        <f t="shared" si="3"/>
        <v>2554</v>
      </c>
      <c r="J16" s="161">
        <f t="shared" si="4"/>
        <v>4.1478546139604382E-2</v>
      </c>
      <c r="K16" s="160">
        <f t="shared" si="0"/>
        <v>3383</v>
      </c>
      <c r="Q16" s="173"/>
    </row>
    <row r="17" spans="2:17" x14ac:dyDescent="0.2">
      <c r="B17" s="160" t="s">
        <v>174</v>
      </c>
      <c r="C17" s="160">
        <v>1124</v>
      </c>
      <c r="D17" s="160">
        <v>479</v>
      </c>
      <c r="E17" s="160">
        <f t="shared" si="1"/>
        <v>1603</v>
      </c>
      <c r="F17" s="161">
        <f t="shared" si="2"/>
        <v>5.731550343249428E-2</v>
      </c>
      <c r="G17" s="160">
        <v>3249</v>
      </c>
      <c r="H17" s="160">
        <v>159</v>
      </c>
      <c r="I17" s="160">
        <f t="shared" si="3"/>
        <v>3408</v>
      </c>
      <c r="J17" s="161">
        <f t="shared" si="4"/>
        <v>5.53480365089161E-2</v>
      </c>
      <c r="K17" s="160">
        <f t="shared" si="0"/>
        <v>5011</v>
      </c>
      <c r="Q17" s="173"/>
    </row>
    <row r="18" spans="2:17" x14ac:dyDescent="0.2">
      <c r="B18" s="160" t="s">
        <v>175</v>
      </c>
      <c r="C18" s="160">
        <v>418</v>
      </c>
      <c r="D18" s="160">
        <v>192</v>
      </c>
      <c r="E18" s="160">
        <f t="shared" si="1"/>
        <v>610</v>
      </c>
      <c r="F18" s="161">
        <f t="shared" si="2"/>
        <v>2.1810640732265445E-2</v>
      </c>
      <c r="G18" s="160">
        <v>747</v>
      </c>
      <c r="H18" s="160">
        <v>48</v>
      </c>
      <c r="I18" s="160">
        <f t="shared" si="3"/>
        <v>795</v>
      </c>
      <c r="J18" s="161">
        <f t="shared" si="4"/>
        <v>1.2911293727872154E-2</v>
      </c>
      <c r="K18" s="160">
        <f t="shared" si="0"/>
        <v>1405</v>
      </c>
      <c r="Q18" s="173"/>
    </row>
    <row r="19" spans="2:17" x14ac:dyDescent="0.2">
      <c r="B19" s="160" t="s">
        <v>176</v>
      </c>
      <c r="C19" s="160">
        <v>630</v>
      </c>
      <c r="D19" s="160">
        <v>288</v>
      </c>
      <c r="E19" s="160">
        <f t="shared" si="1"/>
        <v>918</v>
      </c>
      <c r="F19" s="161">
        <f t="shared" si="2"/>
        <v>3.2823226544622428E-2</v>
      </c>
      <c r="G19" s="160">
        <v>1780</v>
      </c>
      <c r="H19" s="160">
        <v>102</v>
      </c>
      <c r="I19" s="160">
        <f t="shared" si="3"/>
        <v>1882</v>
      </c>
      <c r="J19" s="161">
        <f t="shared" si="4"/>
        <v>3.0564848799818106E-2</v>
      </c>
      <c r="K19" s="160">
        <f t="shared" si="0"/>
        <v>2800</v>
      </c>
      <c r="Q19" s="173"/>
    </row>
    <row r="20" spans="2:17" x14ac:dyDescent="0.2">
      <c r="B20" s="160" t="s">
        <v>177</v>
      </c>
      <c r="C20" s="160">
        <v>955</v>
      </c>
      <c r="D20" s="160">
        <v>416</v>
      </c>
      <c r="E20" s="160">
        <f t="shared" si="1"/>
        <v>1371</v>
      </c>
      <c r="F20" s="161">
        <f t="shared" si="2"/>
        <v>4.9020308924485126E-2</v>
      </c>
      <c r="G20" s="160">
        <v>2660</v>
      </c>
      <c r="H20" s="160">
        <v>100</v>
      </c>
      <c r="I20" s="160">
        <f t="shared" si="3"/>
        <v>2760</v>
      </c>
      <c r="J20" s="161">
        <f t="shared" si="4"/>
        <v>4.4824114074122193E-2</v>
      </c>
      <c r="K20" s="160">
        <f t="shared" si="0"/>
        <v>4131</v>
      </c>
      <c r="Q20" s="173"/>
    </row>
    <row r="21" spans="2:17" x14ac:dyDescent="0.2">
      <c r="B21" s="160" t="s">
        <v>178</v>
      </c>
      <c r="C21" s="160">
        <v>3499</v>
      </c>
      <c r="D21" s="160">
        <v>1351</v>
      </c>
      <c r="E21" s="160">
        <f t="shared" si="1"/>
        <v>4850</v>
      </c>
      <c r="F21" s="161">
        <f t="shared" si="2"/>
        <v>0.17341247139588101</v>
      </c>
      <c r="G21" s="160">
        <v>8706</v>
      </c>
      <c r="H21" s="160">
        <v>502</v>
      </c>
      <c r="I21" s="160">
        <f t="shared" si="3"/>
        <v>9208</v>
      </c>
      <c r="J21" s="161">
        <f t="shared" si="4"/>
        <v>0.14954363854873812</v>
      </c>
      <c r="K21" s="160">
        <f t="shared" si="0"/>
        <v>14058</v>
      </c>
      <c r="Q21" s="173"/>
    </row>
    <row r="22" spans="2:17" x14ac:dyDescent="0.2">
      <c r="B22" s="160" t="s">
        <v>179</v>
      </c>
      <c r="C22" s="160">
        <v>505</v>
      </c>
      <c r="D22" s="160">
        <v>291</v>
      </c>
      <c r="E22" s="160">
        <f t="shared" si="1"/>
        <v>796</v>
      </c>
      <c r="F22" s="161">
        <f t="shared" si="2"/>
        <v>2.8461098398169335E-2</v>
      </c>
      <c r="G22" s="160">
        <v>1599</v>
      </c>
      <c r="H22" s="160">
        <v>64</v>
      </c>
      <c r="I22" s="160">
        <f t="shared" si="3"/>
        <v>1663</v>
      </c>
      <c r="J22" s="161">
        <f t="shared" si="4"/>
        <v>2.7008152791762757E-2</v>
      </c>
      <c r="K22" s="160">
        <f t="shared" si="0"/>
        <v>2459</v>
      </c>
      <c r="Q22" s="173"/>
    </row>
    <row r="23" spans="2:17" x14ac:dyDescent="0.2">
      <c r="B23" s="160" t="s">
        <v>180</v>
      </c>
      <c r="C23" s="160">
        <v>954</v>
      </c>
      <c r="D23" s="160">
        <v>443</v>
      </c>
      <c r="E23" s="160">
        <f t="shared" si="1"/>
        <v>1397</v>
      </c>
      <c r="F23" s="161">
        <f t="shared" si="2"/>
        <v>4.9949942791762014E-2</v>
      </c>
      <c r="G23" s="160">
        <v>2320</v>
      </c>
      <c r="H23" s="160">
        <v>158</v>
      </c>
      <c r="I23" s="160">
        <f t="shared" si="3"/>
        <v>2478</v>
      </c>
      <c r="J23" s="161">
        <f t="shared" si="4"/>
        <v>4.024425894046188E-2</v>
      </c>
      <c r="K23" s="160">
        <f t="shared" si="0"/>
        <v>3875</v>
      </c>
      <c r="Q23" s="173"/>
    </row>
    <row r="24" spans="2:17" x14ac:dyDescent="0.2">
      <c r="B24" s="160" t="s">
        <v>181</v>
      </c>
      <c r="C24" s="160">
        <v>353</v>
      </c>
      <c r="D24" s="160">
        <v>322</v>
      </c>
      <c r="E24" s="160">
        <f t="shared" si="1"/>
        <v>675</v>
      </c>
      <c r="F24" s="161">
        <f t="shared" si="2"/>
        <v>2.4134725400457666E-2</v>
      </c>
      <c r="G24" s="160">
        <v>906</v>
      </c>
      <c r="H24" s="160">
        <v>73</v>
      </c>
      <c r="I24" s="160">
        <f t="shared" si="3"/>
        <v>979</v>
      </c>
      <c r="J24" s="161">
        <f t="shared" si="4"/>
        <v>1.58995679994803E-2</v>
      </c>
      <c r="K24" s="160">
        <f t="shared" si="0"/>
        <v>1654</v>
      </c>
      <c r="Q24" s="173"/>
    </row>
    <row r="25" spans="2:17" x14ac:dyDescent="0.2">
      <c r="B25" s="160" t="s">
        <v>182</v>
      </c>
      <c r="C25" s="160">
        <v>208</v>
      </c>
      <c r="D25" s="160">
        <v>63</v>
      </c>
      <c r="E25" s="160">
        <f t="shared" si="1"/>
        <v>271</v>
      </c>
      <c r="F25" s="161">
        <f t="shared" si="2"/>
        <v>9.6896453089244852E-3</v>
      </c>
      <c r="G25" s="160">
        <v>364</v>
      </c>
      <c r="H25" s="160">
        <v>14</v>
      </c>
      <c r="I25" s="160">
        <f t="shared" si="3"/>
        <v>378</v>
      </c>
      <c r="J25" s="161">
        <f t="shared" si="4"/>
        <v>6.1389547536297787E-3</v>
      </c>
      <c r="K25" s="160">
        <f t="shared" si="0"/>
        <v>649</v>
      </c>
      <c r="Q25" s="173"/>
    </row>
    <row r="26" spans="2:17" x14ac:dyDescent="0.2">
      <c r="B26" s="162" t="s">
        <v>66</v>
      </c>
      <c r="C26" s="160">
        <f>SUM(C11:C25)</f>
        <v>19336</v>
      </c>
      <c r="D26" s="160">
        <f t="shared" ref="D26:H26" si="5">SUM(D11:D25)</f>
        <v>8632</v>
      </c>
      <c r="E26" s="162">
        <f t="shared" ref="E26" si="6">C26+D26</f>
        <v>27968</v>
      </c>
      <c r="F26" s="164">
        <f t="shared" ref="F26" si="7">E26/$E$26</f>
        <v>1</v>
      </c>
      <c r="G26" s="160">
        <f>SUM(G11:G25)</f>
        <v>58722</v>
      </c>
      <c r="H26" s="160">
        <f t="shared" si="5"/>
        <v>2852</v>
      </c>
      <c r="I26" s="162">
        <f t="shared" ref="I26" si="8">G26+H26</f>
        <v>61574</v>
      </c>
      <c r="J26" s="164">
        <f t="shared" ref="J26" si="9">I26/$I$26</f>
        <v>1</v>
      </c>
      <c r="K26" s="162">
        <f t="shared" ref="K26:K27" si="10">E26+I26</f>
        <v>89542</v>
      </c>
      <c r="Q26" s="173"/>
    </row>
    <row r="27" spans="2:17" ht="25.5" customHeight="1" x14ac:dyDescent="0.2">
      <c r="B27" s="174" t="s">
        <v>82</v>
      </c>
      <c r="C27" s="175">
        <f>+C26/$K$26</f>
        <v>0.21594335619039109</v>
      </c>
      <c r="D27" s="175">
        <f>+D26/$K$26</f>
        <v>9.6401688593062473E-2</v>
      </c>
      <c r="E27" s="176">
        <f>C27+D27</f>
        <v>0.3123450447834536</v>
      </c>
      <c r="F27" s="176"/>
      <c r="G27" s="175">
        <f>+G26/$K$26</f>
        <v>0.6558039802550758</v>
      </c>
      <c r="H27" s="175">
        <f>+H26/$K$26</f>
        <v>3.1850974961470595E-2</v>
      </c>
      <c r="I27" s="176">
        <f>G27+H27</f>
        <v>0.6876549552165464</v>
      </c>
      <c r="J27" s="176"/>
      <c r="K27" s="176">
        <f t="shared" si="10"/>
        <v>1</v>
      </c>
    </row>
    <row r="28" spans="2:17" x14ac:dyDescent="0.2">
      <c r="B28" s="180"/>
      <c r="C28" s="180"/>
      <c r="D28" s="180"/>
      <c r="E28" s="180"/>
      <c r="F28" s="180"/>
      <c r="G28" s="180"/>
      <c r="H28" s="180"/>
      <c r="I28" s="180"/>
      <c r="J28" s="180"/>
      <c r="K28" s="180"/>
    </row>
    <row r="29" spans="2:17" ht="12.75" x14ac:dyDescent="0.2">
      <c r="B29" s="418" t="s">
        <v>102</v>
      </c>
      <c r="C29" s="418"/>
      <c r="D29" s="418"/>
      <c r="E29" s="418"/>
      <c r="F29" s="418"/>
      <c r="G29" s="418"/>
      <c r="H29" s="418"/>
      <c r="I29" s="418"/>
      <c r="J29" s="418"/>
      <c r="K29" s="418"/>
    </row>
    <row r="30" spans="2:17" ht="12.75" x14ac:dyDescent="0.2">
      <c r="B30" s="431" t="str">
        <f>'Solicitudes Regiones'!$B$6:$P$6</f>
        <v>Acumuladas de julio de 2008 a noviembre de 2018</v>
      </c>
      <c r="C30" s="431"/>
      <c r="D30" s="431"/>
      <c r="E30" s="431"/>
      <c r="F30" s="431"/>
      <c r="G30" s="431"/>
      <c r="H30" s="431"/>
      <c r="I30" s="431"/>
      <c r="J30" s="431"/>
      <c r="K30" s="431"/>
    </row>
    <row r="31" spans="2:17" x14ac:dyDescent="0.2">
      <c r="B31" s="180"/>
      <c r="C31" s="180"/>
      <c r="D31" s="180"/>
      <c r="E31" s="180"/>
      <c r="F31" s="180"/>
      <c r="G31" s="180"/>
      <c r="H31" s="180"/>
      <c r="I31" s="180"/>
      <c r="J31" s="180"/>
      <c r="K31" s="180"/>
    </row>
    <row r="32" spans="2:17" ht="12.75" customHeight="1" x14ac:dyDescent="0.2">
      <c r="B32" s="447" t="s">
        <v>83</v>
      </c>
      <c r="C32" s="448"/>
      <c r="D32" s="448"/>
      <c r="E32" s="448"/>
      <c r="F32" s="448"/>
      <c r="G32" s="448"/>
      <c r="H32" s="448"/>
      <c r="I32" s="448"/>
      <c r="J32" s="448"/>
      <c r="K32" s="449"/>
      <c r="L32" s="181"/>
    </row>
    <row r="33" spans="2:11" ht="20.25" customHeight="1" x14ac:dyDescent="0.2">
      <c r="B33" s="446" t="s">
        <v>74</v>
      </c>
      <c r="C33" s="447" t="s">
        <v>2</v>
      </c>
      <c r="D33" s="448"/>
      <c r="E33" s="448"/>
      <c r="F33" s="448"/>
      <c r="G33" s="448"/>
      <c r="H33" s="448"/>
      <c r="I33" s="448"/>
      <c r="J33" s="448"/>
      <c r="K33" s="449"/>
    </row>
    <row r="34" spans="2:11" ht="24" customHeight="1" x14ac:dyDescent="0.2">
      <c r="B34" s="446"/>
      <c r="C34" s="165" t="s">
        <v>75</v>
      </c>
      <c r="D34" s="165" t="s">
        <v>76</v>
      </c>
      <c r="E34" s="165" t="s">
        <v>77</v>
      </c>
      <c r="F34" s="165" t="s">
        <v>78</v>
      </c>
      <c r="G34" s="165" t="s">
        <v>8</v>
      </c>
      <c r="H34" s="165" t="s">
        <v>79</v>
      </c>
      <c r="I34" s="165" t="s">
        <v>80</v>
      </c>
      <c r="J34" s="165" t="s">
        <v>81</v>
      </c>
      <c r="K34" s="166" t="s">
        <v>46</v>
      </c>
    </row>
    <row r="35" spans="2:11" ht="15.75" customHeight="1" x14ac:dyDescent="0.2">
      <c r="B35" s="188" t="s">
        <v>169</v>
      </c>
      <c r="C35" s="188">
        <v>3797</v>
      </c>
      <c r="D35" s="188">
        <v>1414</v>
      </c>
      <c r="E35" s="188">
        <f>C35+D35</f>
        <v>5211</v>
      </c>
      <c r="F35" s="189">
        <f>E35/$E$50</f>
        <v>0.23403395311236863</v>
      </c>
      <c r="G35" s="188">
        <v>11887</v>
      </c>
      <c r="H35" s="188">
        <v>550</v>
      </c>
      <c r="I35" s="188">
        <f>G35+H35</f>
        <v>12437</v>
      </c>
      <c r="J35" s="189">
        <f>I35/$I$50</f>
        <v>0.24164529416336364</v>
      </c>
      <c r="K35" s="188">
        <f t="shared" ref="K35:K49" si="11">E35+I35</f>
        <v>17648</v>
      </c>
    </row>
    <row r="36" spans="2:11" x14ac:dyDescent="0.2">
      <c r="B36" s="188" t="s">
        <v>55</v>
      </c>
      <c r="C36" s="188">
        <v>4332</v>
      </c>
      <c r="D36" s="188">
        <v>1394</v>
      </c>
      <c r="E36" s="188">
        <f t="shared" ref="E36:E49" si="12">C36+D36</f>
        <v>5726</v>
      </c>
      <c r="F36" s="189">
        <f t="shared" ref="F36:F49" si="13">E36/$E$50</f>
        <v>0.25716338812539297</v>
      </c>
      <c r="G36" s="188">
        <v>13789</v>
      </c>
      <c r="H36" s="188">
        <v>686</v>
      </c>
      <c r="I36" s="188">
        <f t="shared" ref="I36:I49" si="14">G36+H36</f>
        <v>14475</v>
      </c>
      <c r="J36" s="189">
        <f t="shared" ref="J36:J49" si="15">I36/$I$50</f>
        <v>0.28124271391932854</v>
      </c>
      <c r="K36" s="188">
        <f t="shared" si="11"/>
        <v>20201</v>
      </c>
    </row>
    <row r="37" spans="2:11" x14ac:dyDescent="0.2">
      <c r="B37" s="188" t="s">
        <v>170</v>
      </c>
      <c r="C37" s="188">
        <v>284</v>
      </c>
      <c r="D37" s="188">
        <v>94</v>
      </c>
      <c r="E37" s="188">
        <f t="shared" si="12"/>
        <v>378</v>
      </c>
      <c r="F37" s="189">
        <f t="shared" si="13"/>
        <v>1.6976556184316895E-2</v>
      </c>
      <c r="G37" s="188">
        <v>1079</v>
      </c>
      <c r="H37" s="188">
        <v>38</v>
      </c>
      <c r="I37" s="188">
        <f t="shared" si="14"/>
        <v>1117</v>
      </c>
      <c r="J37" s="189">
        <f t="shared" si="15"/>
        <v>2.1702805626797234E-2</v>
      </c>
      <c r="K37" s="188">
        <f t="shared" si="11"/>
        <v>1495</v>
      </c>
    </row>
    <row r="38" spans="2:11" x14ac:dyDescent="0.2">
      <c r="B38" s="188" t="s">
        <v>171</v>
      </c>
      <c r="C38" s="188">
        <v>127</v>
      </c>
      <c r="D38" s="188">
        <v>32</v>
      </c>
      <c r="E38" s="188">
        <f t="shared" si="12"/>
        <v>159</v>
      </c>
      <c r="F38" s="189">
        <f t="shared" si="13"/>
        <v>7.1409323632444085E-3</v>
      </c>
      <c r="G38" s="188">
        <v>262</v>
      </c>
      <c r="H38" s="188">
        <v>12</v>
      </c>
      <c r="I38" s="188">
        <f t="shared" si="14"/>
        <v>274</v>
      </c>
      <c r="J38" s="189">
        <f t="shared" si="15"/>
        <v>5.3236962772985159E-3</v>
      </c>
      <c r="K38" s="188">
        <f t="shared" si="11"/>
        <v>433</v>
      </c>
    </row>
    <row r="39" spans="2:11" x14ac:dyDescent="0.2">
      <c r="B39" s="188" t="s">
        <v>172</v>
      </c>
      <c r="C39" s="188">
        <v>104</v>
      </c>
      <c r="D39" s="188">
        <v>27</v>
      </c>
      <c r="E39" s="188">
        <f t="shared" si="12"/>
        <v>131</v>
      </c>
      <c r="F39" s="189">
        <f t="shared" si="13"/>
        <v>5.8834096829246387E-3</v>
      </c>
      <c r="G39" s="188">
        <v>389</v>
      </c>
      <c r="H39" s="188">
        <v>11</v>
      </c>
      <c r="I39" s="188">
        <f t="shared" si="14"/>
        <v>400</v>
      </c>
      <c r="J39" s="189">
        <f t="shared" si="15"/>
        <v>7.7718193829175407E-3</v>
      </c>
      <c r="K39" s="188">
        <f t="shared" si="11"/>
        <v>531</v>
      </c>
    </row>
    <row r="40" spans="2:11" x14ac:dyDescent="0.2">
      <c r="B40" s="188" t="s">
        <v>173</v>
      </c>
      <c r="C40" s="188">
        <v>484</v>
      </c>
      <c r="D40" s="188">
        <v>166</v>
      </c>
      <c r="E40" s="188">
        <f t="shared" si="12"/>
        <v>650</v>
      </c>
      <c r="F40" s="189">
        <f t="shared" si="13"/>
        <v>2.9192490793137519E-2</v>
      </c>
      <c r="G40" s="188">
        <v>2122</v>
      </c>
      <c r="H40" s="188">
        <v>99</v>
      </c>
      <c r="I40" s="188">
        <f t="shared" si="14"/>
        <v>2221</v>
      </c>
      <c r="J40" s="189">
        <f t="shared" si="15"/>
        <v>4.315302712364965E-2</v>
      </c>
      <c r="K40" s="188">
        <f t="shared" si="11"/>
        <v>2871</v>
      </c>
    </row>
    <row r="41" spans="2:11" x14ac:dyDescent="0.2">
      <c r="B41" s="188" t="s">
        <v>174</v>
      </c>
      <c r="C41" s="188">
        <v>985</v>
      </c>
      <c r="D41" s="188">
        <v>270</v>
      </c>
      <c r="E41" s="188">
        <f t="shared" si="12"/>
        <v>1255</v>
      </c>
      <c r="F41" s="189">
        <f t="shared" si="13"/>
        <v>5.6363962992903978E-2</v>
      </c>
      <c r="G41" s="188">
        <v>2785</v>
      </c>
      <c r="H41" s="188">
        <v>127</v>
      </c>
      <c r="I41" s="188">
        <f t="shared" si="14"/>
        <v>2912</v>
      </c>
      <c r="J41" s="189">
        <f t="shared" si="15"/>
        <v>5.6578845107639698E-2</v>
      </c>
      <c r="K41" s="188">
        <f t="shared" si="11"/>
        <v>4167</v>
      </c>
    </row>
    <row r="42" spans="2:11" x14ac:dyDescent="0.2">
      <c r="B42" s="188" t="s">
        <v>175</v>
      </c>
      <c r="C42" s="188">
        <v>395</v>
      </c>
      <c r="D42" s="188">
        <v>102</v>
      </c>
      <c r="E42" s="188">
        <f t="shared" si="12"/>
        <v>497</v>
      </c>
      <c r="F42" s="189">
        <f t="shared" si="13"/>
        <v>2.2321027575675917E-2</v>
      </c>
      <c r="G42" s="188">
        <v>673</v>
      </c>
      <c r="H42" s="188">
        <v>43</v>
      </c>
      <c r="I42" s="188">
        <f t="shared" si="14"/>
        <v>716</v>
      </c>
      <c r="J42" s="189">
        <f t="shared" si="15"/>
        <v>1.3911556695422399E-2</v>
      </c>
      <c r="K42" s="188">
        <f t="shared" si="11"/>
        <v>1213</v>
      </c>
    </row>
    <row r="43" spans="2:11" x14ac:dyDescent="0.2">
      <c r="B43" s="188" t="s">
        <v>176</v>
      </c>
      <c r="C43" s="188">
        <v>554</v>
      </c>
      <c r="D43" s="188">
        <v>168</v>
      </c>
      <c r="E43" s="188">
        <f t="shared" si="12"/>
        <v>722</v>
      </c>
      <c r="F43" s="189">
        <f t="shared" si="13"/>
        <v>3.242612054253121E-2</v>
      </c>
      <c r="G43" s="188">
        <v>1549</v>
      </c>
      <c r="H43" s="188">
        <v>83</v>
      </c>
      <c r="I43" s="188">
        <f t="shared" si="14"/>
        <v>1632</v>
      </c>
      <c r="J43" s="189">
        <f t="shared" si="15"/>
        <v>3.170902308230357E-2</v>
      </c>
      <c r="K43" s="188">
        <f t="shared" si="11"/>
        <v>2354</v>
      </c>
    </row>
    <row r="44" spans="2:11" x14ac:dyDescent="0.2">
      <c r="B44" s="188" t="s">
        <v>177</v>
      </c>
      <c r="C44" s="188">
        <v>862</v>
      </c>
      <c r="D44" s="188">
        <v>246</v>
      </c>
      <c r="E44" s="188">
        <f t="shared" si="12"/>
        <v>1108</v>
      </c>
      <c r="F44" s="189">
        <f t="shared" si="13"/>
        <v>4.9761968921225183E-2</v>
      </c>
      <c r="G44" s="188">
        <v>2311</v>
      </c>
      <c r="H44" s="188">
        <v>79</v>
      </c>
      <c r="I44" s="188">
        <f t="shared" si="14"/>
        <v>2390</v>
      </c>
      <c r="J44" s="189">
        <f t="shared" si="15"/>
        <v>4.643662081293231E-2</v>
      </c>
      <c r="K44" s="188">
        <f t="shared" si="11"/>
        <v>3498</v>
      </c>
    </row>
    <row r="45" spans="2:11" x14ac:dyDescent="0.2">
      <c r="B45" s="188" t="s">
        <v>178</v>
      </c>
      <c r="C45" s="188">
        <v>3139</v>
      </c>
      <c r="D45" s="188">
        <v>888</v>
      </c>
      <c r="E45" s="188">
        <f t="shared" si="12"/>
        <v>4027</v>
      </c>
      <c r="F45" s="189">
        <f t="shared" si="13"/>
        <v>0.18085870834456122</v>
      </c>
      <c r="G45" s="188">
        <v>7543</v>
      </c>
      <c r="H45" s="188">
        <v>406</v>
      </c>
      <c r="I45" s="188">
        <f t="shared" si="14"/>
        <v>7949</v>
      </c>
      <c r="J45" s="189">
        <f t="shared" si="15"/>
        <v>0.15444548068702885</v>
      </c>
      <c r="K45" s="188">
        <f t="shared" si="11"/>
        <v>11976</v>
      </c>
    </row>
    <row r="46" spans="2:11" x14ac:dyDescent="0.2">
      <c r="B46" s="188" t="s">
        <v>179</v>
      </c>
      <c r="C46" s="188">
        <v>466</v>
      </c>
      <c r="D46" s="188">
        <v>143</v>
      </c>
      <c r="E46" s="188">
        <f t="shared" si="12"/>
        <v>609</v>
      </c>
      <c r="F46" s="189">
        <f t="shared" si="13"/>
        <v>2.7351118296954999E-2</v>
      </c>
      <c r="G46" s="188">
        <v>1462</v>
      </c>
      <c r="H46" s="188">
        <v>57</v>
      </c>
      <c r="I46" s="188">
        <f t="shared" si="14"/>
        <v>1519</v>
      </c>
      <c r="J46" s="189">
        <f t="shared" si="15"/>
        <v>2.9513484106629361E-2</v>
      </c>
      <c r="K46" s="188">
        <f t="shared" si="11"/>
        <v>2128</v>
      </c>
    </row>
    <row r="47" spans="2:11" x14ac:dyDescent="0.2">
      <c r="B47" s="188" t="s">
        <v>180</v>
      </c>
      <c r="C47" s="188">
        <v>855</v>
      </c>
      <c r="D47" s="188">
        <v>267</v>
      </c>
      <c r="E47" s="188">
        <f t="shared" si="12"/>
        <v>1122</v>
      </c>
      <c r="F47" s="189">
        <f t="shared" si="13"/>
        <v>5.0390730261385068E-2</v>
      </c>
      <c r="G47" s="188">
        <v>2064</v>
      </c>
      <c r="H47" s="188">
        <v>128</v>
      </c>
      <c r="I47" s="188">
        <f t="shared" si="14"/>
        <v>2192</v>
      </c>
      <c r="J47" s="189">
        <f t="shared" si="15"/>
        <v>4.2589570218388127E-2</v>
      </c>
      <c r="K47" s="188">
        <f t="shared" si="11"/>
        <v>3314</v>
      </c>
    </row>
    <row r="48" spans="2:11" x14ac:dyDescent="0.2">
      <c r="B48" s="188" t="s">
        <v>181</v>
      </c>
      <c r="C48" s="188">
        <v>302</v>
      </c>
      <c r="D48" s="188">
        <v>131</v>
      </c>
      <c r="E48" s="188">
        <f t="shared" si="12"/>
        <v>433</v>
      </c>
      <c r="F48" s="189">
        <f t="shared" si="13"/>
        <v>1.94466900206593E-2</v>
      </c>
      <c r="G48" s="188">
        <v>821</v>
      </c>
      <c r="H48" s="188">
        <v>52</v>
      </c>
      <c r="I48" s="188">
        <f t="shared" si="14"/>
        <v>873</v>
      </c>
      <c r="J48" s="189">
        <f t="shared" si="15"/>
        <v>1.6961995803217535E-2</v>
      </c>
      <c r="K48" s="188">
        <f t="shared" si="11"/>
        <v>1306</v>
      </c>
    </row>
    <row r="49" spans="2:11" x14ac:dyDescent="0.2">
      <c r="B49" s="188" t="s">
        <v>182</v>
      </c>
      <c r="C49" s="188">
        <v>198</v>
      </c>
      <c r="D49" s="188">
        <v>40</v>
      </c>
      <c r="E49" s="188">
        <f t="shared" si="12"/>
        <v>238</v>
      </c>
      <c r="F49" s="189">
        <f t="shared" si="13"/>
        <v>1.0688942782718045E-2</v>
      </c>
      <c r="G49" s="188">
        <v>347</v>
      </c>
      <c r="H49" s="188">
        <v>14</v>
      </c>
      <c r="I49" s="188">
        <f t="shared" si="14"/>
        <v>361</v>
      </c>
      <c r="J49" s="189">
        <f t="shared" si="15"/>
        <v>7.0140669930830804E-3</v>
      </c>
      <c r="K49" s="188">
        <f t="shared" si="11"/>
        <v>599</v>
      </c>
    </row>
    <row r="50" spans="2:11" x14ac:dyDescent="0.2">
      <c r="B50" s="190" t="s">
        <v>66</v>
      </c>
      <c r="C50" s="188">
        <f t="shared" ref="C50:H50" si="16">SUM(C35:C49)</f>
        <v>16884</v>
      </c>
      <c r="D50" s="188">
        <f t="shared" si="16"/>
        <v>5382</v>
      </c>
      <c r="E50" s="190">
        <f t="shared" ref="E50" si="17">C50+D50</f>
        <v>22266</v>
      </c>
      <c r="F50" s="191">
        <f t="shared" ref="F50" si="18">E50/$E$50</f>
        <v>1</v>
      </c>
      <c r="G50" s="188">
        <f t="shared" si="16"/>
        <v>49083</v>
      </c>
      <c r="H50" s="188">
        <f t="shared" si="16"/>
        <v>2385</v>
      </c>
      <c r="I50" s="190">
        <f t="shared" ref="I50" si="19">G50+H50</f>
        <v>51468</v>
      </c>
      <c r="J50" s="191">
        <f t="shared" ref="J50" si="20">I50/$I$50</f>
        <v>1</v>
      </c>
      <c r="K50" s="190">
        <f t="shared" ref="K50:K51" si="21">E50+I50</f>
        <v>73734</v>
      </c>
    </row>
    <row r="51" spans="2:11" ht="27" customHeight="1" x14ac:dyDescent="0.2">
      <c r="B51" s="174" t="s">
        <v>84</v>
      </c>
      <c r="C51" s="175">
        <f>+C50/$K$50</f>
        <v>0.22898527138090977</v>
      </c>
      <c r="D51" s="175">
        <f>+D50/$K$50</f>
        <v>7.2992106762145001E-2</v>
      </c>
      <c r="E51" s="176">
        <f>C51+D51</f>
        <v>0.30197737814305475</v>
      </c>
      <c r="F51" s="176"/>
      <c r="G51" s="175">
        <f>+G50/$K$50</f>
        <v>0.66567662136870376</v>
      </c>
      <c r="H51" s="175">
        <f>+H50/$K$50</f>
        <v>3.2346000488241516E-2</v>
      </c>
      <c r="I51" s="176">
        <f>G51+H51</f>
        <v>0.6980226218569453</v>
      </c>
      <c r="J51" s="176"/>
      <c r="K51" s="176">
        <f t="shared" si="21"/>
        <v>1</v>
      </c>
    </row>
    <row r="52" spans="2:11" x14ac:dyDescent="0.2">
      <c r="B52" s="167" t="s">
        <v>149</v>
      </c>
    </row>
    <row r="53" spans="2:11" x14ac:dyDescent="0.2">
      <c r="B53" s="167" t="s">
        <v>150</v>
      </c>
    </row>
    <row r="143" spans="2:2" x14ac:dyDescent="0.2">
      <c r="B143" s="168" t="s">
        <v>96</v>
      </c>
    </row>
  </sheetData>
  <mergeCells count="10">
    <mergeCell ref="B33:B34"/>
    <mergeCell ref="C33:K33"/>
    <mergeCell ref="B8:K8"/>
    <mergeCell ref="B9:B10"/>
    <mergeCell ref="C9:K9"/>
    <mergeCell ref="B6:K6"/>
    <mergeCell ref="B5:K5"/>
    <mergeCell ref="B29:K29"/>
    <mergeCell ref="B30:K30"/>
    <mergeCell ref="B32:K32"/>
  </mergeCells>
  <hyperlinks>
    <hyperlink ref="M5" location="'Índice Pensiones Solidarias'!A1" display="Volver Sistema de Pensiones Solidadias" xr:uid="{00000000-0004-0000-0B00-000000000000}"/>
  </hyperlinks>
  <pageMargins left="0.74803149606299213" right="0.74803149606299213" top="0.98425196850393704" bottom="0.98425196850393704" header="0" footer="0"/>
  <pageSetup scale="77"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dimension ref="A1:P141"/>
  <sheetViews>
    <sheetView showGridLines="0" zoomScaleNormal="100" workbookViewId="0"/>
  </sheetViews>
  <sheetFormatPr baseColWidth="10" defaultRowHeight="12" x14ac:dyDescent="0.2"/>
  <cols>
    <col min="1" max="1" width="6" style="168" customWidth="1"/>
    <col min="2" max="2" width="18.140625" style="168" customWidth="1"/>
    <col min="3" max="3" width="9.7109375" style="168" bestFit="1" customWidth="1"/>
    <col min="4" max="4" width="9.140625" style="168" bestFit="1" customWidth="1"/>
    <col min="5" max="6" width="9.140625" style="168" customWidth="1"/>
    <col min="7" max="7" width="9.42578125" style="168" bestFit="1" customWidth="1"/>
    <col min="8" max="8" width="8.42578125" style="168" bestFit="1" customWidth="1"/>
    <col min="9" max="11" width="8.42578125" style="168" customWidth="1"/>
    <col min="12" max="12" width="9.85546875" style="168" customWidth="1"/>
    <col min="13" max="251" width="11.42578125" style="168"/>
    <col min="252" max="252" width="18.140625" style="168" customWidth="1"/>
    <col min="253" max="253" width="9.7109375" style="168" bestFit="1" customWidth="1"/>
    <col min="254" max="254" width="9.140625" style="168" bestFit="1" customWidth="1"/>
    <col min="255" max="256" width="9.140625" style="168" customWidth="1"/>
    <col min="257" max="257" width="9.42578125" style="168" bestFit="1" customWidth="1"/>
    <col min="258" max="258" width="8.42578125" style="168" bestFit="1" customWidth="1"/>
    <col min="259" max="261" width="8.42578125" style="168" customWidth="1"/>
    <col min="262" max="267" width="0" style="168" hidden="1" customWidth="1"/>
    <col min="268" max="268" width="9.85546875" style="168" customWidth="1"/>
    <col min="269" max="507" width="11.42578125" style="168"/>
    <col min="508" max="508" width="18.140625" style="168" customWidth="1"/>
    <col min="509" max="509" width="9.7109375" style="168" bestFit="1" customWidth="1"/>
    <col min="510" max="510" width="9.140625" style="168" bestFit="1" customWidth="1"/>
    <col min="511" max="512" width="9.140625" style="168" customWidth="1"/>
    <col min="513" max="513" width="9.42578125" style="168" bestFit="1" customWidth="1"/>
    <col min="514" max="514" width="8.42578125" style="168" bestFit="1" customWidth="1"/>
    <col min="515" max="517" width="8.42578125" style="168" customWidth="1"/>
    <col min="518" max="523" width="0" style="168" hidden="1" customWidth="1"/>
    <col min="524" max="524" width="9.85546875" style="168" customWidth="1"/>
    <col min="525" max="763" width="11.42578125" style="168"/>
    <col min="764" max="764" width="18.140625" style="168" customWidth="1"/>
    <col min="765" max="765" width="9.7109375" style="168" bestFit="1" customWidth="1"/>
    <col min="766" max="766" width="9.140625" style="168" bestFit="1" customWidth="1"/>
    <col min="767" max="768" width="9.140625" style="168" customWidth="1"/>
    <col min="769" max="769" width="9.42578125" style="168" bestFit="1" customWidth="1"/>
    <col min="770" max="770" width="8.42578125" style="168" bestFit="1" customWidth="1"/>
    <col min="771" max="773" width="8.42578125" style="168" customWidth="1"/>
    <col min="774" max="779" width="0" style="168" hidden="1" customWidth="1"/>
    <col min="780" max="780" width="9.85546875" style="168" customWidth="1"/>
    <col min="781" max="1019" width="11.42578125" style="168"/>
    <col min="1020" max="1020" width="18.140625" style="168" customWidth="1"/>
    <col min="1021" max="1021" width="9.7109375" style="168" bestFit="1" customWidth="1"/>
    <col min="1022" max="1022" width="9.140625" style="168" bestFit="1" customWidth="1"/>
    <col min="1023" max="1024" width="9.140625" style="168" customWidth="1"/>
    <col min="1025" max="1025" width="9.42578125" style="168" bestFit="1" customWidth="1"/>
    <col min="1026" max="1026" width="8.42578125" style="168" bestFit="1" customWidth="1"/>
    <col min="1027" max="1029" width="8.42578125" style="168" customWidth="1"/>
    <col min="1030" max="1035" width="0" style="168" hidden="1" customWidth="1"/>
    <col min="1036" max="1036" width="9.85546875" style="168" customWidth="1"/>
    <col min="1037" max="1275" width="11.42578125" style="168"/>
    <col min="1276" max="1276" width="18.140625" style="168" customWidth="1"/>
    <col min="1277" max="1277" width="9.7109375" style="168" bestFit="1" customWidth="1"/>
    <col min="1278" max="1278" width="9.140625" style="168" bestFit="1" customWidth="1"/>
    <col min="1279" max="1280" width="9.140625" style="168" customWidth="1"/>
    <col min="1281" max="1281" width="9.42578125" style="168" bestFit="1" customWidth="1"/>
    <col min="1282" max="1282" width="8.42578125" style="168" bestFit="1" customWidth="1"/>
    <col min="1283" max="1285" width="8.42578125" style="168" customWidth="1"/>
    <col min="1286" max="1291" width="0" style="168" hidden="1" customWidth="1"/>
    <col min="1292" max="1292" width="9.85546875" style="168" customWidth="1"/>
    <col min="1293" max="1531" width="11.42578125" style="168"/>
    <col min="1532" max="1532" width="18.140625" style="168" customWidth="1"/>
    <col min="1533" max="1533" width="9.7109375" style="168" bestFit="1" customWidth="1"/>
    <col min="1534" max="1534" width="9.140625" style="168" bestFit="1" customWidth="1"/>
    <col min="1535" max="1536" width="9.140625" style="168" customWidth="1"/>
    <col min="1537" max="1537" width="9.42578125" style="168" bestFit="1" customWidth="1"/>
    <col min="1538" max="1538" width="8.42578125" style="168" bestFit="1" customWidth="1"/>
    <col min="1539" max="1541" width="8.42578125" style="168" customWidth="1"/>
    <col min="1542" max="1547" width="0" style="168" hidden="1" customWidth="1"/>
    <col min="1548" max="1548" width="9.85546875" style="168" customWidth="1"/>
    <col min="1549" max="1787" width="11.42578125" style="168"/>
    <col min="1788" max="1788" width="18.140625" style="168" customWidth="1"/>
    <col min="1789" max="1789" width="9.7109375" style="168" bestFit="1" customWidth="1"/>
    <col min="1790" max="1790" width="9.140625" style="168" bestFit="1" customWidth="1"/>
    <col min="1791" max="1792" width="9.140625" style="168" customWidth="1"/>
    <col min="1793" max="1793" width="9.42578125" style="168" bestFit="1" customWidth="1"/>
    <col min="1794" max="1794" width="8.42578125" style="168" bestFit="1" customWidth="1"/>
    <col min="1795" max="1797" width="8.42578125" style="168" customWidth="1"/>
    <col min="1798" max="1803" width="0" style="168" hidden="1" customWidth="1"/>
    <col min="1804" max="1804" width="9.85546875" style="168" customWidth="1"/>
    <col min="1805" max="2043" width="11.42578125" style="168"/>
    <col min="2044" max="2044" width="18.140625" style="168" customWidth="1"/>
    <col min="2045" max="2045" width="9.7109375" style="168" bestFit="1" customWidth="1"/>
    <col min="2046" max="2046" width="9.140625" style="168" bestFit="1" customWidth="1"/>
    <col min="2047" max="2048" width="9.140625" style="168" customWidth="1"/>
    <col min="2049" max="2049" width="9.42578125" style="168" bestFit="1" customWidth="1"/>
    <col min="2050" max="2050" width="8.42578125" style="168" bestFit="1" customWidth="1"/>
    <col min="2051" max="2053" width="8.42578125" style="168" customWidth="1"/>
    <col min="2054" max="2059" width="0" style="168" hidden="1" customWidth="1"/>
    <col min="2060" max="2060" width="9.85546875" style="168" customWidth="1"/>
    <col min="2061" max="2299" width="11.42578125" style="168"/>
    <col min="2300" max="2300" width="18.140625" style="168" customWidth="1"/>
    <col min="2301" max="2301" width="9.7109375" style="168" bestFit="1" customWidth="1"/>
    <col min="2302" max="2302" width="9.140625" style="168" bestFit="1" customWidth="1"/>
    <col min="2303" max="2304" width="9.140625" style="168" customWidth="1"/>
    <col min="2305" max="2305" width="9.42578125" style="168" bestFit="1" customWidth="1"/>
    <col min="2306" max="2306" width="8.42578125" style="168" bestFit="1" customWidth="1"/>
    <col min="2307" max="2309" width="8.42578125" style="168" customWidth="1"/>
    <col min="2310" max="2315" width="0" style="168" hidden="1" customWidth="1"/>
    <col min="2316" max="2316" width="9.85546875" style="168" customWidth="1"/>
    <col min="2317" max="2555" width="11.42578125" style="168"/>
    <col min="2556" max="2556" width="18.140625" style="168" customWidth="1"/>
    <col min="2557" max="2557" width="9.7109375" style="168" bestFit="1" customWidth="1"/>
    <col min="2558" max="2558" width="9.140625" style="168" bestFit="1" customWidth="1"/>
    <col min="2559" max="2560" width="9.140625" style="168" customWidth="1"/>
    <col min="2561" max="2561" width="9.42578125" style="168" bestFit="1" customWidth="1"/>
    <col min="2562" max="2562" width="8.42578125" style="168" bestFit="1" customWidth="1"/>
    <col min="2563" max="2565" width="8.42578125" style="168" customWidth="1"/>
    <col min="2566" max="2571" width="0" style="168" hidden="1" customWidth="1"/>
    <col min="2572" max="2572" width="9.85546875" style="168" customWidth="1"/>
    <col min="2573" max="2811" width="11.42578125" style="168"/>
    <col min="2812" max="2812" width="18.140625" style="168" customWidth="1"/>
    <col min="2813" max="2813" width="9.7109375" style="168" bestFit="1" customWidth="1"/>
    <col min="2814" max="2814" width="9.140625" style="168" bestFit="1" customWidth="1"/>
    <col min="2815" max="2816" width="9.140625" style="168" customWidth="1"/>
    <col min="2817" max="2817" width="9.42578125" style="168" bestFit="1" customWidth="1"/>
    <col min="2818" max="2818" width="8.42578125" style="168" bestFit="1" customWidth="1"/>
    <col min="2819" max="2821" width="8.42578125" style="168" customWidth="1"/>
    <col min="2822" max="2827" width="0" style="168" hidden="1" customWidth="1"/>
    <col min="2828" max="2828" width="9.85546875" style="168" customWidth="1"/>
    <col min="2829" max="3067" width="11.42578125" style="168"/>
    <col min="3068" max="3068" width="18.140625" style="168" customWidth="1"/>
    <col min="3069" max="3069" width="9.7109375" style="168" bestFit="1" customWidth="1"/>
    <col min="3070" max="3070" width="9.140625" style="168" bestFit="1" customWidth="1"/>
    <col min="3071" max="3072" width="9.140625" style="168" customWidth="1"/>
    <col min="3073" max="3073" width="9.42578125" style="168" bestFit="1" customWidth="1"/>
    <col min="3074" max="3074" width="8.42578125" style="168" bestFit="1" customWidth="1"/>
    <col min="3075" max="3077" width="8.42578125" style="168" customWidth="1"/>
    <col min="3078" max="3083" width="0" style="168" hidden="1" customWidth="1"/>
    <col min="3084" max="3084" width="9.85546875" style="168" customWidth="1"/>
    <col min="3085" max="3323" width="11.42578125" style="168"/>
    <col min="3324" max="3324" width="18.140625" style="168" customWidth="1"/>
    <col min="3325" max="3325" width="9.7109375" style="168" bestFit="1" customWidth="1"/>
    <col min="3326" max="3326" width="9.140625" style="168" bestFit="1" customWidth="1"/>
    <col min="3327" max="3328" width="9.140625" style="168" customWidth="1"/>
    <col min="3329" max="3329" width="9.42578125" style="168" bestFit="1" customWidth="1"/>
    <col min="3330" max="3330" width="8.42578125" style="168" bestFit="1" customWidth="1"/>
    <col min="3331" max="3333" width="8.42578125" style="168" customWidth="1"/>
    <col min="3334" max="3339" width="0" style="168" hidden="1" customWidth="1"/>
    <col min="3340" max="3340" width="9.85546875" style="168" customWidth="1"/>
    <col min="3341" max="3579" width="11.42578125" style="168"/>
    <col min="3580" max="3580" width="18.140625" style="168" customWidth="1"/>
    <col min="3581" max="3581" width="9.7109375" style="168" bestFit="1" customWidth="1"/>
    <col min="3582" max="3582" width="9.140625" style="168" bestFit="1" customWidth="1"/>
    <col min="3583" max="3584" width="9.140625" style="168" customWidth="1"/>
    <col min="3585" max="3585" width="9.42578125" style="168" bestFit="1" customWidth="1"/>
    <col min="3586" max="3586" width="8.42578125" style="168" bestFit="1" customWidth="1"/>
    <col min="3587" max="3589" width="8.42578125" style="168" customWidth="1"/>
    <col min="3590" max="3595" width="0" style="168" hidden="1" customWidth="1"/>
    <col min="3596" max="3596" width="9.85546875" style="168" customWidth="1"/>
    <col min="3597" max="3835" width="11.42578125" style="168"/>
    <col min="3836" max="3836" width="18.140625" style="168" customWidth="1"/>
    <col min="3837" max="3837" width="9.7109375" style="168" bestFit="1" customWidth="1"/>
    <col min="3838" max="3838" width="9.140625" style="168" bestFit="1" customWidth="1"/>
    <col min="3839" max="3840" width="9.140625" style="168" customWidth="1"/>
    <col min="3841" max="3841" width="9.42578125" style="168" bestFit="1" customWidth="1"/>
    <col min="3842" max="3842" width="8.42578125" style="168" bestFit="1" customWidth="1"/>
    <col min="3843" max="3845" width="8.42578125" style="168" customWidth="1"/>
    <col min="3846" max="3851" width="0" style="168" hidden="1" customWidth="1"/>
    <col min="3852" max="3852" width="9.85546875" style="168" customWidth="1"/>
    <col min="3853" max="4091" width="11.42578125" style="168"/>
    <col min="4092" max="4092" width="18.140625" style="168" customWidth="1"/>
    <col min="4093" max="4093" width="9.7109375" style="168" bestFit="1" customWidth="1"/>
    <col min="4094" max="4094" width="9.140625" style="168" bestFit="1" customWidth="1"/>
    <col min="4095" max="4096" width="9.140625" style="168" customWidth="1"/>
    <col min="4097" max="4097" width="9.42578125" style="168" bestFit="1" customWidth="1"/>
    <col min="4098" max="4098" width="8.42578125" style="168" bestFit="1" customWidth="1"/>
    <col min="4099" max="4101" width="8.42578125" style="168" customWidth="1"/>
    <col min="4102" max="4107" width="0" style="168" hidden="1" customWidth="1"/>
    <col min="4108" max="4108" width="9.85546875" style="168" customWidth="1"/>
    <col min="4109" max="4347" width="11.42578125" style="168"/>
    <col min="4348" max="4348" width="18.140625" style="168" customWidth="1"/>
    <col min="4349" max="4349" width="9.7109375" style="168" bestFit="1" customWidth="1"/>
    <col min="4350" max="4350" width="9.140625" style="168" bestFit="1" customWidth="1"/>
    <col min="4351" max="4352" width="9.140625" style="168" customWidth="1"/>
    <col min="4353" max="4353" width="9.42578125" style="168" bestFit="1" customWidth="1"/>
    <col min="4354" max="4354" width="8.42578125" style="168" bestFit="1" customWidth="1"/>
    <col min="4355" max="4357" width="8.42578125" style="168" customWidth="1"/>
    <col min="4358" max="4363" width="0" style="168" hidden="1" customWidth="1"/>
    <col min="4364" max="4364" width="9.85546875" style="168" customWidth="1"/>
    <col min="4365" max="4603" width="11.42578125" style="168"/>
    <col min="4604" max="4604" width="18.140625" style="168" customWidth="1"/>
    <col min="4605" max="4605" width="9.7109375" style="168" bestFit="1" customWidth="1"/>
    <col min="4606" max="4606" width="9.140625" style="168" bestFit="1" customWidth="1"/>
    <col min="4607" max="4608" width="9.140625" style="168" customWidth="1"/>
    <col min="4609" max="4609" width="9.42578125" style="168" bestFit="1" customWidth="1"/>
    <col min="4610" max="4610" width="8.42578125" style="168" bestFit="1" customWidth="1"/>
    <col min="4611" max="4613" width="8.42578125" style="168" customWidth="1"/>
    <col min="4614" max="4619" width="0" style="168" hidden="1" customWidth="1"/>
    <col min="4620" max="4620" width="9.85546875" style="168" customWidth="1"/>
    <col min="4621" max="4859" width="11.42578125" style="168"/>
    <col min="4860" max="4860" width="18.140625" style="168" customWidth="1"/>
    <col min="4861" max="4861" width="9.7109375" style="168" bestFit="1" customWidth="1"/>
    <col min="4862" max="4862" width="9.140625" style="168" bestFit="1" customWidth="1"/>
    <col min="4863" max="4864" width="9.140625" style="168" customWidth="1"/>
    <col min="4865" max="4865" width="9.42578125" style="168" bestFit="1" customWidth="1"/>
    <col min="4866" max="4866" width="8.42578125" style="168" bestFit="1" customWidth="1"/>
    <col min="4867" max="4869" width="8.42578125" style="168" customWidth="1"/>
    <col min="4870" max="4875" width="0" style="168" hidden="1" customWidth="1"/>
    <col min="4876" max="4876" width="9.85546875" style="168" customWidth="1"/>
    <col min="4877" max="5115" width="11.42578125" style="168"/>
    <col min="5116" max="5116" width="18.140625" style="168" customWidth="1"/>
    <col min="5117" max="5117" width="9.7109375" style="168" bestFit="1" customWidth="1"/>
    <col min="5118" max="5118" width="9.140625" style="168" bestFit="1" customWidth="1"/>
    <col min="5119" max="5120" width="9.140625" style="168" customWidth="1"/>
    <col min="5121" max="5121" width="9.42578125" style="168" bestFit="1" customWidth="1"/>
    <col min="5122" max="5122" width="8.42578125" style="168" bestFit="1" customWidth="1"/>
    <col min="5123" max="5125" width="8.42578125" style="168" customWidth="1"/>
    <col min="5126" max="5131" width="0" style="168" hidden="1" customWidth="1"/>
    <col min="5132" max="5132" width="9.85546875" style="168" customWidth="1"/>
    <col min="5133" max="5371" width="11.42578125" style="168"/>
    <col min="5372" max="5372" width="18.140625" style="168" customWidth="1"/>
    <col min="5373" max="5373" width="9.7109375" style="168" bestFit="1" customWidth="1"/>
    <col min="5374" max="5374" width="9.140625" style="168" bestFit="1" customWidth="1"/>
    <col min="5375" max="5376" width="9.140625" style="168" customWidth="1"/>
    <col min="5377" max="5377" width="9.42578125" style="168" bestFit="1" customWidth="1"/>
    <col min="5378" max="5378" width="8.42578125" style="168" bestFit="1" customWidth="1"/>
    <col min="5379" max="5381" width="8.42578125" style="168" customWidth="1"/>
    <col min="5382" max="5387" width="0" style="168" hidden="1" customWidth="1"/>
    <col min="5388" max="5388" width="9.85546875" style="168" customWidth="1"/>
    <col min="5389" max="5627" width="11.42578125" style="168"/>
    <col min="5628" max="5628" width="18.140625" style="168" customWidth="1"/>
    <col min="5629" max="5629" width="9.7109375" style="168" bestFit="1" customWidth="1"/>
    <col min="5630" max="5630" width="9.140625" style="168" bestFit="1" customWidth="1"/>
    <col min="5631" max="5632" width="9.140625" style="168" customWidth="1"/>
    <col min="5633" max="5633" width="9.42578125" style="168" bestFit="1" customWidth="1"/>
    <col min="5634" max="5634" width="8.42578125" style="168" bestFit="1" customWidth="1"/>
    <col min="5635" max="5637" width="8.42578125" style="168" customWidth="1"/>
    <col min="5638" max="5643" width="0" style="168" hidden="1" customWidth="1"/>
    <col min="5644" max="5644" width="9.85546875" style="168" customWidth="1"/>
    <col min="5645" max="5883" width="11.42578125" style="168"/>
    <col min="5884" max="5884" width="18.140625" style="168" customWidth="1"/>
    <col min="5885" max="5885" width="9.7109375" style="168" bestFit="1" customWidth="1"/>
    <col min="5886" max="5886" width="9.140625" style="168" bestFit="1" customWidth="1"/>
    <col min="5887" max="5888" width="9.140625" style="168" customWidth="1"/>
    <col min="5889" max="5889" width="9.42578125" style="168" bestFit="1" customWidth="1"/>
    <col min="5890" max="5890" width="8.42578125" style="168" bestFit="1" customWidth="1"/>
    <col min="5891" max="5893" width="8.42578125" style="168" customWidth="1"/>
    <col min="5894" max="5899" width="0" style="168" hidden="1" customWidth="1"/>
    <col min="5900" max="5900" width="9.85546875" style="168" customWidth="1"/>
    <col min="5901" max="6139" width="11.42578125" style="168"/>
    <col min="6140" max="6140" width="18.140625" style="168" customWidth="1"/>
    <col min="6141" max="6141" width="9.7109375" style="168" bestFit="1" customWidth="1"/>
    <col min="6142" max="6142" width="9.140625" style="168" bestFit="1" customWidth="1"/>
    <col min="6143" max="6144" width="9.140625" style="168" customWidth="1"/>
    <col min="6145" max="6145" width="9.42578125" style="168" bestFit="1" customWidth="1"/>
    <col min="6146" max="6146" width="8.42578125" style="168" bestFit="1" customWidth="1"/>
    <col min="6147" max="6149" width="8.42578125" style="168" customWidth="1"/>
    <col min="6150" max="6155" width="0" style="168" hidden="1" customWidth="1"/>
    <col min="6156" max="6156" width="9.85546875" style="168" customWidth="1"/>
    <col min="6157" max="6395" width="11.42578125" style="168"/>
    <col min="6396" max="6396" width="18.140625" style="168" customWidth="1"/>
    <col min="6397" max="6397" width="9.7109375" style="168" bestFit="1" customWidth="1"/>
    <col min="6398" max="6398" width="9.140625" style="168" bestFit="1" customWidth="1"/>
    <col min="6399" max="6400" width="9.140625" style="168" customWidth="1"/>
    <col min="6401" max="6401" width="9.42578125" style="168" bestFit="1" customWidth="1"/>
    <col min="6402" max="6402" width="8.42578125" style="168" bestFit="1" customWidth="1"/>
    <col min="6403" max="6405" width="8.42578125" style="168" customWidth="1"/>
    <col min="6406" max="6411" width="0" style="168" hidden="1" customWidth="1"/>
    <col min="6412" max="6412" width="9.85546875" style="168" customWidth="1"/>
    <col min="6413" max="6651" width="11.42578125" style="168"/>
    <col min="6652" max="6652" width="18.140625" style="168" customWidth="1"/>
    <col min="6653" max="6653" width="9.7109375" style="168" bestFit="1" customWidth="1"/>
    <col min="6654" max="6654" width="9.140625" style="168" bestFit="1" customWidth="1"/>
    <col min="6655" max="6656" width="9.140625" style="168" customWidth="1"/>
    <col min="6657" max="6657" width="9.42578125" style="168" bestFit="1" customWidth="1"/>
    <col min="6658" max="6658" width="8.42578125" style="168" bestFit="1" customWidth="1"/>
    <col min="6659" max="6661" width="8.42578125" style="168" customWidth="1"/>
    <col min="6662" max="6667" width="0" style="168" hidden="1" customWidth="1"/>
    <col min="6668" max="6668" width="9.85546875" style="168" customWidth="1"/>
    <col min="6669" max="6907" width="11.42578125" style="168"/>
    <col min="6908" max="6908" width="18.140625" style="168" customWidth="1"/>
    <col min="6909" max="6909" width="9.7109375" style="168" bestFit="1" customWidth="1"/>
    <col min="6910" max="6910" width="9.140625" style="168" bestFit="1" customWidth="1"/>
    <col min="6911" max="6912" width="9.140625" style="168" customWidth="1"/>
    <col min="6913" max="6913" width="9.42578125" style="168" bestFit="1" customWidth="1"/>
    <col min="6914" max="6914" width="8.42578125" style="168" bestFit="1" customWidth="1"/>
    <col min="6915" max="6917" width="8.42578125" style="168" customWidth="1"/>
    <col min="6918" max="6923" width="0" style="168" hidden="1" customWidth="1"/>
    <col min="6924" max="6924" width="9.85546875" style="168" customWidth="1"/>
    <col min="6925" max="7163" width="11.42578125" style="168"/>
    <col min="7164" max="7164" width="18.140625" style="168" customWidth="1"/>
    <col min="7165" max="7165" width="9.7109375" style="168" bestFit="1" customWidth="1"/>
    <col min="7166" max="7166" width="9.140625" style="168" bestFit="1" customWidth="1"/>
    <col min="7167" max="7168" width="9.140625" style="168" customWidth="1"/>
    <col min="7169" max="7169" width="9.42578125" style="168" bestFit="1" customWidth="1"/>
    <col min="7170" max="7170" width="8.42578125" style="168" bestFit="1" customWidth="1"/>
    <col min="7171" max="7173" width="8.42578125" style="168" customWidth="1"/>
    <col min="7174" max="7179" width="0" style="168" hidden="1" customWidth="1"/>
    <col min="7180" max="7180" width="9.85546875" style="168" customWidth="1"/>
    <col min="7181" max="7419" width="11.42578125" style="168"/>
    <col min="7420" max="7420" width="18.140625" style="168" customWidth="1"/>
    <col min="7421" max="7421" width="9.7109375" style="168" bestFit="1" customWidth="1"/>
    <col min="7422" max="7422" width="9.140625" style="168" bestFit="1" customWidth="1"/>
    <col min="7423" max="7424" width="9.140625" style="168" customWidth="1"/>
    <col min="7425" max="7425" width="9.42578125" style="168" bestFit="1" customWidth="1"/>
    <col min="7426" max="7426" width="8.42578125" style="168" bestFit="1" customWidth="1"/>
    <col min="7427" max="7429" width="8.42578125" style="168" customWidth="1"/>
    <col min="7430" max="7435" width="0" style="168" hidden="1" customWidth="1"/>
    <col min="7436" max="7436" width="9.85546875" style="168" customWidth="1"/>
    <col min="7437" max="7675" width="11.42578125" style="168"/>
    <col min="7676" max="7676" width="18.140625" style="168" customWidth="1"/>
    <col min="7677" max="7677" width="9.7109375" style="168" bestFit="1" customWidth="1"/>
    <col min="7678" max="7678" width="9.140625" style="168" bestFit="1" customWidth="1"/>
    <col min="7679" max="7680" width="9.140625" style="168" customWidth="1"/>
    <col min="7681" max="7681" width="9.42578125" style="168" bestFit="1" customWidth="1"/>
    <col min="7682" max="7682" width="8.42578125" style="168" bestFit="1" customWidth="1"/>
    <col min="7683" max="7685" width="8.42578125" style="168" customWidth="1"/>
    <col min="7686" max="7691" width="0" style="168" hidden="1" customWidth="1"/>
    <col min="7692" max="7692" width="9.85546875" style="168" customWidth="1"/>
    <col min="7693" max="7931" width="11.42578125" style="168"/>
    <col min="7932" max="7932" width="18.140625" style="168" customWidth="1"/>
    <col min="7933" max="7933" width="9.7109375" style="168" bestFit="1" customWidth="1"/>
    <col min="7934" max="7934" width="9.140625" style="168" bestFit="1" customWidth="1"/>
    <col min="7935" max="7936" width="9.140625" style="168" customWidth="1"/>
    <col min="7937" max="7937" width="9.42578125" style="168" bestFit="1" customWidth="1"/>
    <col min="7938" max="7938" width="8.42578125" style="168" bestFit="1" customWidth="1"/>
    <col min="7939" max="7941" width="8.42578125" style="168" customWidth="1"/>
    <col min="7942" max="7947" width="0" style="168" hidden="1" customWidth="1"/>
    <col min="7948" max="7948" width="9.85546875" style="168" customWidth="1"/>
    <col min="7949" max="8187" width="11.42578125" style="168"/>
    <col min="8188" max="8188" width="18.140625" style="168" customWidth="1"/>
    <col min="8189" max="8189" width="9.7109375" style="168" bestFit="1" customWidth="1"/>
    <col min="8190" max="8190" width="9.140625" style="168" bestFit="1" customWidth="1"/>
    <col min="8191" max="8192" width="9.140625" style="168" customWidth="1"/>
    <col min="8193" max="8193" width="9.42578125" style="168" bestFit="1" customWidth="1"/>
    <col min="8194" max="8194" width="8.42578125" style="168" bestFit="1" customWidth="1"/>
    <col min="8195" max="8197" width="8.42578125" style="168" customWidth="1"/>
    <col min="8198" max="8203" width="0" style="168" hidden="1" customWidth="1"/>
    <col min="8204" max="8204" width="9.85546875" style="168" customWidth="1"/>
    <col min="8205" max="8443" width="11.42578125" style="168"/>
    <col min="8444" max="8444" width="18.140625" style="168" customWidth="1"/>
    <col min="8445" max="8445" width="9.7109375" style="168" bestFit="1" customWidth="1"/>
    <col min="8446" max="8446" width="9.140625" style="168" bestFit="1" customWidth="1"/>
    <col min="8447" max="8448" width="9.140625" style="168" customWidth="1"/>
    <col min="8449" max="8449" width="9.42578125" style="168" bestFit="1" customWidth="1"/>
    <col min="8450" max="8450" width="8.42578125" style="168" bestFit="1" customWidth="1"/>
    <col min="8451" max="8453" width="8.42578125" style="168" customWidth="1"/>
    <col min="8454" max="8459" width="0" style="168" hidden="1" customWidth="1"/>
    <col min="8460" max="8460" width="9.85546875" style="168" customWidth="1"/>
    <col min="8461" max="8699" width="11.42578125" style="168"/>
    <col min="8700" max="8700" width="18.140625" style="168" customWidth="1"/>
    <col min="8701" max="8701" width="9.7109375" style="168" bestFit="1" customWidth="1"/>
    <col min="8702" max="8702" width="9.140625" style="168" bestFit="1" customWidth="1"/>
    <col min="8703" max="8704" width="9.140625" style="168" customWidth="1"/>
    <col min="8705" max="8705" width="9.42578125" style="168" bestFit="1" customWidth="1"/>
    <col min="8706" max="8706" width="8.42578125" style="168" bestFit="1" customWidth="1"/>
    <col min="8707" max="8709" width="8.42578125" style="168" customWidth="1"/>
    <col min="8710" max="8715" width="0" style="168" hidden="1" customWidth="1"/>
    <col min="8716" max="8716" width="9.85546875" style="168" customWidth="1"/>
    <col min="8717" max="8955" width="11.42578125" style="168"/>
    <col min="8956" max="8956" width="18.140625" style="168" customWidth="1"/>
    <col min="8957" max="8957" width="9.7109375" style="168" bestFit="1" customWidth="1"/>
    <col min="8958" max="8958" width="9.140625" style="168" bestFit="1" customWidth="1"/>
    <col min="8959" max="8960" width="9.140625" style="168" customWidth="1"/>
    <col min="8961" max="8961" width="9.42578125" style="168" bestFit="1" customWidth="1"/>
    <col min="8962" max="8962" width="8.42578125" style="168" bestFit="1" customWidth="1"/>
    <col min="8963" max="8965" width="8.42578125" style="168" customWidth="1"/>
    <col min="8966" max="8971" width="0" style="168" hidden="1" customWidth="1"/>
    <col min="8972" max="8972" width="9.85546875" style="168" customWidth="1"/>
    <col min="8973" max="9211" width="11.42578125" style="168"/>
    <col min="9212" max="9212" width="18.140625" style="168" customWidth="1"/>
    <col min="9213" max="9213" width="9.7109375" style="168" bestFit="1" customWidth="1"/>
    <col min="9214" max="9214" width="9.140625" style="168" bestFit="1" customWidth="1"/>
    <col min="9215" max="9216" width="9.140625" style="168" customWidth="1"/>
    <col min="9217" max="9217" width="9.42578125" style="168" bestFit="1" customWidth="1"/>
    <col min="9218" max="9218" width="8.42578125" style="168" bestFit="1" customWidth="1"/>
    <col min="9219" max="9221" width="8.42578125" style="168" customWidth="1"/>
    <col min="9222" max="9227" width="0" style="168" hidden="1" customWidth="1"/>
    <col min="9228" max="9228" width="9.85546875" style="168" customWidth="1"/>
    <col min="9229" max="9467" width="11.42578125" style="168"/>
    <col min="9468" max="9468" width="18.140625" style="168" customWidth="1"/>
    <col min="9469" max="9469" width="9.7109375" style="168" bestFit="1" customWidth="1"/>
    <col min="9470" max="9470" width="9.140625" style="168" bestFit="1" customWidth="1"/>
    <col min="9471" max="9472" width="9.140625" style="168" customWidth="1"/>
    <col min="9473" max="9473" width="9.42578125" style="168" bestFit="1" customWidth="1"/>
    <col min="9474" max="9474" width="8.42578125" style="168" bestFit="1" customWidth="1"/>
    <col min="9475" max="9477" width="8.42578125" style="168" customWidth="1"/>
    <col min="9478" max="9483" width="0" style="168" hidden="1" customWidth="1"/>
    <col min="9484" max="9484" width="9.85546875" style="168" customWidth="1"/>
    <col min="9485" max="9723" width="11.42578125" style="168"/>
    <col min="9724" max="9724" width="18.140625" style="168" customWidth="1"/>
    <col min="9725" max="9725" width="9.7109375" style="168" bestFit="1" customWidth="1"/>
    <col min="9726" max="9726" width="9.140625" style="168" bestFit="1" customWidth="1"/>
    <col min="9727" max="9728" width="9.140625" style="168" customWidth="1"/>
    <col min="9729" max="9729" width="9.42578125" style="168" bestFit="1" customWidth="1"/>
    <col min="9730" max="9730" width="8.42578125" style="168" bestFit="1" customWidth="1"/>
    <col min="9731" max="9733" width="8.42578125" style="168" customWidth="1"/>
    <col min="9734" max="9739" width="0" style="168" hidden="1" customWidth="1"/>
    <col min="9740" max="9740" width="9.85546875" style="168" customWidth="1"/>
    <col min="9741" max="9979" width="11.42578125" style="168"/>
    <col min="9980" max="9980" width="18.140625" style="168" customWidth="1"/>
    <col min="9981" max="9981" width="9.7109375" style="168" bestFit="1" customWidth="1"/>
    <col min="9982" max="9982" width="9.140625" style="168" bestFit="1" customWidth="1"/>
    <col min="9983" max="9984" width="9.140625" style="168" customWidth="1"/>
    <col min="9985" max="9985" width="9.42578125" style="168" bestFit="1" customWidth="1"/>
    <col min="9986" max="9986" width="8.42578125" style="168" bestFit="1" customWidth="1"/>
    <col min="9987" max="9989" width="8.42578125" style="168" customWidth="1"/>
    <col min="9990" max="9995" width="0" style="168" hidden="1" customWidth="1"/>
    <col min="9996" max="9996" width="9.85546875" style="168" customWidth="1"/>
    <col min="9997" max="10235" width="11.42578125" style="168"/>
    <col min="10236" max="10236" width="18.140625" style="168" customWidth="1"/>
    <col min="10237" max="10237" width="9.7109375" style="168" bestFit="1" customWidth="1"/>
    <col min="10238" max="10238" width="9.140625" style="168" bestFit="1" customWidth="1"/>
    <col min="10239" max="10240" width="9.140625" style="168" customWidth="1"/>
    <col min="10241" max="10241" width="9.42578125" style="168" bestFit="1" customWidth="1"/>
    <col min="10242" max="10242" width="8.42578125" style="168" bestFit="1" customWidth="1"/>
    <col min="10243" max="10245" width="8.42578125" style="168" customWidth="1"/>
    <col min="10246" max="10251" width="0" style="168" hidden="1" customWidth="1"/>
    <col min="10252" max="10252" width="9.85546875" style="168" customWidth="1"/>
    <col min="10253" max="10491" width="11.42578125" style="168"/>
    <col min="10492" max="10492" width="18.140625" style="168" customWidth="1"/>
    <col min="10493" max="10493" width="9.7109375" style="168" bestFit="1" customWidth="1"/>
    <col min="10494" max="10494" width="9.140625" style="168" bestFit="1" customWidth="1"/>
    <col min="10495" max="10496" width="9.140625" style="168" customWidth="1"/>
    <col min="10497" max="10497" width="9.42578125" style="168" bestFit="1" customWidth="1"/>
    <col min="10498" max="10498" width="8.42578125" style="168" bestFit="1" customWidth="1"/>
    <col min="10499" max="10501" width="8.42578125" style="168" customWidth="1"/>
    <col min="10502" max="10507" width="0" style="168" hidden="1" customWidth="1"/>
    <col min="10508" max="10508" width="9.85546875" style="168" customWidth="1"/>
    <col min="10509" max="10747" width="11.42578125" style="168"/>
    <col min="10748" max="10748" width="18.140625" style="168" customWidth="1"/>
    <col min="10749" max="10749" width="9.7109375" style="168" bestFit="1" customWidth="1"/>
    <col min="10750" max="10750" width="9.140625" style="168" bestFit="1" customWidth="1"/>
    <col min="10751" max="10752" width="9.140625" style="168" customWidth="1"/>
    <col min="10753" max="10753" width="9.42578125" style="168" bestFit="1" customWidth="1"/>
    <col min="10754" max="10754" width="8.42578125" style="168" bestFit="1" customWidth="1"/>
    <col min="10755" max="10757" width="8.42578125" style="168" customWidth="1"/>
    <col min="10758" max="10763" width="0" style="168" hidden="1" customWidth="1"/>
    <col min="10764" max="10764" width="9.85546875" style="168" customWidth="1"/>
    <col min="10765" max="11003" width="11.42578125" style="168"/>
    <col min="11004" max="11004" width="18.140625" style="168" customWidth="1"/>
    <col min="11005" max="11005" width="9.7109375" style="168" bestFit="1" customWidth="1"/>
    <col min="11006" max="11006" width="9.140625" style="168" bestFit="1" customWidth="1"/>
    <col min="11007" max="11008" width="9.140625" style="168" customWidth="1"/>
    <col min="11009" max="11009" width="9.42578125" style="168" bestFit="1" customWidth="1"/>
    <col min="11010" max="11010" width="8.42578125" style="168" bestFit="1" customWidth="1"/>
    <col min="11011" max="11013" width="8.42578125" style="168" customWidth="1"/>
    <col min="11014" max="11019" width="0" style="168" hidden="1" customWidth="1"/>
    <col min="11020" max="11020" width="9.85546875" style="168" customWidth="1"/>
    <col min="11021" max="11259" width="11.42578125" style="168"/>
    <col min="11260" max="11260" width="18.140625" style="168" customWidth="1"/>
    <col min="11261" max="11261" width="9.7109375" style="168" bestFit="1" customWidth="1"/>
    <col min="11262" max="11262" width="9.140625" style="168" bestFit="1" customWidth="1"/>
    <col min="11263" max="11264" width="9.140625" style="168" customWidth="1"/>
    <col min="11265" max="11265" width="9.42578125" style="168" bestFit="1" customWidth="1"/>
    <col min="11266" max="11266" width="8.42578125" style="168" bestFit="1" customWidth="1"/>
    <col min="11267" max="11269" width="8.42578125" style="168" customWidth="1"/>
    <col min="11270" max="11275" width="0" style="168" hidden="1" customWidth="1"/>
    <col min="11276" max="11276" width="9.85546875" style="168" customWidth="1"/>
    <col min="11277" max="11515" width="11.42578125" style="168"/>
    <col min="11516" max="11516" width="18.140625" style="168" customWidth="1"/>
    <col min="11517" max="11517" width="9.7109375" style="168" bestFit="1" customWidth="1"/>
    <col min="11518" max="11518" width="9.140625" style="168" bestFit="1" customWidth="1"/>
    <col min="11519" max="11520" width="9.140625" style="168" customWidth="1"/>
    <col min="11521" max="11521" width="9.42578125" style="168" bestFit="1" customWidth="1"/>
    <col min="11522" max="11522" width="8.42578125" style="168" bestFit="1" customWidth="1"/>
    <col min="11523" max="11525" width="8.42578125" style="168" customWidth="1"/>
    <col min="11526" max="11531" width="0" style="168" hidden="1" customWidth="1"/>
    <col min="11532" max="11532" width="9.85546875" style="168" customWidth="1"/>
    <col min="11533" max="11771" width="11.42578125" style="168"/>
    <col min="11772" max="11772" width="18.140625" style="168" customWidth="1"/>
    <col min="11773" max="11773" width="9.7109375" style="168" bestFit="1" customWidth="1"/>
    <col min="11774" max="11774" width="9.140625" style="168" bestFit="1" customWidth="1"/>
    <col min="11775" max="11776" width="9.140625" style="168" customWidth="1"/>
    <col min="11777" max="11777" width="9.42578125" style="168" bestFit="1" customWidth="1"/>
    <col min="11778" max="11778" width="8.42578125" style="168" bestFit="1" customWidth="1"/>
    <col min="11779" max="11781" width="8.42578125" style="168" customWidth="1"/>
    <col min="11782" max="11787" width="0" style="168" hidden="1" customWidth="1"/>
    <col min="11788" max="11788" width="9.85546875" style="168" customWidth="1"/>
    <col min="11789" max="12027" width="11.42578125" style="168"/>
    <col min="12028" max="12028" width="18.140625" style="168" customWidth="1"/>
    <col min="12029" max="12029" width="9.7109375" style="168" bestFit="1" customWidth="1"/>
    <col min="12030" max="12030" width="9.140625" style="168" bestFit="1" customWidth="1"/>
    <col min="12031" max="12032" width="9.140625" style="168" customWidth="1"/>
    <col min="12033" max="12033" width="9.42578125" style="168" bestFit="1" customWidth="1"/>
    <col min="12034" max="12034" width="8.42578125" style="168" bestFit="1" customWidth="1"/>
    <col min="12035" max="12037" width="8.42578125" style="168" customWidth="1"/>
    <col min="12038" max="12043" width="0" style="168" hidden="1" customWidth="1"/>
    <col min="12044" max="12044" width="9.85546875" style="168" customWidth="1"/>
    <col min="12045" max="12283" width="11.42578125" style="168"/>
    <col min="12284" max="12284" width="18.140625" style="168" customWidth="1"/>
    <col min="12285" max="12285" width="9.7109375" style="168" bestFit="1" customWidth="1"/>
    <col min="12286" max="12286" width="9.140625" style="168" bestFit="1" customWidth="1"/>
    <col min="12287" max="12288" width="9.140625" style="168" customWidth="1"/>
    <col min="12289" max="12289" width="9.42578125" style="168" bestFit="1" customWidth="1"/>
    <col min="12290" max="12290" width="8.42578125" style="168" bestFit="1" customWidth="1"/>
    <col min="12291" max="12293" width="8.42578125" style="168" customWidth="1"/>
    <col min="12294" max="12299" width="0" style="168" hidden="1" customWidth="1"/>
    <col min="12300" max="12300" width="9.85546875" style="168" customWidth="1"/>
    <col min="12301" max="12539" width="11.42578125" style="168"/>
    <col min="12540" max="12540" width="18.140625" style="168" customWidth="1"/>
    <col min="12541" max="12541" width="9.7109375" style="168" bestFit="1" customWidth="1"/>
    <col min="12542" max="12542" width="9.140625" style="168" bestFit="1" customWidth="1"/>
    <col min="12543" max="12544" width="9.140625" style="168" customWidth="1"/>
    <col min="12545" max="12545" width="9.42578125" style="168" bestFit="1" customWidth="1"/>
    <col min="12546" max="12546" width="8.42578125" style="168" bestFit="1" customWidth="1"/>
    <col min="12547" max="12549" width="8.42578125" style="168" customWidth="1"/>
    <col min="12550" max="12555" width="0" style="168" hidden="1" customWidth="1"/>
    <col min="12556" max="12556" width="9.85546875" style="168" customWidth="1"/>
    <col min="12557" max="12795" width="11.42578125" style="168"/>
    <col min="12796" max="12796" width="18.140625" style="168" customWidth="1"/>
    <col min="12797" max="12797" width="9.7109375" style="168" bestFit="1" customWidth="1"/>
    <col min="12798" max="12798" width="9.140625" style="168" bestFit="1" customWidth="1"/>
    <col min="12799" max="12800" width="9.140625" style="168" customWidth="1"/>
    <col min="12801" max="12801" width="9.42578125" style="168" bestFit="1" customWidth="1"/>
    <col min="12802" max="12802" width="8.42578125" style="168" bestFit="1" customWidth="1"/>
    <col min="12803" max="12805" width="8.42578125" style="168" customWidth="1"/>
    <col min="12806" max="12811" width="0" style="168" hidden="1" customWidth="1"/>
    <col min="12812" max="12812" width="9.85546875" style="168" customWidth="1"/>
    <col min="12813" max="13051" width="11.42578125" style="168"/>
    <col min="13052" max="13052" width="18.140625" style="168" customWidth="1"/>
    <col min="13053" max="13053" width="9.7109375" style="168" bestFit="1" customWidth="1"/>
    <col min="13054" max="13054" width="9.140625" style="168" bestFit="1" customWidth="1"/>
    <col min="13055" max="13056" width="9.140625" style="168" customWidth="1"/>
    <col min="13057" max="13057" width="9.42578125" style="168" bestFit="1" customWidth="1"/>
    <col min="13058" max="13058" width="8.42578125" style="168" bestFit="1" customWidth="1"/>
    <col min="13059" max="13061" width="8.42578125" style="168" customWidth="1"/>
    <col min="13062" max="13067" width="0" style="168" hidden="1" customWidth="1"/>
    <col min="13068" max="13068" width="9.85546875" style="168" customWidth="1"/>
    <col min="13069" max="13307" width="11.42578125" style="168"/>
    <col min="13308" max="13308" width="18.140625" style="168" customWidth="1"/>
    <col min="13309" max="13309" width="9.7109375" style="168" bestFit="1" customWidth="1"/>
    <col min="13310" max="13310" width="9.140625" style="168" bestFit="1" customWidth="1"/>
    <col min="13311" max="13312" width="9.140625" style="168" customWidth="1"/>
    <col min="13313" max="13313" width="9.42578125" style="168" bestFit="1" customWidth="1"/>
    <col min="13314" max="13314" width="8.42578125" style="168" bestFit="1" customWidth="1"/>
    <col min="13315" max="13317" width="8.42578125" style="168" customWidth="1"/>
    <col min="13318" max="13323" width="0" style="168" hidden="1" customWidth="1"/>
    <col min="13324" max="13324" width="9.85546875" style="168" customWidth="1"/>
    <col min="13325" max="13563" width="11.42578125" style="168"/>
    <col min="13564" max="13564" width="18.140625" style="168" customWidth="1"/>
    <col min="13565" max="13565" width="9.7109375" style="168" bestFit="1" customWidth="1"/>
    <col min="13566" max="13566" width="9.140625" style="168" bestFit="1" customWidth="1"/>
    <col min="13567" max="13568" width="9.140625" style="168" customWidth="1"/>
    <col min="13569" max="13569" width="9.42578125" style="168" bestFit="1" customWidth="1"/>
    <col min="13570" max="13570" width="8.42578125" style="168" bestFit="1" customWidth="1"/>
    <col min="13571" max="13573" width="8.42578125" style="168" customWidth="1"/>
    <col min="13574" max="13579" width="0" style="168" hidden="1" customWidth="1"/>
    <col min="13580" max="13580" width="9.85546875" style="168" customWidth="1"/>
    <col min="13581" max="13819" width="11.42578125" style="168"/>
    <col min="13820" max="13820" width="18.140625" style="168" customWidth="1"/>
    <col min="13821" max="13821" width="9.7109375" style="168" bestFit="1" customWidth="1"/>
    <col min="13822" max="13822" width="9.140625" style="168" bestFit="1" customWidth="1"/>
    <col min="13823" max="13824" width="9.140625" style="168" customWidth="1"/>
    <col min="13825" max="13825" width="9.42578125" style="168" bestFit="1" customWidth="1"/>
    <col min="13826" max="13826" width="8.42578125" style="168" bestFit="1" customWidth="1"/>
    <col min="13827" max="13829" width="8.42578125" style="168" customWidth="1"/>
    <col min="13830" max="13835" width="0" style="168" hidden="1" customWidth="1"/>
    <col min="13836" max="13836" width="9.85546875" style="168" customWidth="1"/>
    <col min="13837" max="14075" width="11.42578125" style="168"/>
    <col min="14076" max="14076" width="18.140625" style="168" customWidth="1"/>
    <col min="14077" max="14077" width="9.7109375" style="168" bestFit="1" customWidth="1"/>
    <col min="14078" max="14078" width="9.140625" style="168" bestFit="1" customWidth="1"/>
    <col min="14079" max="14080" width="9.140625" style="168" customWidth="1"/>
    <col min="14081" max="14081" width="9.42578125" style="168" bestFit="1" customWidth="1"/>
    <col min="14082" max="14082" width="8.42578125" style="168" bestFit="1" customWidth="1"/>
    <col min="14083" max="14085" width="8.42578125" style="168" customWidth="1"/>
    <col min="14086" max="14091" width="0" style="168" hidden="1" customWidth="1"/>
    <col min="14092" max="14092" width="9.85546875" style="168" customWidth="1"/>
    <col min="14093" max="14331" width="11.42578125" style="168"/>
    <col min="14332" max="14332" width="18.140625" style="168" customWidth="1"/>
    <col min="14333" max="14333" width="9.7109375" style="168" bestFit="1" customWidth="1"/>
    <col min="14334" max="14334" width="9.140625" style="168" bestFit="1" customWidth="1"/>
    <col min="14335" max="14336" width="9.140625" style="168" customWidth="1"/>
    <col min="14337" max="14337" width="9.42578125" style="168" bestFit="1" customWidth="1"/>
    <col min="14338" max="14338" width="8.42578125" style="168" bestFit="1" customWidth="1"/>
    <col min="14339" max="14341" width="8.42578125" style="168" customWidth="1"/>
    <col min="14342" max="14347" width="0" style="168" hidden="1" customWidth="1"/>
    <col min="14348" max="14348" width="9.85546875" style="168" customWidth="1"/>
    <col min="14349" max="14587" width="11.42578125" style="168"/>
    <col min="14588" max="14588" width="18.140625" style="168" customWidth="1"/>
    <col min="14589" max="14589" width="9.7109375" style="168" bestFit="1" customWidth="1"/>
    <col min="14590" max="14590" width="9.140625" style="168" bestFit="1" customWidth="1"/>
    <col min="14591" max="14592" width="9.140625" style="168" customWidth="1"/>
    <col min="14593" max="14593" width="9.42578125" style="168" bestFit="1" customWidth="1"/>
    <col min="14594" max="14594" width="8.42578125" style="168" bestFit="1" customWidth="1"/>
    <col min="14595" max="14597" width="8.42578125" style="168" customWidth="1"/>
    <col min="14598" max="14603" width="0" style="168" hidden="1" customWidth="1"/>
    <col min="14604" max="14604" width="9.85546875" style="168" customWidth="1"/>
    <col min="14605" max="14843" width="11.42578125" style="168"/>
    <col min="14844" max="14844" width="18.140625" style="168" customWidth="1"/>
    <col min="14845" max="14845" width="9.7109375" style="168" bestFit="1" customWidth="1"/>
    <col min="14846" max="14846" width="9.140625" style="168" bestFit="1" customWidth="1"/>
    <col min="14847" max="14848" width="9.140625" style="168" customWidth="1"/>
    <col min="14849" max="14849" width="9.42578125" style="168" bestFit="1" customWidth="1"/>
    <col min="14850" max="14850" width="8.42578125" style="168" bestFit="1" customWidth="1"/>
    <col min="14851" max="14853" width="8.42578125" style="168" customWidth="1"/>
    <col min="14854" max="14859" width="0" style="168" hidden="1" customWidth="1"/>
    <col min="14860" max="14860" width="9.85546875" style="168" customWidth="1"/>
    <col min="14861" max="15099" width="11.42578125" style="168"/>
    <col min="15100" max="15100" width="18.140625" style="168" customWidth="1"/>
    <col min="15101" max="15101" width="9.7109375" style="168" bestFit="1" customWidth="1"/>
    <col min="15102" max="15102" width="9.140625" style="168" bestFit="1" customWidth="1"/>
    <col min="15103" max="15104" width="9.140625" style="168" customWidth="1"/>
    <col min="15105" max="15105" width="9.42578125" style="168" bestFit="1" customWidth="1"/>
    <col min="15106" max="15106" width="8.42578125" style="168" bestFit="1" customWidth="1"/>
    <col min="15107" max="15109" width="8.42578125" style="168" customWidth="1"/>
    <col min="15110" max="15115" width="0" style="168" hidden="1" customWidth="1"/>
    <col min="15116" max="15116" width="9.85546875" style="168" customWidth="1"/>
    <col min="15117" max="15355" width="11.42578125" style="168"/>
    <col min="15356" max="15356" width="18.140625" style="168" customWidth="1"/>
    <col min="15357" max="15357" width="9.7109375" style="168" bestFit="1" customWidth="1"/>
    <col min="15358" max="15358" width="9.140625" style="168" bestFit="1" customWidth="1"/>
    <col min="15359" max="15360" width="9.140625" style="168" customWidth="1"/>
    <col min="15361" max="15361" width="9.42578125" style="168" bestFit="1" customWidth="1"/>
    <col min="15362" max="15362" width="8.42578125" style="168" bestFit="1" customWidth="1"/>
    <col min="15363" max="15365" width="8.42578125" style="168" customWidth="1"/>
    <col min="15366" max="15371" width="0" style="168" hidden="1" customWidth="1"/>
    <col min="15372" max="15372" width="9.85546875" style="168" customWidth="1"/>
    <col min="15373" max="15611" width="11.42578125" style="168"/>
    <col min="15612" max="15612" width="18.140625" style="168" customWidth="1"/>
    <col min="15613" max="15613" width="9.7109375" style="168" bestFit="1" customWidth="1"/>
    <col min="15614" max="15614" width="9.140625" style="168" bestFit="1" customWidth="1"/>
    <col min="15615" max="15616" width="9.140625" style="168" customWidth="1"/>
    <col min="15617" max="15617" width="9.42578125" style="168" bestFit="1" customWidth="1"/>
    <col min="15618" max="15618" width="8.42578125" style="168" bestFit="1" customWidth="1"/>
    <col min="15619" max="15621" width="8.42578125" style="168" customWidth="1"/>
    <col min="15622" max="15627" width="0" style="168" hidden="1" customWidth="1"/>
    <col min="15628" max="15628" width="9.85546875" style="168" customWidth="1"/>
    <col min="15629" max="15867" width="11.42578125" style="168"/>
    <col min="15868" max="15868" width="18.140625" style="168" customWidth="1"/>
    <col min="15869" max="15869" width="9.7109375" style="168" bestFit="1" customWidth="1"/>
    <col min="15870" max="15870" width="9.140625" style="168" bestFit="1" customWidth="1"/>
    <col min="15871" max="15872" width="9.140625" style="168" customWidth="1"/>
    <col min="15873" max="15873" width="9.42578125" style="168" bestFit="1" customWidth="1"/>
    <col min="15874" max="15874" width="8.42578125" style="168" bestFit="1" customWidth="1"/>
    <col min="15875" max="15877" width="8.42578125" style="168" customWidth="1"/>
    <col min="15878" max="15883" width="0" style="168" hidden="1" customWidth="1"/>
    <col min="15884" max="15884" width="9.85546875" style="168" customWidth="1"/>
    <col min="15885" max="16123" width="11.42578125" style="168"/>
    <col min="16124" max="16124" width="18.140625" style="168" customWidth="1"/>
    <col min="16125" max="16125" width="9.7109375" style="168" bestFit="1" customWidth="1"/>
    <col min="16126" max="16126" width="9.140625" style="168" bestFit="1" customWidth="1"/>
    <col min="16127" max="16128" width="9.140625" style="168" customWidth="1"/>
    <col min="16129" max="16129" width="9.42578125" style="168" bestFit="1" customWidth="1"/>
    <col min="16130" max="16130" width="8.42578125" style="168" bestFit="1" customWidth="1"/>
    <col min="16131" max="16133" width="8.42578125" style="168" customWidth="1"/>
    <col min="16134" max="16139" width="0" style="168" hidden="1" customWidth="1"/>
    <col min="16140" max="16140" width="9.85546875" style="168" customWidth="1"/>
    <col min="16141" max="16384" width="11.42578125" style="168"/>
  </cols>
  <sheetData>
    <row r="1" spans="1:16" s="169" customFormat="1" ht="12.75" customHeight="1" x14ac:dyDescent="0.2">
      <c r="B1" s="182"/>
      <c r="C1" s="182"/>
      <c r="D1" s="182"/>
      <c r="E1" s="182"/>
      <c r="F1" s="182"/>
      <c r="G1" s="182"/>
      <c r="H1" s="182"/>
      <c r="I1" s="182"/>
      <c r="J1" s="182"/>
      <c r="K1" s="182"/>
      <c r="L1" s="182"/>
    </row>
    <row r="2" spans="1:16" s="169" customFormat="1" ht="12.75" customHeight="1" x14ac:dyDescent="0.2">
      <c r="A2" s="196" t="s">
        <v>121</v>
      </c>
      <c r="B2" s="182"/>
      <c r="C2" s="182"/>
      <c r="D2" s="182"/>
      <c r="E2" s="182"/>
      <c r="F2" s="182"/>
      <c r="G2" s="182"/>
      <c r="H2" s="182"/>
      <c r="I2" s="182"/>
      <c r="K2" s="182"/>
      <c r="L2" s="182"/>
    </row>
    <row r="3" spans="1:16" s="169" customFormat="1" ht="12.75" customHeight="1" x14ac:dyDescent="0.25">
      <c r="A3" s="196" t="s">
        <v>122</v>
      </c>
      <c r="B3" s="182"/>
      <c r="C3" s="182"/>
      <c r="D3" s="182"/>
      <c r="E3" s="182"/>
      <c r="F3" s="182"/>
      <c r="G3" s="182"/>
      <c r="H3" s="182"/>
      <c r="I3" s="182"/>
      <c r="J3" s="337"/>
      <c r="K3" s="182"/>
      <c r="L3" s="182"/>
    </row>
    <row r="4" spans="1:16" s="169" customFormat="1" ht="12.75" customHeight="1" x14ac:dyDescent="0.2">
      <c r="B4" s="182"/>
      <c r="C4" s="182"/>
      <c r="D4" s="182"/>
      <c r="E4" s="182"/>
      <c r="F4" s="182"/>
      <c r="G4" s="182"/>
      <c r="H4" s="182"/>
      <c r="I4" s="182"/>
      <c r="J4" s="182"/>
      <c r="K4" s="182"/>
      <c r="L4" s="182"/>
    </row>
    <row r="5" spans="1:16" s="169" customFormat="1" ht="12.75" x14ac:dyDescent="0.2">
      <c r="B5" s="418" t="s">
        <v>103</v>
      </c>
      <c r="C5" s="418"/>
      <c r="D5" s="418"/>
      <c r="E5" s="418"/>
      <c r="F5" s="418"/>
      <c r="G5" s="418"/>
      <c r="H5" s="418"/>
      <c r="I5" s="418"/>
      <c r="J5" s="418"/>
      <c r="K5" s="418"/>
      <c r="M5" s="367" t="s">
        <v>593</v>
      </c>
      <c r="O5" s="338"/>
    </row>
    <row r="6" spans="1:16" s="169" customFormat="1" ht="12.75" x14ac:dyDescent="0.2">
      <c r="B6" s="431" t="str">
        <f>'Solicitudes Regiones'!$B$6:$P$6</f>
        <v>Acumuladas de julio de 2008 a noviembre de 2018</v>
      </c>
      <c r="C6" s="431"/>
      <c r="D6" s="431"/>
      <c r="E6" s="431"/>
      <c r="F6" s="431"/>
      <c r="G6" s="431"/>
      <c r="H6" s="431"/>
      <c r="I6" s="431"/>
      <c r="J6" s="431"/>
      <c r="K6" s="431"/>
      <c r="L6" s="210"/>
    </row>
    <row r="7" spans="1:16" x14ac:dyDescent="0.2">
      <c r="B7" s="170"/>
      <c r="C7" s="171"/>
      <c r="D7" s="171"/>
      <c r="E7" s="171"/>
      <c r="F7" s="171"/>
      <c r="G7" s="171"/>
      <c r="H7" s="171"/>
      <c r="I7" s="171"/>
      <c r="J7" s="171"/>
      <c r="K7" s="171"/>
      <c r="L7" s="171"/>
    </row>
    <row r="8" spans="1:16" ht="15" customHeight="1" x14ac:dyDescent="0.2">
      <c r="B8" s="447" t="s">
        <v>73</v>
      </c>
      <c r="C8" s="448"/>
      <c r="D8" s="448"/>
      <c r="E8" s="448"/>
      <c r="F8" s="448"/>
      <c r="G8" s="448"/>
      <c r="H8" s="448"/>
      <c r="I8" s="448"/>
      <c r="J8" s="448"/>
      <c r="K8" s="449"/>
      <c r="L8" s="187"/>
    </row>
    <row r="9" spans="1:16" ht="20.25" customHeight="1" x14ac:dyDescent="0.2">
      <c r="B9" s="446" t="s">
        <v>74</v>
      </c>
      <c r="C9" s="447" t="s">
        <v>2</v>
      </c>
      <c r="D9" s="448"/>
      <c r="E9" s="448"/>
      <c r="F9" s="448"/>
      <c r="G9" s="448"/>
      <c r="H9" s="448"/>
      <c r="I9" s="448"/>
      <c r="J9" s="448"/>
      <c r="K9" s="449"/>
    </row>
    <row r="10" spans="1:16" ht="24" x14ac:dyDescent="0.2">
      <c r="B10" s="446"/>
      <c r="C10" s="165" t="s">
        <v>75</v>
      </c>
      <c r="D10" s="165" t="s">
        <v>76</v>
      </c>
      <c r="E10" s="165" t="s">
        <v>77</v>
      </c>
      <c r="F10" s="165" t="s">
        <v>78</v>
      </c>
      <c r="G10" s="165" t="s">
        <v>8</v>
      </c>
      <c r="H10" s="165" t="s">
        <v>79</v>
      </c>
      <c r="I10" s="165" t="s">
        <v>80</v>
      </c>
      <c r="J10" s="165" t="s">
        <v>81</v>
      </c>
      <c r="K10" s="226" t="s">
        <v>46</v>
      </c>
    </row>
    <row r="11" spans="1:16" x14ac:dyDescent="0.2">
      <c r="B11" s="160" t="s">
        <v>56</v>
      </c>
      <c r="C11" s="160">
        <v>8511</v>
      </c>
      <c r="D11" s="160">
        <v>4650</v>
      </c>
      <c r="E11" s="160">
        <f>C11+D11</f>
        <v>13161</v>
      </c>
      <c r="F11" s="161">
        <f>E11/$E$49</f>
        <v>0.18282213702283714</v>
      </c>
      <c r="G11" s="160">
        <v>27619</v>
      </c>
      <c r="H11" s="160">
        <v>1800</v>
      </c>
      <c r="I11" s="160">
        <f>G11+H11</f>
        <v>29419</v>
      </c>
      <c r="J11" s="161">
        <f>I11/$I$49</f>
        <v>0.17292578986039678</v>
      </c>
      <c r="K11" s="160">
        <f t="shared" ref="K11:K48" si="0">E11+I11</f>
        <v>42580</v>
      </c>
      <c r="P11" s="173"/>
    </row>
    <row r="12" spans="1:16" x14ac:dyDescent="0.2">
      <c r="B12" s="160" t="s">
        <v>183</v>
      </c>
      <c r="C12" s="160">
        <v>905</v>
      </c>
      <c r="D12" s="160">
        <v>398</v>
      </c>
      <c r="E12" s="160">
        <f t="shared" ref="E12:E48" si="1">C12+D12</f>
        <v>1303</v>
      </c>
      <c r="F12" s="161">
        <f t="shared" ref="F12:F48" si="2">E12/$E$49</f>
        <v>1.8100238928710339E-2</v>
      </c>
      <c r="G12" s="160">
        <v>2352</v>
      </c>
      <c r="H12" s="160">
        <v>129</v>
      </c>
      <c r="I12" s="160">
        <f t="shared" ref="I12:I48" si="3">G12+H12</f>
        <v>2481</v>
      </c>
      <c r="J12" s="161">
        <f t="shared" ref="J12:J48" si="4">I12/$I$49</f>
        <v>1.4583394562821456E-2</v>
      </c>
      <c r="K12" s="160">
        <f t="shared" si="0"/>
        <v>3784</v>
      </c>
      <c r="P12" s="173"/>
    </row>
    <row r="13" spans="1:16" x14ac:dyDescent="0.2">
      <c r="B13" s="160" t="s">
        <v>184</v>
      </c>
      <c r="C13" s="160">
        <v>670</v>
      </c>
      <c r="D13" s="160">
        <v>220</v>
      </c>
      <c r="E13" s="160">
        <f t="shared" si="1"/>
        <v>890</v>
      </c>
      <c r="F13" s="161">
        <f t="shared" si="2"/>
        <v>1.2363171639717731E-2</v>
      </c>
      <c r="G13" s="160">
        <v>1572</v>
      </c>
      <c r="H13" s="160">
        <v>60</v>
      </c>
      <c r="I13" s="160">
        <f t="shared" si="3"/>
        <v>1632</v>
      </c>
      <c r="J13" s="161">
        <f t="shared" si="4"/>
        <v>9.5929463629684051E-3</v>
      </c>
      <c r="K13" s="160">
        <f t="shared" si="0"/>
        <v>2522</v>
      </c>
      <c r="P13" s="173"/>
    </row>
    <row r="14" spans="1:16" x14ac:dyDescent="0.2">
      <c r="B14" s="160" t="s">
        <v>185</v>
      </c>
      <c r="C14" s="160">
        <v>7925</v>
      </c>
      <c r="D14" s="160">
        <v>3016</v>
      </c>
      <c r="E14" s="160">
        <f t="shared" si="1"/>
        <v>10941</v>
      </c>
      <c r="F14" s="161">
        <f t="shared" si="2"/>
        <v>0.15198366394399065</v>
      </c>
      <c r="G14" s="160">
        <v>28200</v>
      </c>
      <c r="H14" s="160">
        <v>1275</v>
      </c>
      <c r="I14" s="160">
        <f t="shared" si="3"/>
        <v>29475</v>
      </c>
      <c r="J14" s="161">
        <f t="shared" si="4"/>
        <v>0.17325495958853784</v>
      </c>
      <c r="K14" s="160">
        <f t="shared" si="0"/>
        <v>40416</v>
      </c>
      <c r="P14" s="173"/>
    </row>
    <row r="15" spans="1:16" x14ac:dyDescent="0.2">
      <c r="B15" s="160" t="s">
        <v>186</v>
      </c>
      <c r="C15" s="160">
        <v>95</v>
      </c>
      <c r="D15" s="160">
        <v>59</v>
      </c>
      <c r="E15" s="160">
        <f t="shared" si="1"/>
        <v>154</v>
      </c>
      <c r="F15" s="161">
        <f t="shared" si="2"/>
        <v>2.1392454297938547E-3</v>
      </c>
      <c r="G15" s="160">
        <v>216</v>
      </c>
      <c r="H15" s="160">
        <v>27</v>
      </c>
      <c r="I15" s="160">
        <f t="shared" si="3"/>
        <v>243</v>
      </c>
      <c r="J15" s="161">
        <f t="shared" si="4"/>
        <v>1.4283614988978692E-3</v>
      </c>
      <c r="K15" s="160">
        <f t="shared" si="0"/>
        <v>397</v>
      </c>
      <c r="P15" s="173"/>
    </row>
    <row r="16" spans="1:16" x14ac:dyDescent="0.2">
      <c r="B16" s="160" t="s">
        <v>187</v>
      </c>
      <c r="C16" s="160">
        <v>1544</v>
      </c>
      <c r="D16" s="160">
        <v>695</v>
      </c>
      <c r="E16" s="160">
        <f t="shared" si="1"/>
        <v>2239</v>
      </c>
      <c r="F16" s="161">
        <f t="shared" si="2"/>
        <v>3.1102405956548312E-2</v>
      </c>
      <c r="G16" s="160">
        <v>6125</v>
      </c>
      <c r="H16" s="160">
        <v>315</v>
      </c>
      <c r="I16" s="160">
        <f t="shared" si="3"/>
        <v>6440</v>
      </c>
      <c r="J16" s="161">
        <f t="shared" si="4"/>
        <v>3.7854518736223364E-2</v>
      </c>
      <c r="K16" s="160">
        <f t="shared" si="0"/>
        <v>8679</v>
      </c>
      <c r="P16" s="173"/>
    </row>
    <row r="17" spans="2:16" x14ac:dyDescent="0.2">
      <c r="B17" s="160" t="s">
        <v>188</v>
      </c>
      <c r="C17" s="160">
        <v>156</v>
      </c>
      <c r="D17" s="160">
        <v>73</v>
      </c>
      <c r="E17" s="160">
        <f t="shared" si="1"/>
        <v>229</v>
      </c>
      <c r="F17" s="161">
        <f t="shared" si="2"/>
        <v>3.1810857365116409E-3</v>
      </c>
      <c r="G17" s="160">
        <v>772</v>
      </c>
      <c r="H17" s="160">
        <v>45</v>
      </c>
      <c r="I17" s="160">
        <f t="shared" si="3"/>
        <v>817</v>
      </c>
      <c r="J17" s="161">
        <f t="shared" si="4"/>
        <v>4.8023512123438646E-3</v>
      </c>
      <c r="K17" s="160">
        <f t="shared" si="0"/>
        <v>1046</v>
      </c>
      <c r="P17" s="173"/>
    </row>
    <row r="18" spans="2:16" x14ac:dyDescent="0.2">
      <c r="B18" s="160" t="s">
        <v>189</v>
      </c>
      <c r="C18" s="160">
        <v>417</v>
      </c>
      <c r="D18" s="160">
        <v>221</v>
      </c>
      <c r="E18" s="160">
        <f t="shared" si="1"/>
        <v>638</v>
      </c>
      <c r="F18" s="161">
        <f t="shared" si="2"/>
        <v>8.862588209145969E-3</v>
      </c>
      <c r="G18" s="160">
        <v>1602</v>
      </c>
      <c r="H18" s="160">
        <v>77</v>
      </c>
      <c r="I18" s="160">
        <f t="shared" si="3"/>
        <v>1679</v>
      </c>
      <c r="J18" s="161">
        <f t="shared" si="4"/>
        <v>9.8692138133725203E-3</v>
      </c>
      <c r="K18" s="160">
        <f t="shared" si="0"/>
        <v>2317</v>
      </c>
      <c r="P18" s="173"/>
    </row>
    <row r="19" spans="2:16" x14ac:dyDescent="0.2">
      <c r="B19" s="160" t="s">
        <v>190</v>
      </c>
      <c r="C19" s="160">
        <v>174</v>
      </c>
      <c r="D19" s="160">
        <v>93</v>
      </c>
      <c r="E19" s="160">
        <f t="shared" si="1"/>
        <v>267</v>
      </c>
      <c r="F19" s="161">
        <f t="shared" si="2"/>
        <v>3.7089514919153191E-3</v>
      </c>
      <c r="G19" s="160">
        <v>435</v>
      </c>
      <c r="H19" s="160">
        <v>44</v>
      </c>
      <c r="I19" s="160">
        <f t="shared" si="3"/>
        <v>479</v>
      </c>
      <c r="J19" s="161">
        <f t="shared" si="4"/>
        <v>2.8155767817781042E-3</v>
      </c>
      <c r="K19" s="160">
        <f t="shared" si="0"/>
        <v>746</v>
      </c>
      <c r="P19" s="173"/>
    </row>
    <row r="20" spans="2:16" x14ac:dyDescent="0.2">
      <c r="B20" s="160" t="s">
        <v>191</v>
      </c>
      <c r="C20" s="160">
        <v>1759</v>
      </c>
      <c r="D20" s="160">
        <v>855</v>
      </c>
      <c r="E20" s="160">
        <f t="shared" si="1"/>
        <v>2614</v>
      </c>
      <c r="F20" s="161">
        <f t="shared" si="2"/>
        <v>3.6311607490137246E-2</v>
      </c>
      <c r="G20" s="160">
        <v>5349</v>
      </c>
      <c r="H20" s="160">
        <v>381</v>
      </c>
      <c r="I20" s="160">
        <f t="shared" si="3"/>
        <v>5730</v>
      </c>
      <c r="J20" s="161">
        <f t="shared" si="4"/>
        <v>3.3681116825863333E-2</v>
      </c>
      <c r="K20" s="160">
        <f t="shared" si="0"/>
        <v>8344</v>
      </c>
      <c r="P20" s="173"/>
    </row>
    <row r="21" spans="2:16" x14ac:dyDescent="0.2">
      <c r="B21" s="160" t="s">
        <v>192</v>
      </c>
      <c r="C21" s="160">
        <v>615</v>
      </c>
      <c r="D21" s="160">
        <v>380</v>
      </c>
      <c r="E21" s="160">
        <f t="shared" si="1"/>
        <v>995</v>
      </c>
      <c r="F21" s="161">
        <f t="shared" si="2"/>
        <v>1.3821748069122631E-2</v>
      </c>
      <c r="G21" s="160">
        <v>1586</v>
      </c>
      <c r="H21" s="160">
        <v>138</v>
      </c>
      <c r="I21" s="160">
        <f t="shared" si="3"/>
        <v>1724</v>
      </c>
      <c r="J21" s="161">
        <f t="shared" si="4"/>
        <v>1.0133725202057312E-2</v>
      </c>
      <c r="K21" s="160">
        <f t="shared" si="0"/>
        <v>2719</v>
      </c>
      <c r="P21" s="173"/>
    </row>
    <row r="22" spans="2:16" x14ac:dyDescent="0.2">
      <c r="B22" s="160" t="s">
        <v>193</v>
      </c>
      <c r="C22" s="160">
        <v>363</v>
      </c>
      <c r="D22" s="160">
        <v>155</v>
      </c>
      <c r="E22" s="160">
        <f t="shared" si="1"/>
        <v>518</v>
      </c>
      <c r="F22" s="161">
        <f t="shared" si="2"/>
        <v>7.1956437183975106E-3</v>
      </c>
      <c r="G22" s="160">
        <v>1297</v>
      </c>
      <c r="H22" s="160">
        <v>93</v>
      </c>
      <c r="I22" s="160">
        <f t="shared" si="3"/>
        <v>1390</v>
      </c>
      <c r="J22" s="161">
        <f t="shared" si="4"/>
        <v>8.1704628949301975E-3</v>
      </c>
      <c r="K22" s="160">
        <f t="shared" si="0"/>
        <v>1908</v>
      </c>
      <c r="P22" s="173"/>
    </row>
    <row r="23" spans="2:16" x14ac:dyDescent="0.2">
      <c r="B23" s="160" t="s">
        <v>194</v>
      </c>
      <c r="C23" s="160">
        <v>2796</v>
      </c>
      <c r="D23" s="160">
        <v>1499</v>
      </c>
      <c r="E23" s="160">
        <f t="shared" si="1"/>
        <v>4295</v>
      </c>
      <c r="F23" s="161">
        <f t="shared" si="2"/>
        <v>5.9662721564705229E-2</v>
      </c>
      <c r="G23" s="160">
        <v>9644</v>
      </c>
      <c r="H23" s="160">
        <v>618</v>
      </c>
      <c r="I23" s="160">
        <f t="shared" si="3"/>
        <v>10262</v>
      </c>
      <c r="J23" s="161">
        <f t="shared" si="4"/>
        <v>6.0320352681851583E-2</v>
      </c>
      <c r="K23" s="160">
        <f t="shared" si="0"/>
        <v>14557</v>
      </c>
      <c r="P23" s="173"/>
    </row>
    <row r="24" spans="2:16" x14ac:dyDescent="0.2">
      <c r="B24" s="160" t="s">
        <v>195</v>
      </c>
      <c r="C24" s="160">
        <v>946</v>
      </c>
      <c r="D24" s="160">
        <v>402</v>
      </c>
      <c r="E24" s="160">
        <f t="shared" si="1"/>
        <v>1348</v>
      </c>
      <c r="F24" s="161">
        <f t="shared" si="2"/>
        <v>1.8725343112741013E-2</v>
      </c>
      <c r="G24" s="160">
        <v>2161</v>
      </c>
      <c r="H24" s="160">
        <v>154</v>
      </c>
      <c r="I24" s="160">
        <f t="shared" si="3"/>
        <v>2315</v>
      </c>
      <c r="J24" s="161">
        <f t="shared" si="4"/>
        <v>1.3607641440117561E-2</v>
      </c>
      <c r="K24" s="160">
        <f t="shared" si="0"/>
        <v>3663</v>
      </c>
      <c r="P24" s="173"/>
    </row>
    <row r="25" spans="2:16" x14ac:dyDescent="0.2">
      <c r="B25" s="160" t="s">
        <v>196</v>
      </c>
      <c r="C25" s="160">
        <v>638</v>
      </c>
      <c r="D25" s="160">
        <v>188</v>
      </c>
      <c r="E25" s="160">
        <f t="shared" si="1"/>
        <v>826</v>
      </c>
      <c r="F25" s="161">
        <f t="shared" si="2"/>
        <v>1.1474134577985219E-2</v>
      </c>
      <c r="G25" s="160">
        <v>1680</v>
      </c>
      <c r="H25" s="160">
        <v>68</v>
      </c>
      <c r="I25" s="160">
        <f t="shared" si="3"/>
        <v>1748</v>
      </c>
      <c r="J25" s="161">
        <f t="shared" si="4"/>
        <v>1.02747979426892E-2</v>
      </c>
      <c r="K25" s="160">
        <f t="shared" si="0"/>
        <v>2574</v>
      </c>
      <c r="P25" s="173"/>
    </row>
    <row r="26" spans="2:16" x14ac:dyDescent="0.2">
      <c r="B26" s="160" t="s">
        <v>197</v>
      </c>
      <c r="C26" s="160">
        <v>1523</v>
      </c>
      <c r="D26" s="160">
        <v>735</v>
      </c>
      <c r="E26" s="160">
        <f t="shared" si="1"/>
        <v>2258</v>
      </c>
      <c r="F26" s="161">
        <f t="shared" si="2"/>
        <v>3.1366338834250156E-2</v>
      </c>
      <c r="G26" s="160">
        <v>7659</v>
      </c>
      <c r="H26" s="160">
        <v>387</v>
      </c>
      <c r="I26" s="160">
        <f t="shared" si="3"/>
        <v>8046</v>
      </c>
      <c r="J26" s="161">
        <f t="shared" si="4"/>
        <v>4.729463629684056E-2</v>
      </c>
      <c r="K26" s="160">
        <f t="shared" si="0"/>
        <v>10304</v>
      </c>
      <c r="P26" s="173"/>
    </row>
    <row r="27" spans="2:16" x14ac:dyDescent="0.2">
      <c r="B27" s="160" t="s">
        <v>198</v>
      </c>
      <c r="C27" s="160">
        <v>668</v>
      </c>
      <c r="D27" s="160">
        <v>318</v>
      </c>
      <c r="E27" s="160">
        <f t="shared" si="1"/>
        <v>986</v>
      </c>
      <c r="F27" s="161">
        <f t="shared" si="2"/>
        <v>1.3696727232316496E-2</v>
      </c>
      <c r="G27" s="160">
        <v>2554</v>
      </c>
      <c r="H27" s="160">
        <v>123</v>
      </c>
      <c r="I27" s="160">
        <f t="shared" si="3"/>
        <v>2677</v>
      </c>
      <c r="J27" s="161">
        <f t="shared" si="4"/>
        <v>1.5735488611315209E-2</v>
      </c>
      <c r="K27" s="160">
        <f t="shared" si="0"/>
        <v>3663</v>
      </c>
      <c r="P27" s="173"/>
    </row>
    <row r="28" spans="2:16" x14ac:dyDescent="0.2">
      <c r="B28" s="160" t="s">
        <v>199</v>
      </c>
      <c r="C28" s="160">
        <v>462</v>
      </c>
      <c r="D28" s="160">
        <v>373</v>
      </c>
      <c r="E28" s="160">
        <f t="shared" si="1"/>
        <v>835</v>
      </c>
      <c r="F28" s="161">
        <f t="shared" si="2"/>
        <v>1.1599155414791354E-2</v>
      </c>
      <c r="G28" s="160">
        <v>1689</v>
      </c>
      <c r="H28" s="160">
        <v>130</v>
      </c>
      <c r="I28" s="160">
        <f t="shared" si="3"/>
        <v>1819</v>
      </c>
      <c r="J28" s="161">
        <f t="shared" si="4"/>
        <v>1.0692138133725201E-2</v>
      </c>
      <c r="K28" s="160">
        <f t="shared" si="0"/>
        <v>2654</v>
      </c>
      <c r="P28" s="173"/>
    </row>
    <row r="29" spans="2:16" x14ac:dyDescent="0.2">
      <c r="B29" s="160" t="s">
        <v>200</v>
      </c>
      <c r="C29" s="160">
        <v>40</v>
      </c>
      <c r="D29" s="160">
        <v>4</v>
      </c>
      <c r="E29" s="160">
        <f t="shared" si="1"/>
        <v>44</v>
      </c>
      <c r="F29" s="161">
        <f t="shared" si="2"/>
        <v>6.1121297994110133E-4</v>
      </c>
      <c r="G29" s="160">
        <v>47</v>
      </c>
      <c r="H29" s="160">
        <v>1</v>
      </c>
      <c r="I29" s="160">
        <f t="shared" si="3"/>
        <v>48</v>
      </c>
      <c r="J29" s="161">
        <f t="shared" si="4"/>
        <v>2.8214548126377664E-4</v>
      </c>
      <c r="K29" s="160">
        <f t="shared" si="0"/>
        <v>92</v>
      </c>
      <c r="P29" s="173"/>
    </row>
    <row r="30" spans="2:16" x14ac:dyDescent="0.2">
      <c r="B30" s="160" t="s">
        <v>201</v>
      </c>
      <c r="C30" s="160">
        <v>798</v>
      </c>
      <c r="D30" s="160">
        <v>292</v>
      </c>
      <c r="E30" s="160">
        <f t="shared" si="1"/>
        <v>1090</v>
      </c>
      <c r="F30" s="161">
        <f t="shared" si="2"/>
        <v>1.5141412457631828E-2</v>
      </c>
      <c r="G30" s="160">
        <v>2355</v>
      </c>
      <c r="H30" s="160">
        <v>102</v>
      </c>
      <c r="I30" s="160">
        <f t="shared" si="3"/>
        <v>2457</v>
      </c>
      <c r="J30" s="161">
        <f t="shared" si="4"/>
        <v>1.4442321822189566E-2</v>
      </c>
      <c r="K30" s="160">
        <f t="shared" si="0"/>
        <v>3547</v>
      </c>
      <c r="P30" s="173"/>
    </row>
    <row r="31" spans="2:16" x14ac:dyDescent="0.2">
      <c r="B31" s="160" t="s">
        <v>202</v>
      </c>
      <c r="C31" s="160">
        <v>856</v>
      </c>
      <c r="D31" s="160">
        <v>448</v>
      </c>
      <c r="E31" s="160">
        <f t="shared" si="1"/>
        <v>1304</v>
      </c>
      <c r="F31" s="161">
        <f t="shared" si="2"/>
        <v>1.8114130132799913E-2</v>
      </c>
      <c r="G31" s="160">
        <v>2578</v>
      </c>
      <c r="H31" s="160">
        <v>126</v>
      </c>
      <c r="I31" s="160">
        <f t="shared" si="3"/>
        <v>2704</v>
      </c>
      <c r="J31" s="161">
        <f t="shared" si="4"/>
        <v>1.5894195444526082E-2</v>
      </c>
      <c r="K31" s="160">
        <f t="shared" si="0"/>
        <v>4008</v>
      </c>
      <c r="P31" s="173"/>
    </row>
    <row r="32" spans="2:16" x14ac:dyDescent="0.2">
      <c r="B32" s="160" t="s">
        <v>203</v>
      </c>
      <c r="C32" s="160">
        <v>2431</v>
      </c>
      <c r="D32" s="160">
        <v>1099</v>
      </c>
      <c r="E32" s="160">
        <f t="shared" si="1"/>
        <v>3530</v>
      </c>
      <c r="F32" s="161">
        <f t="shared" si="2"/>
        <v>4.9035950436183806E-2</v>
      </c>
      <c r="G32" s="160">
        <v>8728</v>
      </c>
      <c r="H32" s="160">
        <v>489</v>
      </c>
      <c r="I32" s="160">
        <f t="shared" si="3"/>
        <v>9217</v>
      </c>
      <c r="J32" s="161">
        <f t="shared" si="4"/>
        <v>5.4177810433504774E-2</v>
      </c>
      <c r="K32" s="160">
        <f t="shared" si="0"/>
        <v>12747</v>
      </c>
      <c r="P32" s="173"/>
    </row>
    <row r="33" spans="2:16" x14ac:dyDescent="0.2">
      <c r="B33" s="160" t="s">
        <v>204</v>
      </c>
      <c r="C33" s="160">
        <v>1356</v>
      </c>
      <c r="D33" s="160">
        <v>809</v>
      </c>
      <c r="E33" s="160">
        <f t="shared" si="1"/>
        <v>2165</v>
      </c>
      <c r="F33" s="161">
        <f t="shared" si="2"/>
        <v>3.0074456853920097E-2</v>
      </c>
      <c r="G33" s="160">
        <v>3221</v>
      </c>
      <c r="H33" s="160">
        <v>235</v>
      </c>
      <c r="I33" s="160">
        <f t="shared" si="3"/>
        <v>3456</v>
      </c>
      <c r="J33" s="161">
        <f t="shared" si="4"/>
        <v>2.0314474650991919E-2</v>
      </c>
      <c r="K33" s="160">
        <f t="shared" si="0"/>
        <v>5621</v>
      </c>
      <c r="P33" s="173"/>
    </row>
    <row r="34" spans="2:16" x14ac:dyDescent="0.2">
      <c r="B34" s="160" t="s">
        <v>205</v>
      </c>
      <c r="C34" s="160">
        <v>632</v>
      </c>
      <c r="D34" s="160">
        <v>536</v>
      </c>
      <c r="E34" s="160">
        <f t="shared" si="1"/>
        <v>1168</v>
      </c>
      <c r="F34" s="161">
        <f t="shared" si="2"/>
        <v>1.6224926376618324E-2</v>
      </c>
      <c r="G34" s="160">
        <v>2087</v>
      </c>
      <c r="H34" s="160">
        <v>133</v>
      </c>
      <c r="I34" s="160">
        <f t="shared" si="3"/>
        <v>2220</v>
      </c>
      <c r="J34" s="161">
        <f t="shared" si="4"/>
        <v>1.3049228508449669E-2</v>
      </c>
      <c r="K34" s="160">
        <f t="shared" si="0"/>
        <v>3388</v>
      </c>
      <c r="P34" s="173"/>
    </row>
    <row r="35" spans="2:16" x14ac:dyDescent="0.2">
      <c r="B35" s="160" t="s">
        <v>206</v>
      </c>
      <c r="C35" s="160">
        <v>723</v>
      </c>
      <c r="D35" s="160">
        <v>357</v>
      </c>
      <c r="E35" s="160">
        <f t="shared" si="1"/>
        <v>1080</v>
      </c>
      <c r="F35" s="161">
        <f t="shared" si="2"/>
        <v>1.5002500416736123E-2</v>
      </c>
      <c r="G35" s="160">
        <v>2328</v>
      </c>
      <c r="H35" s="160">
        <v>108</v>
      </c>
      <c r="I35" s="160">
        <f t="shared" si="3"/>
        <v>2436</v>
      </c>
      <c r="J35" s="161">
        <f t="shared" si="4"/>
        <v>1.4318883174136664E-2</v>
      </c>
      <c r="K35" s="160">
        <f t="shared" si="0"/>
        <v>3516</v>
      </c>
      <c r="P35" s="173"/>
    </row>
    <row r="36" spans="2:16" x14ac:dyDescent="0.2">
      <c r="B36" s="160" t="s">
        <v>207</v>
      </c>
      <c r="C36" s="160">
        <v>208</v>
      </c>
      <c r="D36" s="160">
        <v>94</v>
      </c>
      <c r="E36" s="160">
        <f t="shared" si="1"/>
        <v>302</v>
      </c>
      <c r="F36" s="161">
        <f t="shared" si="2"/>
        <v>4.1951436350502859E-3</v>
      </c>
      <c r="G36" s="160">
        <v>566</v>
      </c>
      <c r="H36" s="160">
        <v>28</v>
      </c>
      <c r="I36" s="160">
        <f t="shared" si="3"/>
        <v>594</v>
      </c>
      <c r="J36" s="161">
        <f t="shared" si="4"/>
        <v>3.491550330639236E-3</v>
      </c>
      <c r="K36" s="160">
        <f t="shared" si="0"/>
        <v>896</v>
      </c>
      <c r="P36" s="173"/>
    </row>
    <row r="37" spans="2:16" x14ac:dyDescent="0.2">
      <c r="B37" s="160" t="s">
        <v>208</v>
      </c>
      <c r="C37" s="160">
        <v>284</v>
      </c>
      <c r="D37" s="160">
        <v>241</v>
      </c>
      <c r="E37" s="160">
        <f t="shared" si="1"/>
        <v>525</v>
      </c>
      <c r="F37" s="161">
        <f t="shared" si="2"/>
        <v>7.2928821470245042E-3</v>
      </c>
      <c r="G37" s="160">
        <v>980</v>
      </c>
      <c r="H37" s="160">
        <v>112</v>
      </c>
      <c r="I37" s="160">
        <f t="shared" si="3"/>
        <v>1092</v>
      </c>
      <c r="J37" s="161">
        <f t="shared" si="4"/>
        <v>6.4188096987509184E-3</v>
      </c>
      <c r="K37" s="160">
        <f t="shared" si="0"/>
        <v>1617</v>
      </c>
      <c r="P37" s="173"/>
    </row>
    <row r="38" spans="2:16" x14ac:dyDescent="0.2">
      <c r="B38" s="160" t="s">
        <v>209</v>
      </c>
      <c r="C38" s="160">
        <v>529</v>
      </c>
      <c r="D38" s="160">
        <v>156</v>
      </c>
      <c r="E38" s="160">
        <f t="shared" si="1"/>
        <v>685</v>
      </c>
      <c r="F38" s="161">
        <f t="shared" si="2"/>
        <v>9.5154748013557815E-3</v>
      </c>
      <c r="G38" s="160">
        <v>1021</v>
      </c>
      <c r="H38" s="160">
        <v>45</v>
      </c>
      <c r="I38" s="160">
        <f t="shared" si="3"/>
        <v>1066</v>
      </c>
      <c r="J38" s="161">
        <f t="shared" si="4"/>
        <v>6.2659808963997062E-3</v>
      </c>
      <c r="K38" s="160">
        <f t="shared" si="0"/>
        <v>1751</v>
      </c>
      <c r="P38" s="173"/>
    </row>
    <row r="39" spans="2:16" x14ac:dyDescent="0.2">
      <c r="B39" s="160" t="s">
        <v>210</v>
      </c>
      <c r="C39" s="160">
        <v>528</v>
      </c>
      <c r="D39" s="160">
        <v>158</v>
      </c>
      <c r="E39" s="160">
        <f t="shared" si="1"/>
        <v>686</v>
      </c>
      <c r="F39" s="161">
        <f t="shared" si="2"/>
        <v>9.5293660054453517E-3</v>
      </c>
      <c r="G39" s="160">
        <v>1330</v>
      </c>
      <c r="H39" s="160">
        <v>50</v>
      </c>
      <c r="I39" s="160">
        <f t="shared" si="3"/>
        <v>1380</v>
      </c>
      <c r="J39" s="161">
        <f t="shared" si="4"/>
        <v>8.1116825863335774E-3</v>
      </c>
      <c r="K39" s="160">
        <f t="shared" si="0"/>
        <v>2066</v>
      </c>
      <c r="P39" s="173"/>
    </row>
    <row r="40" spans="2:16" x14ac:dyDescent="0.2">
      <c r="B40" s="160" t="s">
        <v>211</v>
      </c>
      <c r="C40" s="160">
        <v>307</v>
      </c>
      <c r="D40" s="160">
        <v>81</v>
      </c>
      <c r="E40" s="160">
        <f t="shared" si="1"/>
        <v>388</v>
      </c>
      <c r="F40" s="161">
        <f t="shared" si="2"/>
        <v>5.3897871867533481E-3</v>
      </c>
      <c r="G40" s="160">
        <v>847</v>
      </c>
      <c r="H40" s="160">
        <v>31</v>
      </c>
      <c r="I40" s="160">
        <f t="shared" si="3"/>
        <v>878</v>
      </c>
      <c r="J40" s="161">
        <f t="shared" si="4"/>
        <v>5.1609110947832479E-3</v>
      </c>
      <c r="K40" s="160">
        <f t="shared" si="0"/>
        <v>1266</v>
      </c>
      <c r="P40" s="173"/>
    </row>
    <row r="41" spans="2:16" x14ac:dyDescent="0.2">
      <c r="B41" s="160" t="s">
        <v>212</v>
      </c>
      <c r="C41" s="160">
        <v>224</v>
      </c>
      <c r="D41" s="160">
        <v>148</v>
      </c>
      <c r="E41" s="160">
        <f t="shared" si="1"/>
        <v>372</v>
      </c>
      <c r="F41" s="161">
        <f t="shared" si="2"/>
        <v>5.1675279213202197E-3</v>
      </c>
      <c r="G41" s="160">
        <v>1089</v>
      </c>
      <c r="H41" s="160">
        <v>51</v>
      </c>
      <c r="I41" s="160">
        <f t="shared" si="3"/>
        <v>1140</v>
      </c>
      <c r="J41" s="161">
        <f t="shared" si="4"/>
        <v>6.7009551800146947E-3</v>
      </c>
      <c r="K41" s="160">
        <f t="shared" si="0"/>
        <v>1512</v>
      </c>
      <c r="P41" s="173"/>
    </row>
    <row r="42" spans="2:16" x14ac:dyDescent="0.2">
      <c r="B42" s="160" t="s">
        <v>213</v>
      </c>
      <c r="C42" s="160">
        <v>445</v>
      </c>
      <c r="D42" s="160">
        <v>241</v>
      </c>
      <c r="E42" s="160">
        <f t="shared" si="1"/>
        <v>686</v>
      </c>
      <c r="F42" s="161">
        <f t="shared" si="2"/>
        <v>9.5293660054453517E-3</v>
      </c>
      <c r="G42" s="160">
        <v>1477</v>
      </c>
      <c r="H42" s="160">
        <v>53</v>
      </c>
      <c r="I42" s="160">
        <f t="shared" si="3"/>
        <v>1530</v>
      </c>
      <c r="J42" s="161">
        <f t="shared" si="4"/>
        <v>8.9933872152828803E-3</v>
      </c>
      <c r="K42" s="160">
        <f t="shared" si="0"/>
        <v>2216</v>
      </c>
      <c r="P42" s="173"/>
    </row>
    <row r="43" spans="2:16" x14ac:dyDescent="0.2">
      <c r="B43" s="160" t="s">
        <v>214</v>
      </c>
      <c r="C43" s="160">
        <v>165</v>
      </c>
      <c r="D43" s="160">
        <v>93</v>
      </c>
      <c r="E43" s="160">
        <f t="shared" si="1"/>
        <v>258</v>
      </c>
      <c r="F43" s="161">
        <f t="shared" si="2"/>
        <v>3.5839306551091847E-3</v>
      </c>
      <c r="G43" s="160">
        <v>724</v>
      </c>
      <c r="H43" s="160">
        <v>41</v>
      </c>
      <c r="I43" s="160">
        <f t="shared" si="3"/>
        <v>765</v>
      </c>
      <c r="J43" s="161">
        <f t="shared" si="4"/>
        <v>4.4966936076414402E-3</v>
      </c>
      <c r="K43" s="160">
        <f t="shared" si="0"/>
        <v>1023</v>
      </c>
      <c r="P43" s="173"/>
    </row>
    <row r="44" spans="2:16" x14ac:dyDescent="0.2">
      <c r="B44" s="160" t="s">
        <v>215</v>
      </c>
      <c r="C44" s="160">
        <v>295</v>
      </c>
      <c r="D44" s="160">
        <v>175</v>
      </c>
      <c r="E44" s="160">
        <f t="shared" si="1"/>
        <v>470</v>
      </c>
      <c r="F44" s="161">
        <f t="shared" si="2"/>
        <v>6.528865922098127E-3</v>
      </c>
      <c r="G44" s="160">
        <v>1533</v>
      </c>
      <c r="H44" s="160">
        <v>55</v>
      </c>
      <c r="I44" s="160">
        <f t="shared" si="3"/>
        <v>1588</v>
      </c>
      <c r="J44" s="161">
        <f t="shared" si="4"/>
        <v>9.3343130051432768E-3</v>
      </c>
      <c r="K44" s="160">
        <f t="shared" si="0"/>
        <v>2058</v>
      </c>
      <c r="P44" s="173"/>
    </row>
    <row r="45" spans="2:16" x14ac:dyDescent="0.2">
      <c r="B45" s="160" t="s">
        <v>216</v>
      </c>
      <c r="C45" s="160">
        <v>4080</v>
      </c>
      <c r="D45" s="160">
        <v>1858</v>
      </c>
      <c r="E45" s="160">
        <f t="shared" si="1"/>
        <v>5938</v>
      </c>
      <c r="F45" s="161">
        <f t="shared" si="2"/>
        <v>8.2485969883869539E-2</v>
      </c>
      <c r="G45" s="160">
        <v>12938</v>
      </c>
      <c r="H45" s="160">
        <v>679</v>
      </c>
      <c r="I45" s="160">
        <f t="shared" si="3"/>
        <v>13617</v>
      </c>
      <c r="J45" s="161">
        <f t="shared" si="4"/>
        <v>8.0041146216017628E-2</v>
      </c>
      <c r="K45" s="160">
        <f t="shared" si="0"/>
        <v>19555</v>
      </c>
      <c r="P45" s="173"/>
    </row>
    <row r="46" spans="2:16" x14ac:dyDescent="0.2">
      <c r="B46" s="160" t="s">
        <v>217</v>
      </c>
      <c r="C46" s="160">
        <v>1350</v>
      </c>
      <c r="D46" s="160">
        <v>544</v>
      </c>
      <c r="E46" s="160">
        <f t="shared" si="1"/>
        <v>1894</v>
      </c>
      <c r="F46" s="161">
        <f t="shared" si="2"/>
        <v>2.6309940545646497E-2</v>
      </c>
      <c r="G46" s="160">
        <v>4476</v>
      </c>
      <c r="H46" s="160">
        <v>239</v>
      </c>
      <c r="I46" s="160">
        <f t="shared" si="3"/>
        <v>4715</v>
      </c>
      <c r="J46" s="161">
        <f t="shared" si="4"/>
        <v>2.7714915503306393E-2</v>
      </c>
      <c r="K46" s="160">
        <f t="shared" si="0"/>
        <v>6609</v>
      </c>
      <c r="P46" s="173"/>
    </row>
    <row r="47" spans="2:16" x14ac:dyDescent="0.2">
      <c r="B47" s="160" t="s">
        <v>218</v>
      </c>
      <c r="C47" s="160">
        <v>519</v>
      </c>
      <c r="D47" s="160">
        <v>253</v>
      </c>
      <c r="E47" s="160">
        <f t="shared" si="1"/>
        <v>772</v>
      </c>
      <c r="F47" s="161">
        <f t="shared" si="2"/>
        <v>1.0724009557148414E-2</v>
      </c>
      <c r="G47" s="160">
        <v>1527</v>
      </c>
      <c r="H47" s="160">
        <v>101</v>
      </c>
      <c r="I47" s="160">
        <f t="shared" si="3"/>
        <v>1628</v>
      </c>
      <c r="J47" s="161">
        <f t="shared" si="4"/>
        <v>9.5694342395297571E-3</v>
      </c>
      <c r="K47" s="160">
        <f t="shared" si="0"/>
        <v>2400</v>
      </c>
      <c r="P47" s="173"/>
    </row>
    <row r="48" spans="2:16" x14ac:dyDescent="0.2">
      <c r="B48" s="160" t="s">
        <v>219</v>
      </c>
      <c r="C48" s="160">
        <v>2634</v>
      </c>
      <c r="D48" s="160">
        <v>1500</v>
      </c>
      <c r="E48" s="160">
        <f t="shared" si="1"/>
        <v>4134</v>
      </c>
      <c r="F48" s="161">
        <f t="shared" si="2"/>
        <v>5.7426237706284383E-2</v>
      </c>
      <c r="G48" s="160">
        <v>8734</v>
      </c>
      <c r="H48" s="160">
        <v>484</v>
      </c>
      <c r="I48" s="160">
        <f t="shared" si="3"/>
        <v>9218</v>
      </c>
      <c r="J48" s="161">
        <f t="shared" si="4"/>
        <v>5.4183688464364436E-2</v>
      </c>
      <c r="K48" s="160">
        <f t="shared" si="0"/>
        <v>13352</v>
      </c>
      <c r="P48" s="173"/>
    </row>
    <row r="49" spans="2:16" x14ac:dyDescent="0.2">
      <c r="B49" s="162" t="s">
        <v>66</v>
      </c>
      <c r="C49" s="160">
        <f t="shared" ref="C49:H49" si="5">SUM(C11:C48)</f>
        <v>48571</v>
      </c>
      <c r="D49" s="160">
        <f t="shared" si="5"/>
        <v>23417</v>
      </c>
      <c r="E49" s="162">
        <f t="shared" ref="E49" si="6">C49+D49</f>
        <v>71988</v>
      </c>
      <c r="F49" s="164">
        <f t="shared" ref="F49" si="7">E49/$E$49</f>
        <v>1</v>
      </c>
      <c r="G49" s="160">
        <f t="shared" si="5"/>
        <v>161098</v>
      </c>
      <c r="H49" s="160">
        <f t="shared" si="5"/>
        <v>9027</v>
      </c>
      <c r="I49" s="162">
        <f t="shared" ref="I49" si="8">G49+H49</f>
        <v>170125</v>
      </c>
      <c r="J49" s="164">
        <f t="shared" ref="J49" si="9">I49/$I$49</f>
        <v>1</v>
      </c>
      <c r="K49" s="162">
        <f t="shared" ref="K49:K50" si="10">E49+I49</f>
        <v>242113</v>
      </c>
      <c r="P49" s="173"/>
    </row>
    <row r="50" spans="2:16" ht="25.5" customHeight="1" x14ac:dyDescent="0.2">
      <c r="B50" s="174" t="s">
        <v>82</v>
      </c>
      <c r="C50" s="175">
        <f>+C49/$K$49</f>
        <v>0.20061293693440665</v>
      </c>
      <c r="D50" s="175">
        <f>+D49/$K$49</f>
        <v>9.6719300491919069E-2</v>
      </c>
      <c r="E50" s="192">
        <f>C50+D50</f>
        <v>0.29733223742632575</v>
      </c>
      <c r="F50" s="176"/>
      <c r="G50" s="175">
        <f>+G49/$K$49</f>
        <v>0.66538351926579742</v>
      </c>
      <c r="H50" s="175">
        <f>+H49/$K$49</f>
        <v>3.7284243307876899E-2</v>
      </c>
      <c r="I50" s="176">
        <f>G50+H50</f>
        <v>0.70266776257367436</v>
      </c>
      <c r="J50" s="176"/>
      <c r="K50" s="176">
        <f t="shared" si="10"/>
        <v>1</v>
      </c>
    </row>
    <row r="51" spans="2:16" x14ac:dyDescent="0.2">
      <c r="B51" s="167"/>
      <c r="C51" s="180"/>
      <c r="D51" s="180"/>
      <c r="E51" s="180"/>
      <c r="F51" s="180"/>
      <c r="G51" s="180"/>
      <c r="H51" s="180"/>
      <c r="I51" s="180"/>
      <c r="J51" s="180"/>
      <c r="K51" s="180"/>
    </row>
    <row r="52" spans="2:16" ht="12.75" x14ac:dyDescent="0.2">
      <c r="B52" s="418" t="s">
        <v>104</v>
      </c>
      <c r="C52" s="418"/>
      <c r="D52" s="418"/>
      <c r="E52" s="418"/>
      <c r="F52" s="418"/>
      <c r="G52" s="418"/>
      <c r="H52" s="418"/>
      <c r="I52" s="418"/>
      <c r="J52" s="418"/>
      <c r="K52" s="418"/>
    </row>
    <row r="53" spans="2:16" ht="12.75" x14ac:dyDescent="0.2">
      <c r="B53" s="431" t="str">
        <f>'Solicitudes Regiones'!$B$6:$P$6</f>
        <v>Acumuladas de julio de 2008 a noviembre de 2018</v>
      </c>
      <c r="C53" s="431"/>
      <c r="D53" s="431"/>
      <c r="E53" s="431"/>
      <c r="F53" s="431"/>
      <c r="G53" s="431"/>
      <c r="H53" s="431"/>
      <c r="I53" s="431"/>
      <c r="J53" s="431"/>
      <c r="K53" s="431"/>
    </row>
    <row r="54" spans="2:16" x14ac:dyDescent="0.2">
      <c r="B54" s="167"/>
      <c r="C54" s="180"/>
      <c r="D54" s="180"/>
      <c r="E54" s="180"/>
      <c r="F54" s="180"/>
      <c r="G54" s="180"/>
      <c r="H54" s="180"/>
      <c r="I54" s="180"/>
      <c r="J54" s="180"/>
      <c r="K54" s="180"/>
    </row>
    <row r="55" spans="2:16" ht="15" customHeight="1" x14ac:dyDescent="0.2">
      <c r="B55" s="447" t="s">
        <v>83</v>
      </c>
      <c r="C55" s="448"/>
      <c r="D55" s="448"/>
      <c r="E55" s="448"/>
      <c r="F55" s="448"/>
      <c r="G55" s="448"/>
      <c r="H55" s="448"/>
      <c r="I55" s="448"/>
      <c r="J55" s="448"/>
      <c r="K55" s="449"/>
      <c r="L55" s="181"/>
    </row>
    <row r="56" spans="2:16" ht="15" customHeight="1" x14ac:dyDescent="0.2">
      <c r="B56" s="446" t="s">
        <v>74</v>
      </c>
      <c r="C56" s="446" t="s">
        <v>2</v>
      </c>
      <c r="D56" s="446"/>
      <c r="E56" s="446"/>
      <c r="F56" s="446"/>
      <c r="G56" s="446"/>
      <c r="H56" s="446"/>
      <c r="I56" s="446"/>
      <c r="J56" s="446"/>
      <c r="K56" s="446"/>
    </row>
    <row r="57" spans="2:16" ht="24" x14ac:dyDescent="0.2">
      <c r="B57" s="446"/>
      <c r="C57" s="165" t="s">
        <v>75</v>
      </c>
      <c r="D57" s="165" t="s">
        <v>76</v>
      </c>
      <c r="E57" s="165" t="s">
        <v>77</v>
      </c>
      <c r="F57" s="165" t="s">
        <v>78</v>
      </c>
      <c r="G57" s="165" t="s">
        <v>8</v>
      </c>
      <c r="H57" s="165" t="s">
        <v>79</v>
      </c>
      <c r="I57" s="165" t="s">
        <v>80</v>
      </c>
      <c r="J57" s="165" t="s">
        <v>81</v>
      </c>
      <c r="K57" s="166" t="s">
        <v>46</v>
      </c>
    </row>
    <row r="58" spans="2:16" x14ac:dyDescent="0.2">
      <c r="B58" s="160" t="s">
        <v>56</v>
      </c>
      <c r="C58" s="160">
        <v>7682</v>
      </c>
      <c r="D58" s="160">
        <v>3272</v>
      </c>
      <c r="E58" s="160">
        <f>C58+D58</f>
        <v>10954</v>
      </c>
      <c r="F58" s="161">
        <f>E58/$E$96</f>
        <v>0.18977823977823977</v>
      </c>
      <c r="G58" s="160">
        <v>22601</v>
      </c>
      <c r="H58" s="160">
        <v>1493</v>
      </c>
      <c r="I58" s="160">
        <f>G58+H58</f>
        <v>24094</v>
      </c>
      <c r="J58" s="161">
        <f>I58/$I$96</f>
        <v>0.17317990037879061</v>
      </c>
      <c r="K58" s="160">
        <f t="shared" ref="K58:K95" si="11">E58+I58</f>
        <v>35048</v>
      </c>
    </row>
    <row r="59" spans="2:16" x14ac:dyDescent="0.2">
      <c r="B59" s="160" t="s">
        <v>183</v>
      </c>
      <c r="C59" s="160">
        <v>758</v>
      </c>
      <c r="D59" s="160">
        <v>261</v>
      </c>
      <c r="E59" s="160">
        <f t="shared" ref="E59:E95" si="12">C59+D59</f>
        <v>1019</v>
      </c>
      <c r="F59" s="161">
        <f t="shared" ref="F59:F95" si="13">E59/$E$96</f>
        <v>1.7654192654192654E-2</v>
      </c>
      <c r="G59" s="160">
        <v>1910</v>
      </c>
      <c r="H59" s="160">
        <v>105</v>
      </c>
      <c r="I59" s="160">
        <f t="shared" ref="I59:I95" si="14">G59+H59</f>
        <v>2015</v>
      </c>
      <c r="J59" s="161">
        <f t="shared" ref="J59:J95" si="15">I59/$I$96</f>
        <v>1.4483170053260689E-2</v>
      </c>
      <c r="K59" s="160">
        <f t="shared" si="11"/>
        <v>3034</v>
      </c>
    </row>
    <row r="60" spans="2:16" x14ac:dyDescent="0.2">
      <c r="B60" s="160" t="s">
        <v>184</v>
      </c>
      <c r="C60" s="160">
        <v>552</v>
      </c>
      <c r="D60" s="160">
        <v>123</v>
      </c>
      <c r="E60" s="160">
        <f t="shared" si="12"/>
        <v>675</v>
      </c>
      <c r="F60" s="161">
        <f t="shared" si="13"/>
        <v>1.1694386694386695E-2</v>
      </c>
      <c r="G60" s="160">
        <v>1256</v>
      </c>
      <c r="H60" s="160">
        <v>53</v>
      </c>
      <c r="I60" s="160">
        <f t="shared" si="14"/>
        <v>1309</v>
      </c>
      <c r="J60" s="161">
        <f t="shared" si="15"/>
        <v>9.4086697765351085E-3</v>
      </c>
      <c r="K60" s="160">
        <f t="shared" si="11"/>
        <v>1984</v>
      </c>
    </row>
    <row r="61" spans="2:16" x14ac:dyDescent="0.2">
      <c r="B61" s="160" t="s">
        <v>185</v>
      </c>
      <c r="C61" s="160">
        <v>7055</v>
      </c>
      <c r="D61" s="160">
        <v>2201</v>
      </c>
      <c r="E61" s="160">
        <f t="shared" si="12"/>
        <v>9256</v>
      </c>
      <c r="F61" s="161">
        <f t="shared" si="13"/>
        <v>0.16036036036036036</v>
      </c>
      <c r="G61" s="160">
        <v>22477</v>
      </c>
      <c r="H61" s="160">
        <v>1052</v>
      </c>
      <c r="I61" s="160">
        <f t="shared" si="14"/>
        <v>23529</v>
      </c>
      <c r="J61" s="161">
        <f t="shared" si="15"/>
        <v>0.16911886262192097</v>
      </c>
      <c r="K61" s="160">
        <f t="shared" si="11"/>
        <v>32785</v>
      </c>
    </row>
    <row r="62" spans="2:16" x14ac:dyDescent="0.2">
      <c r="B62" s="160" t="s">
        <v>186</v>
      </c>
      <c r="C62" s="160">
        <v>89</v>
      </c>
      <c r="D62" s="160">
        <v>41</v>
      </c>
      <c r="E62" s="160">
        <f t="shared" si="12"/>
        <v>130</v>
      </c>
      <c r="F62" s="161">
        <f t="shared" si="13"/>
        <v>2.2522522522522522E-3</v>
      </c>
      <c r="G62" s="160">
        <v>184</v>
      </c>
      <c r="H62" s="160">
        <v>22</v>
      </c>
      <c r="I62" s="160">
        <f t="shared" si="14"/>
        <v>206</v>
      </c>
      <c r="J62" s="161">
        <f t="shared" si="15"/>
        <v>1.4806615538321103E-3</v>
      </c>
      <c r="K62" s="160">
        <f t="shared" si="11"/>
        <v>336</v>
      </c>
    </row>
    <row r="63" spans="2:16" x14ac:dyDescent="0.2">
      <c r="B63" s="160" t="s">
        <v>187</v>
      </c>
      <c r="C63" s="160">
        <v>1262</v>
      </c>
      <c r="D63" s="160">
        <v>364</v>
      </c>
      <c r="E63" s="160">
        <f t="shared" si="12"/>
        <v>1626</v>
      </c>
      <c r="F63" s="161">
        <f t="shared" si="13"/>
        <v>2.8170478170478172E-2</v>
      </c>
      <c r="G63" s="160">
        <v>4914</v>
      </c>
      <c r="H63" s="160">
        <v>257</v>
      </c>
      <c r="I63" s="160">
        <f t="shared" si="14"/>
        <v>5171</v>
      </c>
      <c r="J63" s="161">
        <f t="shared" si="15"/>
        <v>3.7167480072164284E-2</v>
      </c>
      <c r="K63" s="160">
        <f t="shared" si="11"/>
        <v>6797</v>
      </c>
    </row>
    <row r="64" spans="2:16" x14ac:dyDescent="0.2">
      <c r="B64" s="160" t="s">
        <v>188</v>
      </c>
      <c r="C64" s="160">
        <v>143</v>
      </c>
      <c r="D64" s="160">
        <v>39</v>
      </c>
      <c r="E64" s="160">
        <f t="shared" si="12"/>
        <v>182</v>
      </c>
      <c r="F64" s="161">
        <f t="shared" si="13"/>
        <v>3.153153153153153E-3</v>
      </c>
      <c r="G64" s="160">
        <v>678</v>
      </c>
      <c r="H64" s="160">
        <v>40</v>
      </c>
      <c r="I64" s="160">
        <f t="shared" si="14"/>
        <v>718</v>
      </c>
      <c r="J64" s="161">
        <f t="shared" si="15"/>
        <v>5.1607524060750254E-3</v>
      </c>
      <c r="K64" s="160">
        <f t="shared" si="11"/>
        <v>900</v>
      </c>
    </row>
    <row r="65" spans="2:11" x14ac:dyDescent="0.2">
      <c r="B65" s="160" t="s">
        <v>189</v>
      </c>
      <c r="C65" s="160">
        <v>329</v>
      </c>
      <c r="D65" s="160">
        <v>98</v>
      </c>
      <c r="E65" s="160">
        <f t="shared" si="12"/>
        <v>427</v>
      </c>
      <c r="F65" s="161">
        <f t="shared" si="13"/>
        <v>7.3977823977823976E-3</v>
      </c>
      <c r="G65" s="160">
        <v>1311</v>
      </c>
      <c r="H65" s="160">
        <v>61</v>
      </c>
      <c r="I65" s="160">
        <f t="shared" si="14"/>
        <v>1372</v>
      </c>
      <c r="J65" s="161">
        <f t="shared" si="15"/>
        <v>9.861493455619685E-3</v>
      </c>
      <c r="K65" s="160">
        <f t="shared" si="11"/>
        <v>1799</v>
      </c>
    </row>
    <row r="66" spans="2:11" x14ac:dyDescent="0.2">
      <c r="B66" s="160" t="s">
        <v>190</v>
      </c>
      <c r="C66" s="160">
        <v>160</v>
      </c>
      <c r="D66" s="160">
        <v>59</v>
      </c>
      <c r="E66" s="160">
        <f t="shared" si="12"/>
        <v>219</v>
      </c>
      <c r="F66" s="161">
        <f t="shared" si="13"/>
        <v>3.7941787941787944E-3</v>
      </c>
      <c r="G66" s="160">
        <v>378</v>
      </c>
      <c r="H66" s="160">
        <v>30</v>
      </c>
      <c r="I66" s="160">
        <f t="shared" si="14"/>
        <v>408</v>
      </c>
      <c r="J66" s="161">
        <f t="shared" si="15"/>
        <v>2.9325723978810728E-3</v>
      </c>
      <c r="K66" s="160">
        <f t="shared" si="11"/>
        <v>627</v>
      </c>
    </row>
    <row r="67" spans="2:11" x14ac:dyDescent="0.2">
      <c r="B67" s="160" t="s">
        <v>191</v>
      </c>
      <c r="C67" s="160">
        <v>1587</v>
      </c>
      <c r="D67" s="160">
        <v>538</v>
      </c>
      <c r="E67" s="160">
        <f t="shared" si="12"/>
        <v>2125</v>
      </c>
      <c r="F67" s="161">
        <f t="shared" si="13"/>
        <v>3.6815661815661815E-2</v>
      </c>
      <c r="G67" s="160">
        <v>4490</v>
      </c>
      <c r="H67" s="160">
        <v>300</v>
      </c>
      <c r="I67" s="160">
        <f t="shared" si="14"/>
        <v>4790</v>
      </c>
      <c r="J67" s="161">
        <f t="shared" si="15"/>
        <v>3.4428974965319457E-2</v>
      </c>
      <c r="K67" s="160">
        <f t="shared" si="11"/>
        <v>6915</v>
      </c>
    </row>
    <row r="68" spans="2:11" x14ac:dyDescent="0.2">
      <c r="B68" s="160" t="s">
        <v>192</v>
      </c>
      <c r="C68" s="160">
        <v>546</v>
      </c>
      <c r="D68" s="160">
        <v>207</v>
      </c>
      <c r="E68" s="160">
        <f t="shared" si="12"/>
        <v>753</v>
      </c>
      <c r="F68" s="161">
        <f t="shared" si="13"/>
        <v>1.3045738045738046E-2</v>
      </c>
      <c r="G68" s="160">
        <v>1328</v>
      </c>
      <c r="H68" s="160">
        <v>114</v>
      </c>
      <c r="I68" s="160">
        <f t="shared" si="14"/>
        <v>1442</v>
      </c>
      <c r="J68" s="161">
        <f t="shared" si="15"/>
        <v>1.0364630876824772E-2</v>
      </c>
      <c r="K68" s="160">
        <f t="shared" si="11"/>
        <v>2195</v>
      </c>
    </row>
    <row r="69" spans="2:11" x14ac:dyDescent="0.2">
      <c r="B69" s="160" t="s">
        <v>193</v>
      </c>
      <c r="C69" s="160">
        <v>326</v>
      </c>
      <c r="D69" s="160">
        <v>97</v>
      </c>
      <c r="E69" s="160">
        <f t="shared" si="12"/>
        <v>423</v>
      </c>
      <c r="F69" s="161">
        <f t="shared" si="13"/>
        <v>7.3284823284823289E-3</v>
      </c>
      <c r="G69" s="160">
        <v>1109</v>
      </c>
      <c r="H69" s="160">
        <v>59</v>
      </c>
      <c r="I69" s="160">
        <f t="shared" si="14"/>
        <v>1168</v>
      </c>
      <c r="J69" s="161">
        <f t="shared" si="15"/>
        <v>8.3952072566791484E-3</v>
      </c>
      <c r="K69" s="160">
        <f t="shared" si="11"/>
        <v>1591</v>
      </c>
    </row>
    <row r="70" spans="2:11" x14ac:dyDescent="0.2">
      <c r="B70" s="160" t="s">
        <v>194</v>
      </c>
      <c r="C70" s="160">
        <v>2317</v>
      </c>
      <c r="D70" s="160">
        <v>971</v>
      </c>
      <c r="E70" s="160">
        <f t="shared" si="12"/>
        <v>3288</v>
      </c>
      <c r="F70" s="161">
        <f t="shared" si="13"/>
        <v>5.6964656964656968E-2</v>
      </c>
      <c r="G70" s="160">
        <v>7628</v>
      </c>
      <c r="H70" s="160">
        <v>477</v>
      </c>
      <c r="I70" s="160">
        <f t="shared" si="14"/>
        <v>8105</v>
      </c>
      <c r="J70" s="161">
        <f t="shared" si="15"/>
        <v>5.8256125698103171E-2</v>
      </c>
      <c r="K70" s="160">
        <f t="shared" si="11"/>
        <v>11393</v>
      </c>
    </row>
    <row r="71" spans="2:11" x14ac:dyDescent="0.2">
      <c r="B71" s="160" t="s">
        <v>195</v>
      </c>
      <c r="C71" s="160">
        <v>836</v>
      </c>
      <c r="D71" s="160">
        <v>227</v>
      </c>
      <c r="E71" s="160">
        <f t="shared" si="12"/>
        <v>1063</v>
      </c>
      <c r="F71" s="161">
        <f t="shared" si="13"/>
        <v>1.8416493416493415E-2</v>
      </c>
      <c r="G71" s="160">
        <v>1815</v>
      </c>
      <c r="H71" s="160">
        <v>116</v>
      </c>
      <c r="I71" s="160">
        <f t="shared" si="14"/>
        <v>1931</v>
      </c>
      <c r="J71" s="161">
        <f t="shared" si="15"/>
        <v>1.3879405147814586E-2</v>
      </c>
      <c r="K71" s="160">
        <f t="shared" si="11"/>
        <v>2994</v>
      </c>
    </row>
    <row r="72" spans="2:11" x14ac:dyDescent="0.2">
      <c r="B72" s="160" t="s">
        <v>196</v>
      </c>
      <c r="C72" s="160">
        <v>533</v>
      </c>
      <c r="D72" s="160">
        <v>112</v>
      </c>
      <c r="E72" s="160">
        <f t="shared" si="12"/>
        <v>645</v>
      </c>
      <c r="F72" s="161">
        <f t="shared" si="13"/>
        <v>1.1174636174636175E-2</v>
      </c>
      <c r="G72" s="160">
        <v>1314</v>
      </c>
      <c r="H72" s="160">
        <v>52</v>
      </c>
      <c r="I72" s="160">
        <f t="shared" si="14"/>
        <v>1366</v>
      </c>
      <c r="J72" s="161">
        <f t="shared" si="15"/>
        <v>9.8183673909449636E-3</v>
      </c>
      <c r="K72" s="160">
        <f t="shared" si="11"/>
        <v>2011</v>
      </c>
    </row>
    <row r="73" spans="2:11" x14ac:dyDescent="0.2">
      <c r="B73" s="160" t="s">
        <v>197</v>
      </c>
      <c r="C73" s="160">
        <v>1350</v>
      </c>
      <c r="D73" s="160">
        <v>447</v>
      </c>
      <c r="E73" s="160">
        <f t="shared" si="12"/>
        <v>1797</v>
      </c>
      <c r="F73" s="161">
        <f t="shared" si="13"/>
        <v>3.1133056133056135E-2</v>
      </c>
      <c r="G73" s="160">
        <v>6211</v>
      </c>
      <c r="H73" s="160">
        <v>319</v>
      </c>
      <c r="I73" s="160">
        <f t="shared" si="14"/>
        <v>6530</v>
      </c>
      <c r="J73" s="161">
        <f t="shared" si="15"/>
        <v>4.6935533720988735E-2</v>
      </c>
      <c r="K73" s="160">
        <f t="shared" si="11"/>
        <v>8327</v>
      </c>
    </row>
    <row r="74" spans="2:11" x14ac:dyDescent="0.2">
      <c r="B74" s="160" t="s">
        <v>198</v>
      </c>
      <c r="C74" s="160">
        <v>601</v>
      </c>
      <c r="D74" s="160">
        <v>155</v>
      </c>
      <c r="E74" s="160">
        <f t="shared" si="12"/>
        <v>756</v>
      </c>
      <c r="F74" s="161">
        <f t="shared" si="13"/>
        <v>1.3097713097713098E-2</v>
      </c>
      <c r="G74" s="160">
        <v>2167</v>
      </c>
      <c r="H74" s="160">
        <v>98</v>
      </c>
      <c r="I74" s="160">
        <f t="shared" si="14"/>
        <v>2265</v>
      </c>
      <c r="J74" s="161">
        <f t="shared" si="15"/>
        <v>1.6280089414707426E-2</v>
      </c>
      <c r="K74" s="160">
        <f t="shared" si="11"/>
        <v>3021</v>
      </c>
    </row>
    <row r="75" spans="2:11" x14ac:dyDescent="0.2">
      <c r="B75" s="160" t="s">
        <v>199</v>
      </c>
      <c r="C75" s="160">
        <v>409</v>
      </c>
      <c r="D75" s="160">
        <v>200</v>
      </c>
      <c r="E75" s="160">
        <f t="shared" si="12"/>
        <v>609</v>
      </c>
      <c r="F75" s="161">
        <f t="shared" si="13"/>
        <v>1.0550935550935552E-2</v>
      </c>
      <c r="G75" s="160">
        <v>1487</v>
      </c>
      <c r="H75" s="160">
        <v>91</v>
      </c>
      <c r="I75" s="160">
        <f t="shared" si="14"/>
        <v>1578</v>
      </c>
      <c r="J75" s="161">
        <f t="shared" si="15"/>
        <v>1.1342155009451797E-2</v>
      </c>
      <c r="K75" s="160">
        <f t="shared" si="11"/>
        <v>2187</v>
      </c>
    </row>
    <row r="76" spans="2:11" x14ac:dyDescent="0.2">
      <c r="B76" s="160" t="s">
        <v>200</v>
      </c>
      <c r="C76" s="160">
        <v>34</v>
      </c>
      <c r="D76" s="160">
        <v>3</v>
      </c>
      <c r="E76" s="160">
        <f t="shared" si="12"/>
        <v>37</v>
      </c>
      <c r="F76" s="161">
        <f t="shared" si="13"/>
        <v>6.4102564102564103E-4</v>
      </c>
      <c r="G76" s="160">
        <v>43</v>
      </c>
      <c r="H76" s="160">
        <v>1</v>
      </c>
      <c r="I76" s="160">
        <f t="shared" si="14"/>
        <v>44</v>
      </c>
      <c r="J76" s="161">
        <f t="shared" si="15"/>
        <v>3.1625780761462548E-4</v>
      </c>
      <c r="K76" s="160">
        <f t="shared" si="11"/>
        <v>81</v>
      </c>
    </row>
    <row r="77" spans="2:11" x14ac:dyDescent="0.2">
      <c r="B77" s="160" t="s">
        <v>201</v>
      </c>
      <c r="C77" s="160">
        <v>684</v>
      </c>
      <c r="D77" s="160">
        <v>189</v>
      </c>
      <c r="E77" s="160">
        <f t="shared" si="12"/>
        <v>873</v>
      </c>
      <c r="F77" s="161">
        <f t="shared" si="13"/>
        <v>1.5124740124740126E-2</v>
      </c>
      <c r="G77" s="160">
        <v>1924</v>
      </c>
      <c r="H77" s="160">
        <v>73</v>
      </c>
      <c r="I77" s="160">
        <f t="shared" si="14"/>
        <v>1997</v>
      </c>
      <c r="J77" s="161">
        <f t="shared" si="15"/>
        <v>1.4353791859236525E-2</v>
      </c>
      <c r="K77" s="160">
        <f t="shared" si="11"/>
        <v>2870</v>
      </c>
    </row>
    <row r="78" spans="2:11" x14ac:dyDescent="0.2">
      <c r="B78" s="160" t="s">
        <v>202</v>
      </c>
      <c r="C78" s="160">
        <v>770</v>
      </c>
      <c r="D78" s="160">
        <v>287</v>
      </c>
      <c r="E78" s="160">
        <f t="shared" si="12"/>
        <v>1057</v>
      </c>
      <c r="F78" s="161">
        <f t="shared" si="13"/>
        <v>1.8312543312543311E-2</v>
      </c>
      <c r="G78" s="160">
        <v>2156</v>
      </c>
      <c r="H78" s="160">
        <v>109</v>
      </c>
      <c r="I78" s="160">
        <f t="shared" si="14"/>
        <v>2265</v>
      </c>
      <c r="J78" s="161">
        <f t="shared" si="15"/>
        <v>1.6280089414707426E-2</v>
      </c>
      <c r="K78" s="160">
        <f t="shared" si="11"/>
        <v>3322</v>
      </c>
    </row>
    <row r="79" spans="2:11" x14ac:dyDescent="0.2">
      <c r="B79" s="160" t="s">
        <v>203</v>
      </c>
      <c r="C79" s="160">
        <v>2189</v>
      </c>
      <c r="D79" s="160">
        <v>704</v>
      </c>
      <c r="E79" s="160">
        <f t="shared" si="12"/>
        <v>2893</v>
      </c>
      <c r="F79" s="161">
        <f t="shared" si="13"/>
        <v>5.0121275121275122E-2</v>
      </c>
      <c r="G79" s="160">
        <v>7254</v>
      </c>
      <c r="H79" s="160">
        <v>364</v>
      </c>
      <c r="I79" s="160">
        <f t="shared" si="14"/>
        <v>7618</v>
      </c>
      <c r="J79" s="161">
        <f t="shared" si="15"/>
        <v>5.4755726782004931E-2</v>
      </c>
      <c r="K79" s="160">
        <f t="shared" si="11"/>
        <v>10511</v>
      </c>
    </row>
    <row r="80" spans="2:11" x14ac:dyDescent="0.2">
      <c r="B80" s="160" t="s">
        <v>204</v>
      </c>
      <c r="C80" s="160">
        <v>1218</v>
      </c>
      <c r="D80" s="160">
        <v>412</v>
      </c>
      <c r="E80" s="160">
        <f t="shared" si="12"/>
        <v>1630</v>
      </c>
      <c r="F80" s="161">
        <f t="shared" si="13"/>
        <v>2.8239778239778239E-2</v>
      </c>
      <c r="G80" s="160">
        <v>2761</v>
      </c>
      <c r="H80" s="160">
        <v>155</v>
      </c>
      <c r="I80" s="160">
        <f t="shared" si="14"/>
        <v>2916</v>
      </c>
      <c r="J80" s="161">
        <f t="shared" si="15"/>
        <v>2.0959267431914726E-2</v>
      </c>
      <c r="K80" s="160">
        <f t="shared" si="11"/>
        <v>4546</v>
      </c>
    </row>
    <row r="81" spans="2:11" x14ac:dyDescent="0.2">
      <c r="B81" s="160" t="s">
        <v>205</v>
      </c>
      <c r="C81" s="160">
        <v>536</v>
      </c>
      <c r="D81" s="160">
        <v>273</v>
      </c>
      <c r="E81" s="160">
        <f t="shared" si="12"/>
        <v>809</v>
      </c>
      <c r="F81" s="161">
        <f t="shared" si="13"/>
        <v>1.4015939015939016E-2</v>
      </c>
      <c r="G81" s="160">
        <v>1711</v>
      </c>
      <c r="H81" s="160">
        <v>76</v>
      </c>
      <c r="I81" s="160">
        <f t="shared" si="14"/>
        <v>1787</v>
      </c>
      <c r="J81" s="161">
        <f t="shared" si="15"/>
        <v>1.2844379595621267E-2</v>
      </c>
      <c r="K81" s="160">
        <f t="shared" si="11"/>
        <v>2596</v>
      </c>
    </row>
    <row r="82" spans="2:11" x14ac:dyDescent="0.2">
      <c r="B82" s="160" t="s">
        <v>206</v>
      </c>
      <c r="C82" s="160">
        <v>621</v>
      </c>
      <c r="D82" s="160">
        <v>209</v>
      </c>
      <c r="E82" s="160">
        <f t="shared" si="12"/>
        <v>830</v>
      </c>
      <c r="F82" s="161">
        <f t="shared" si="13"/>
        <v>1.4379764379764379E-2</v>
      </c>
      <c r="G82" s="160">
        <v>1844</v>
      </c>
      <c r="H82" s="160">
        <v>94</v>
      </c>
      <c r="I82" s="160">
        <f t="shared" si="14"/>
        <v>1938</v>
      </c>
      <c r="J82" s="161">
        <f t="shared" si="15"/>
        <v>1.3929718889935095E-2</v>
      </c>
      <c r="K82" s="160">
        <f t="shared" si="11"/>
        <v>2768</v>
      </c>
    </row>
    <row r="83" spans="2:11" x14ac:dyDescent="0.2">
      <c r="B83" s="160" t="s">
        <v>207</v>
      </c>
      <c r="C83" s="160">
        <v>185</v>
      </c>
      <c r="D83" s="160">
        <v>70</v>
      </c>
      <c r="E83" s="160">
        <f t="shared" si="12"/>
        <v>255</v>
      </c>
      <c r="F83" s="161">
        <f t="shared" si="13"/>
        <v>4.4178794178794181E-3</v>
      </c>
      <c r="G83" s="160">
        <v>464</v>
      </c>
      <c r="H83" s="160">
        <v>19</v>
      </c>
      <c r="I83" s="160">
        <f t="shared" si="14"/>
        <v>483</v>
      </c>
      <c r="J83" s="161">
        <f t="shared" si="15"/>
        <v>3.4716482063150934E-3</v>
      </c>
      <c r="K83" s="160">
        <f t="shared" si="11"/>
        <v>738</v>
      </c>
    </row>
    <row r="84" spans="2:11" x14ac:dyDescent="0.2">
      <c r="B84" s="160" t="s">
        <v>208</v>
      </c>
      <c r="C84" s="160">
        <v>255</v>
      </c>
      <c r="D84" s="160">
        <v>111</v>
      </c>
      <c r="E84" s="160">
        <f t="shared" si="12"/>
        <v>366</v>
      </c>
      <c r="F84" s="161">
        <f t="shared" si="13"/>
        <v>6.3409563409563413E-3</v>
      </c>
      <c r="G84" s="160">
        <v>873</v>
      </c>
      <c r="H84" s="160">
        <v>36</v>
      </c>
      <c r="I84" s="160">
        <f t="shared" si="14"/>
        <v>909</v>
      </c>
      <c r="J84" s="161">
        <f t="shared" si="15"/>
        <v>6.5335987982203308E-3</v>
      </c>
      <c r="K84" s="160">
        <f t="shared" si="11"/>
        <v>1275</v>
      </c>
    </row>
    <row r="85" spans="2:11" x14ac:dyDescent="0.2">
      <c r="B85" s="160" t="s">
        <v>209</v>
      </c>
      <c r="C85" s="160">
        <v>437</v>
      </c>
      <c r="D85" s="160">
        <v>87</v>
      </c>
      <c r="E85" s="160">
        <f t="shared" si="12"/>
        <v>524</v>
      </c>
      <c r="F85" s="161">
        <f t="shared" si="13"/>
        <v>9.0783090783090777E-3</v>
      </c>
      <c r="G85" s="160">
        <v>813</v>
      </c>
      <c r="H85" s="160">
        <v>38</v>
      </c>
      <c r="I85" s="160">
        <f t="shared" si="14"/>
        <v>851</v>
      </c>
      <c r="J85" s="161">
        <f t="shared" si="15"/>
        <v>6.1167135063646882E-3</v>
      </c>
      <c r="K85" s="160">
        <f t="shared" si="11"/>
        <v>1375</v>
      </c>
    </row>
    <row r="86" spans="2:11" x14ac:dyDescent="0.2">
      <c r="B86" s="160" t="s">
        <v>210</v>
      </c>
      <c r="C86" s="160">
        <v>443</v>
      </c>
      <c r="D86" s="160">
        <v>101</v>
      </c>
      <c r="E86" s="160">
        <f t="shared" si="12"/>
        <v>544</v>
      </c>
      <c r="F86" s="161">
        <f t="shared" si="13"/>
        <v>9.4248094248094248E-3</v>
      </c>
      <c r="G86" s="160">
        <v>1056</v>
      </c>
      <c r="H86" s="160">
        <v>40</v>
      </c>
      <c r="I86" s="160">
        <f t="shared" si="14"/>
        <v>1096</v>
      </c>
      <c r="J86" s="161">
        <f t="shared" si="15"/>
        <v>7.8776944805824898E-3</v>
      </c>
      <c r="K86" s="160">
        <f t="shared" si="11"/>
        <v>1640</v>
      </c>
    </row>
    <row r="87" spans="2:11" x14ac:dyDescent="0.2">
      <c r="B87" s="160" t="s">
        <v>211</v>
      </c>
      <c r="C87" s="160">
        <v>244</v>
      </c>
      <c r="D87" s="160">
        <v>48</v>
      </c>
      <c r="E87" s="160">
        <f t="shared" si="12"/>
        <v>292</v>
      </c>
      <c r="F87" s="161">
        <f t="shared" si="13"/>
        <v>5.0589050589050586E-3</v>
      </c>
      <c r="G87" s="160">
        <v>613</v>
      </c>
      <c r="H87" s="160">
        <v>24</v>
      </c>
      <c r="I87" s="160">
        <f t="shared" si="14"/>
        <v>637</v>
      </c>
      <c r="J87" s="161">
        <f t="shared" si="15"/>
        <v>4.5785505329662829E-3</v>
      </c>
      <c r="K87" s="160">
        <f t="shared" si="11"/>
        <v>929</v>
      </c>
    </row>
    <row r="88" spans="2:11" x14ac:dyDescent="0.2">
      <c r="B88" s="160" t="s">
        <v>212</v>
      </c>
      <c r="C88" s="160">
        <v>204</v>
      </c>
      <c r="D88" s="160">
        <v>69</v>
      </c>
      <c r="E88" s="160">
        <f t="shared" si="12"/>
        <v>273</v>
      </c>
      <c r="F88" s="161">
        <f t="shared" si="13"/>
        <v>4.72972972972973E-3</v>
      </c>
      <c r="G88" s="160">
        <v>936</v>
      </c>
      <c r="H88" s="160">
        <v>44</v>
      </c>
      <c r="I88" s="160">
        <f t="shared" si="14"/>
        <v>980</v>
      </c>
      <c r="J88" s="161">
        <f t="shared" si="15"/>
        <v>7.0439238968712037E-3</v>
      </c>
      <c r="K88" s="160">
        <f t="shared" si="11"/>
        <v>1253</v>
      </c>
    </row>
    <row r="89" spans="2:11" x14ac:dyDescent="0.2">
      <c r="B89" s="160" t="s">
        <v>213</v>
      </c>
      <c r="C89" s="160">
        <v>379</v>
      </c>
      <c r="D89" s="160">
        <v>115</v>
      </c>
      <c r="E89" s="160">
        <f t="shared" si="12"/>
        <v>494</v>
      </c>
      <c r="F89" s="161">
        <f t="shared" si="13"/>
        <v>8.5585585585585579E-3</v>
      </c>
      <c r="G89" s="160">
        <v>1304</v>
      </c>
      <c r="H89" s="160">
        <v>42</v>
      </c>
      <c r="I89" s="160">
        <f t="shared" si="14"/>
        <v>1346</v>
      </c>
      <c r="J89" s="161">
        <f t="shared" si="15"/>
        <v>9.6746138420292244E-3</v>
      </c>
      <c r="K89" s="160">
        <f t="shared" si="11"/>
        <v>1840</v>
      </c>
    </row>
    <row r="90" spans="2:11" x14ac:dyDescent="0.2">
      <c r="B90" s="160" t="s">
        <v>214</v>
      </c>
      <c r="C90" s="160">
        <v>140</v>
      </c>
      <c r="D90" s="160">
        <v>44</v>
      </c>
      <c r="E90" s="160">
        <f t="shared" si="12"/>
        <v>184</v>
      </c>
      <c r="F90" s="161">
        <f t="shared" si="13"/>
        <v>3.1878031878031878E-3</v>
      </c>
      <c r="G90" s="160">
        <v>584</v>
      </c>
      <c r="H90" s="160">
        <v>34</v>
      </c>
      <c r="I90" s="160">
        <f t="shared" si="14"/>
        <v>618</v>
      </c>
      <c r="J90" s="161">
        <f t="shared" si="15"/>
        <v>4.4419846614963303E-3</v>
      </c>
      <c r="K90" s="160">
        <f t="shared" si="11"/>
        <v>802</v>
      </c>
    </row>
    <row r="91" spans="2:11" x14ac:dyDescent="0.2">
      <c r="B91" s="160" t="s">
        <v>215</v>
      </c>
      <c r="C91" s="160">
        <v>259</v>
      </c>
      <c r="D91" s="160">
        <v>91</v>
      </c>
      <c r="E91" s="160">
        <f t="shared" si="12"/>
        <v>350</v>
      </c>
      <c r="F91" s="161">
        <f t="shared" si="13"/>
        <v>6.0637560637560638E-3</v>
      </c>
      <c r="G91" s="160">
        <v>1290</v>
      </c>
      <c r="H91" s="160">
        <v>42</v>
      </c>
      <c r="I91" s="160">
        <f t="shared" si="14"/>
        <v>1332</v>
      </c>
      <c r="J91" s="161">
        <f t="shared" si="15"/>
        <v>9.5739863577882084E-3</v>
      </c>
      <c r="K91" s="160">
        <f t="shared" si="11"/>
        <v>1682</v>
      </c>
    </row>
    <row r="92" spans="2:11" x14ac:dyDescent="0.2">
      <c r="B92" s="160" t="s">
        <v>216</v>
      </c>
      <c r="C92" s="160">
        <v>3676</v>
      </c>
      <c r="D92" s="160">
        <v>1180</v>
      </c>
      <c r="E92" s="160">
        <f t="shared" si="12"/>
        <v>4856</v>
      </c>
      <c r="F92" s="161">
        <f t="shared" si="13"/>
        <v>8.413028413028413E-2</v>
      </c>
      <c r="G92" s="160">
        <v>10842</v>
      </c>
      <c r="H92" s="160">
        <v>521</v>
      </c>
      <c r="I92" s="160">
        <f t="shared" si="14"/>
        <v>11363</v>
      </c>
      <c r="J92" s="161">
        <f t="shared" si="15"/>
        <v>8.1673578816477035E-2</v>
      </c>
      <c r="K92" s="160">
        <f t="shared" si="11"/>
        <v>16219</v>
      </c>
    </row>
    <row r="93" spans="2:11" x14ac:dyDescent="0.2">
      <c r="B93" s="160" t="s">
        <v>217</v>
      </c>
      <c r="C93" s="160">
        <v>1193</v>
      </c>
      <c r="D93" s="160">
        <v>393</v>
      </c>
      <c r="E93" s="160">
        <f t="shared" si="12"/>
        <v>1586</v>
      </c>
      <c r="F93" s="161">
        <f t="shared" si="13"/>
        <v>2.7477477477477478E-2</v>
      </c>
      <c r="G93" s="160">
        <v>3759</v>
      </c>
      <c r="H93" s="160">
        <v>185</v>
      </c>
      <c r="I93" s="160">
        <f t="shared" si="14"/>
        <v>3944</v>
      </c>
      <c r="J93" s="161">
        <f t="shared" si="15"/>
        <v>2.8348199846183704E-2</v>
      </c>
      <c r="K93" s="160">
        <f t="shared" si="11"/>
        <v>5530</v>
      </c>
    </row>
    <row r="94" spans="2:11" x14ac:dyDescent="0.2">
      <c r="B94" s="160" t="s">
        <v>218</v>
      </c>
      <c r="C94" s="160">
        <v>475</v>
      </c>
      <c r="D94" s="160">
        <v>179</v>
      </c>
      <c r="E94" s="160">
        <f t="shared" si="12"/>
        <v>654</v>
      </c>
      <c r="F94" s="161">
        <f t="shared" si="13"/>
        <v>1.1330561330561331E-2</v>
      </c>
      <c r="G94" s="160">
        <v>1291</v>
      </c>
      <c r="H94" s="160">
        <v>86</v>
      </c>
      <c r="I94" s="160">
        <f t="shared" si="14"/>
        <v>1377</v>
      </c>
      <c r="J94" s="161">
        <f t="shared" si="15"/>
        <v>9.8974318428486207E-3</v>
      </c>
      <c r="K94" s="160">
        <f t="shared" si="11"/>
        <v>2031</v>
      </c>
    </row>
    <row r="95" spans="2:11" x14ac:dyDescent="0.2">
      <c r="B95" s="160" t="s">
        <v>219</v>
      </c>
      <c r="C95" s="160">
        <v>2344</v>
      </c>
      <c r="D95" s="160">
        <v>922</v>
      </c>
      <c r="E95" s="160">
        <f t="shared" si="12"/>
        <v>3266</v>
      </c>
      <c r="F95" s="161">
        <f t="shared" si="13"/>
        <v>5.6583506583506582E-2</v>
      </c>
      <c r="G95" s="160">
        <v>7226</v>
      </c>
      <c r="H95" s="160">
        <v>403</v>
      </c>
      <c r="I95" s="160">
        <f t="shared" si="14"/>
        <v>7629</v>
      </c>
      <c r="J95" s="161">
        <f t="shared" si="15"/>
        <v>5.4834791233908588E-2</v>
      </c>
      <c r="K95" s="160">
        <f t="shared" si="11"/>
        <v>10895</v>
      </c>
    </row>
    <row r="96" spans="2:11" x14ac:dyDescent="0.2">
      <c r="B96" s="162" t="s">
        <v>66</v>
      </c>
      <c r="C96" s="160">
        <f t="shared" ref="C96:H96" si="16">SUM(C58:C95)</f>
        <v>42821</v>
      </c>
      <c r="D96" s="160">
        <f t="shared" si="16"/>
        <v>14899</v>
      </c>
      <c r="E96" s="162">
        <f t="shared" ref="E96" si="17">C96+D96</f>
        <v>57720</v>
      </c>
      <c r="F96" s="164">
        <f t="shared" ref="F96" si="18">E96/$E$96</f>
        <v>1</v>
      </c>
      <c r="G96" s="160">
        <f t="shared" si="16"/>
        <v>132002</v>
      </c>
      <c r="H96" s="160">
        <f t="shared" si="16"/>
        <v>7125</v>
      </c>
      <c r="I96" s="162">
        <f t="shared" ref="I96" si="19">G96+H96</f>
        <v>139127</v>
      </c>
      <c r="J96" s="164">
        <f t="shared" ref="J96" si="20">I96/$I$96</f>
        <v>1</v>
      </c>
      <c r="K96" s="162">
        <f t="shared" ref="K96:K97" si="21">E96+I96</f>
        <v>196847</v>
      </c>
    </row>
    <row r="97" spans="2:11" ht="24" x14ac:dyDescent="0.2">
      <c r="B97" s="174" t="s">
        <v>84</v>
      </c>
      <c r="C97" s="175">
        <f>+C96/$K$96</f>
        <v>0.21753443029357827</v>
      </c>
      <c r="D97" s="175">
        <f>+D96/$K$96</f>
        <v>7.568822486499667E-2</v>
      </c>
      <c r="E97" s="176">
        <f>C97+D97</f>
        <v>0.29322265515857493</v>
      </c>
      <c r="F97" s="176"/>
      <c r="G97" s="175">
        <f>+G96/$K$96</f>
        <v>0.67058172082886713</v>
      </c>
      <c r="H97" s="175">
        <f>+H96/$K$96</f>
        <v>3.6195624012557978E-2</v>
      </c>
      <c r="I97" s="176">
        <f>G97+H97</f>
        <v>0.70677734484142507</v>
      </c>
      <c r="J97" s="176"/>
      <c r="K97" s="176">
        <f t="shared" si="21"/>
        <v>1</v>
      </c>
    </row>
    <row r="98" spans="2:11" x14ac:dyDescent="0.2">
      <c r="B98" s="167" t="s">
        <v>149</v>
      </c>
    </row>
    <row r="99" spans="2:11" x14ac:dyDescent="0.2">
      <c r="B99" s="167" t="s">
        <v>150</v>
      </c>
    </row>
    <row r="141" spans="2:2" x14ac:dyDescent="0.2">
      <c r="B141" s="168" t="s">
        <v>96</v>
      </c>
    </row>
  </sheetData>
  <mergeCells count="10">
    <mergeCell ref="B56:B57"/>
    <mergeCell ref="C56:K56"/>
    <mergeCell ref="B8:K8"/>
    <mergeCell ref="B9:B10"/>
    <mergeCell ref="C9:K9"/>
    <mergeCell ref="B6:K6"/>
    <mergeCell ref="B5:K5"/>
    <mergeCell ref="B53:K53"/>
    <mergeCell ref="B52:K52"/>
    <mergeCell ref="B55:K55"/>
  </mergeCells>
  <hyperlinks>
    <hyperlink ref="M5" location="'Índice Pensiones Solidarias'!A1" display="Volver Sistema de Pensiones Solidadias" xr:uid="{00000000-0004-0000-0C00-000000000000}"/>
  </hyperlinks>
  <pageMargins left="0.74803149606299213" right="0.74803149606299213" top="0.98425196850393704" bottom="0.98425196850393704" header="0" footer="0"/>
  <pageSetup scale="75" fitToHeight="2" orientation="portrait" r:id="rId1"/>
  <headerFooter alignWithMargins="0"/>
  <rowBreaks count="1" manualBreakCount="1">
    <brk id="55" min="1" max="12"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4"/>
  <dimension ref="A1:Q89"/>
  <sheetViews>
    <sheetView showGridLines="0" zoomScaleNormal="100" workbookViewId="0"/>
  </sheetViews>
  <sheetFormatPr baseColWidth="10" defaultRowHeight="12" x14ac:dyDescent="0.2"/>
  <cols>
    <col min="1" max="1" width="6" style="168" customWidth="1"/>
    <col min="2" max="2" width="18.140625" style="168" customWidth="1"/>
    <col min="3" max="3" width="7.85546875" style="168" bestFit="1" customWidth="1"/>
    <col min="4" max="4" width="7.28515625" style="168" bestFit="1" customWidth="1"/>
    <col min="5" max="6" width="7.28515625" style="168" customWidth="1"/>
    <col min="7" max="8" width="7.28515625" style="168" bestFit="1" customWidth="1"/>
    <col min="9" max="11" width="7.28515625" style="168" customWidth="1"/>
    <col min="12" max="12" width="9.7109375" style="168" customWidth="1"/>
    <col min="13" max="14" width="11.42578125" style="168"/>
    <col min="15" max="15" width="12.42578125" style="168" bestFit="1" customWidth="1"/>
    <col min="16" max="251" width="11.42578125" style="168"/>
    <col min="252" max="252" width="18.140625" style="168" customWidth="1"/>
    <col min="253" max="253" width="7.85546875" style="168" bestFit="1" customWidth="1"/>
    <col min="254" max="254" width="7.28515625" style="168" bestFit="1" customWidth="1"/>
    <col min="255" max="256" width="7.28515625" style="168" customWidth="1"/>
    <col min="257" max="258" width="7.28515625" style="168" bestFit="1" customWidth="1"/>
    <col min="259" max="261" width="7.28515625" style="168" customWidth="1"/>
    <col min="262" max="267" width="0" style="168" hidden="1" customWidth="1"/>
    <col min="268" max="268" width="9.7109375" style="168" customWidth="1"/>
    <col min="269" max="270" width="11.42578125" style="168"/>
    <col min="271" max="271" width="12.42578125" style="168" bestFit="1" customWidth="1"/>
    <col min="272" max="507" width="11.42578125" style="168"/>
    <col min="508" max="508" width="18.140625" style="168" customWidth="1"/>
    <col min="509" max="509" width="7.85546875" style="168" bestFit="1" customWidth="1"/>
    <col min="510" max="510" width="7.28515625" style="168" bestFit="1" customWidth="1"/>
    <col min="511" max="512" width="7.28515625" style="168" customWidth="1"/>
    <col min="513" max="514" width="7.28515625" style="168" bestFit="1" customWidth="1"/>
    <col min="515" max="517" width="7.28515625" style="168" customWidth="1"/>
    <col min="518" max="523" width="0" style="168" hidden="1" customWidth="1"/>
    <col min="524" max="524" width="9.7109375" style="168" customWidth="1"/>
    <col min="525" max="526" width="11.42578125" style="168"/>
    <col min="527" max="527" width="12.42578125" style="168" bestFit="1" customWidth="1"/>
    <col min="528" max="763" width="11.42578125" style="168"/>
    <col min="764" max="764" width="18.140625" style="168" customWidth="1"/>
    <col min="765" max="765" width="7.85546875" style="168" bestFit="1" customWidth="1"/>
    <col min="766" max="766" width="7.28515625" style="168" bestFit="1" customWidth="1"/>
    <col min="767" max="768" width="7.28515625" style="168" customWidth="1"/>
    <col min="769" max="770" width="7.28515625" style="168" bestFit="1" customWidth="1"/>
    <col min="771" max="773" width="7.28515625" style="168" customWidth="1"/>
    <col min="774" max="779" width="0" style="168" hidden="1" customWidth="1"/>
    <col min="780" max="780" width="9.7109375" style="168" customWidth="1"/>
    <col min="781" max="782" width="11.42578125" style="168"/>
    <col min="783" max="783" width="12.42578125" style="168" bestFit="1" customWidth="1"/>
    <col min="784" max="1019" width="11.42578125" style="168"/>
    <col min="1020" max="1020" width="18.140625" style="168" customWidth="1"/>
    <col min="1021" max="1021" width="7.85546875" style="168" bestFit="1" customWidth="1"/>
    <col min="1022" max="1022" width="7.28515625" style="168" bestFit="1" customWidth="1"/>
    <col min="1023" max="1024" width="7.28515625" style="168" customWidth="1"/>
    <col min="1025" max="1026" width="7.28515625" style="168" bestFit="1" customWidth="1"/>
    <col min="1027" max="1029" width="7.28515625" style="168" customWidth="1"/>
    <col min="1030" max="1035" width="0" style="168" hidden="1" customWidth="1"/>
    <col min="1036" max="1036" width="9.7109375" style="168" customWidth="1"/>
    <col min="1037" max="1038" width="11.42578125" style="168"/>
    <col min="1039" max="1039" width="12.42578125" style="168" bestFit="1" customWidth="1"/>
    <col min="1040" max="1275" width="11.42578125" style="168"/>
    <col min="1276" max="1276" width="18.140625" style="168" customWidth="1"/>
    <col min="1277" max="1277" width="7.85546875" style="168" bestFit="1" customWidth="1"/>
    <col min="1278" max="1278" width="7.28515625" style="168" bestFit="1" customWidth="1"/>
    <col min="1279" max="1280" width="7.28515625" style="168" customWidth="1"/>
    <col min="1281" max="1282" width="7.28515625" style="168" bestFit="1" customWidth="1"/>
    <col min="1283" max="1285" width="7.28515625" style="168" customWidth="1"/>
    <col min="1286" max="1291" width="0" style="168" hidden="1" customWidth="1"/>
    <col min="1292" max="1292" width="9.7109375" style="168" customWidth="1"/>
    <col min="1293" max="1294" width="11.42578125" style="168"/>
    <col min="1295" max="1295" width="12.42578125" style="168" bestFit="1" customWidth="1"/>
    <col min="1296" max="1531" width="11.42578125" style="168"/>
    <col min="1532" max="1532" width="18.140625" style="168" customWidth="1"/>
    <col min="1533" max="1533" width="7.85546875" style="168" bestFit="1" customWidth="1"/>
    <col min="1534" max="1534" width="7.28515625" style="168" bestFit="1" customWidth="1"/>
    <col min="1535" max="1536" width="7.28515625" style="168" customWidth="1"/>
    <col min="1537" max="1538" width="7.28515625" style="168" bestFit="1" customWidth="1"/>
    <col min="1539" max="1541" width="7.28515625" style="168" customWidth="1"/>
    <col min="1542" max="1547" width="0" style="168" hidden="1" customWidth="1"/>
    <col min="1548" max="1548" width="9.7109375" style="168" customWidth="1"/>
    <col min="1549" max="1550" width="11.42578125" style="168"/>
    <col min="1551" max="1551" width="12.42578125" style="168" bestFit="1" customWidth="1"/>
    <col min="1552" max="1787" width="11.42578125" style="168"/>
    <col min="1788" max="1788" width="18.140625" style="168" customWidth="1"/>
    <col min="1789" max="1789" width="7.85546875" style="168" bestFit="1" customWidth="1"/>
    <col min="1790" max="1790" width="7.28515625" style="168" bestFit="1" customWidth="1"/>
    <col min="1791" max="1792" width="7.28515625" style="168" customWidth="1"/>
    <col min="1793" max="1794" width="7.28515625" style="168" bestFit="1" customWidth="1"/>
    <col min="1795" max="1797" width="7.28515625" style="168" customWidth="1"/>
    <col min="1798" max="1803" width="0" style="168" hidden="1" customWidth="1"/>
    <col min="1804" max="1804" width="9.7109375" style="168" customWidth="1"/>
    <col min="1805" max="1806" width="11.42578125" style="168"/>
    <col min="1807" max="1807" width="12.42578125" style="168" bestFit="1" customWidth="1"/>
    <col min="1808" max="2043" width="11.42578125" style="168"/>
    <col min="2044" max="2044" width="18.140625" style="168" customWidth="1"/>
    <col min="2045" max="2045" width="7.85546875" style="168" bestFit="1" customWidth="1"/>
    <col min="2046" max="2046" width="7.28515625" style="168" bestFit="1" customWidth="1"/>
    <col min="2047" max="2048" width="7.28515625" style="168" customWidth="1"/>
    <col min="2049" max="2050" width="7.28515625" style="168" bestFit="1" customWidth="1"/>
    <col min="2051" max="2053" width="7.28515625" style="168" customWidth="1"/>
    <col min="2054" max="2059" width="0" style="168" hidden="1" customWidth="1"/>
    <col min="2060" max="2060" width="9.7109375" style="168" customWidth="1"/>
    <col min="2061" max="2062" width="11.42578125" style="168"/>
    <col min="2063" max="2063" width="12.42578125" style="168" bestFit="1" customWidth="1"/>
    <col min="2064" max="2299" width="11.42578125" style="168"/>
    <col min="2300" max="2300" width="18.140625" style="168" customWidth="1"/>
    <col min="2301" max="2301" width="7.85546875" style="168" bestFit="1" customWidth="1"/>
    <col min="2302" max="2302" width="7.28515625" style="168" bestFit="1" customWidth="1"/>
    <col min="2303" max="2304" width="7.28515625" style="168" customWidth="1"/>
    <col min="2305" max="2306" width="7.28515625" style="168" bestFit="1" customWidth="1"/>
    <col min="2307" max="2309" width="7.28515625" style="168" customWidth="1"/>
    <col min="2310" max="2315" width="0" style="168" hidden="1" customWidth="1"/>
    <col min="2316" max="2316" width="9.7109375" style="168" customWidth="1"/>
    <col min="2317" max="2318" width="11.42578125" style="168"/>
    <col min="2319" max="2319" width="12.42578125" style="168" bestFit="1" customWidth="1"/>
    <col min="2320" max="2555" width="11.42578125" style="168"/>
    <col min="2556" max="2556" width="18.140625" style="168" customWidth="1"/>
    <col min="2557" max="2557" width="7.85546875" style="168" bestFit="1" customWidth="1"/>
    <col min="2558" max="2558" width="7.28515625" style="168" bestFit="1" customWidth="1"/>
    <col min="2559" max="2560" width="7.28515625" style="168" customWidth="1"/>
    <col min="2561" max="2562" width="7.28515625" style="168" bestFit="1" customWidth="1"/>
    <col min="2563" max="2565" width="7.28515625" style="168" customWidth="1"/>
    <col min="2566" max="2571" width="0" style="168" hidden="1" customWidth="1"/>
    <col min="2572" max="2572" width="9.7109375" style="168" customWidth="1"/>
    <col min="2573" max="2574" width="11.42578125" style="168"/>
    <col min="2575" max="2575" width="12.42578125" style="168" bestFit="1" customWidth="1"/>
    <col min="2576" max="2811" width="11.42578125" style="168"/>
    <col min="2812" max="2812" width="18.140625" style="168" customWidth="1"/>
    <col min="2813" max="2813" width="7.85546875" style="168" bestFit="1" customWidth="1"/>
    <col min="2814" max="2814" width="7.28515625" style="168" bestFit="1" customWidth="1"/>
    <col min="2815" max="2816" width="7.28515625" style="168" customWidth="1"/>
    <col min="2817" max="2818" width="7.28515625" style="168" bestFit="1" customWidth="1"/>
    <col min="2819" max="2821" width="7.28515625" style="168" customWidth="1"/>
    <col min="2822" max="2827" width="0" style="168" hidden="1" customWidth="1"/>
    <col min="2828" max="2828" width="9.7109375" style="168" customWidth="1"/>
    <col min="2829" max="2830" width="11.42578125" style="168"/>
    <col min="2831" max="2831" width="12.42578125" style="168" bestFit="1" customWidth="1"/>
    <col min="2832" max="3067" width="11.42578125" style="168"/>
    <col min="3068" max="3068" width="18.140625" style="168" customWidth="1"/>
    <col min="3069" max="3069" width="7.85546875" style="168" bestFit="1" customWidth="1"/>
    <col min="3070" max="3070" width="7.28515625" style="168" bestFit="1" customWidth="1"/>
    <col min="3071" max="3072" width="7.28515625" style="168" customWidth="1"/>
    <col min="3073" max="3074" width="7.28515625" style="168" bestFit="1" customWidth="1"/>
    <col min="3075" max="3077" width="7.28515625" style="168" customWidth="1"/>
    <col min="3078" max="3083" width="0" style="168" hidden="1" customWidth="1"/>
    <col min="3084" max="3084" width="9.7109375" style="168" customWidth="1"/>
    <col min="3085" max="3086" width="11.42578125" style="168"/>
    <col min="3087" max="3087" width="12.42578125" style="168" bestFit="1" customWidth="1"/>
    <col min="3088" max="3323" width="11.42578125" style="168"/>
    <col min="3324" max="3324" width="18.140625" style="168" customWidth="1"/>
    <col min="3325" max="3325" width="7.85546875" style="168" bestFit="1" customWidth="1"/>
    <col min="3326" max="3326" width="7.28515625" style="168" bestFit="1" customWidth="1"/>
    <col min="3327" max="3328" width="7.28515625" style="168" customWidth="1"/>
    <col min="3329" max="3330" width="7.28515625" style="168" bestFit="1" customWidth="1"/>
    <col min="3331" max="3333" width="7.28515625" style="168" customWidth="1"/>
    <col min="3334" max="3339" width="0" style="168" hidden="1" customWidth="1"/>
    <col min="3340" max="3340" width="9.7109375" style="168" customWidth="1"/>
    <col min="3341" max="3342" width="11.42578125" style="168"/>
    <col min="3343" max="3343" width="12.42578125" style="168" bestFit="1" customWidth="1"/>
    <col min="3344" max="3579" width="11.42578125" style="168"/>
    <col min="3580" max="3580" width="18.140625" style="168" customWidth="1"/>
    <col min="3581" max="3581" width="7.85546875" style="168" bestFit="1" customWidth="1"/>
    <col min="3582" max="3582" width="7.28515625" style="168" bestFit="1" customWidth="1"/>
    <col min="3583" max="3584" width="7.28515625" style="168" customWidth="1"/>
    <col min="3585" max="3586" width="7.28515625" style="168" bestFit="1" customWidth="1"/>
    <col min="3587" max="3589" width="7.28515625" style="168" customWidth="1"/>
    <col min="3590" max="3595" width="0" style="168" hidden="1" customWidth="1"/>
    <col min="3596" max="3596" width="9.7109375" style="168" customWidth="1"/>
    <col min="3597" max="3598" width="11.42578125" style="168"/>
    <col min="3599" max="3599" width="12.42578125" style="168" bestFit="1" customWidth="1"/>
    <col min="3600" max="3835" width="11.42578125" style="168"/>
    <col min="3836" max="3836" width="18.140625" style="168" customWidth="1"/>
    <col min="3837" max="3837" width="7.85546875" style="168" bestFit="1" customWidth="1"/>
    <col min="3838" max="3838" width="7.28515625" style="168" bestFit="1" customWidth="1"/>
    <col min="3839" max="3840" width="7.28515625" style="168" customWidth="1"/>
    <col min="3841" max="3842" width="7.28515625" style="168" bestFit="1" customWidth="1"/>
    <col min="3843" max="3845" width="7.28515625" style="168" customWidth="1"/>
    <col min="3846" max="3851" width="0" style="168" hidden="1" customWidth="1"/>
    <col min="3852" max="3852" width="9.7109375" style="168" customWidth="1"/>
    <col min="3853" max="3854" width="11.42578125" style="168"/>
    <col min="3855" max="3855" width="12.42578125" style="168" bestFit="1" customWidth="1"/>
    <col min="3856" max="4091" width="11.42578125" style="168"/>
    <col min="4092" max="4092" width="18.140625" style="168" customWidth="1"/>
    <col min="4093" max="4093" width="7.85546875" style="168" bestFit="1" customWidth="1"/>
    <col min="4094" max="4094" width="7.28515625" style="168" bestFit="1" customWidth="1"/>
    <col min="4095" max="4096" width="7.28515625" style="168" customWidth="1"/>
    <col min="4097" max="4098" width="7.28515625" style="168" bestFit="1" customWidth="1"/>
    <col min="4099" max="4101" width="7.28515625" style="168" customWidth="1"/>
    <col min="4102" max="4107" width="0" style="168" hidden="1" customWidth="1"/>
    <col min="4108" max="4108" width="9.7109375" style="168" customWidth="1"/>
    <col min="4109" max="4110" width="11.42578125" style="168"/>
    <col min="4111" max="4111" width="12.42578125" style="168" bestFit="1" customWidth="1"/>
    <col min="4112" max="4347" width="11.42578125" style="168"/>
    <col min="4348" max="4348" width="18.140625" style="168" customWidth="1"/>
    <col min="4349" max="4349" width="7.85546875" style="168" bestFit="1" customWidth="1"/>
    <col min="4350" max="4350" width="7.28515625" style="168" bestFit="1" customWidth="1"/>
    <col min="4351" max="4352" width="7.28515625" style="168" customWidth="1"/>
    <col min="4353" max="4354" width="7.28515625" style="168" bestFit="1" customWidth="1"/>
    <col min="4355" max="4357" width="7.28515625" style="168" customWidth="1"/>
    <col min="4358" max="4363" width="0" style="168" hidden="1" customWidth="1"/>
    <col min="4364" max="4364" width="9.7109375" style="168" customWidth="1"/>
    <col min="4365" max="4366" width="11.42578125" style="168"/>
    <col min="4367" max="4367" width="12.42578125" style="168" bestFit="1" customWidth="1"/>
    <col min="4368" max="4603" width="11.42578125" style="168"/>
    <col min="4604" max="4604" width="18.140625" style="168" customWidth="1"/>
    <col min="4605" max="4605" width="7.85546875" style="168" bestFit="1" customWidth="1"/>
    <col min="4606" max="4606" width="7.28515625" style="168" bestFit="1" customWidth="1"/>
    <col min="4607" max="4608" width="7.28515625" style="168" customWidth="1"/>
    <col min="4609" max="4610" width="7.28515625" style="168" bestFit="1" customWidth="1"/>
    <col min="4611" max="4613" width="7.28515625" style="168" customWidth="1"/>
    <col min="4614" max="4619" width="0" style="168" hidden="1" customWidth="1"/>
    <col min="4620" max="4620" width="9.7109375" style="168" customWidth="1"/>
    <col min="4621" max="4622" width="11.42578125" style="168"/>
    <col min="4623" max="4623" width="12.42578125" style="168" bestFit="1" customWidth="1"/>
    <col min="4624" max="4859" width="11.42578125" style="168"/>
    <col min="4860" max="4860" width="18.140625" style="168" customWidth="1"/>
    <col min="4861" max="4861" width="7.85546875" style="168" bestFit="1" customWidth="1"/>
    <col min="4862" max="4862" width="7.28515625" style="168" bestFit="1" customWidth="1"/>
    <col min="4863" max="4864" width="7.28515625" style="168" customWidth="1"/>
    <col min="4865" max="4866" width="7.28515625" style="168" bestFit="1" customWidth="1"/>
    <col min="4867" max="4869" width="7.28515625" style="168" customWidth="1"/>
    <col min="4870" max="4875" width="0" style="168" hidden="1" customWidth="1"/>
    <col min="4876" max="4876" width="9.7109375" style="168" customWidth="1"/>
    <col min="4877" max="4878" width="11.42578125" style="168"/>
    <col min="4879" max="4879" width="12.42578125" style="168" bestFit="1" customWidth="1"/>
    <col min="4880" max="5115" width="11.42578125" style="168"/>
    <col min="5116" max="5116" width="18.140625" style="168" customWidth="1"/>
    <col min="5117" max="5117" width="7.85546875" style="168" bestFit="1" customWidth="1"/>
    <col min="5118" max="5118" width="7.28515625" style="168" bestFit="1" customWidth="1"/>
    <col min="5119" max="5120" width="7.28515625" style="168" customWidth="1"/>
    <col min="5121" max="5122" width="7.28515625" style="168" bestFit="1" customWidth="1"/>
    <col min="5123" max="5125" width="7.28515625" style="168" customWidth="1"/>
    <col min="5126" max="5131" width="0" style="168" hidden="1" customWidth="1"/>
    <col min="5132" max="5132" width="9.7109375" style="168" customWidth="1"/>
    <col min="5133" max="5134" width="11.42578125" style="168"/>
    <col min="5135" max="5135" width="12.42578125" style="168" bestFit="1" customWidth="1"/>
    <col min="5136" max="5371" width="11.42578125" style="168"/>
    <col min="5372" max="5372" width="18.140625" style="168" customWidth="1"/>
    <col min="5373" max="5373" width="7.85546875" style="168" bestFit="1" customWidth="1"/>
    <col min="5374" max="5374" width="7.28515625" style="168" bestFit="1" customWidth="1"/>
    <col min="5375" max="5376" width="7.28515625" style="168" customWidth="1"/>
    <col min="5377" max="5378" width="7.28515625" style="168" bestFit="1" customWidth="1"/>
    <col min="5379" max="5381" width="7.28515625" style="168" customWidth="1"/>
    <col min="5382" max="5387" width="0" style="168" hidden="1" customWidth="1"/>
    <col min="5388" max="5388" width="9.7109375" style="168" customWidth="1"/>
    <col min="5389" max="5390" width="11.42578125" style="168"/>
    <col min="5391" max="5391" width="12.42578125" style="168" bestFit="1" customWidth="1"/>
    <col min="5392" max="5627" width="11.42578125" style="168"/>
    <col min="5628" max="5628" width="18.140625" style="168" customWidth="1"/>
    <col min="5629" max="5629" width="7.85546875" style="168" bestFit="1" customWidth="1"/>
    <col min="5630" max="5630" width="7.28515625" style="168" bestFit="1" customWidth="1"/>
    <col min="5631" max="5632" width="7.28515625" style="168" customWidth="1"/>
    <col min="5633" max="5634" width="7.28515625" style="168" bestFit="1" customWidth="1"/>
    <col min="5635" max="5637" width="7.28515625" style="168" customWidth="1"/>
    <col min="5638" max="5643" width="0" style="168" hidden="1" customWidth="1"/>
    <col min="5644" max="5644" width="9.7109375" style="168" customWidth="1"/>
    <col min="5645" max="5646" width="11.42578125" style="168"/>
    <col min="5647" max="5647" width="12.42578125" style="168" bestFit="1" customWidth="1"/>
    <col min="5648" max="5883" width="11.42578125" style="168"/>
    <col min="5884" max="5884" width="18.140625" style="168" customWidth="1"/>
    <col min="5885" max="5885" width="7.85546875" style="168" bestFit="1" customWidth="1"/>
    <col min="5886" max="5886" width="7.28515625" style="168" bestFit="1" customWidth="1"/>
    <col min="5887" max="5888" width="7.28515625" style="168" customWidth="1"/>
    <col min="5889" max="5890" width="7.28515625" style="168" bestFit="1" customWidth="1"/>
    <col min="5891" max="5893" width="7.28515625" style="168" customWidth="1"/>
    <col min="5894" max="5899" width="0" style="168" hidden="1" customWidth="1"/>
    <col min="5900" max="5900" width="9.7109375" style="168" customWidth="1"/>
    <col min="5901" max="5902" width="11.42578125" style="168"/>
    <col min="5903" max="5903" width="12.42578125" style="168" bestFit="1" customWidth="1"/>
    <col min="5904" max="6139" width="11.42578125" style="168"/>
    <col min="6140" max="6140" width="18.140625" style="168" customWidth="1"/>
    <col min="6141" max="6141" width="7.85546875" style="168" bestFit="1" customWidth="1"/>
    <col min="6142" max="6142" width="7.28515625" style="168" bestFit="1" customWidth="1"/>
    <col min="6143" max="6144" width="7.28515625" style="168" customWidth="1"/>
    <col min="6145" max="6146" width="7.28515625" style="168" bestFit="1" customWidth="1"/>
    <col min="6147" max="6149" width="7.28515625" style="168" customWidth="1"/>
    <col min="6150" max="6155" width="0" style="168" hidden="1" customWidth="1"/>
    <col min="6156" max="6156" width="9.7109375" style="168" customWidth="1"/>
    <col min="6157" max="6158" width="11.42578125" style="168"/>
    <col min="6159" max="6159" width="12.42578125" style="168" bestFit="1" customWidth="1"/>
    <col min="6160" max="6395" width="11.42578125" style="168"/>
    <col min="6396" max="6396" width="18.140625" style="168" customWidth="1"/>
    <col min="6397" max="6397" width="7.85546875" style="168" bestFit="1" customWidth="1"/>
    <col min="6398" max="6398" width="7.28515625" style="168" bestFit="1" customWidth="1"/>
    <col min="6399" max="6400" width="7.28515625" style="168" customWidth="1"/>
    <col min="6401" max="6402" width="7.28515625" style="168" bestFit="1" customWidth="1"/>
    <col min="6403" max="6405" width="7.28515625" style="168" customWidth="1"/>
    <col min="6406" max="6411" width="0" style="168" hidden="1" customWidth="1"/>
    <col min="6412" max="6412" width="9.7109375" style="168" customWidth="1"/>
    <col min="6413" max="6414" width="11.42578125" style="168"/>
    <col min="6415" max="6415" width="12.42578125" style="168" bestFit="1" customWidth="1"/>
    <col min="6416" max="6651" width="11.42578125" style="168"/>
    <col min="6652" max="6652" width="18.140625" style="168" customWidth="1"/>
    <col min="6653" max="6653" width="7.85546875" style="168" bestFit="1" customWidth="1"/>
    <col min="6654" max="6654" width="7.28515625" style="168" bestFit="1" customWidth="1"/>
    <col min="6655" max="6656" width="7.28515625" style="168" customWidth="1"/>
    <col min="6657" max="6658" width="7.28515625" style="168" bestFit="1" customWidth="1"/>
    <col min="6659" max="6661" width="7.28515625" style="168" customWidth="1"/>
    <col min="6662" max="6667" width="0" style="168" hidden="1" customWidth="1"/>
    <col min="6668" max="6668" width="9.7109375" style="168" customWidth="1"/>
    <col min="6669" max="6670" width="11.42578125" style="168"/>
    <col min="6671" max="6671" width="12.42578125" style="168" bestFit="1" customWidth="1"/>
    <col min="6672" max="6907" width="11.42578125" style="168"/>
    <col min="6908" max="6908" width="18.140625" style="168" customWidth="1"/>
    <col min="6909" max="6909" width="7.85546875" style="168" bestFit="1" customWidth="1"/>
    <col min="6910" max="6910" width="7.28515625" style="168" bestFit="1" customWidth="1"/>
    <col min="6911" max="6912" width="7.28515625" style="168" customWidth="1"/>
    <col min="6913" max="6914" width="7.28515625" style="168" bestFit="1" customWidth="1"/>
    <col min="6915" max="6917" width="7.28515625" style="168" customWidth="1"/>
    <col min="6918" max="6923" width="0" style="168" hidden="1" customWidth="1"/>
    <col min="6924" max="6924" width="9.7109375" style="168" customWidth="1"/>
    <col min="6925" max="6926" width="11.42578125" style="168"/>
    <col min="6927" max="6927" width="12.42578125" style="168" bestFit="1" customWidth="1"/>
    <col min="6928" max="7163" width="11.42578125" style="168"/>
    <col min="7164" max="7164" width="18.140625" style="168" customWidth="1"/>
    <col min="7165" max="7165" width="7.85546875" style="168" bestFit="1" customWidth="1"/>
    <col min="7166" max="7166" width="7.28515625" style="168" bestFit="1" customWidth="1"/>
    <col min="7167" max="7168" width="7.28515625" style="168" customWidth="1"/>
    <col min="7169" max="7170" width="7.28515625" style="168" bestFit="1" customWidth="1"/>
    <col min="7171" max="7173" width="7.28515625" style="168" customWidth="1"/>
    <col min="7174" max="7179" width="0" style="168" hidden="1" customWidth="1"/>
    <col min="7180" max="7180" width="9.7109375" style="168" customWidth="1"/>
    <col min="7181" max="7182" width="11.42578125" style="168"/>
    <col min="7183" max="7183" width="12.42578125" style="168" bestFit="1" customWidth="1"/>
    <col min="7184" max="7419" width="11.42578125" style="168"/>
    <col min="7420" max="7420" width="18.140625" style="168" customWidth="1"/>
    <col min="7421" max="7421" width="7.85546875" style="168" bestFit="1" customWidth="1"/>
    <col min="7422" max="7422" width="7.28515625" style="168" bestFit="1" customWidth="1"/>
    <col min="7423" max="7424" width="7.28515625" style="168" customWidth="1"/>
    <col min="7425" max="7426" width="7.28515625" style="168" bestFit="1" customWidth="1"/>
    <col min="7427" max="7429" width="7.28515625" style="168" customWidth="1"/>
    <col min="7430" max="7435" width="0" style="168" hidden="1" customWidth="1"/>
    <col min="7436" max="7436" width="9.7109375" style="168" customWidth="1"/>
    <col min="7437" max="7438" width="11.42578125" style="168"/>
    <col min="7439" max="7439" width="12.42578125" style="168" bestFit="1" customWidth="1"/>
    <col min="7440" max="7675" width="11.42578125" style="168"/>
    <col min="7676" max="7676" width="18.140625" style="168" customWidth="1"/>
    <col min="7677" max="7677" width="7.85546875" style="168" bestFit="1" customWidth="1"/>
    <col min="7678" max="7678" width="7.28515625" style="168" bestFit="1" customWidth="1"/>
    <col min="7679" max="7680" width="7.28515625" style="168" customWidth="1"/>
    <col min="7681" max="7682" width="7.28515625" style="168" bestFit="1" customWidth="1"/>
    <col min="7683" max="7685" width="7.28515625" style="168" customWidth="1"/>
    <col min="7686" max="7691" width="0" style="168" hidden="1" customWidth="1"/>
    <col min="7692" max="7692" width="9.7109375" style="168" customWidth="1"/>
    <col min="7693" max="7694" width="11.42578125" style="168"/>
    <col min="7695" max="7695" width="12.42578125" style="168" bestFit="1" customWidth="1"/>
    <col min="7696" max="7931" width="11.42578125" style="168"/>
    <col min="7932" max="7932" width="18.140625" style="168" customWidth="1"/>
    <col min="7933" max="7933" width="7.85546875" style="168" bestFit="1" customWidth="1"/>
    <col min="7934" max="7934" width="7.28515625" style="168" bestFit="1" customWidth="1"/>
    <col min="7935" max="7936" width="7.28515625" style="168" customWidth="1"/>
    <col min="7937" max="7938" width="7.28515625" style="168" bestFit="1" customWidth="1"/>
    <col min="7939" max="7941" width="7.28515625" style="168" customWidth="1"/>
    <col min="7942" max="7947" width="0" style="168" hidden="1" customWidth="1"/>
    <col min="7948" max="7948" width="9.7109375" style="168" customWidth="1"/>
    <col min="7949" max="7950" width="11.42578125" style="168"/>
    <col min="7951" max="7951" width="12.42578125" style="168" bestFit="1" customWidth="1"/>
    <col min="7952" max="8187" width="11.42578125" style="168"/>
    <col min="8188" max="8188" width="18.140625" style="168" customWidth="1"/>
    <col min="8189" max="8189" width="7.85546875" style="168" bestFit="1" customWidth="1"/>
    <col min="8190" max="8190" width="7.28515625" style="168" bestFit="1" customWidth="1"/>
    <col min="8191" max="8192" width="7.28515625" style="168" customWidth="1"/>
    <col min="8193" max="8194" width="7.28515625" style="168" bestFit="1" customWidth="1"/>
    <col min="8195" max="8197" width="7.28515625" style="168" customWidth="1"/>
    <col min="8198" max="8203" width="0" style="168" hidden="1" customWidth="1"/>
    <col min="8204" max="8204" width="9.7109375" style="168" customWidth="1"/>
    <col min="8205" max="8206" width="11.42578125" style="168"/>
    <col min="8207" max="8207" width="12.42578125" style="168" bestFit="1" customWidth="1"/>
    <col min="8208" max="8443" width="11.42578125" style="168"/>
    <col min="8444" max="8444" width="18.140625" style="168" customWidth="1"/>
    <col min="8445" max="8445" width="7.85546875" style="168" bestFit="1" customWidth="1"/>
    <col min="8446" max="8446" width="7.28515625" style="168" bestFit="1" customWidth="1"/>
    <col min="8447" max="8448" width="7.28515625" style="168" customWidth="1"/>
    <col min="8449" max="8450" width="7.28515625" style="168" bestFit="1" customWidth="1"/>
    <col min="8451" max="8453" width="7.28515625" style="168" customWidth="1"/>
    <col min="8454" max="8459" width="0" style="168" hidden="1" customWidth="1"/>
    <col min="8460" max="8460" width="9.7109375" style="168" customWidth="1"/>
    <col min="8461" max="8462" width="11.42578125" style="168"/>
    <col min="8463" max="8463" width="12.42578125" style="168" bestFit="1" customWidth="1"/>
    <col min="8464" max="8699" width="11.42578125" style="168"/>
    <col min="8700" max="8700" width="18.140625" style="168" customWidth="1"/>
    <col min="8701" max="8701" width="7.85546875" style="168" bestFit="1" customWidth="1"/>
    <col min="8702" max="8702" width="7.28515625" style="168" bestFit="1" customWidth="1"/>
    <col min="8703" max="8704" width="7.28515625" style="168" customWidth="1"/>
    <col min="8705" max="8706" width="7.28515625" style="168" bestFit="1" customWidth="1"/>
    <col min="8707" max="8709" width="7.28515625" style="168" customWidth="1"/>
    <col min="8710" max="8715" width="0" style="168" hidden="1" customWidth="1"/>
    <col min="8716" max="8716" width="9.7109375" style="168" customWidth="1"/>
    <col min="8717" max="8718" width="11.42578125" style="168"/>
    <col min="8719" max="8719" width="12.42578125" style="168" bestFit="1" customWidth="1"/>
    <col min="8720" max="8955" width="11.42578125" style="168"/>
    <col min="8956" max="8956" width="18.140625" style="168" customWidth="1"/>
    <col min="8957" max="8957" width="7.85546875" style="168" bestFit="1" customWidth="1"/>
    <col min="8958" max="8958" width="7.28515625" style="168" bestFit="1" customWidth="1"/>
    <col min="8959" max="8960" width="7.28515625" style="168" customWidth="1"/>
    <col min="8961" max="8962" width="7.28515625" style="168" bestFit="1" customWidth="1"/>
    <col min="8963" max="8965" width="7.28515625" style="168" customWidth="1"/>
    <col min="8966" max="8971" width="0" style="168" hidden="1" customWidth="1"/>
    <col min="8972" max="8972" width="9.7109375" style="168" customWidth="1"/>
    <col min="8973" max="8974" width="11.42578125" style="168"/>
    <col min="8975" max="8975" width="12.42578125" style="168" bestFit="1" customWidth="1"/>
    <col min="8976" max="9211" width="11.42578125" style="168"/>
    <col min="9212" max="9212" width="18.140625" style="168" customWidth="1"/>
    <col min="9213" max="9213" width="7.85546875" style="168" bestFit="1" customWidth="1"/>
    <col min="9214" max="9214" width="7.28515625" style="168" bestFit="1" customWidth="1"/>
    <col min="9215" max="9216" width="7.28515625" style="168" customWidth="1"/>
    <col min="9217" max="9218" width="7.28515625" style="168" bestFit="1" customWidth="1"/>
    <col min="9219" max="9221" width="7.28515625" style="168" customWidth="1"/>
    <col min="9222" max="9227" width="0" style="168" hidden="1" customWidth="1"/>
    <col min="9228" max="9228" width="9.7109375" style="168" customWidth="1"/>
    <col min="9229" max="9230" width="11.42578125" style="168"/>
    <col min="9231" max="9231" width="12.42578125" style="168" bestFit="1" customWidth="1"/>
    <col min="9232" max="9467" width="11.42578125" style="168"/>
    <col min="9468" max="9468" width="18.140625" style="168" customWidth="1"/>
    <col min="9469" max="9469" width="7.85546875" style="168" bestFit="1" customWidth="1"/>
    <col min="9470" max="9470" width="7.28515625" style="168" bestFit="1" customWidth="1"/>
    <col min="9471" max="9472" width="7.28515625" style="168" customWidth="1"/>
    <col min="9473" max="9474" width="7.28515625" style="168" bestFit="1" customWidth="1"/>
    <col min="9475" max="9477" width="7.28515625" style="168" customWidth="1"/>
    <col min="9478" max="9483" width="0" style="168" hidden="1" customWidth="1"/>
    <col min="9484" max="9484" width="9.7109375" style="168" customWidth="1"/>
    <col min="9485" max="9486" width="11.42578125" style="168"/>
    <col min="9487" max="9487" width="12.42578125" style="168" bestFit="1" customWidth="1"/>
    <col min="9488" max="9723" width="11.42578125" style="168"/>
    <col min="9724" max="9724" width="18.140625" style="168" customWidth="1"/>
    <col min="9725" max="9725" width="7.85546875" style="168" bestFit="1" customWidth="1"/>
    <col min="9726" max="9726" width="7.28515625" style="168" bestFit="1" customWidth="1"/>
    <col min="9727" max="9728" width="7.28515625" style="168" customWidth="1"/>
    <col min="9729" max="9730" width="7.28515625" style="168" bestFit="1" customWidth="1"/>
    <col min="9731" max="9733" width="7.28515625" style="168" customWidth="1"/>
    <col min="9734" max="9739" width="0" style="168" hidden="1" customWidth="1"/>
    <col min="9740" max="9740" width="9.7109375" style="168" customWidth="1"/>
    <col min="9741" max="9742" width="11.42578125" style="168"/>
    <col min="9743" max="9743" width="12.42578125" style="168" bestFit="1" customWidth="1"/>
    <col min="9744" max="9979" width="11.42578125" style="168"/>
    <col min="9980" max="9980" width="18.140625" style="168" customWidth="1"/>
    <col min="9981" max="9981" width="7.85546875" style="168" bestFit="1" customWidth="1"/>
    <col min="9982" max="9982" width="7.28515625" style="168" bestFit="1" customWidth="1"/>
    <col min="9983" max="9984" width="7.28515625" style="168" customWidth="1"/>
    <col min="9985" max="9986" width="7.28515625" style="168" bestFit="1" customWidth="1"/>
    <col min="9987" max="9989" width="7.28515625" style="168" customWidth="1"/>
    <col min="9990" max="9995" width="0" style="168" hidden="1" customWidth="1"/>
    <col min="9996" max="9996" width="9.7109375" style="168" customWidth="1"/>
    <col min="9997" max="9998" width="11.42578125" style="168"/>
    <col min="9999" max="9999" width="12.42578125" style="168" bestFit="1" customWidth="1"/>
    <col min="10000" max="10235" width="11.42578125" style="168"/>
    <col min="10236" max="10236" width="18.140625" style="168" customWidth="1"/>
    <col min="10237" max="10237" width="7.85546875" style="168" bestFit="1" customWidth="1"/>
    <col min="10238" max="10238" width="7.28515625" style="168" bestFit="1" customWidth="1"/>
    <col min="10239" max="10240" width="7.28515625" style="168" customWidth="1"/>
    <col min="10241" max="10242" width="7.28515625" style="168" bestFit="1" customWidth="1"/>
    <col min="10243" max="10245" width="7.28515625" style="168" customWidth="1"/>
    <col min="10246" max="10251" width="0" style="168" hidden="1" customWidth="1"/>
    <col min="10252" max="10252" width="9.7109375" style="168" customWidth="1"/>
    <col min="10253" max="10254" width="11.42578125" style="168"/>
    <col min="10255" max="10255" width="12.42578125" style="168" bestFit="1" customWidth="1"/>
    <col min="10256" max="10491" width="11.42578125" style="168"/>
    <col min="10492" max="10492" width="18.140625" style="168" customWidth="1"/>
    <col min="10493" max="10493" width="7.85546875" style="168" bestFit="1" customWidth="1"/>
    <col min="10494" max="10494" width="7.28515625" style="168" bestFit="1" customWidth="1"/>
    <col min="10495" max="10496" width="7.28515625" style="168" customWidth="1"/>
    <col min="10497" max="10498" width="7.28515625" style="168" bestFit="1" customWidth="1"/>
    <col min="10499" max="10501" width="7.28515625" style="168" customWidth="1"/>
    <col min="10502" max="10507" width="0" style="168" hidden="1" customWidth="1"/>
    <col min="10508" max="10508" width="9.7109375" style="168" customWidth="1"/>
    <col min="10509" max="10510" width="11.42578125" style="168"/>
    <col min="10511" max="10511" width="12.42578125" style="168" bestFit="1" customWidth="1"/>
    <col min="10512" max="10747" width="11.42578125" style="168"/>
    <col min="10748" max="10748" width="18.140625" style="168" customWidth="1"/>
    <col min="10749" max="10749" width="7.85546875" style="168" bestFit="1" customWidth="1"/>
    <col min="10750" max="10750" width="7.28515625" style="168" bestFit="1" customWidth="1"/>
    <col min="10751" max="10752" width="7.28515625" style="168" customWidth="1"/>
    <col min="10753" max="10754" width="7.28515625" style="168" bestFit="1" customWidth="1"/>
    <col min="10755" max="10757" width="7.28515625" style="168" customWidth="1"/>
    <col min="10758" max="10763" width="0" style="168" hidden="1" customWidth="1"/>
    <col min="10764" max="10764" width="9.7109375" style="168" customWidth="1"/>
    <col min="10765" max="10766" width="11.42578125" style="168"/>
    <col min="10767" max="10767" width="12.42578125" style="168" bestFit="1" customWidth="1"/>
    <col min="10768" max="11003" width="11.42578125" style="168"/>
    <col min="11004" max="11004" width="18.140625" style="168" customWidth="1"/>
    <col min="11005" max="11005" width="7.85546875" style="168" bestFit="1" customWidth="1"/>
    <col min="11006" max="11006" width="7.28515625" style="168" bestFit="1" customWidth="1"/>
    <col min="11007" max="11008" width="7.28515625" style="168" customWidth="1"/>
    <col min="11009" max="11010" width="7.28515625" style="168" bestFit="1" customWidth="1"/>
    <col min="11011" max="11013" width="7.28515625" style="168" customWidth="1"/>
    <col min="11014" max="11019" width="0" style="168" hidden="1" customWidth="1"/>
    <col min="11020" max="11020" width="9.7109375" style="168" customWidth="1"/>
    <col min="11021" max="11022" width="11.42578125" style="168"/>
    <col min="11023" max="11023" width="12.42578125" style="168" bestFit="1" customWidth="1"/>
    <col min="11024" max="11259" width="11.42578125" style="168"/>
    <col min="11260" max="11260" width="18.140625" style="168" customWidth="1"/>
    <col min="11261" max="11261" width="7.85546875" style="168" bestFit="1" customWidth="1"/>
    <col min="11262" max="11262" width="7.28515625" style="168" bestFit="1" customWidth="1"/>
    <col min="11263" max="11264" width="7.28515625" style="168" customWidth="1"/>
    <col min="11265" max="11266" width="7.28515625" style="168" bestFit="1" customWidth="1"/>
    <col min="11267" max="11269" width="7.28515625" style="168" customWidth="1"/>
    <col min="11270" max="11275" width="0" style="168" hidden="1" customWidth="1"/>
    <col min="11276" max="11276" width="9.7109375" style="168" customWidth="1"/>
    <col min="11277" max="11278" width="11.42578125" style="168"/>
    <col min="11279" max="11279" width="12.42578125" style="168" bestFit="1" customWidth="1"/>
    <col min="11280" max="11515" width="11.42578125" style="168"/>
    <col min="11516" max="11516" width="18.140625" style="168" customWidth="1"/>
    <col min="11517" max="11517" width="7.85546875" style="168" bestFit="1" customWidth="1"/>
    <col min="11518" max="11518" width="7.28515625" style="168" bestFit="1" customWidth="1"/>
    <col min="11519" max="11520" width="7.28515625" style="168" customWidth="1"/>
    <col min="11521" max="11522" width="7.28515625" style="168" bestFit="1" customWidth="1"/>
    <col min="11523" max="11525" width="7.28515625" style="168" customWidth="1"/>
    <col min="11526" max="11531" width="0" style="168" hidden="1" customWidth="1"/>
    <col min="11532" max="11532" width="9.7109375" style="168" customWidth="1"/>
    <col min="11533" max="11534" width="11.42578125" style="168"/>
    <col min="11535" max="11535" width="12.42578125" style="168" bestFit="1" customWidth="1"/>
    <col min="11536" max="11771" width="11.42578125" style="168"/>
    <col min="11772" max="11772" width="18.140625" style="168" customWidth="1"/>
    <col min="11773" max="11773" width="7.85546875" style="168" bestFit="1" customWidth="1"/>
    <col min="11774" max="11774" width="7.28515625" style="168" bestFit="1" customWidth="1"/>
    <col min="11775" max="11776" width="7.28515625" style="168" customWidth="1"/>
    <col min="11777" max="11778" width="7.28515625" style="168" bestFit="1" customWidth="1"/>
    <col min="11779" max="11781" width="7.28515625" style="168" customWidth="1"/>
    <col min="11782" max="11787" width="0" style="168" hidden="1" customWidth="1"/>
    <col min="11788" max="11788" width="9.7109375" style="168" customWidth="1"/>
    <col min="11789" max="11790" width="11.42578125" style="168"/>
    <col min="11791" max="11791" width="12.42578125" style="168" bestFit="1" customWidth="1"/>
    <col min="11792" max="12027" width="11.42578125" style="168"/>
    <col min="12028" max="12028" width="18.140625" style="168" customWidth="1"/>
    <col min="12029" max="12029" width="7.85546875" style="168" bestFit="1" customWidth="1"/>
    <col min="12030" max="12030" width="7.28515625" style="168" bestFit="1" customWidth="1"/>
    <col min="12031" max="12032" width="7.28515625" style="168" customWidth="1"/>
    <col min="12033" max="12034" width="7.28515625" style="168" bestFit="1" customWidth="1"/>
    <col min="12035" max="12037" width="7.28515625" style="168" customWidth="1"/>
    <col min="12038" max="12043" width="0" style="168" hidden="1" customWidth="1"/>
    <col min="12044" max="12044" width="9.7109375" style="168" customWidth="1"/>
    <col min="12045" max="12046" width="11.42578125" style="168"/>
    <col min="12047" max="12047" width="12.42578125" style="168" bestFit="1" customWidth="1"/>
    <col min="12048" max="12283" width="11.42578125" style="168"/>
    <col min="12284" max="12284" width="18.140625" style="168" customWidth="1"/>
    <col min="12285" max="12285" width="7.85546875" style="168" bestFit="1" customWidth="1"/>
    <col min="12286" max="12286" width="7.28515625" style="168" bestFit="1" customWidth="1"/>
    <col min="12287" max="12288" width="7.28515625" style="168" customWidth="1"/>
    <col min="12289" max="12290" width="7.28515625" style="168" bestFit="1" customWidth="1"/>
    <col min="12291" max="12293" width="7.28515625" style="168" customWidth="1"/>
    <col min="12294" max="12299" width="0" style="168" hidden="1" customWidth="1"/>
    <col min="12300" max="12300" width="9.7109375" style="168" customWidth="1"/>
    <col min="12301" max="12302" width="11.42578125" style="168"/>
    <col min="12303" max="12303" width="12.42578125" style="168" bestFit="1" customWidth="1"/>
    <col min="12304" max="12539" width="11.42578125" style="168"/>
    <col min="12540" max="12540" width="18.140625" style="168" customWidth="1"/>
    <col min="12541" max="12541" width="7.85546875" style="168" bestFit="1" customWidth="1"/>
    <col min="12542" max="12542" width="7.28515625" style="168" bestFit="1" customWidth="1"/>
    <col min="12543" max="12544" width="7.28515625" style="168" customWidth="1"/>
    <col min="12545" max="12546" width="7.28515625" style="168" bestFit="1" customWidth="1"/>
    <col min="12547" max="12549" width="7.28515625" style="168" customWidth="1"/>
    <col min="12550" max="12555" width="0" style="168" hidden="1" customWidth="1"/>
    <col min="12556" max="12556" width="9.7109375" style="168" customWidth="1"/>
    <col min="12557" max="12558" width="11.42578125" style="168"/>
    <col min="12559" max="12559" width="12.42578125" style="168" bestFit="1" customWidth="1"/>
    <col min="12560" max="12795" width="11.42578125" style="168"/>
    <col min="12796" max="12796" width="18.140625" style="168" customWidth="1"/>
    <col min="12797" max="12797" width="7.85546875" style="168" bestFit="1" customWidth="1"/>
    <col min="12798" max="12798" width="7.28515625" style="168" bestFit="1" customWidth="1"/>
    <col min="12799" max="12800" width="7.28515625" style="168" customWidth="1"/>
    <col min="12801" max="12802" width="7.28515625" style="168" bestFit="1" customWidth="1"/>
    <col min="12803" max="12805" width="7.28515625" style="168" customWidth="1"/>
    <col min="12806" max="12811" width="0" style="168" hidden="1" customWidth="1"/>
    <col min="12812" max="12812" width="9.7109375" style="168" customWidth="1"/>
    <col min="12813" max="12814" width="11.42578125" style="168"/>
    <col min="12815" max="12815" width="12.42578125" style="168" bestFit="1" customWidth="1"/>
    <col min="12816" max="13051" width="11.42578125" style="168"/>
    <col min="13052" max="13052" width="18.140625" style="168" customWidth="1"/>
    <col min="13053" max="13053" width="7.85546875" style="168" bestFit="1" customWidth="1"/>
    <col min="13054" max="13054" width="7.28515625" style="168" bestFit="1" customWidth="1"/>
    <col min="13055" max="13056" width="7.28515625" style="168" customWidth="1"/>
    <col min="13057" max="13058" width="7.28515625" style="168" bestFit="1" customWidth="1"/>
    <col min="13059" max="13061" width="7.28515625" style="168" customWidth="1"/>
    <col min="13062" max="13067" width="0" style="168" hidden="1" customWidth="1"/>
    <col min="13068" max="13068" width="9.7109375" style="168" customWidth="1"/>
    <col min="13069" max="13070" width="11.42578125" style="168"/>
    <col min="13071" max="13071" width="12.42578125" style="168" bestFit="1" customWidth="1"/>
    <col min="13072" max="13307" width="11.42578125" style="168"/>
    <col min="13308" max="13308" width="18.140625" style="168" customWidth="1"/>
    <col min="13309" max="13309" width="7.85546875" style="168" bestFit="1" customWidth="1"/>
    <col min="13310" max="13310" width="7.28515625" style="168" bestFit="1" customWidth="1"/>
    <col min="13311" max="13312" width="7.28515625" style="168" customWidth="1"/>
    <col min="13313" max="13314" width="7.28515625" style="168" bestFit="1" customWidth="1"/>
    <col min="13315" max="13317" width="7.28515625" style="168" customWidth="1"/>
    <col min="13318" max="13323" width="0" style="168" hidden="1" customWidth="1"/>
    <col min="13324" max="13324" width="9.7109375" style="168" customWidth="1"/>
    <col min="13325" max="13326" width="11.42578125" style="168"/>
    <col min="13327" max="13327" width="12.42578125" style="168" bestFit="1" customWidth="1"/>
    <col min="13328" max="13563" width="11.42578125" style="168"/>
    <col min="13564" max="13564" width="18.140625" style="168" customWidth="1"/>
    <col min="13565" max="13565" width="7.85546875" style="168" bestFit="1" customWidth="1"/>
    <col min="13566" max="13566" width="7.28515625" style="168" bestFit="1" customWidth="1"/>
    <col min="13567" max="13568" width="7.28515625" style="168" customWidth="1"/>
    <col min="13569" max="13570" width="7.28515625" style="168" bestFit="1" customWidth="1"/>
    <col min="13571" max="13573" width="7.28515625" style="168" customWidth="1"/>
    <col min="13574" max="13579" width="0" style="168" hidden="1" customWidth="1"/>
    <col min="13580" max="13580" width="9.7109375" style="168" customWidth="1"/>
    <col min="13581" max="13582" width="11.42578125" style="168"/>
    <col min="13583" max="13583" width="12.42578125" style="168" bestFit="1" customWidth="1"/>
    <col min="13584" max="13819" width="11.42578125" style="168"/>
    <col min="13820" max="13820" width="18.140625" style="168" customWidth="1"/>
    <col min="13821" max="13821" width="7.85546875" style="168" bestFit="1" customWidth="1"/>
    <col min="13822" max="13822" width="7.28515625" style="168" bestFit="1" customWidth="1"/>
    <col min="13823" max="13824" width="7.28515625" style="168" customWidth="1"/>
    <col min="13825" max="13826" width="7.28515625" style="168" bestFit="1" customWidth="1"/>
    <col min="13827" max="13829" width="7.28515625" style="168" customWidth="1"/>
    <col min="13830" max="13835" width="0" style="168" hidden="1" customWidth="1"/>
    <col min="13836" max="13836" width="9.7109375" style="168" customWidth="1"/>
    <col min="13837" max="13838" width="11.42578125" style="168"/>
    <col min="13839" max="13839" width="12.42578125" style="168" bestFit="1" customWidth="1"/>
    <col min="13840" max="14075" width="11.42578125" style="168"/>
    <col min="14076" max="14076" width="18.140625" style="168" customWidth="1"/>
    <col min="14077" max="14077" width="7.85546875" style="168" bestFit="1" customWidth="1"/>
    <col min="14078" max="14078" width="7.28515625" style="168" bestFit="1" customWidth="1"/>
    <col min="14079" max="14080" width="7.28515625" style="168" customWidth="1"/>
    <col min="14081" max="14082" width="7.28515625" style="168" bestFit="1" customWidth="1"/>
    <col min="14083" max="14085" width="7.28515625" style="168" customWidth="1"/>
    <col min="14086" max="14091" width="0" style="168" hidden="1" customWidth="1"/>
    <col min="14092" max="14092" width="9.7109375" style="168" customWidth="1"/>
    <col min="14093" max="14094" width="11.42578125" style="168"/>
    <col min="14095" max="14095" width="12.42578125" style="168" bestFit="1" customWidth="1"/>
    <col min="14096" max="14331" width="11.42578125" style="168"/>
    <col min="14332" max="14332" width="18.140625" style="168" customWidth="1"/>
    <col min="14333" max="14333" width="7.85546875" style="168" bestFit="1" customWidth="1"/>
    <col min="14334" max="14334" width="7.28515625" style="168" bestFit="1" customWidth="1"/>
    <col min="14335" max="14336" width="7.28515625" style="168" customWidth="1"/>
    <col min="14337" max="14338" width="7.28515625" style="168" bestFit="1" customWidth="1"/>
    <col min="14339" max="14341" width="7.28515625" style="168" customWidth="1"/>
    <col min="14342" max="14347" width="0" style="168" hidden="1" customWidth="1"/>
    <col min="14348" max="14348" width="9.7109375" style="168" customWidth="1"/>
    <col min="14349" max="14350" width="11.42578125" style="168"/>
    <col min="14351" max="14351" width="12.42578125" style="168" bestFit="1" customWidth="1"/>
    <col min="14352" max="14587" width="11.42578125" style="168"/>
    <col min="14588" max="14588" width="18.140625" style="168" customWidth="1"/>
    <col min="14589" max="14589" width="7.85546875" style="168" bestFit="1" customWidth="1"/>
    <col min="14590" max="14590" width="7.28515625" style="168" bestFit="1" customWidth="1"/>
    <col min="14591" max="14592" width="7.28515625" style="168" customWidth="1"/>
    <col min="14593" max="14594" width="7.28515625" style="168" bestFit="1" customWidth="1"/>
    <col min="14595" max="14597" width="7.28515625" style="168" customWidth="1"/>
    <col min="14598" max="14603" width="0" style="168" hidden="1" customWidth="1"/>
    <col min="14604" max="14604" width="9.7109375" style="168" customWidth="1"/>
    <col min="14605" max="14606" width="11.42578125" style="168"/>
    <col min="14607" max="14607" width="12.42578125" style="168" bestFit="1" customWidth="1"/>
    <col min="14608" max="14843" width="11.42578125" style="168"/>
    <col min="14844" max="14844" width="18.140625" style="168" customWidth="1"/>
    <col min="14845" max="14845" width="7.85546875" style="168" bestFit="1" customWidth="1"/>
    <col min="14846" max="14846" width="7.28515625" style="168" bestFit="1" customWidth="1"/>
    <col min="14847" max="14848" width="7.28515625" style="168" customWidth="1"/>
    <col min="14849" max="14850" width="7.28515625" style="168" bestFit="1" customWidth="1"/>
    <col min="14851" max="14853" width="7.28515625" style="168" customWidth="1"/>
    <col min="14854" max="14859" width="0" style="168" hidden="1" customWidth="1"/>
    <col min="14860" max="14860" width="9.7109375" style="168" customWidth="1"/>
    <col min="14861" max="14862" width="11.42578125" style="168"/>
    <col min="14863" max="14863" width="12.42578125" style="168" bestFit="1" customWidth="1"/>
    <col min="14864" max="15099" width="11.42578125" style="168"/>
    <col min="15100" max="15100" width="18.140625" style="168" customWidth="1"/>
    <col min="15101" max="15101" width="7.85546875" style="168" bestFit="1" customWidth="1"/>
    <col min="15102" max="15102" width="7.28515625" style="168" bestFit="1" customWidth="1"/>
    <col min="15103" max="15104" width="7.28515625" style="168" customWidth="1"/>
    <col min="15105" max="15106" width="7.28515625" style="168" bestFit="1" customWidth="1"/>
    <col min="15107" max="15109" width="7.28515625" style="168" customWidth="1"/>
    <col min="15110" max="15115" width="0" style="168" hidden="1" customWidth="1"/>
    <col min="15116" max="15116" width="9.7109375" style="168" customWidth="1"/>
    <col min="15117" max="15118" width="11.42578125" style="168"/>
    <col min="15119" max="15119" width="12.42578125" style="168" bestFit="1" customWidth="1"/>
    <col min="15120" max="15355" width="11.42578125" style="168"/>
    <col min="15356" max="15356" width="18.140625" style="168" customWidth="1"/>
    <col min="15357" max="15357" width="7.85546875" style="168" bestFit="1" customWidth="1"/>
    <col min="15358" max="15358" width="7.28515625" style="168" bestFit="1" customWidth="1"/>
    <col min="15359" max="15360" width="7.28515625" style="168" customWidth="1"/>
    <col min="15361" max="15362" width="7.28515625" style="168" bestFit="1" customWidth="1"/>
    <col min="15363" max="15365" width="7.28515625" style="168" customWidth="1"/>
    <col min="15366" max="15371" width="0" style="168" hidden="1" customWidth="1"/>
    <col min="15372" max="15372" width="9.7109375" style="168" customWidth="1"/>
    <col min="15373" max="15374" width="11.42578125" style="168"/>
    <col min="15375" max="15375" width="12.42578125" style="168" bestFit="1" customWidth="1"/>
    <col min="15376" max="15611" width="11.42578125" style="168"/>
    <col min="15612" max="15612" width="18.140625" style="168" customWidth="1"/>
    <col min="15613" max="15613" width="7.85546875" style="168" bestFit="1" customWidth="1"/>
    <col min="15614" max="15614" width="7.28515625" style="168" bestFit="1" customWidth="1"/>
    <col min="15615" max="15616" width="7.28515625" style="168" customWidth="1"/>
    <col min="15617" max="15618" width="7.28515625" style="168" bestFit="1" customWidth="1"/>
    <col min="15619" max="15621" width="7.28515625" style="168" customWidth="1"/>
    <col min="15622" max="15627" width="0" style="168" hidden="1" customWidth="1"/>
    <col min="15628" max="15628" width="9.7109375" style="168" customWidth="1"/>
    <col min="15629" max="15630" width="11.42578125" style="168"/>
    <col min="15631" max="15631" width="12.42578125" style="168" bestFit="1" customWidth="1"/>
    <col min="15632" max="15867" width="11.42578125" style="168"/>
    <col min="15868" max="15868" width="18.140625" style="168" customWidth="1"/>
    <col min="15869" max="15869" width="7.85546875" style="168" bestFit="1" customWidth="1"/>
    <col min="15870" max="15870" width="7.28515625" style="168" bestFit="1" customWidth="1"/>
    <col min="15871" max="15872" width="7.28515625" style="168" customWidth="1"/>
    <col min="15873" max="15874" width="7.28515625" style="168" bestFit="1" customWidth="1"/>
    <col min="15875" max="15877" width="7.28515625" style="168" customWidth="1"/>
    <col min="15878" max="15883" width="0" style="168" hidden="1" customWidth="1"/>
    <col min="15884" max="15884" width="9.7109375" style="168" customWidth="1"/>
    <col min="15885" max="15886" width="11.42578125" style="168"/>
    <col min="15887" max="15887" width="12.42578125" style="168" bestFit="1" customWidth="1"/>
    <col min="15888" max="16123" width="11.42578125" style="168"/>
    <col min="16124" max="16124" width="18.140625" style="168" customWidth="1"/>
    <col min="16125" max="16125" width="7.85546875" style="168" bestFit="1" customWidth="1"/>
    <col min="16126" max="16126" width="7.28515625" style="168" bestFit="1" customWidth="1"/>
    <col min="16127" max="16128" width="7.28515625" style="168" customWidth="1"/>
    <col min="16129" max="16130" width="7.28515625" style="168" bestFit="1" customWidth="1"/>
    <col min="16131" max="16133" width="7.28515625" style="168" customWidth="1"/>
    <col min="16134" max="16139" width="0" style="168" hidden="1" customWidth="1"/>
    <col min="16140" max="16140" width="9.7109375" style="168" customWidth="1"/>
    <col min="16141" max="16142" width="11.42578125" style="168"/>
    <col min="16143" max="16143" width="12.42578125" style="168" bestFit="1" customWidth="1"/>
    <col min="16144" max="16384" width="11.42578125" style="168"/>
  </cols>
  <sheetData>
    <row r="1" spans="1:17" s="169" customFormat="1" x14ac:dyDescent="0.2">
      <c r="B1" s="182"/>
      <c r="C1" s="182"/>
      <c r="D1" s="182"/>
      <c r="E1" s="182"/>
      <c r="F1" s="182"/>
      <c r="G1" s="182"/>
      <c r="H1" s="182"/>
      <c r="I1" s="182"/>
      <c r="J1" s="182"/>
      <c r="K1" s="182"/>
      <c r="L1" s="182"/>
    </row>
    <row r="2" spans="1:17" s="169" customFormat="1" x14ac:dyDescent="0.2">
      <c r="A2" s="196" t="s">
        <v>121</v>
      </c>
      <c r="B2" s="182"/>
      <c r="C2" s="182"/>
      <c r="D2" s="182"/>
      <c r="E2" s="182"/>
      <c r="F2" s="182"/>
      <c r="G2" s="182"/>
      <c r="H2" s="182"/>
      <c r="I2" s="182"/>
      <c r="K2" s="182"/>
      <c r="L2" s="182"/>
    </row>
    <row r="3" spans="1:17" s="169" customFormat="1" ht="15" x14ac:dyDescent="0.25">
      <c r="A3" s="196" t="s">
        <v>122</v>
      </c>
      <c r="B3" s="182"/>
      <c r="C3" s="182"/>
      <c r="D3" s="182"/>
      <c r="E3" s="182"/>
      <c r="F3" s="182"/>
      <c r="G3" s="182"/>
      <c r="H3" s="182"/>
      <c r="I3" s="182"/>
      <c r="J3" s="337"/>
      <c r="K3" s="182"/>
      <c r="L3" s="182"/>
    </row>
    <row r="4" spans="1:17" s="169" customFormat="1" x14ac:dyDescent="0.2">
      <c r="B4" s="182"/>
      <c r="C4" s="182"/>
      <c r="D4" s="182"/>
      <c r="E4" s="182"/>
      <c r="F4" s="182"/>
      <c r="G4" s="182"/>
      <c r="H4" s="182"/>
      <c r="I4" s="182"/>
      <c r="J4" s="182"/>
      <c r="K4" s="182"/>
      <c r="L4" s="182"/>
    </row>
    <row r="5" spans="1:17" s="169" customFormat="1" ht="12.75" x14ac:dyDescent="0.2">
      <c r="B5" s="418" t="s">
        <v>105</v>
      </c>
      <c r="C5" s="418"/>
      <c r="D5" s="418"/>
      <c r="E5" s="418"/>
      <c r="F5" s="418"/>
      <c r="G5" s="418"/>
      <c r="H5" s="418"/>
      <c r="I5" s="418"/>
      <c r="J5" s="418"/>
      <c r="K5" s="418"/>
      <c r="M5" s="367" t="s">
        <v>593</v>
      </c>
      <c r="O5" s="338"/>
    </row>
    <row r="6" spans="1:17" s="169" customFormat="1" ht="12.75" x14ac:dyDescent="0.2">
      <c r="B6" s="431" t="str">
        <f>'Solicitudes Regiones'!$B$6:$P$6</f>
        <v>Acumuladas de julio de 2008 a noviembre de 2018</v>
      </c>
      <c r="C6" s="431"/>
      <c r="D6" s="431"/>
      <c r="E6" s="431"/>
      <c r="F6" s="431"/>
      <c r="G6" s="431"/>
      <c r="H6" s="431"/>
      <c r="I6" s="431"/>
      <c r="J6" s="431"/>
      <c r="K6" s="431"/>
      <c r="L6" s="210"/>
    </row>
    <row r="7" spans="1:17" s="172" customFormat="1" x14ac:dyDescent="0.2">
      <c r="B7" s="170"/>
      <c r="C7" s="171"/>
      <c r="D7" s="171"/>
      <c r="E7" s="171"/>
      <c r="F7" s="171"/>
      <c r="G7" s="171"/>
      <c r="H7" s="171"/>
      <c r="I7" s="171"/>
      <c r="J7" s="171"/>
      <c r="K7" s="171"/>
      <c r="L7" s="171"/>
    </row>
    <row r="8" spans="1:17" ht="15" customHeight="1" x14ac:dyDescent="0.2">
      <c r="B8" s="447" t="s">
        <v>73</v>
      </c>
      <c r="C8" s="448"/>
      <c r="D8" s="448"/>
      <c r="E8" s="448"/>
      <c r="F8" s="448"/>
      <c r="G8" s="448"/>
      <c r="H8" s="448"/>
      <c r="I8" s="448"/>
      <c r="J8" s="448"/>
      <c r="K8" s="449"/>
      <c r="L8" s="187"/>
    </row>
    <row r="9" spans="1:17" ht="20.25" customHeight="1" x14ac:dyDescent="0.2">
      <c r="B9" s="446" t="s">
        <v>74</v>
      </c>
      <c r="C9" s="447" t="s">
        <v>2</v>
      </c>
      <c r="D9" s="448"/>
      <c r="E9" s="448"/>
      <c r="F9" s="448"/>
      <c r="G9" s="448"/>
      <c r="H9" s="448"/>
      <c r="I9" s="448"/>
      <c r="J9" s="448"/>
      <c r="K9" s="449"/>
    </row>
    <row r="10" spans="1:17" ht="24" x14ac:dyDescent="0.2">
      <c r="B10" s="446"/>
      <c r="C10" s="165" t="s">
        <v>75</v>
      </c>
      <c r="D10" s="165" t="s">
        <v>76</v>
      </c>
      <c r="E10" s="165" t="s">
        <v>77</v>
      </c>
      <c r="F10" s="165" t="s">
        <v>78</v>
      </c>
      <c r="G10" s="165" t="s">
        <v>8</v>
      </c>
      <c r="H10" s="165" t="s">
        <v>79</v>
      </c>
      <c r="I10" s="165" t="s">
        <v>80</v>
      </c>
      <c r="J10" s="165" t="s">
        <v>81</v>
      </c>
      <c r="K10" s="226" t="s">
        <v>46</v>
      </c>
    </row>
    <row r="11" spans="1:17" x14ac:dyDescent="0.2">
      <c r="B11" s="162" t="s">
        <v>220</v>
      </c>
      <c r="C11" s="160">
        <v>5350</v>
      </c>
      <c r="D11" s="160">
        <v>2815</v>
      </c>
      <c r="E11" s="160">
        <f>C11+D11</f>
        <v>8165</v>
      </c>
      <c r="F11" s="161">
        <f>E11/$E$44</f>
        <v>0.2212977016478751</v>
      </c>
      <c r="G11" s="160">
        <v>17062</v>
      </c>
      <c r="H11" s="160">
        <v>1454</v>
      </c>
      <c r="I11" s="160">
        <f>G11+H11</f>
        <v>18516</v>
      </c>
      <c r="J11" s="161">
        <f>I11/$I$44</f>
        <v>0.22919245432489974</v>
      </c>
      <c r="K11" s="160">
        <f t="shared" ref="K11:K43" si="0">E11+I11</f>
        <v>26681</v>
      </c>
      <c r="Q11" s="173"/>
    </row>
    <row r="12" spans="1:17" x14ac:dyDescent="0.2">
      <c r="B12" s="162" t="s">
        <v>221</v>
      </c>
      <c r="C12" s="160">
        <v>564</v>
      </c>
      <c r="D12" s="160">
        <v>289</v>
      </c>
      <c r="E12" s="160">
        <f t="shared" ref="E12:E43" si="1">C12+D12</f>
        <v>853</v>
      </c>
      <c r="F12" s="161">
        <f t="shared" ref="F12:F43" si="2">E12/$E$44</f>
        <v>2.3119037294015612E-2</v>
      </c>
      <c r="G12" s="160">
        <v>1793</v>
      </c>
      <c r="H12" s="160">
        <v>109</v>
      </c>
      <c r="I12" s="160">
        <f t="shared" ref="I12:I43" si="3">G12+H12</f>
        <v>1902</v>
      </c>
      <c r="J12" s="161">
        <f t="shared" ref="J12:J43" si="4">I12/$I$44</f>
        <v>2.3543100460464424E-2</v>
      </c>
      <c r="K12" s="160">
        <f t="shared" si="0"/>
        <v>2755</v>
      </c>
      <c r="Q12" s="173"/>
    </row>
    <row r="13" spans="1:17" x14ac:dyDescent="0.2">
      <c r="B13" s="162" t="s">
        <v>222</v>
      </c>
      <c r="C13" s="160">
        <v>745</v>
      </c>
      <c r="D13" s="160">
        <v>323</v>
      </c>
      <c r="E13" s="160">
        <f t="shared" si="1"/>
        <v>1068</v>
      </c>
      <c r="F13" s="161">
        <f t="shared" si="2"/>
        <v>2.8946227233304422E-2</v>
      </c>
      <c r="G13" s="160">
        <v>2324</v>
      </c>
      <c r="H13" s="160">
        <v>152</v>
      </c>
      <c r="I13" s="160">
        <f t="shared" si="3"/>
        <v>2476</v>
      </c>
      <c r="J13" s="161">
        <f t="shared" si="4"/>
        <v>3.0648116056840126E-2</v>
      </c>
      <c r="K13" s="160">
        <f t="shared" si="0"/>
        <v>3544</v>
      </c>
      <c r="Q13" s="173"/>
    </row>
    <row r="14" spans="1:17" x14ac:dyDescent="0.2">
      <c r="B14" s="162" t="s">
        <v>223</v>
      </c>
      <c r="C14" s="160">
        <v>662</v>
      </c>
      <c r="D14" s="160">
        <v>407</v>
      </c>
      <c r="E14" s="160">
        <f t="shared" si="1"/>
        <v>1069</v>
      </c>
      <c r="F14" s="161">
        <f t="shared" si="2"/>
        <v>2.897333044232437E-2</v>
      </c>
      <c r="G14" s="160">
        <v>1914</v>
      </c>
      <c r="H14" s="160">
        <v>119</v>
      </c>
      <c r="I14" s="160">
        <f t="shared" si="3"/>
        <v>2033</v>
      </c>
      <c r="J14" s="161">
        <f t="shared" si="4"/>
        <v>2.5164628410159925E-2</v>
      </c>
      <c r="K14" s="160">
        <f t="shared" si="0"/>
        <v>3102</v>
      </c>
      <c r="Q14" s="173"/>
    </row>
    <row r="15" spans="1:17" x14ac:dyDescent="0.2">
      <c r="B15" s="162" t="s">
        <v>224</v>
      </c>
      <c r="C15" s="160">
        <v>488</v>
      </c>
      <c r="D15" s="160">
        <v>287</v>
      </c>
      <c r="E15" s="160">
        <f t="shared" si="1"/>
        <v>775</v>
      </c>
      <c r="F15" s="161">
        <f t="shared" si="2"/>
        <v>2.1004986990459669E-2</v>
      </c>
      <c r="G15" s="160">
        <v>2007</v>
      </c>
      <c r="H15" s="160">
        <v>128</v>
      </c>
      <c r="I15" s="160">
        <f t="shared" si="3"/>
        <v>2135</v>
      </c>
      <c r="J15" s="161">
        <f t="shared" si="4"/>
        <v>2.6427192157251075E-2</v>
      </c>
      <c r="K15" s="160">
        <f t="shared" si="0"/>
        <v>2910</v>
      </c>
      <c r="Q15" s="173"/>
    </row>
    <row r="16" spans="1:17" x14ac:dyDescent="0.2">
      <c r="B16" s="162" t="s">
        <v>225</v>
      </c>
      <c r="C16" s="160">
        <v>212</v>
      </c>
      <c r="D16" s="160">
        <v>146</v>
      </c>
      <c r="E16" s="160">
        <f t="shared" si="1"/>
        <v>358</v>
      </c>
      <c r="F16" s="161">
        <f t="shared" si="2"/>
        <v>9.7029488291413696E-3</v>
      </c>
      <c r="G16" s="160">
        <v>492</v>
      </c>
      <c r="H16" s="160">
        <v>29</v>
      </c>
      <c r="I16" s="160">
        <f t="shared" si="3"/>
        <v>521</v>
      </c>
      <c r="J16" s="161">
        <f t="shared" si="4"/>
        <v>6.4489775709263755E-3</v>
      </c>
      <c r="K16" s="160">
        <f t="shared" si="0"/>
        <v>879</v>
      </c>
      <c r="Q16" s="173"/>
    </row>
    <row r="17" spans="2:17" x14ac:dyDescent="0.2">
      <c r="B17" s="162" t="s">
        <v>226</v>
      </c>
      <c r="C17" s="160">
        <v>253</v>
      </c>
      <c r="D17" s="160">
        <v>189</v>
      </c>
      <c r="E17" s="160">
        <f t="shared" si="1"/>
        <v>442</v>
      </c>
      <c r="F17" s="161">
        <f t="shared" si="2"/>
        <v>1.1979618386816999E-2</v>
      </c>
      <c r="G17" s="160">
        <v>667</v>
      </c>
      <c r="H17" s="160">
        <v>43</v>
      </c>
      <c r="I17" s="160">
        <f t="shared" si="3"/>
        <v>710</v>
      </c>
      <c r="J17" s="161">
        <f t="shared" si="4"/>
        <v>8.7884339258305685E-3</v>
      </c>
      <c r="K17" s="160">
        <f t="shared" si="0"/>
        <v>1152</v>
      </c>
      <c r="Q17" s="173"/>
    </row>
    <row r="18" spans="2:17" x14ac:dyDescent="0.2">
      <c r="B18" s="162" t="s">
        <v>227</v>
      </c>
      <c r="C18" s="160">
        <v>527</v>
      </c>
      <c r="D18" s="160">
        <v>388</v>
      </c>
      <c r="E18" s="160">
        <f t="shared" si="1"/>
        <v>915</v>
      </c>
      <c r="F18" s="161">
        <f t="shared" si="2"/>
        <v>2.4799436253252385E-2</v>
      </c>
      <c r="G18" s="160">
        <v>1648</v>
      </c>
      <c r="H18" s="160">
        <v>100</v>
      </c>
      <c r="I18" s="160">
        <f t="shared" si="3"/>
        <v>1748</v>
      </c>
      <c r="J18" s="161">
        <f t="shared" si="4"/>
        <v>2.1636876763875823E-2</v>
      </c>
      <c r="K18" s="160">
        <f t="shared" si="0"/>
        <v>2663</v>
      </c>
      <c r="Q18" s="173"/>
    </row>
    <row r="19" spans="2:17" x14ac:dyDescent="0.2">
      <c r="B19" s="162" t="s">
        <v>228</v>
      </c>
      <c r="C19" s="160">
        <v>381</v>
      </c>
      <c r="D19" s="160">
        <v>213</v>
      </c>
      <c r="E19" s="160">
        <f t="shared" si="1"/>
        <v>594</v>
      </c>
      <c r="F19" s="161">
        <f t="shared" si="2"/>
        <v>1.6099306157849089E-2</v>
      </c>
      <c r="G19" s="160">
        <v>1205</v>
      </c>
      <c r="H19" s="160">
        <v>84</v>
      </c>
      <c r="I19" s="160">
        <f t="shared" si="3"/>
        <v>1289</v>
      </c>
      <c r="J19" s="161">
        <f t="shared" si="4"/>
        <v>1.595533990196564E-2</v>
      </c>
      <c r="K19" s="160">
        <f t="shared" si="0"/>
        <v>1883</v>
      </c>
      <c r="Q19" s="173"/>
    </row>
    <row r="20" spans="2:17" x14ac:dyDescent="0.2">
      <c r="B20" s="162" t="s">
        <v>229</v>
      </c>
      <c r="C20" s="160">
        <v>223</v>
      </c>
      <c r="D20" s="160">
        <v>191</v>
      </c>
      <c r="E20" s="160">
        <f t="shared" si="1"/>
        <v>414</v>
      </c>
      <c r="F20" s="161">
        <f t="shared" si="2"/>
        <v>1.1220728534258456E-2</v>
      </c>
      <c r="G20" s="160">
        <v>847</v>
      </c>
      <c r="H20" s="160">
        <v>64</v>
      </c>
      <c r="I20" s="160">
        <f t="shared" si="3"/>
        <v>911</v>
      </c>
      <c r="J20" s="161">
        <f t="shared" si="4"/>
        <v>1.1276427192157251E-2</v>
      </c>
      <c r="K20" s="160">
        <f t="shared" si="0"/>
        <v>1325</v>
      </c>
      <c r="Q20" s="173"/>
    </row>
    <row r="21" spans="2:17" x14ac:dyDescent="0.2">
      <c r="B21" s="162" t="s">
        <v>230</v>
      </c>
      <c r="C21" s="160">
        <v>1057</v>
      </c>
      <c r="D21" s="160">
        <v>657</v>
      </c>
      <c r="E21" s="160">
        <f t="shared" si="1"/>
        <v>1714</v>
      </c>
      <c r="F21" s="161">
        <f t="shared" si="2"/>
        <v>4.6454900260190807E-2</v>
      </c>
      <c r="G21" s="160">
        <v>3911</v>
      </c>
      <c r="H21" s="160">
        <v>259</v>
      </c>
      <c r="I21" s="160">
        <f t="shared" si="3"/>
        <v>4170</v>
      </c>
      <c r="J21" s="161">
        <f t="shared" si="4"/>
        <v>5.1616576719314751E-2</v>
      </c>
      <c r="K21" s="160">
        <f t="shared" si="0"/>
        <v>5884</v>
      </c>
      <c r="Q21" s="173"/>
    </row>
    <row r="22" spans="2:17" x14ac:dyDescent="0.2">
      <c r="B22" s="162" t="s">
        <v>231</v>
      </c>
      <c r="C22" s="160">
        <v>252</v>
      </c>
      <c r="D22" s="160">
        <v>201</v>
      </c>
      <c r="E22" s="160">
        <f t="shared" si="1"/>
        <v>453</v>
      </c>
      <c r="F22" s="161">
        <f t="shared" si="2"/>
        <v>1.2277753686036426E-2</v>
      </c>
      <c r="G22" s="160">
        <v>951</v>
      </c>
      <c r="H22" s="160">
        <v>91</v>
      </c>
      <c r="I22" s="160">
        <f t="shared" si="3"/>
        <v>1042</v>
      </c>
      <c r="J22" s="161">
        <f t="shared" si="4"/>
        <v>1.2897955141852751E-2</v>
      </c>
      <c r="K22" s="160">
        <f t="shared" si="0"/>
        <v>1495</v>
      </c>
      <c r="Q22" s="173"/>
    </row>
    <row r="23" spans="2:17" x14ac:dyDescent="0.2">
      <c r="B23" s="162" t="s">
        <v>232</v>
      </c>
      <c r="C23" s="160">
        <v>778</v>
      </c>
      <c r="D23" s="160">
        <v>449</v>
      </c>
      <c r="E23" s="160">
        <f t="shared" si="1"/>
        <v>1227</v>
      </c>
      <c r="F23" s="161">
        <f t="shared" si="2"/>
        <v>3.3255637467476153E-2</v>
      </c>
      <c r="G23" s="160">
        <v>2185</v>
      </c>
      <c r="H23" s="160">
        <v>97</v>
      </c>
      <c r="I23" s="160">
        <f t="shared" si="3"/>
        <v>2282</v>
      </c>
      <c r="J23" s="161">
        <f t="shared" si="4"/>
        <v>2.8246769322176561E-2</v>
      </c>
      <c r="K23" s="160">
        <f t="shared" si="0"/>
        <v>3509</v>
      </c>
      <c r="Q23" s="173"/>
    </row>
    <row r="24" spans="2:17" x14ac:dyDescent="0.2">
      <c r="B24" s="162" t="s">
        <v>233</v>
      </c>
      <c r="C24" s="160">
        <v>588</v>
      </c>
      <c r="D24" s="160">
        <v>432</v>
      </c>
      <c r="E24" s="160">
        <f t="shared" si="1"/>
        <v>1020</v>
      </c>
      <c r="F24" s="161">
        <f t="shared" si="2"/>
        <v>2.7645273200346921E-2</v>
      </c>
      <c r="G24" s="160">
        <v>2137</v>
      </c>
      <c r="H24" s="160">
        <v>148</v>
      </c>
      <c r="I24" s="160">
        <f t="shared" si="3"/>
        <v>2285</v>
      </c>
      <c r="J24" s="161">
        <f t="shared" si="4"/>
        <v>2.8283903550032182E-2</v>
      </c>
      <c r="K24" s="160">
        <f t="shared" si="0"/>
        <v>3305</v>
      </c>
      <c r="Q24" s="173"/>
    </row>
    <row r="25" spans="2:17" x14ac:dyDescent="0.2">
      <c r="B25" s="162" t="s">
        <v>234</v>
      </c>
      <c r="C25" s="160">
        <v>439</v>
      </c>
      <c r="D25" s="160">
        <v>239</v>
      </c>
      <c r="E25" s="160">
        <f t="shared" si="1"/>
        <v>678</v>
      </c>
      <c r="F25" s="161">
        <f t="shared" si="2"/>
        <v>1.8375975715524719E-2</v>
      </c>
      <c r="G25" s="160">
        <v>1539</v>
      </c>
      <c r="H25" s="160">
        <v>63</v>
      </c>
      <c r="I25" s="160">
        <f t="shared" si="3"/>
        <v>1602</v>
      </c>
      <c r="J25" s="161">
        <f t="shared" si="4"/>
        <v>1.9829677674902214E-2</v>
      </c>
      <c r="K25" s="160">
        <f t="shared" si="0"/>
        <v>2280</v>
      </c>
      <c r="Q25" s="173"/>
    </row>
    <row r="26" spans="2:17" x14ac:dyDescent="0.2">
      <c r="B26" s="162" t="s">
        <v>235</v>
      </c>
      <c r="C26" s="160">
        <v>411</v>
      </c>
      <c r="D26" s="160">
        <v>258</v>
      </c>
      <c r="E26" s="160">
        <f t="shared" si="1"/>
        <v>669</v>
      </c>
      <c r="F26" s="161">
        <f t="shared" si="2"/>
        <v>1.8132046834345186E-2</v>
      </c>
      <c r="G26" s="160">
        <v>1176</v>
      </c>
      <c r="H26" s="160">
        <v>76</v>
      </c>
      <c r="I26" s="160">
        <f t="shared" si="3"/>
        <v>1252</v>
      </c>
      <c r="J26" s="161">
        <f t="shared" si="4"/>
        <v>1.5497351091746299E-2</v>
      </c>
      <c r="K26" s="160">
        <f t="shared" si="0"/>
        <v>1921</v>
      </c>
      <c r="Q26" s="173"/>
    </row>
    <row r="27" spans="2:17" x14ac:dyDescent="0.2">
      <c r="B27" s="162" t="s">
        <v>236</v>
      </c>
      <c r="C27" s="160">
        <v>1508</v>
      </c>
      <c r="D27" s="160">
        <v>957</v>
      </c>
      <c r="E27" s="160">
        <f t="shared" si="1"/>
        <v>2465</v>
      </c>
      <c r="F27" s="161">
        <f t="shared" si="2"/>
        <v>6.6809410234171723E-2</v>
      </c>
      <c r="G27" s="160">
        <v>5306</v>
      </c>
      <c r="H27" s="160">
        <v>411</v>
      </c>
      <c r="I27" s="160">
        <f t="shared" si="3"/>
        <v>5717</v>
      </c>
      <c r="J27" s="161">
        <f t="shared" si="4"/>
        <v>7.076546021686389E-2</v>
      </c>
      <c r="K27" s="160">
        <f t="shared" si="0"/>
        <v>8182</v>
      </c>
      <c r="Q27" s="173"/>
    </row>
    <row r="28" spans="2:17" x14ac:dyDescent="0.2">
      <c r="B28" s="162" t="s">
        <v>237</v>
      </c>
      <c r="C28" s="160">
        <v>244</v>
      </c>
      <c r="D28" s="160">
        <v>146</v>
      </c>
      <c r="E28" s="160">
        <f t="shared" si="1"/>
        <v>390</v>
      </c>
      <c r="F28" s="161">
        <f t="shared" si="2"/>
        <v>1.0570251517779706E-2</v>
      </c>
      <c r="G28" s="160">
        <v>835</v>
      </c>
      <c r="H28" s="160">
        <v>23</v>
      </c>
      <c r="I28" s="160">
        <f t="shared" si="3"/>
        <v>858</v>
      </c>
      <c r="J28" s="161">
        <f t="shared" si="4"/>
        <v>1.0620389166707926E-2</v>
      </c>
      <c r="K28" s="160">
        <f t="shared" si="0"/>
        <v>1248</v>
      </c>
      <c r="Q28" s="173"/>
    </row>
    <row r="29" spans="2:17" x14ac:dyDescent="0.2">
      <c r="B29" s="162" t="s">
        <v>238</v>
      </c>
      <c r="C29" s="160">
        <v>348</v>
      </c>
      <c r="D29" s="160">
        <v>192</v>
      </c>
      <c r="E29" s="160">
        <f t="shared" si="1"/>
        <v>540</v>
      </c>
      <c r="F29" s="161">
        <f t="shared" si="2"/>
        <v>1.4635732870771899E-2</v>
      </c>
      <c r="G29" s="160">
        <v>532</v>
      </c>
      <c r="H29" s="160">
        <v>39</v>
      </c>
      <c r="I29" s="160">
        <f t="shared" si="3"/>
        <v>571</v>
      </c>
      <c r="J29" s="161">
        <f t="shared" si="4"/>
        <v>7.0678813685200771E-3</v>
      </c>
      <c r="K29" s="160">
        <f t="shared" si="0"/>
        <v>1111</v>
      </c>
      <c r="Q29" s="173"/>
    </row>
    <row r="30" spans="2:17" x14ac:dyDescent="0.2">
      <c r="B30" s="162" t="s">
        <v>239</v>
      </c>
      <c r="C30" s="160">
        <v>978</v>
      </c>
      <c r="D30" s="160">
        <v>707</v>
      </c>
      <c r="E30" s="160">
        <f t="shared" si="1"/>
        <v>1685</v>
      </c>
      <c r="F30" s="161">
        <f t="shared" si="2"/>
        <v>4.5668907198612316E-2</v>
      </c>
      <c r="G30" s="160">
        <v>3237</v>
      </c>
      <c r="H30" s="160">
        <v>197</v>
      </c>
      <c r="I30" s="160">
        <f t="shared" si="3"/>
        <v>3434</v>
      </c>
      <c r="J30" s="161">
        <f t="shared" si="4"/>
        <v>4.2506312818735459E-2</v>
      </c>
      <c r="K30" s="160">
        <f t="shared" si="0"/>
        <v>5119</v>
      </c>
      <c r="Q30" s="173"/>
    </row>
    <row r="31" spans="2:17" x14ac:dyDescent="0.2">
      <c r="B31" s="162" t="s">
        <v>240</v>
      </c>
      <c r="C31" s="160">
        <v>265</v>
      </c>
      <c r="D31" s="160">
        <v>175</v>
      </c>
      <c r="E31" s="160">
        <f t="shared" si="1"/>
        <v>440</v>
      </c>
      <c r="F31" s="161">
        <f t="shared" si="2"/>
        <v>1.1925411968777104E-2</v>
      </c>
      <c r="G31" s="160">
        <v>609</v>
      </c>
      <c r="H31" s="160">
        <v>55</v>
      </c>
      <c r="I31" s="160">
        <f t="shared" si="3"/>
        <v>664</v>
      </c>
      <c r="J31" s="161">
        <f t="shared" si="4"/>
        <v>8.2190424320443631E-3</v>
      </c>
      <c r="K31" s="160">
        <f t="shared" si="0"/>
        <v>1104</v>
      </c>
      <c r="Q31" s="173"/>
    </row>
    <row r="32" spans="2:17" x14ac:dyDescent="0.2">
      <c r="B32" s="162" t="s">
        <v>241</v>
      </c>
      <c r="C32" s="160">
        <v>512</v>
      </c>
      <c r="D32" s="160">
        <v>301</v>
      </c>
      <c r="E32" s="160">
        <f t="shared" si="1"/>
        <v>813</v>
      </c>
      <c r="F32" s="161">
        <f t="shared" si="2"/>
        <v>2.2034908933217693E-2</v>
      </c>
      <c r="G32" s="160">
        <v>1624</v>
      </c>
      <c r="H32" s="160">
        <v>86</v>
      </c>
      <c r="I32" s="160">
        <f t="shared" si="3"/>
        <v>1710</v>
      </c>
      <c r="J32" s="161">
        <f t="shared" si="4"/>
        <v>2.116650987770461E-2</v>
      </c>
      <c r="K32" s="160">
        <f t="shared" si="0"/>
        <v>2523</v>
      </c>
      <c r="Q32" s="173"/>
    </row>
    <row r="33" spans="2:17" x14ac:dyDescent="0.2">
      <c r="B33" s="162" t="s">
        <v>242</v>
      </c>
      <c r="C33" s="160">
        <v>722</v>
      </c>
      <c r="D33" s="160">
        <v>488</v>
      </c>
      <c r="E33" s="160">
        <f t="shared" si="1"/>
        <v>1210</v>
      </c>
      <c r="F33" s="161">
        <f t="shared" si="2"/>
        <v>3.2794882914137034E-2</v>
      </c>
      <c r="G33" s="160">
        <v>2091</v>
      </c>
      <c r="H33" s="160">
        <v>170</v>
      </c>
      <c r="I33" s="160">
        <f t="shared" si="3"/>
        <v>2261</v>
      </c>
      <c r="J33" s="161">
        <f t="shared" si="4"/>
        <v>2.7986829727187208E-2</v>
      </c>
      <c r="K33" s="160">
        <f t="shared" si="0"/>
        <v>3471</v>
      </c>
      <c r="Q33" s="173"/>
    </row>
    <row r="34" spans="2:17" x14ac:dyDescent="0.2">
      <c r="B34" s="162" t="s">
        <v>243</v>
      </c>
      <c r="C34" s="160">
        <v>288</v>
      </c>
      <c r="D34" s="160">
        <v>137</v>
      </c>
      <c r="E34" s="160">
        <f t="shared" si="1"/>
        <v>425</v>
      </c>
      <c r="F34" s="161">
        <f t="shared" si="2"/>
        <v>1.1518863833477885E-2</v>
      </c>
      <c r="G34" s="160">
        <v>1037</v>
      </c>
      <c r="H34" s="160">
        <v>75</v>
      </c>
      <c r="I34" s="160">
        <f t="shared" si="3"/>
        <v>1112</v>
      </c>
      <c r="J34" s="161">
        <f t="shared" si="4"/>
        <v>1.3764420458483933E-2</v>
      </c>
      <c r="K34" s="160">
        <f t="shared" si="0"/>
        <v>1537</v>
      </c>
      <c r="Q34" s="173"/>
    </row>
    <row r="35" spans="2:17" x14ac:dyDescent="0.2">
      <c r="B35" s="162" t="s">
        <v>244</v>
      </c>
      <c r="C35" s="160">
        <v>462</v>
      </c>
      <c r="D35" s="160">
        <v>260</v>
      </c>
      <c r="E35" s="160">
        <f t="shared" si="1"/>
        <v>722</v>
      </c>
      <c r="F35" s="161">
        <f t="shared" si="2"/>
        <v>1.9568516912402429E-2</v>
      </c>
      <c r="G35" s="160">
        <v>1260</v>
      </c>
      <c r="H35" s="160">
        <v>89</v>
      </c>
      <c r="I35" s="160">
        <f t="shared" si="3"/>
        <v>1349</v>
      </c>
      <c r="J35" s="161">
        <f t="shared" si="4"/>
        <v>1.669802445907808E-2</v>
      </c>
      <c r="K35" s="160">
        <f t="shared" si="0"/>
        <v>2071</v>
      </c>
      <c r="Q35" s="173"/>
    </row>
    <row r="36" spans="2:17" x14ac:dyDescent="0.2">
      <c r="B36" s="162" t="s">
        <v>245</v>
      </c>
      <c r="C36" s="160">
        <v>1634</v>
      </c>
      <c r="D36" s="160">
        <v>872</v>
      </c>
      <c r="E36" s="160">
        <f t="shared" si="1"/>
        <v>2506</v>
      </c>
      <c r="F36" s="161">
        <f t="shared" si="2"/>
        <v>6.7920641803989587E-2</v>
      </c>
      <c r="G36" s="160">
        <v>6443</v>
      </c>
      <c r="H36" s="160">
        <v>377</v>
      </c>
      <c r="I36" s="160">
        <f t="shared" si="3"/>
        <v>6820</v>
      </c>
      <c r="J36" s="161">
        <f t="shared" si="4"/>
        <v>8.4418477991780955E-2</v>
      </c>
      <c r="K36" s="160">
        <f t="shared" si="0"/>
        <v>9326</v>
      </c>
      <c r="Q36" s="173"/>
    </row>
    <row r="37" spans="2:17" x14ac:dyDescent="0.2">
      <c r="B37" s="162" t="s">
        <v>246</v>
      </c>
      <c r="C37" s="160">
        <v>384</v>
      </c>
      <c r="D37" s="160">
        <v>271</v>
      </c>
      <c r="E37" s="160">
        <f t="shared" si="1"/>
        <v>655</v>
      </c>
      <c r="F37" s="161">
        <f t="shared" si="2"/>
        <v>1.7752601908065914E-2</v>
      </c>
      <c r="G37" s="160">
        <v>1670</v>
      </c>
      <c r="H37" s="160">
        <v>119</v>
      </c>
      <c r="I37" s="160">
        <f t="shared" si="3"/>
        <v>1789</v>
      </c>
      <c r="J37" s="161">
        <f t="shared" si="4"/>
        <v>2.214437787790266E-2</v>
      </c>
      <c r="K37" s="160">
        <f t="shared" si="0"/>
        <v>2444</v>
      </c>
      <c r="Q37" s="173"/>
    </row>
    <row r="38" spans="2:17" x14ac:dyDescent="0.2">
      <c r="B38" s="162" t="s">
        <v>247</v>
      </c>
      <c r="C38" s="160">
        <v>315</v>
      </c>
      <c r="D38" s="160">
        <v>272</v>
      </c>
      <c r="E38" s="160">
        <f t="shared" si="1"/>
        <v>587</v>
      </c>
      <c r="F38" s="161">
        <f t="shared" si="2"/>
        <v>1.5909583694709455E-2</v>
      </c>
      <c r="G38" s="160">
        <v>1197</v>
      </c>
      <c r="H38" s="160">
        <v>46</v>
      </c>
      <c r="I38" s="160">
        <f t="shared" si="3"/>
        <v>1243</v>
      </c>
      <c r="J38" s="161">
        <f t="shared" si="4"/>
        <v>1.5385948408179433E-2</v>
      </c>
      <c r="K38" s="160">
        <f t="shared" si="0"/>
        <v>1830</v>
      </c>
      <c r="Q38" s="173"/>
    </row>
    <row r="39" spans="2:17" x14ac:dyDescent="0.2">
      <c r="B39" s="162" t="s">
        <v>248</v>
      </c>
      <c r="C39" s="160">
        <v>276</v>
      </c>
      <c r="D39" s="160">
        <v>195</v>
      </c>
      <c r="E39" s="160">
        <f t="shared" si="1"/>
        <v>471</v>
      </c>
      <c r="F39" s="161">
        <f t="shared" si="2"/>
        <v>1.2765611448395491E-2</v>
      </c>
      <c r="G39" s="160">
        <v>795</v>
      </c>
      <c r="H39" s="160">
        <v>31</v>
      </c>
      <c r="I39" s="160">
        <f t="shared" si="3"/>
        <v>826</v>
      </c>
      <c r="J39" s="161">
        <f t="shared" si="4"/>
        <v>1.0224290736247957E-2</v>
      </c>
      <c r="K39" s="160">
        <f t="shared" si="0"/>
        <v>1297</v>
      </c>
      <c r="Q39" s="173"/>
    </row>
    <row r="40" spans="2:17" x14ac:dyDescent="0.2">
      <c r="B40" s="162" t="s">
        <v>249</v>
      </c>
      <c r="C40" s="160">
        <v>157</v>
      </c>
      <c r="D40" s="160">
        <v>91</v>
      </c>
      <c r="E40" s="160">
        <f t="shared" si="1"/>
        <v>248</v>
      </c>
      <c r="F40" s="161">
        <f t="shared" si="2"/>
        <v>6.7215958369470944E-3</v>
      </c>
      <c r="G40" s="160">
        <v>457</v>
      </c>
      <c r="H40" s="160">
        <v>16</v>
      </c>
      <c r="I40" s="160">
        <f t="shared" si="3"/>
        <v>473</v>
      </c>
      <c r="J40" s="161">
        <f t="shared" si="4"/>
        <v>5.8548299252364211E-3</v>
      </c>
      <c r="K40" s="160">
        <f t="shared" si="0"/>
        <v>721</v>
      </c>
      <c r="Q40" s="173"/>
    </row>
    <row r="41" spans="2:17" x14ac:dyDescent="0.2">
      <c r="B41" s="162" t="s">
        <v>250</v>
      </c>
      <c r="C41" s="160">
        <v>1578</v>
      </c>
      <c r="D41" s="160">
        <v>779</v>
      </c>
      <c r="E41" s="160">
        <f t="shared" si="1"/>
        <v>2357</v>
      </c>
      <c r="F41" s="161">
        <f t="shared" si="2"/>
        <v>6.3882263660017341E-2</v>
      </c>
      <c r="G41" s="160">
        <v>4972</v>
      </c>
      <c r="H41" s="160">
        <v>261</v>
      </c>
      <c r="I41" s="160">
        <f t="shared" si="3"/>
        <v>5233</v>
      </c>
      <c r="J41" s="161">
        <f t="shared" si="4"/>
        <v>6.4774471456156849E-2</v>
      </c>
      <c r="K41" s="160">
        <f t="shared" si="0"/>
        <v>7590</v>
      </c>
      <c r="Q41" s="173"/>
    </row>
    <row r="42" spans="2:17" x14ac:dyDescent="0.2">
      <c r="B42" s="162" t="s">
        <v>251</v>
      </c>
      <c r="C42" s="160">
        <v>442</v>
      </c>
      <c r="D42" s="160">
        <v>311</v>
      </c>
      <c r="E42" s="160">
        <f t="shared" si="1"/>
        <v>753</v>
      </c>
      <c r="F42" s="161">
        <f t="shared" si="2"/>
        <v>2.0408716392020815E-2</v>
      </c>
      <c r="G42" s="160">
        <v>1387</v>
      </c>
      <c r="H42" s="160">
        <v>93</v>
      </c>
      <c r="I42" s="160">
        <f t="shared" si="3"/>
        <v>1480</v>
      </c>
      <c r="J42" s="161">
        <f t="shared" si="4"/>
        <v>1.831955240877358E-2</v>
      </c>
      <c r="K42" s="160">
        <f t="shared" si="0"/>
        <v>2233</v>
      </c>
      <c r="Q42" s="173"/>
    </row>
    <row r="43" spans="2:17" x14ac:dyDescent="0.2">
      <c r="B43" s="162" t="s">
        <v>252</v>
      </c>
      <c r="C43" s="160">
        <v>126</v>
      </c>
      <c r="D43" s="160">
        <v>89</v>
      </c>
      <c r="E43" s="160">
        <f t="shared" si="1"/>
        <v>215</v>
      </c>
      <c r="F43" s="161">
        <f t="shared" si="2"/>
        <v>5.8271899392888116E-3</v>
      </c>
      <c r="G43" s="160">
        <v>361</v>
      </c>
      <c r="H43" s="160">
        <v>13</v>
      </c>
      <c r="I43" s="160">
        <f t="shared" si="3"/>
        <v>374</v>
      </c>
      <c r="J43" s="161">
        <f t="shared" si="4"/>
        <v>4.6294004060008914E-3</v>
      </c>
      <c r="K43" s="160">
        <f t="shared" si="0"/>
        <v>589</v>
      </c>
      <c r="Q43" s="173"/>
    </row>
    <row r="44" spans="2:17" x14ac:dyDescent="0.2">
      <c r="B44" s="162" t="s">
        <v>66</v>
      </c>
      <c r="C44" s="160">
        <f>SUM(C11:C43)</f>
        <v>23169</v>
      </c>
      <c r="D44" s="160">
        <f t="shared" ref="D44:G44" si="5">SUM(D11:D43)</f>
        <v>13727</v>
      </c>
      <c r="E44" s="162">
        <f t="shared" ref="E44" si="6">C44+D44</f>
        <v>36896</v>
      </c>
      <c r="F44" s="161">
        <f t="shared" ref="F44" si="7">E44/$E$44</f>
        <v>1</v>
      </c>
      <c r="G44" s="160">
        <f t="shared" si="5"/>
        <v>75671</v>
      </c>
      <c r="H44" s="160">
        <f>SUM(H11:H43)</f>
        <v>5117</v>
      </c>
      <c r="I44" s="162">
        <f t="shared" ref="I44" si="8">G44+H44</f>
        <v>80788</v>
      </c>
      <c r="J44" s="161">
        <f t="shared" ref="J44" si="9">I44/$I$44</f>
        <v>1</v>
      </c>
      <c r="K44" s="160">
        <f t="shared" ref="K44:K45" si="10">E44+I44</f>
        <v>117684</v>
      </c>
      <c r="Q44" s="173"/>
    </row>
    <row r="45" spans="2:17" ht="25.5" customHeight="1" x14ac:dyDescent="0.2">
      <c r="B45" s="174" t="s">
        <v>82</v>
      </c>
      <c r="C45" s="175">
        <f>+C44/$K$44</f>
        <v>0.19687468135005609</v>
      </c>
      <c r="D45" s="175">
        <f>+D44/$K$44</f>
        <v>0.11664287413752082</v>
      </c>
      <c r="E45" s="176">
        <f>C45+D45</f>
        <v>0.31351755548757693</v>
      </c>
      <c r="F45" s="176"/>
      <c r="G45" s="175">
        <f>+G44/$K$44</f>
        <v>0.64300159749838548</v>
      </c>
      <c r="H45" s="175">
        <f>+H44/$K$44</f>
        <v>4.3480847014037594E-2</v>
      </c>
      <c r="I45" s="176">
        <f>G45+H45</f>
        <v>0.68648244451242313</v>
      </c>
      <c r="J45" s="176"/>
      <c r="K45" s="176">
        <f t="shared" si="10"/>
        <v>1</v>
      </c>
    </row>
    <row r="46" spans="2:17" x14ac:dyDescent="0.2">
      <c r="B46" s="167"/>
      <c r="C46" s="180"/>
      <c r="D46" s="180"/>
      <c r="E46" s="180"/>
      <c r="F46" s="180"/>
      <c r="G46" s="180"/>
      <c r="H46" s="180"/>
      <c r="I46" s="180"/>
      <c r="J46" s="180"/>
      <c r="K46" s="180"/>
    </row>
    <row r="47" spans="2:17" ht="12.75" x14ac:dyDescent="0.2">
      <c r="B47" s="418" t="s">
        <v>108</v>
      </c>
      <c r="C47" s="418"/>
      <c r="D47" s="418"/>
      <c r="E47" s="418"/>
      <c r="F47" s="418"/>
      <c r="G47" s="418"/>
      <c r="H47" s="418"/>
      <c r="I47" s="418"/>
      <c r="J47" s="418"/>
      <c r="K47" s="418"/>
    </row>
    <row r="48" spans="2:17" ht="12.75" x14ac:dyDescent="0.2">
      <c r="B48" s="431" t="str">
        <f>'Solicitudes Regiones'!$B$6:$P$6</f>
        <v>Acumuladas de julio de 2008 a noviembre de 2018</v>
      </c>
      <c r="C48" s="431"/>
      <c r="D48" s="431"/>
      <c r="E48" s="431"/>
      <c r="F48" s="431"/>
      <c r="G48" s="431"/>
      <c r="H48" s="431"/>
      <c r="I48" s="431"/>
      <c r="J48" s="431"/>
      <c r="K48" s="431"/>
    </row>
    <row r="49" spans="2:12" x14ac:dyDescent="0.2">
      <c r="B49" s="167"/>
      <c r="C49" s="180"/>
      <c r="D49" s="180"/>
      <c r="E49" s="180"/>
      <c r="F49" s="180"/>
      <c r="G49" s="180"/>
      <c r="H49" s="180"/>
      <c r="I49" s="180"/>
      <c r="J49" s="180"/>
      <c r="K49" s="180"/>
    </row>
    <row r="50" spans="2:12" ht="15" customHeight="1" x14ac:dyDescent="0.2">
      <c r="B50" s="447" t="s">
        <v>83</v>
      </c>
      <c r="C50" s="448"/>
      <c r="D50" s="448"/>
      <c r="E50" s="448"/>
      <c r="F50" s="448"/>
      <c r="G50" s="448"/>
      <c r="H50" s="448"/>
      <c r="I50" s="448"/>
      <c r="J50" s="448"/>
      <c r="K50" s="449"/>
      <c r="L50" s="181"/>
    </row>
    <row r="51" spans="2:12" ht="15" customHeight="1" x14ac:dyDescent="0.2">
      <c r="B51" s="451" t="s">
        <v>74</v>
      </c>
      <c r="C51" s="447" t="s">
        <v>2</v>
      </c>
      <c r="D51" s="448"/>
      <c r="E51" s="448"/>
      <c r="F51" s="448"/>
      <c r="G51" s="448"/>
      <c r="H51" s="448"/>
      <c r="I51" s="448"/>
      <c r="J51" s="448"/>
      <c r="K51" s="449"/>
    </row>
    <row r="52" spans="2:12" ht="24" x14ac:dyDescent="0.2">
      <c r="B52" s="446"/>
      <c r="C52" s="165" t="s">
        <v>75</v>
      </c>
      <c r="D52" s="165" t="s">
        <v>76</v>
      </c>
      <c r="E52" s="165" t="s">
        <v>77</v>
      </c>
      <c r="F52" s="165" t="s">
        <v>78</v>
      </c>
      <c r="G52" s="165" t="s">
        <v>8</v>
      </c>
      <c r="H52" s="165" t="s">
        <v>79</v>
      </c>
      <c r="I52" s="165" t="s">
        <v>80</v>
      </c>
      <c r="J52" s="165" t="s">
        <v>81</v>
      </c>
      <c r="K52" s="166" t="s">
        <v>46</v>
      </c>
    </row>
    <row r="53" spans="2:12" x14ac:dyDescent="0.2">
      <c r="B53" s="162" t="s">
        <v>220</v>
      </c>
      <c r="C53" s="160">
        <v>4512</v>
      </c>
      <c r="D53" s="160">
        <v>1762</v>
      </c>
      <c r="E53" s="160">
        <f>C53+D53</f>
        <v>6274</v>
      </c>
      <c r="F53" s="161">
        <f>E53/$E$86</f>
        <v>0.22930448448521618</v>
      </c>
      <c r="G53" s="160">
        <v>13576</v>
      </c>
      <c r="H53" s="160">
        <v>1198</v>
      </c>
      <c r="I53" s="160">
        <f>G53+H53</f>
        <v>14774</v>
      </c>
      <c r="J53" s="161">
        <f>I53/$I$86</f>
        <v>0.21818879962192816</v>
      </c>
      <c r="K53" s="160">
        <f t="shared" ref="K53:K85" si="11">E53+I53</f>
        <v>21048</v>
      </c>
    </row>
    <row r="54" spans="2:12" x14ac:dyDescent="0.2">
      <c r="B54" s="162" t="s">
        <v>221</v>
      </c>
      <c r="C54" s="160">
        <v>494</v>
      </c>
      <c r="D54" s="160">
        <v>151</v>
      </c>
      <c r="E54" s="160">
        <f t="shared" ref="E54:E85" si="12">C54+D54</f>
        <v>645</v>
      </c>
      <c r="F54" s="161">
        <f t="shared" ref="F54:F85" si="13">E54/$E$86</f>
        <v>2.3573699791674282E-2</v>
      </c>
      <c r="G54" s="160">
        <v>1575</v>
      </c>
      <c r="H54" s="160">
        <v>81</v>
      </c>
      <c r="I54" s="160">
        <f t="shared" ref="I54:I85" si="14">G54+H54</f>
        <v>1656</v>
      </c>
      <c r="J54" s="161">
        <f t="shared" ref="J54:J85" si="15">I54/$I$86</f>
        <v>2.4456521739130436E-2</v>
      </c>
      <c r="K54" s="160">
        <f t="shared" si="11"/>
        <v>2301</v>
      </c>
    </row>
    <row r="55" spans="2:12" x14ac:dyDescent="0.2">
      <c r="B55" s="162" t="s">
        <v>222</v>
      </c>
      <c r="C55" s="160">
        <v>628</v>
      </c>
      <c r="D55" s="160">
        <v>212</v>
      </c>
      <c r="E55" s="160">
        <f t="shared" si="12"/>
        <v>840</v>
      </c>
      <c r="F55" s="161">
        <f t="shared" si="13"/>
        <v>3.0700632286831623E-2</v>
      </c>
      <c r="G55" s="160">
        <v>1934</v>
      </c>
      <c r="H55" s="160">
        <v>119</v>
      </c>
      <c r="I55" s="160">
        <f t="shared" si="14"/>
        <v>2053</v>
      </c>
      <c r="J55" s="161">
        <f t="shared" si="15"/>
        <v>3.0319588846880907E-2</v>
      </c>
      <c r="K55" s="160">
        <f t="shared" si="11"/>
        <v>2893</v>
      </c>
    </row>
    <row r="56" spans="2:12" x14ac:dyDescent="0.2">
      <c r="B56" s="162" t="s">
        <v>223</v>
      </c>
      <c r="C56" s="160">
        <v>593</v>
      </c>
      <c r="D56" s="160">
        <v>186</v>
      </c>
      <c r="E56" s="160">
        <f t="shared" si="12"/>
        <v>779</v>
      </c>
      <c r="F56" s="161">
        <f t="shared" si="13"/>
        <v>2.8471181608859326E-2</v>
      </c>
      <c r="G56" s="160">
        <v>1666</v>
      </c>
      <c r="H56" s="160">
        <v>100</v>
      </c>
      <c r="I56" s="160">
        <f t="shared" si="14"/>
        <v>1766</v>
      </c>
      <c r="J56" s="161">
        <f t="shared" si="15"/>
        <v>2.6081049149338374E-2</v>
      </c>
      <c r="K56" s="160">
        <f t="shared" si="11"/>
        <v>2545</v>
      </c>
    </row>
    <row r="57" spans="2:12" x14ac:dyDescent="0.2">
      <c r="B57" s="162" t="s">
        <v>224</v>
      </c>
      <c r="C57" s="160">
        <v>409</v>
      </c>
      <c r="D57" s="160">
        <v>167</v>
      </c>
      <c r="E57" s="160">
        <f t="shared" si="12"/>
        <v>576</v>
      </c>
      <c r="F57" s="161">
        <f t="shared" si="13"/>
        <v>2.1051862139541685E-2</v>
      </c>
      <c r="G57" s="160">
        <v>1608</v>
      </c>
      <c r="H57" s="160">
        <v>89</v>
      </c>
      <c r="I57" s="160">
        <f t="shared" si="14"/>
        <v>1697</v>
      </c>
      <c r="J57" s="161">
        <f t="shared" si="15"/>
        <v>2.5062027410207941E-2</v>
      </c>
      <c r="K57" s="160">
        <f t="shared" si="11"/>
        <v>2273</v>
      </c>
    </row>
    <row r="58" spans="2:12" x14ac:dyDescent="0.2">
      <c r="B58" s="162" t="s">
        <v>225</v>
      </c>
      <c r="C58" s="160">
        <v>191</v>
      </c>
      <c r="D58" s="160">
        <v>56</v>
      </c>
      <c r="E58" s="160">
        <f t="shared" si="12"/>
        <v>247</v>
      </c>
      <c r="F58" s="161">
        <f t="shared" si="13"/>
        <v>9.0274478271992979E-3</v>
      </c>
      <c r="G58" s="160">
        <v>441</v>
      </c>
      <c r="H58" s="160">
        <v>18</v>
      </c>
      <c r="I58" s="160">
        <f t="shared" si="14"/>
        <v>459</v>
      </c>
      <c r="J58" s="161">
        <f t="shared" si="15"/>
        <v>6.7787098298676745E-3</v>
      </c>
      <c r="K58" s="160">
        <f t="shared" si="11"/>
        <v>706</v>
      </c>
    </row>
    <row r="59" spans="2:12" x14ac:dyDescent="0.2">
      <c r="B59" s="162" t="s">
        <v>226</v>
      </c>
      <c r="C59" s="160">
        <v>241</v>
      </c>
      <c r="D59" s="160">
        <v>81</v>
      </c>
      <c r="E59" s="160">
        <f t="shared" si="12"/>
        <v>322</v>
      </c>
      <c r="F59" s="161">
        <f t="shared" si="13"/>
        <v>1.1768575709952121E-2</v>
      </c>
      <c r="G59" s="160">
        <v>611</v>
      </c>
      <c r="H59" s="160">
        <v>38</v>
      </c>
      <c r="I59" s="160">
        <f t="shared" si="14"/>
        <v>649</v>
      </c>
      <c r="J59" s="161">
        <f t="shared" si="15"/>
        <v>9.5847117202268427E-3</v>
      </c>
      <c r="K59" s="160">
        <f t="shared" si="11"/>
        <v>971</v>
      </c>
    </row>
    <row r="60" spans="2:12" x14ac:dyDescent="0.2">
      <c r="B60" s="162" t="s">
        <v>227</v>
      </c>
      <c r="C60" s="160">
        <v>471</v>
      </c>
      <c r="D60" s="160">
        <v>165</v>
      </c>
      <c r="E60" s="160">
        <f t="shared" si="12"/>
        <v>636</v>
      </c>
      <c r="F60" s="161">
        <f t="shared" si="13"/>
        <v>2.3244764445743943E-2</v>
      </c>
      <c r="G60" s="160">
        <v>1407</v>
      </c>
      <c r="H60" s="160">
        <v>86</v>
      </c>
      <c r="I60" s="160">
        <f t="shared" si="14"/>
        <v>1493</v>
      </c>
      <c r="J60" s="161">
        <f t="shared" si="15"/>
        <v>2.2049267485822307E-2</v>
      </c>
      <c r="K60" s="160">
        <f t="shared" si="11"/>
        <v>2129</v>
      </c>
    </row>
    <row r="61" spans="2:12" x14ac:dyDescent="0.2">
      <c r="B61" s="162" t="s">
        <v>228</v>
      </c>
      <c r="C61" s="160">
        <v>307</v>
      </c>
      <c r="D61" s="160">
        <v>98</v>
      </c>
      <c r="E61" s="160">
        <f t="shared" si="12"/>
        <v>405</v>
      </c>
      <c r="F61" s="161">
        <f t="shared" si="13"/>
        <v>1.4802090566865246E-2</v>
      </c>
      <c r="G61" s="160">
        <v>1010</v>
      </c>
      <c r="H61" s="160">
        <v>66</v>
      </c>
      <c r="I61" s="160">
        <f t="shared" si="14"/>
        <v>1076</v>
      </c>
      <c r="J61" s="161">
        <f t="shared" si="15"/>
        <v>1.5890831758034026E-2</v>
      </c>
      <c r="K61" s="160">
        <f t="shared" si="11"/>
        <v>1481</v>
      </c>
    </row>
    <row r="62" spans="2:12" x14ac:dyDescent="0.2">
      <c r="B62" s="162" t="s">
        <v>229</v>
      </c>
      <c r="C62" s="160">
        <v>208</v>
      </c>
      <c r="D62" s="160">
        <v>77</v>
      </c>
      <c r="E62" s="160">
        <f t="shared" si="12"/>
        <v>285</v>
      </c>
      <c r="F62" s="161">
        <f t="shared" si="13"/>
        <v>1.0416285954460728E-2</v>
      </c>
      <c r="G62" s="160">
        <v>739</v>
      </c>
      <c r="H62" s="160">
        <v>48</v>
      </c>
      <c r="I62" s="160">
        <f t="shared" si="14"/>
        <v>787</v>
      </c>
      <c r="J62" s="161">
        <f t="shared" si="15"/>
        <v>1.1622755198487713E-2</v>
      </c>
      <c r="K62" s="160">
        <f t="shared" si="11"/>
        <v>1072</v>
      </c>
    </row>
    <row r="63" spans="2:12" x14ac:dyDescent="0.2">
      <c r="B63" s="162" t="s">
        <v>230</v>
      </c>
      <c r="C63" s="160">
        <v>933</v>
      </c>
      <c r="D63" s="160">
        <v>319</v>
      </c>
      <c r="E63" s="160">
        <f t="shared" si="12"/>
        <v>1252</v>
      </c>
      <c r="F63" s="161">
        <f t="shared" si="13"/>
        <v>4.575856145608713E-2</v>
      </c>
      <c r="G63" s="160">
        <v>3369</v>
      </c>
      <c r="H63" s="160">
        <v>208</v>
      </c>
      <c r="I63" s="160">
        <f t="shared" si="14"/>
        <v>3577</v>
      </c>
      <c r="J63" s="161">
        <f t="shared" si="15"/>
        <v>5.2826677693761814E-2</v>
      </c>
      <c r="K63" s="160">
        <f t="shared" si="11"/>
        <v>4829</v>
      </c>
    </row>
    <row r="64" spans="2:12" x14ac:dyDescent="0.2">
      <c r="B64" s="162" t="s">
        <v>231</v>
      </c>
      <c r="C64" s="160">
        <v>219</v>
      </c>
      <c r="D64" s="160">
        <v>96</v>
      </c>
      <c r="E64" s="160">
        <f t="shared" si="12"/>
        <v>315</v>
      </c>
      <c r="F64" s="161">
        <f t="shared" si="13"/>
        <v>1.1512737107561857E-2</v>
      </c>
      <c r="G64" s="160">
        <v>834</v>
      </c>
      <c r="H64" s="160">
        <v>73</v>
      </c>
      <c r="I64" s="160">
        <f t="shared" si="14"/>
        <v>907</v>
      </c>
      <c r="J64" s="161">
        <f t="shared" si="15"/>
        <v>1.3394966918714555E-2</v>
      </c>
      <c r="K64" s="160">
        <f t="shared" si="11"/>
        <v>1222</v>
      </c>
    </row>
    <row r="65" spans="2:11" x14ac:dyDescent="0.2">
      <c r="B65" s="162" t="s">
        <v>232</v>
      </c>
      <c r="C65" s="160">
        <v>687</v>
      </c>
      <c r="D65" s="160">
        <v>199</v>
      </c>
      <c r="E65" s="160">
        <f t="shared" si="12"/>
        <v>886</v>
      </c>
      <c r="F65" s="161">
        <f t="shared" si="13"/>
        <v>3.2381857388253353E-2</v>
      </c>
      <c r="G65" s="160">
        <v>1954</v>
      </c>
      <c r="H65" s="160">
        <v>73</v>
      </c>
      <c r="I65" s="160">
        <f t="shared" si="14"/>
        <v>2027</v>
      </c>
      <c r="J65" s="161">
        <f t="shared" si="15"/>
        <v>2.9935609640831758E-2</v>
      </c>
      <c r="K65" s="160">
        <f t="shared" si="11"/>
        <v>2913</v>
      </c>
    </row>
    <row r="66" spans="2:11" x14ac:dyDescent="0.2">
      <c r="B66" s="162" t="s">
        <v>233</v>
      </c>
      <c r="C66" s="160">
        <v>507</v>
      </c>
      <c r="D66" s="160">
        <v>228</v>
      </c>
      <c r="E66" s="160">
        <f t="shared" si="12"/>
        <v>735</v>
      </c>
      <c r="F66" s="161">
        <f t="shared" si="13"/>
        <v>2.6863053250977671E-2</v>
      </c>
      <c r="G66" s="160">
        <v>1730</v>
      </c>
      <c r="H66" s="160">
        <v>113</v>
      </c>
      <c r="I66" s="160">
        <f t="shared" si="14"/>
        <v>1843</v>
      </c>
      <c r="J66" s="161">
        <f t="shared" si="15"/>
        <v>2.7218218336483933E-2</v>
      </c>
      <c r="K66" s="160">
        <f t="shared" si="11"/>
        <v>2578</v>
      </c>
    </row>
    <row r="67" spans="2:11" x14ac:dyDescent="0.2">
      <c r="B67" s="162" t="s">
        <v>234</v>
      </c>
      <c r="C67" s="160">
        <v>406</v>
      </c>
      <c r="D67" s="160">
        <v>126</v>
      </c>
      <c r="E67" s="160">
        <f t="shared" si="12"/>
        <v>532</v>
      </c>
      <c r="F67" s="161">
        <f t="shared" si="13"/>
        <v>1.9443733781660026E-2</v>
      </c>
      <c r="G67" s="160">
        <v>1384</v>
      </c>
      <c r="H67" s="160">
        <v>51</v>
      </c>
      <c r="I67" s="160">
        <f t="shared" si="14"/>
        <v>1435</v>
      </c>
      <c r="J67" s="161">
        <f t="shared" si="15"/>
        <v>2.1192698487712665E-2</v>
      </c>
      <c r="K67" s="160">
        <f t="shared" si="11"/>
        <v>1967</v>
      </c>
    </row>
    <row r="68" spans="2:11" x14ac:dyDescent="0.2">
      <c r="B68" s="162" t="s">
        <v>235</v>
      </c>
      <c r="C68" s="160">
        <v>354</v>
      </c>
      <c r="D68" s="160">
        <v>131</v>
      </c>
      <c r="E68" s="160">
        <f t="shared" si="12"/>
        <v>485</v>
      </c>
      <c r="F68" s="161">
        <f t="shared" si="13"/>
        <v>1.7725960308468257E-2</v>
      </c>
      <c r="G68" s="160">
        <v>1004</v>
      </c>
      <c r="H68" s="160">
        <v>69</v>
      </c>
      <c r="I68" s="160">
        <f t="shared" si="14"/>
        <v>1073</v>
      </c>
      <c r="J68" s="161">
        <f t="shared" si="15"/>
        <v>1.5846526465028356E-2</v>
      </c>
      <c r="K68" s="160">
        <f t="shared" si="11"/>
        <v>1558</v>
      </c>
    </row>
    <row r="69" spans="2:11" x14ac:dyDescent="0.2">
      <c r="B69" s="162" t="s">
        <v>236</v>
      </c>
      <c r="C69" s="160">
        <v>1285</v>
      </c>
      <c r="D69" s="160">
        <v>522</v>
      </c>
      <c r="E69" s="160">
        <f t="shared" si="12"/>
        <v>1807</v>
      </c>
      <c r="F69" s="161">
        <f t="shared" si="13"/>
        <v>6.6042907788458019E-2</v>
      </c>
      <c r="G69" s="160">
        <v>4423</v>
      </c>
      <c r="H69" s="160">
        <v>305</v>
      </c>
      <c r="I69" s="160">
        <f t="shared" si="14"/>
        <v>4728</v>
      </c>
      <c r="J69" s="161">
        <f t="shared" si="15"/>
        <v>6.9825141776937619E-2</v>
      </c>
      <c r="K69" s="160">
        <f t="shared" si="11"/>
        <v>6535</v>
      </c>
    </row>
    <row r="70" spans="2:11" x14ac:dyDescent="0.2">
      <c r="B70" s="162" t="s">
        <v>237</v>
      </c>
      <c r="C70" s="160">
        <v>217</v>
      </c>
      <c r="D70" s="160">
        <v>65</v>
      </c>
      <c r="E70" s="160">
        <f t="shared" si="12"/>
        <v>282</v>
      </c>
      <c r="F70" s="161">
        <f t="shared" si="13"/>
        <v>1.0306640839150616E-2</v>
      </c>
      <c r="G70" s="160">
        <v>755</v>
      </c>
      <c r="H70" s="160">
        <v>17</v>
      </c>
      <c r="I70" s="160">
        <f t="shared" si="14"/>
        <v>772</v>
      </c>
      <c r="J70" s="161">
        <f t="shared" si="15"/>
        <v>1.1401228733459357E-2</v>
      </c>
      <c r="K70" s="160">
        <f t="shared" si="11"/>
        <v>1054</v>
      </c>
    </row>
    <row r="71" spans="2:11" x14ac:dyDescent="0.2">
      <c r="B71" s="162" t="s">
        <v>238</v>
      </c>
      <c r="C71" s="160">
        <v>318</v>
      </c>
      <c r="D71" s="160">
        <v>85</v>
      </c>
      <c r="E71" s="160">
        <f t="shared" si="12"/>
        <v>403</v>
      </c>
      <c r="F71" s="161">
        <f t="shared" si="13"/>
        <v>1.4728993823325171E-2</v>
      </c>
      <c r="G71" s="160">
        <v>463</v>
      </c>
      <c r="H71" s="160">
        <v>31</v>
      </c>
      <c r="I71" s="160">
        <f t="shared" si="14"/>
        <v>494</v>
      </c>
      <c r="J71" s="161">
        <f t="shared" si="15"/>
        <v>7.2956049149338377E-3</v>
      </c>
      <c r="K71" s="160">
        <f t="shared" si="11"/>
        <v>897</v>
      </c>
    </row>
    <row r="72" spans="2:11" x14ac:dyDescent="0.2">
      <c r="B72" s="162" t="s">
        <v>239</v>
      </c>
      <c r="C72" s="160">
        <v>831</v>
      </c>
      <c r="D72" s="160">
        <v>338</v>
      </c>
      <c r="E72" s="160">
        <f t="shared" si="12"/>
        <v>1169</v>
      </c>
      <c r="F72" s="161">
        <f t="shared" si="13"/>
        <v>4.2725046599174005E-2</v>
      </c>
      <c r="G72" s="160">
        <v>2730</v>
      </c>
      <c r="H72" s="160">
        <v>157</v>
      </c>
      <c r="I72" s="160">
        <f t="shared" si="14"/>
        <v>2887</v>
      </c>
      <c r="J72" s="161">
        <f t="shared" si="15"/>
        <v>4.263646030245747E-2</v>
      </c>
      <c r="K72" s="160">
        <f t="shared" si="11"/>
        <v>4056</v>
      </c>
    </row>
    <row r="73" spans="2:11" x14ac:dyDescent="0.2">
      <c r="B73" s="162" t="s">
        <v>240</v>
      </c>
      <c r="C73" s="160">
        <v>233</v>
      </c>
      <c r="D73" s="160">
        <v>84</v>
      </c>
      <c r="E73" s="160">
        <f t="shared" si="12"/>
        <v>317</v>
      </c>
      <c r="F73" s="161">
        <f t="shared" si="13"/>
        <v>1.1585833851101934E-2</v>
      </c>
      <c r="G73" s="160">
        <v>544</v>
      </c>
      <c r="H73" s="160">
        <v>46</v>
      </c>
      <c r="I73" s="160">
        <f t="shared" si="14"/>
        <v>590</v>
      </c>
      <c r="J73" s="161">
        <f t="shared" si="15"/>
        <v>8.7133742911153118E-3</v>
      </c>
      <c r="K73" s="160">
        <f t="shared" si="11"/>
        <v>907</v>
      </c>
    </row>
    <row r="74" spans="2:11" x14ac:dyDescent="0.2">
      <c r="B74" s="162" t="s">
        <v>241</v>
      </c>
      <c r="C74" s="160">
        <v>433</v>
      </c>
      <c r="D74" s="160">
        <v>142</v>
      </c>
      <c r="E74" s="160">
        <f t="shared" si="12"/>
        <v>575</v>
      </c>
      <c r="F74" s="161">
        <f t="shared" si="13"/>
        <v>2.1015313767771646E-2</v>
      </c>
      <c r="G74" s="160">
        <v>1394</v>
      </c>
      <c r="H74" s="160">
        <v>68</v>
      </c>
      <c r="I74" s="160">
        <f t="shared" si="14"/>
        <v>1462</v>
      </c>
      <c r="J74" s="161">
        <f t="shared" si="15"/>
        <v>2.1591446124763707E-2</v>
      </c>
      <c r="K74" s="160">
        <f t="shared" si="11"/>
        <v>2037</v>
      </c>
    </row>
    <row r="75" spans="2:11" x14ac:dyDescent="0.2">
      <c r="B75" s="162" t="s">
        <v>242</v>
      </c>
      <c r="C75" s="160">
        <v>637</v>
      </c>
      <c r="D75" s="160">
        <v>220</v>
      </c>
      <c r="E75" s="160">
        <f t="shared" si="12"/>
        <v>857</v>
      </c>
      <c r="F75" s="161">
        <f t="shared" si="13"/>
        <v>3.1321954606922262E-2</v>
      </c>
      <c r="G75" s="160">
        <v>1795</v>
      </c>
      <c r="H75" s="160">
        <v>120</v>
      </c>
      <c r="I75" s="160">
        <f t="shared" si="14"/>
        <v>1915</v>
      </c>
      <c r="J75" s="161">
        <f t="shared" si="15"/>
        <v>2.8281545368620039E-2</v>
      </c>
      <c r="K75" s="160">
        <f t="shared" si="11"/>
        <v>2772</v>
      </c>
    </row>
    <row r="76" spans="2:11" x14ac:dyDescent="0.2">
      <c r="B76" s="162" t="s">
        <v>243</v>
      </c>
      <c r="C76" s="160">
        <v>237</v>
      </c>
      <c r="D76" s="160">
        <v>76</v>
      </c>
      <c r="E76" s="160">
        <f t="shared" si="12"/>
        <v>313</v>
      </c>
      <c r="F76" s="161">
        <f t="shared" si="13"/>
        <v>1.1439640364021782E-2</v>
      </c>
      <c r="G76" s="160">
        <v>848</v>
      </c>
      <c r="H76" s="160">
        <v>57</v>
      </c>
      <c r="I76" s="160">
        <f t="shared" si="14"/>
        <v>905</v>
      </c>
      <c r="J76" s="161">
        <f t="shared" si="15"/>
        <v>1.3365430056710774E-2</v>
      </c>
      <c r="K76" s="160">
        <f t="shared" si="11"/>
        <v>1218</v>
      </c>
    </row>
    <row r="77" spans="2:11" x14ac:dyDescent="0.2">
      <c r="B77" s="162" t="s">
        <v>244</v>
      </c>
      <c r="C77" s="160">
        <v>411</v>
      </c>
      <c r="D77" s="160">
        <v>142</v>
      </c>
      <c r="E77" s="160">
        <f t="shared" si="12"/>
        <v>553</v>
      </c>
      <c r="F77" s="161">
        <f t="shared" si="13"/>
        <v>2.0211249588830818E-2</v>
      </c>
      <c r="G77" s="160">
        <v>1080</v>
      </c>
      <c r="H77" s="160">
        <v>70</v>
      </c>
      <c r="I77" s="160">
        <f t="shared" si="14"/>
        <v>1150</v>
      </c>
      <c r="J77" s="161">
        <f t="shared" si="15"/>
        <v>1.6983695652173912E-2</v>
      </c>
      <c r="K77" s="160">
        <f t="shared" si="11"/>
        <v>1703</v>
      </c>
    </row>
    <row r="78" spans="2:11" x14ac:dyDescent="0.2">
      <c r="B78" s="162" t="s">
        <v>245</v>
      </c>
      <c r="C78" s="160">
        <v>1467</v>
      </c>
      <c r="D78" s="160">
        <v>497</v>
      </c>
      <c r="E78" s="160">
        <f t="shared" si="12"/>
        <v>1964</v>
      </c>
      <c r="F78" s="161">
        <f t="shared" si="13"/>
        <v>7.178100215635394E-2</v>
      </c>
      <c r="G78" s="160">
        <v>5379</v>
      </c>
      <c r="H78" s="160">
        <v>311</v>
      </c>
      <c r="I78" s="160">
        <f t="shared" si="14"/>
        <v>5690</v>
      </c>
      <c r="J78" s="161">
        <f t="shared" si="15"/>
        <v>8.4032372400756145E-2</v>
      </c>
      <c r="K78" s="160">
        <f t="shared" si="11"/>
        <v>7654</v>
      </c>
    </row>
    <row r="79" spans="2:11" x14ac:dyDescent="0.2">
      <c r="B79" s="162" t="s">
        <v>246</v>
      </c>
      <c r="C79" s="160">
        <v>334</v>
      </c>
      <c r="D79" s="160">
        <v>141</v>
      </c>
      <c r="E79" s="160">
        <f t="shared" si="12"/>
        <v>475</v>
      </c>
      <c r="F79" s="161">
        <f t="shared" si="13"/>
        <v>1.7360476590767882E-2</v>
      </c>
      <c r="G79" s="160">
        <v>1418</v>
      </c>
      <c r="H79" s="160">
        <v>101</v>
      </c>
      <c r="I79" s="160">
        <f t="shared" si="14"/>
        <v>1519</v>
      </c>
      <c r="J79" s="161">
        <f t="shared" si="15"/>
        <v>2.2433246691871456E-2</v>
      </c>
      <c r="K79" s="160">
        <f t="shared" si="11"/>
        <v>1994</v>
      </c>
    </row>
    <row r="80" spans="2:11" x14ac:dyDescent="0.2">
      <c r="B80" s="162" t="s">
        <v>247</v>
      </c>
      <c r="C80" s="160">
        <v>286</v>
      </c>
      <c r="D80" s="160">
        <v>105</v>
      </c>
      <c r="E80" s="160">
        <f t="shared" si="12"/>
        <v>391</v>
      </c>
      <c r="F80" s="161">
        <f t="shared" si="13"/>
        <v>1.429041336208472E-2</v>
      </c>
      <c r="G80" s="160">
        <v>1045</v>
      </c>
      <c r="H80" s="160">
        <v>32</v>
      </c>
      <c r="I80" s="160">
        <f t="shared" si="14"/>
        <v>1077</v>
      </c>
      <c r="J80" s="161">
        <f t="shared" si="15"/>
        <v>1.5905600189035918E-2</v>
      </c>
      <c r="K80" s="160">
        <f t="shared" si="11"/>
        <v>1468</v>
      </c>
    </row>
    <row r="81" spans="2:11" x14ac:dyDescent="0.2">
      <c r="B81" s="162" t="s">
        <v>248</v>
      </c>
      <c r="C81" s="160">
        <v>252</v>
      </c>
      <c r="D81" s="160">
        <v>94</v>
      </c>
      <c r="E81" s="160">
        <f t="shared" si="12"/>
        <v>346</v>
      </c>
      <c r="F81" s="161">
        <f t="shared" si="13"/>
        <v>1.2645736632433026E-2</v>
      </c>
      <c r="G81" s="160">
        <v>720</v>
      </c>
      <c r="H81" s="160">
        <v>25</v>
      </c>
      <c r="I81" s="160">
        <f t="shared" si="14"/>
        <v>745</v>
      </c>
      <c r="J81" s="161">
        <f t="shared" si="15"/>
        <v>1.1002481096408317E-2</v>
      </c>
      <c r="K81" s="160">
        <f t="shared" si="11"/>
        <v>1091</v>
      </c>
    </row>
    <row r="82" spans="2:11" x14ac:dyDescent="0.2">
      <c r="B82" s="162" t="s">
        <v>249</v>
      </c>
      <c r="C82" s="160">
        <v>140</v>
      </c>
      <c r="D82" s="160">
        <v>32</v>
      </c>
      <c r="E82" s="160">
        <f t="shared" si="12"/>
        <v>172</v>
      </c>
      <c r="F82" s="161">
        <f t="shared" si="13"/>
        <v>6.2863199444464753E-3</v>
      </c>
      <c r="G82" s="160">
        <v>401</v>
      </c>
      <c r="H82" s="160">
        <v>12</v>
      </c>
      <c r="I82" s="160">
        <f t="shared" si="14"/>
        <v>413</v>
      </c>
      <c r="J82" s="161">
        <f t="shared" si="15"/>
        <v>6.0993620037807185E-3</v>
      </c>
      <c r="K82" s="160">
        <f t="shared" si="11"/>
        <v>585</v>
      </c>
    </row>
    <row r="83" spans="2:11" x14ac:dyDescent="0.2">
      <c r="B83" s="162" t="s">
        <v>250</v>
      </c>
      <c r="C83" s="160">
        <v>1421</v>
      </c>
      <c r="D83" s="160">
        <v>412</v>
      </c>
      <c r="E83" s="160">
        <f t="shared" si="12"/>
        <v>1833</v>
      </c>
      <c r="F83" s="161">
        <f t="shared" si="13"/>
        <v>6.6993165454479003E-2</v>
      </c>
      <c r="G83" s="160">
        <v>4260</v>
      </c>
      <c r="H83" s="160">
        <v>199</v>
      </c>
      <c r="I83" s="160">
        <f t="shared" si="14"/>
        <v>4459</v>
      </c>
      <c r="J83" s="161">
        <f t="shared" si="15"/>
        <v>6.5852433837429114E-2</v>
      </c>
      <c r="K83" s="160">
        <f t="shared" si="11"/>
        <v>6292</v>
      </c>
    </row>
    <row r="84" spans="2:11" x14ac:dyDescent="0.2">
      <c r="B84" s="162" t="s">
        <v>251</v>
      </c>
      <c r="C84" s="160">
        <v>399</v>
      </c>
      <c r="D84" s="160">
        <v>137</v>
      </c>
      <c r="E84" s="160">
        <f t="shared" si="12"/>
        <v>536</v>
      </c>
      <c r="F84" s="161">
        <f t="shared" si="13"/>
        <v>1.9589927268740176E-2</v>
      </c>
      <c r="G84" s="160">
        <v>1223</v>
      </c>
      <c r="H84" s="160">
        <v>79</v>
      </c>
      <c r="I84" s="160">
        <f t="shared" si="14"/>
        <v>1302</v>
      </c>
      <c r="J84" s="161">
        <f t="shared" si="15"/>
        <v>1.9228497164461247E-2</v>
      </c>
      <c r="K84" s="160">
        <f t="shared" si="11"/>
        <v>1838</v>
      </c>
    </row>
    <row r="85" spans="2:11" x14ac:dyDescent="0.2">
      <c r="B85" s="162" t="s">
        <v>252</v>
      </c>
      <c r="C85" s="160">
        <v>118</v>
      </c>
      <c r="D85" s="160">
        <v>36</v>
      </c>
      <c r="E85" s="160">
        <f t="shared" si="12"/>
        <v>154</v>
      </c>
      <c r="F85" s="161">
        <f t="shared" si="13"/>
        <v>5.6284492525857975E-3</v>
      </c>
      <c r="G85" s="160">
        <v>321</v>
      </c>
      <c r="H85" s="160">
        <v>11</v>
      </c>
      <c r="I85" s="160">
        <f t="shared" si="14"/>
        <v>332</v>
      </c>
      <c r="J85" s="161">
        <f t="shared" si="15"/>
        <v>4.9031190926275992E-3</v>
      </c>
      <c r="K85" s="160">
        <f t="shared" si="11"/>
        <v>486</v>
      </c>
    </row>
    <row r="86" spans="2:11" x14ac:dyDescent="0.2">
      <c r="B86" s="162" t="s">
        <v>66</v>
      </c>
      <c r="C86" s="160">
        <f t="shared" ref="C86:H86" si="16">SUM(C53:C85)</f>
        <v>20179</v>
      </c>
      <c r="D86" s="160">
        <f t="shared" si="16"/>
        <v>7182</v>
      </c>
      <c r="E86" s="162">
        <f t="shared" ref="E86" si="17">C86+D86</f>
        <v>27361</v>
      </c>
      <c r="F86" s="161">
        <f t="shared" ref="F86" si="18">E86/$E$86</f>
        <v>1</v>
      </c>
      <c r="G86" s="160">
        <f t="shared" si="16"/>
        <v>63641</v>
      </c>
      <c r="H86" s="160">
        <f t="shared" si="16"/>
        <v>4071</v>
      </c>
      <c r="I86" s="162">
        <f t="shared" ref="I86" si="19">G86+H86</f>
        <v>67712</v>
      </c>
      <c r="J86" s="161">
        <f t="shared" ref="J86" si="20">I86/$I$86</f>
        <v>1</v>
      </c>
      <c r="K86" s="162">
        <f t="shared" ref="K86:K87" si="21">E86+I86</f>
        <v>95073</v>
      </c>
    </row>
    <row r="87" spans="2:11" ht="24" x14ac:dyDescent="0.2">
      <c r="B87" s="174" t="s">
        <v>84</v>
      </c>
      <c r="C87" s="175">
        <f>+C86/$K$86</f>
        <v>0.21224743092150242</v>
      </c>
      <c r="D87" s="175">
        <f>+D86/$K$86</f>
        <v>7.5541951973746496E-2</v>
      </c>
      <c r="E87" s="176">
        <f>C87+D87</f>
        <v>0.28778938289524891</v>
      </c>
      <c r="F87" s="175"/>
      <c r="G87" s="175">
        <f>+G86/$K$86</f>
        <v>0.66939088910626576</v>
      </c>
      <c r="H87" s="175">
        <f>+H86/$K$86</f>
        <v>4.2819727998485373E-2</v>
      </c>
      <c r="I87" s="176">
        <f>G87+H87</f>
        <v>0.71221061710475109</v>
      </c>
      <c r="J87" s="175"/>
      <c r="K87" s="176">
        <f t="shared" si="21"/>
        <v>1</v>
      </c>
    </row>
    <row r="88" spans="2:11" x14ac:dyDescent="0.2">
      <c r="B88" s="167" t="s">
        <v>149</v>
      </c>
    </row>
    <row r="89" spans="2:11" x14ac:dyDescent="0.2">
      <c r="B89" s="167" t="s">
        <v>150</v>
      </c>
    </row>
  </sheetData>
  <mergeCells count="10">
    <mergeCell ref="B51:B52"/>
    <mergeCell ref="C51:K51"/>
    <mergeCell ref="B8:K8"/>
    <mergeCell ref="B9:B10"/>
    <mergeCell ref="C9:K9"/>
    <mergeCell ref="B6:K6"/>
    <mergeCell ref="B5:K5"/>
    <mergeCell ref="B47:K47"/>
    <mergeCell ref="B48:K48"/>
    <mergeCell ref="B50:K50"/>
  </mergeCells>
  <hyperlinks>
    <hyperlink ref="M5" location="'Índice Pensiones Solidarias'!A1" display="Volver Sistema de Pensiones Solidadias" xr:uid="{00000000-0004-0000-0D00-000000000000}"/>
  </hyperlinks>
  <pageMargins left="0.74803149606299213" right="0.74803149606299213" top="0.98425196850393704" bottom="0.98425196850393704" header="0" footer="0"/>
  <pageSetup scale="83" fitToHeight="2" orientation="portrait" r:id="rId1"/>
  <headerFooter alignWithMargins="0"/>
  <rowBreaks count="1" manualBreakCount="1">
    <brk id="50" min="1" max="1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25"/>
  <dimension ref="A1:P83"/>
  <sheetViews>
    <sheetView showGridLines="0" topLeftCell="A16" zoomScaleNormal="100" workbookViewId="0"/>
  </sheetViews>
  <sheetFormatPr baseColWidth="10" defaultRowHeight="12" x14ac:dyDescent="0.2"/>
  <cols>
    <col min="1" max="1" width="6" style="168" customWidth="1"/>
    <col min="2" max="2" width="18.140625" style="168" customWidth="1"/>
    <col min="3" max="3" width="7.85546875" style="168" bestFit="1" customWidth="1"/>
    <col min="4" max="4" width="7.28515625" style="168" bestFit="1" customWidth="1"/>
    <col min="5" max="6" width="7.28515625" style="168" customWidth="1"/>
    <col min="7" max="8" width="7.28515625" style="168" bestFit="1" customWidth="1"/>
    <col min="9" max="11" width="7.28515625" style="168" customWidth="1"/>
    <col min="12" max="12" width="9.7109375" style="168" customWidth="1"/>
    <col min="13" max="251" width="11.42578125" style="168"/>
    <col min="252" max="252" width="18.140625" style="168" customWidth="1"/>
    <col min="253" max="253" width="7.85546875" style="168" bestFit="1" customWidth="1"/>
    <col min="254" max="254" width="7.28515625" style="168" bestFit="1" customWidth="1"/>
    <col min="255" max="256" width="7.28515625" style="168" customWidth="1"/>
    <col min="257" max="258" width="7.28515625" style="168" bestFit="1" customWidth="1"/>
    <col min="259" max="261" width="7.28515625" style="168" customWidth="1"/>
    <col min="262" max="267" width="0" style="168" hidden="1" customWidth="1"/>
    <col min="268" max="268" width="9.7109375" style="168" customWidth="1"/>
    <col min="269" max="507" width="11.42578125" style="168"/>
    <col min="508" max="508" width="18.140625" style="168" customWidth="1"/>
    <col min="509" max="509" width="7.85546875" style="168" bestFit="1" customWidth="1"/>
    <col min="510" max="510" width="7.28515625" style="168" bestFit="1" customWidth="1"/>
    <col min="511" max="512" width="7.28515625" style="168" customWidth="1"/>
    <col min="513" max="514" width="7.28515625" style="168" bestFit="1" customWidth="1"/>
    <col min="515" max="517" width="7.28515625" style="168" customWidth="1"/>
    <col min="518" max="523" width="0" style="168" hidden="1" customWidth="1"/>
    <col min="524" max="524" width="9.7109375" style="168" customWidth="1"/>
    <col min="525" max="763" width="11.42578125" style="168"/>
    <col min="764" max="764" width="18.140625" style="168" customWidth="1"/>
    <col min="765" max="765" width="7.85546875" style="168" bestFit="1" customWidth="1"/>
    <col min="766" max="766" width="7.28515625" style="168" bestFit="1" customWidth="1"/>
    <col min="767" max="768" width="7.28515625" style="168" customWidth="1"/>
    <col min="769" max="770" width="7.28515625" style="168" bestFit="1" customWidth="1"/>
    <col min="771" max="773" width="7.28515625" style="168" customWidth="1"/>
    <col min="774" max="779" width="0" style="168" hidden="1" customWidth="1"/>
    <col min="780" max="780" width="9.7109375" style="168" customWidth="1"/>
    <col min="781" max="1019" width="11.42578125" style="168"/>
    <col min="1020" max="1020" width="18.140625" style="168" customWidth="1"/>
    <col min="1021" max="1021" width="7.85546875" style="168" bestFit="1" customWidth="1"/>
    <col min="1022" max="1022" width="7.28515625" style="168" bestFit="1" customWidth="1"/>
    <col min="1023" max="1024" width="7.28515625" style="168" customWidth="1"/>
    <col min="1025" max="1026" width="7.28515625" style="168" bestFit="1" customWidth="1"/>
    <col min="1027" max="1029" width="7.28515625" style="168" customWidth="1"/>
    <col min="1030" max="1035" width="0" style="168" hidden="1" customWidth="1"/>
    <col min="1036" max="1036" width="9.7109375" style="168" customWidth="1"/>
    <col min="1037" max="1275" width="11.42578125" style="168"/>
    <col min="1276" max="1276" width="18.140625" style="168" customWidth="1"/>
    <col min="1277" max="1277" width="7.85546875" style="168" bestFit="1" customWidth="1"/>
    <col min="1278" max="1278" width="7.28515625" style="168" bestFit="1" customWidth="1"/>
    <col min="1279" max="1280" width="7.28515625" style="168" customWidth="1"/>
    <col min="1281" max="1282" width="7.28515625" style="168" bestFit="1" customWidth="1"/>
    <col min="1283" max="1285" width="7.28515625" style="168" customWidth="1"/>
    <col min="1286" max="1291" width="0" style="168" hidden="1" customWidth="1"/>
    <col min="1292" max="1292" width="9.7109375" style="168" customWidth="1"/>
    <col min="1293" max="1531" width="11.42578125" style="168"/>
    <col min="1532" max="1532" width="18.140625" style="168" customWidth="1"/>
    <col min="1533" max="1533" width="7.85546875" style="168" bestFit="1" customWidth="1"/>
    <col min="1534" max="1534" width="7.28515625" style="168" bestFit="1" customWidth="1"/>
    <col min="1535" max="1536" width="7.28515625" style="168" customWidth="1"/>
    <col min="1537" max="1538" width="7.28515625" style="168" bestFit="1" customWidth="1"/>
    <col min="1539" max="1541" width="7.28515625" style="168" customWidth="1"/>
    <col min="1542" max="1547" width="0" style="168" hidden="1" customWidth="1"/>
    <col min="1548" max="1548" width="9.7109375" style="168" customWidth="1"/>
    <col min="1549" max="1787" width="11.42578125" style="168"/>
    <col min="1788" max="1788" width="18.140625" style="168" customWidth="1"/>
    <col min="1789" max="1789" width="7.85546875" style="168" bestFit="1" customWidth="1"/>
    <col min="1790" max="1790" width="7.28515625" style="168" bestFit="1" customWidth="1"/>
    <col min="1791" max="1792" width="7.28515625" style="168" customWidth="1"/>
    <col min="1793" max="1794" width="7.28515625" style="168" bestFit="1" customWidth="1"/>
    <col min="1795" max="1797" width="7.28515625" style="168" customWidth="1"/>
    <col min="1798" max="1803" width="0" style="168" hidden="1" customWidth="1"/>
    <col min="1804" max="1804" width="9.7109375" style="168" customWidth="1"/>
    <col min="1805" max="2043" width="11.42578125" style="168"/>
    <col min="2044" max="2044" width="18.140625" style="168" customWidth="1"/>
    <col min="2045" max="2045" width="7.85546875" style="168" bestFit="1" customWidth="1"/>
    <col min="2046" max="2046" width="7.28515625" style="168" bestFit="1" customWidth="1"/>
    <col min="2047" max="2048" width="7.28515625" style="168" customWidth="1"/>
    <col min="2049" max="2050" width="7.28515625" style="168" bestFit="1" customWidth="1"/>
    <col min="2051" max="2053" width="7.28515625" style="168" customWidth="1"/>
    <col min="2054" max="2059" width="0" style="168" hidden="1" customWidth="1"/>
    <col min="2060" max="2060" width="9.7109375" style="168" customWidth="1"/>
    <col min="2061" max="2299" width="11.42578125" style="168"/>
    <col min="2300" max="2300" width="18.140625" style="168" customWidth="1"/>
    <col min="2301" max="2301" width="7.85546875" style="168" bestFit="1" customWidth="1"/>
    <col min="2302" max="2302" width="7.28515625" style="168" bestFit="1" customWidth="1"/>
    <col min="2303" max="2304" width="7.28515625" style="168" customWidth="1"/>
    <col min="2305" max="2306" width="7.28515625" style="168" bestFit="1" customWidth="1"/>
    <col min="2307" max="2309" width="7.28515625" style="168" customWidth="1"/>
    <col min="2310" max="2315" width="0" style="168" hidden="1" customWidth="1"/>
    <col min="2316" max="2316" width="9.7109375" style="168" customWidth="1"/>
    <col min="2317" max="2555" width="11.42578125" style="168"/>
    <col min="2556" max="2556" width="18.140625" style="168" customWidth="1"/>
    <col min="2557" max="2557" width="7.85546875" style="168" bestFit="1" customWidth="1"/>
    <col min="2558" max="2558" width="7.28515625" style="168" bestFit="1" customWidth="1"/>
    <col min="2559" max="2560" width="7.28515625" style="168" customWidth="1"/>
    <col min="2561" max="2562" width="7.28515625" style="168" bestFit="1" customWidth="1"/>
    <col min="2563" max="2565" width="7.28515625" style="168" customWidth="1"/>
    <col min="2566" max="2571" width="0" style="168" hidden="1" customWidth="1"/>
    <col min="2572" max="2572" width="9.7109375" style="168" customWidth="1"/>
    <col min="2573" max="2811" width="11.42578125" style="168"/>
    <col min="2812" max="2812" width="18.140625" style="168" customWidth="1"/>
    <col min="2813" max="2813" width="7.85546875" style="168" bestFit="1" customWidth="1"/>
    <col min="2814" max="2814" width="7.28515625" style="168" bestFit="1" customWidth="1"/>
    <col min="2815" max="2816" width="7.28515625" style="168" customWidth="1"/>
    <col min="2817" max="2818" width="7.28515625" style="168" bestFit="1" customWidth="1"/>
    <col min="2819" max="2821" width="7.28515625" style="168" customWidth="1"/>
    <col min="2822" max="2827" width="0" style="168" hidden="1" customWidth="1"/>
    <col min="2828" max="2828" width="9.7109375" style="168" customWidth="1"/>
    <col min="2829" max="3067" width="11.42578125" style="168"/>
    <col min="3068" max="3068" width="18.140625" style="168" customWidth="1"/>
    <col min="3069" max="3069" width="7.85546875" style="168" bestFit="1" customWidth="1"/>
    <col min="3070" max="3070" width="7.28515625" style="168" bestFit="1" customWidth="1"/>
    <col min="3071" max="3072" width="7.28515625" style="168" customWidth="1"/>
    <col min="3073" max="3074" width="7.28515625" style="168" bestFit="1" customWidth="1"/>
    <col min="3075" max="3077" width="7.28515625" style="168" customWidth="1"/>
    <col min="3078" max="3083" width="0" style="168" hidden="1" customWidth="1"/>
    <col min="3084" max="3084" width="9.7109375" style="168" customWidth="1"/>
    <col min="3085" max="3323" width="11.42578125" style="168"/>
    <col min="3324" max="3324" width="18.140625" style="168" customWidth="1"/>
    <col min="3325" max="3325" width="7.85546875" style="168" bestFit="1" customWidth="1"/>
    <col min="3326" max="3326" width="7.28515625" style="168" bestFit="1" customWidth="1"/>
    <col min="3327" max="3328" width="7.28515625" style="168" customWidth="1"/>
    <col min="3329" max="3330" width="7.28515625" style="168" bestFit="1" customWidth="1"/>
    <col min="3331" max="3333" width="7.28515625" style="168" customWidth="1"/>
    <col min="3334" max="3339" width="0" style="168" hidden="1" customWidth="1"/>
    <col min="3340" max="3340" width="9.7109375" style="168" customWidth="1"/>
    <col min="3341" max="3579" width="11.42578125" style="168"/>
    <col min="3580" max="3580" width="18.140625" style="168" customWidth="1"/>
    <col min="3581" max="3581" width="7.85546875" style="168" bestFit="1" customWidth="1"/>
    <col min="3582" max="3582" width="7.28515625" style="168" bestFit="1" customWidth="1"/>
    <col min="3583" max="3584" width="7.28515625" style="168" customWidth="1"/>
    <col min="3585" max="3586" width="7.28515625" style="168" bestFit="1" customWidth="1"/>
    <col min="3587" max="3589" width="7.28515625" style="168" customWidth="1"/>
    <col min="3590" max="3595" width="0" style="168" hidden="1" customWidth="1"/>
    <col min="3596" max="3596" width="9.7109375" style="168" customWidth="1"/>
    <col min="3597" max="3835" width="11.42578125" style="168"/>
    <col min="3836" max="3836" width="18.140625" style="168" customWidth="1"/>
    <col min="3837" max="3837" width="7.85546875" style="168" bestFit="1" customWidth="1"/>
    <col min="3838" max="3838" width="7.28515625" style="168" bestFit="1" customWidth="1"/>
    <col min="3839" max="3840" width="7.28515625" style="168" customWidth="1"/>
    <col min="3841" max="3842" width="7.28515625" style="168" bestFit="1" customWidth="1"/>
    <col min="3843" max="3845" width="7.28515625" style="168" customWidth="1"/>
    <col min="3846" max="3851" width="0" style="168" hidden="1" customWidth="1"/>
    <col min="3852" max="3852" width="9.7109375" style="168" customWidth="1"/>
    <col min="3853" max="4091" width="11.42578125" style="168"/>
    <col min="4092" max="4092" width="18.140625" style="168" customWidth="1"/>
    <col min="4093" max="4093" width="7.85546875" style="168" bestFit="1" customWidth="1"/>
    <col min="4094" max="4094" width="7.28515625" style="168" bestFit="1" customWidth="1"/>
    <col min="4095" max="4096" width="7.28515625" style="168" customWidth="1"/>
    <col min="4097" max="4098" width="7.28515625" style="168" bestFit="1" customWidth="1"/>
    <col min="4099" max="4101" width="7.28515625" style="168" customWidth="1"/>
    <col min="4102" max="4107" width="0" style="168" hidden="1" customWidth="1"/>
    <col min="4108" max="4108" width="9.7109375" style="168" customWidth="1"/>
    <col min="4109" max="4347" width="11.42578125" style="168"/>
    <col min="4348" max="4348" width="18.140625" style="168" customWidth="1"/>
    <col min="4349" max="4349" width="7.85546875" style="168" bestFit="1" customWidth="1"/>
    <col min="4350" max="4350" width="7.28515625" style="168" bestFit="1" customWidth="1"/>
    <col min="4351" max="4352" width="7.28515625" style="168" customWidth="1"/>
    <col min="4353" max="4354" width="7.28515625" style="168" bestFit="1" customWidth="1"/>
    <col min="4355" max="4357" width="7.28515625" style="168" customWidth="1"/>
    <col min="4358" max="4363" width="0" style="168" hidden="1" customWidth="1"/>
    <col min="4364" max="4364" width="9.7109375" style="168" customWidth="1"/>
    <col min="4365" max="4603" width="11.42578125" style="168"/>
    <col min="4604" max="4604" width="18.140625" style="168" customWidth="1"/>
    <col min="4605" max="4605" width="7.85546875" style="168" bestFit="1" customWidth="1"/>
    <col min="4606" max="4606" width="7.28515625" style="168" bestFit="1" customWidth="1"/>
    <col min="4607" max="4608" width="7.28515625" style="168" customWidth="1"/>
    <col min="4609" max="4610" width="7.28515625" style="168" bestFit="1" customWidth="1"/>
    <col min="4611" max="4613" width="7.28515625" style="168" customWidth="1"/>
    <col min="4614" max="4619" width="0" style="168" hidden="1" customWidth="1"/>
    <col min="4620" max="4620" width="9.7109375" style="168" customWidth="1"/>
    <col min="4621" max="4859" width="11.42578125" style="168"/>
    <col min="4860" max="4860" width="18.140625" style="168" customWidth="1"/>
    <col min="4861" max="4861" width="7.85546875" style="168" bestFit="1" customWidth="1"/>
    <col min="4862" max="4862" width="7.28515625" style="168" bestFit="1" customWidth="1"/>
    <col min="4863" max="4864" width="7.28515625" style="168" customWidth="1"/>
    <col min="4865" max="4866" width="7.28515625" style="168" bestFit="1" customWidth="1"/>
    <col min="4867" max="4869" width="7.28515625" style="168" customWidth="1"/>
    <col min="4870" max="4875" width="0" style="168" hidden="1" customWidth="1"/>
    <col min="4876" max="4876" width="9.7109375" style="168" customWidth="1"/>
    <col min="4877" max="5115" width="11.42578125" style="168"/>
    <col min="5116" max="5116" width="18.140625" style="168" customWidth="1"/>
    <col min="5117" max="5117" width="7.85546875" style="168" bestFit="1" customWidth="1"/>
    <col min="5118" max="5118" width="7.28515625" style="168" bestFit="1" customWidth="1"/>
    <col min="5119" max="5120" width="7.28515625" style="168" customWidth="1"/>
    <col min="5121" max="5122" width="7.28515625" style="168" bestFit="1" customWidth="1"/>
    <col min="5123" max="5125" width="7.28515625" style="168" customWidth="1"/>
    <col min="5126" max="5131" width="0" style="168" hidden="1" customWidth="1"/>
    <col min="5132" max="5132" width="9.7109375" style="168" customWidth="1"/>
    <col min="5133" max="5371" width="11.42578125" style="168"/>
    <col min="5372" max="5372" width="18.140625" style="168" customWidth="1"/>
    <col min="5373" max="5373" width="7.85546875" style="168" bestFit="1" customWidth="1"/>
    <col min="5374" max="5374" width="7.28515625" style="168" bestFit="1" customWidth="1"/>
    <col min="5375" max="5376" width="7.28515625" style="168" customWidth="1"/>
    <col min="5377" max="5378" width="7.28515625" style="168" bestFit="1" customWidth="1"/>
    <col min="5379" max="5381" width="7.28515625" style="168" customWidth="1"/>
    <col min="5382" max="5387" width="0" style="168" hidden="1" customWidth="1"/>
    <col min="5388" max="5388" width="9.7109375" style="168" customWidth="1"/>
    <col min="5389" max="5627" width="11.42578125" style="168"/>
    <col min="5628" max="5628" width="18.140625" style="168" customWidth="1"/>
    <col min="5629" max="5629" width="7.85546875" style="168" bestFit="1" customWidth="1"/>
    <col min="5630" max="5630" width="7.28515625" style="168" bestFit="1" customWidth="1"/>
    <col min="5631" max="5632" width="7.28515625" style="168" customWidth="1"/>
    <col min="5633" max="5634" width="7.28515625" style="168" bestFit="1" customWidth="1"/>
    <col min="5635" max="5637" width="7.28515625" style="168" customWidth="1"/>
    <col min="5638" max="5643" width="0" style="168" hidden="1" customWidth="1"/>
    <col min="5644" max="5644" width="9.7109375" style="168" customWidth="1"/>
    <col min="5645" max="5883" width="11.42578125" style="168"/>
    <col min="5884" max="5884" width="18.140625" style="168" customWidth="1"/>
    <col min="5885" max="5885" width="7.85546875" style="168" bestFit="1" customWidth="1"/>
    <col min="5886" max="5886" width="7.28515625" style="168" bestFit="1" customWidth="1"/>
    <col min="5887" max="5888" width="7.28515625" style="168" customWidth="1"/>
    <col min="5889" max="5890" width="7.28515625" style="168" bestFit="1" customWidth="1"/>
    <col min="5891" max="5893" width="7.28515625" style="168" customWidth="1"/>
    <col min="5894" max="5899" width="0" style="168" hidden="1" customWidth="1"/>
    <col min="5900" max="5900" width="9.7109375" style="168" customWidth="1"/>
    <col min="5901" max="6139" width="11.42578125" style="168"/>
    <col min="6140" max="6140" width="18.140625" style="168" customWidth="1"/>
    <col min="6141" max="6141" width="7.85546875" style="168" bestFit="1" customWidth="1"/>
    <col min="6142" max="6142" width="7.28515625" style="168" bestFit="1" customWidth="1"/>
    <col min="6143" max="6144" width="7.28515625" style="168" customWidth="1"/>
    <col min="6145" max="6146" width="7.28515625" style="168" bestFit="1" customWidth="1"/>
    <col min="6147" max="6149" width="7.28515625" style="168" customWidth="1"/>
    <col min="6150" max="6155" width="0" style="168" hidden="1" customWidth="1"/>
    <col min="6156" max="6156" width="9.7109375" style="168" customWidth="1"/>
    <col min="6157" max="6395" width="11.42578125" style="168"/>
    <col min="6396" max="6396" width="18.140625" style="168" customWidth="1"/>
    <col min="6397" max="6397" width="7.85546875" style="168" bestFit="1" customWidth="1"/>
    <col min="6398" max="6398" width="7.28515625" style="168" bestFit="1" customWidth="1"/>
    <col min="6399" max="6400" width="7.28515625" style="168" customWidth="1"/>
    <col min="6401" max="6402" width="7.28515625" style="168" bestFit="1" customWidth="1"/>
    <col min="6403" max="6405" width="7.28515625" style="168" customWidth="1"/>
    <col min="6406" max="6411" width="0" style="168" hidden="1" customWidth="1"/>
    <col min="6412" max="6412" width="9.7109375" style="168" customWidth="1"/>
    <col min="6413" max="6651" width="11.42578125" style="168"/>
    <col min="6652" max="6652" width="18.140625" style="168" customWidth="1"/>
    <col min="6653" max="6653" width="7.85546875" style="168" bestFit="1" customWidth="1"/>
    <col min="6654" max="6654" width="7.28515625" style="168" bestFit="1" customWidth="1"/>
    <col min="6655" max="6656" width="7.28515625" style="168" customWidth="1"/>
    <col min="6657" max="6658" width="7.28515625" style="168" bestFit="1" customWidth="1"/>
    <col min="6659" max="6661" width="7.28515625" style="168" customWidth="1"/>
    <col min="6662" max="6667" width="0" style="168" hidden="1" customWidth="1"/>
    <col min="6668" max="6668" width="9.7109375" style="168" customWidth="1"/>
    <col min="6669" max="6907" width="11.42578125" style="168"/>
    <col min="6908" max="6908" width="18.140625" style="168" customWidth="1"/>
    <col min="6909" max="6909" width="7.85546875" style="168" bestFit="1" customWidth="1"/>
    <col min="6910" max="6910" width="7.28515625" style="168" bestFit="1" customWidth="1"/>
    <col min="6911" max="6912" width="7.28515625" style="168" customWidth="1"/>
    <col min="6913" max="6914" width="7.28515625" style="168" bestFit="1" customWidth="1"/>
    <col min="6915" max="6917" width="7.28515625" style="168" customWidth="1"/>
    <col min="6918" max="6923" width="0" style="168" hidden="1" customWidth="1"/>
    <col min="6924" max="6924" width="9.7109375" style="168" customWidth="1"/>
    <col min="6925" max="7163" width="11.42578125" style="168"/>
    <col min="7164" max="7164" width="18.140625" style="168" customWidth="1"/>
    <col min="7165" max="7165" width="7.85546875" style="168" bestFit="1" customWidth="1"/>
    <col min="7166" max="7166" width="7.28515625" style="168" bestFit="1" customWidth="1"/>
    <col min="7167" max="7168" width="7.28515625" style="168" customWidth="1"/>
    <col min="7169" max="7170" width="7.28515625" style="168" bestFit="1" customWidth="1"/>
    <col min="7171" max="7173" width="7.28515625" style="168" customWidth="1"/>
    <col min="7174" max="7179" width="0" style="168" hidden="1" customWidth="1"/>
    <col min="7180" max="7180" width="9.7109375" style="168" customWidth="1"/>
    <col min="7181" max="7419" width="11.42578125" style="168"/>
    <col min="7420" max="7420" width="18.140625" style="168" customWidth="1"/>
    <col min="7421" max="7421" width="7.85546875" style="168" bestFit="1" customWidth="1"/>
    <col min="7422" max="7422" width="7.28515625" style="168" bestFit="1" customWidth="1"/>
    <col min="7423" max="7424" width="7.28515625" style="168" customWidth="1"/>
    <col min="7425" max="7426" width="7.28515625" style="168" bestFit="1" customWidth="1"/>
    <col min="7427" max="7429" width="7.28515625" style="168" customWidth="1"/>
    <col min="7430" max="7435" width="0" style="168" hidden="1" customWidth="1"/>
    <col min="7436" max="7436" width="9.7109375" style="168" customWidth="1"/>
    <col min="7437" max="7675" width="11.42578125" style="168"/>
    <col min="7676" max="7676" width="18.140625" style="168" customWidth="1"/>
    <col min="7677" max="7677" width="7.85546875" style="168" bestFit="1" customWidth="1"/>
    <col min="7678" max="7678" width="7.28515625" style="168" bestFit="1" customWidth="1"/>
    <col min="7679" max="7680" width="7.28515625" style="168" customWidth="1"/>
    <col min="7681" max="7682" width="7.28515625" style="168" bestFit="1" customWidth="1"/>
    <col min="7683" max="7685" width="7.28515625" style="168" customWidth="1"/>
    <col min="7686" max="7691" width="0" style="168" hidden="1" customWidth="1"/>
    <col min="7692" max="7692" width="9.7109375" style="168" customWidth="1"/>
    <col min="7693" max="7931" width="11.42578125" style="168"/>
    <col min="7932" max="7932" width="18.140625" style="168" customWidth="1"/>
    <col min="7933" max="7933" width="7.85546875" style="168" bestFit="1" customWidth="1"/>
    <col min="7934" max="7934" width="7.28515625" style="168" bestFit="1" customWidth="1"/>
    <col min="7935" max="7936" width="7.28515625" style="168" customWidth="1"/>
    <col min="7937" max="7938" width="7.28515625" style="168" bestFit="1" customWidth="1"/>
    <col min="7939" max="7941" width="7.28515625" style="168" customWidth="1"/>
    <col min="7942" max="7947" width="0" style="168" hidden="1" customWidth="1"/>
    <col min="7948" max="7948" width="9.7109375" style="168" customWidth="1"/>
    <col min="7949" max="8187" width="11.42578125" style="168"/>
    <col min="8188" max="8188" width="18.140625" style="168" customWidth="1"/>
    <col min="8189" max="8189" width="7.85546875" style="168" bestFit="1" customWidth="1"/>
    <col min="8190" max="8190" width="7.28515625" style="168" bestFit="1" customWidth="1"/>
    <col min="8191" max="8192" width="7.28515625" style="168" customWidth="1"/>
    <col min="8193" max="8194" width="7.28515625" style="168" bestFit="1" customWidth="1"/>
    <col min="8195" max="8197" width="7.28515625" style="168" customWidth="1"/>
    <col min="8198" max="8203" width="0" style="168" hidden="1" customWidth="1"/>
    <col min="8204" max="8204" width="9.7109375" style="168" customWidth="1"/>
    <col min="8205" max="8443" width="11.42578125" style="168"/>
    <col min="8444" max="8444" width="18.140625" style="168" customWidth="1"/>
    <col min="8445" max="8445" width="7.85546875" style="168" bestFit="1" customWidth="1"/>
    <col min="8446" max="8446" width="7.28515625" style="168" bestFit="1" customWidth="1"/>
    <col min="8447" max="8448" width="7.28515625" style="168" customWidth="1"/>
    <col min="8449" max="8450" width="7.28515625" style="168" bestFit="1" customWidth="1"/>
    <col min="8451" max="8453" width="7.28515625" style="168" customWidth="1"/>
    <col min="8454" max="8459" width="0" style="168" hidden="1" customWidth="1"/>
    <col min="8460" max="8460" width="9.7109375" style="168" customWidth="1"/>
    <col min="8461" max="8699" width="11.42578125" style="168"/>
    <col min="8700" max="8700" width="18.140625" style="168" customWidth="1"/>
    <col min="8701" max="8701" width="7.85546875" style="168" bestFit="1" customWidth="1"/>
    <col min="8702" max="8702" width="7.28515625" style="168" bestFit="1" customWidth="1"/>
    <col min="8703" max="8704" width="7.28515625" style="168" customWidth="1"/>
    <col min="8705" max="8706" width="7.28515625" style="168" bestFit="1" customWidth="1"/>
    <col min="8707" max="8709" width="7.28515625" style="168" customWidth="1"/>
    <col min="8710" max="8715" width="0" style="168" hidden="1" customWidth="1"/>
    <col min="8716" max="8716" width="9.7109375" style="168" customWidth="1"/>
    <col min="8717" max="8955" width="11.42578125" style="168"/>
    <col min="8956" max="8956" width="18.140625" style="168" customWidth="1"/>
    <col min="8957" max="8957" width="7.85546875" style="168" bestFit="1" customWidth="1"/>
    <col min="8958" max="8958" width="7.28515625" style="168" bestFit="1" customWidth="1"/>
    <col min="8959" max="8960" width="7.28515625" style="168" customWidth="1"/>
    <col min="8961" max="8962" width="7.28515625" style="168" bestFit="1" customWidth="1"/>
    <col min="8963" max="8965" width="7.28515625" style="168" customWidth="1"/>
    <col min="8966" max="8971" width="0" style="168" hidden="1" customWidth="1"/>
    <col min="8972" max="8972" width="9.7109375" style="168" customWidth="1"/>
    <col min="8973" max="9211" width="11.42578125" style="168"/>
    <col min="9212" max="9212" width="18.140625" style="168" customWidth="1"/>
    <col min="9213" max="9213" width="7.85546875" style="168" bestFit="1" customWidth="1"/>
    <col min="9214" max="9214" width="7.28515625" style="168" bestFit="1" customWidth="1"/>
    <col min="9215" max="9216" width="7.28515625" style="168" customWidth="1"/>
    <col min="9217" max="9218" width="7.28515625" style="168" bestFit="1" customWidth="1"/>
    <col min="9219" max="9221" width="7.28515625" style="168" customWidth="1"/>
    <col min="9222" max="9227" width="0" style="168" hidden="1" customWidth="1"/>
    <col min="9228" max="9228" width="9.7109375" style="168" customWidth="1"/>
    <col min="9229" max="9467" width="11.42578125" style="168"/>
    <col min="9468" max="9468" width="18.140625" style="168" customWidth="1"/>
    <col min="9469" max="9469" width="7.85546875" style="168" bestFit="1" customWidth="1"/>
    <col min="9470" max="9470" width="7.28515625" style="168" bestFit="1" customWidth="1"/>
    <col min="9471" max="9472" width="7.28515625" style="168" customWidth="1"/>
    <col min="9473" max="9474" width="7.28515625" style="168" bestFit="1" customWidth="1"/>
    <col min="9475" max="9477" width="7.28515625" style="168" customWidth="1"/>
    <col min="9478" max="9483" width="0" style="168" hidden="1" customWidth="1"/>
    <col min="9484" max="9484" width="9.7109375" style="168" customWidth="1"/>
    <col min="9485" max="9723" width="11.42578125" style="168"/>
    <col min="9724" max="9724" width="18.140625" style="168" customWidth="1"/>
    <col min="9725" max="9725" width="7.85546875" style="168" bestFit="1" customWidth="1"/>
    <col min="9726" max="9726" width="7.28515625" style="168" bestFit="1" customWidth="1"/>
    <col min="9727" max="9728" width="7.28515625" style="168" customWidth="1"/>
    <col min="9729" max="9730" width="7.28515625" style="168" bestFit="1" customWidth="1"/>
    <col min="9731" max="9733" width="7.28515625" style="168" customWidth="1"/>
    <col min="9734" max="9739" width="0" style="168" hidden="1" customWidth="1"/>
    <col min="9740" max="9740" width="9.7109375" style="168" customWidth="1"/>
    <col min="9741" max="9979" width="11.42578125" style="168"/>
    <col min="9980" max="9980" width="18.140625" style="168" customWidth="1"/>
    <col min="9981" max="9981" width="7.85546875" style="168" bestFit="1" customWidth="1"/>
    <col min="9982" max="9982" width="7.28515625" style="168" bestFit="1" customWidth="1"/>
    <col min="9983" max="9984" width="7.28515625" style="168" customWidth="1"/>
    <col min="9985" max="9986" width="7.28515625" style="168" bestFit="1" customWidth="1"/>
    <col min="9987" max="9989" width="7.28515625" style="168" customWidth="1"/>
    <col min="9990" max="9995" width="0" style="168" hidden="1" customWidth="1"/>
    <col min="9996" max="9996" width="9.7109375" style="168" customWidth="1"/>
    <col min="9997" max="10235" width="11.42578125" style="168"/>
    <col min="10236" max="10236" width="18.140625" style="168" customWidth="1"/>
    <col min="10237" max="10237" width="7.85546875" style="168" bestFit="1" customWidth="1"/>
    <col min="10238" max="10238" width="7.28515625" style="168" bestFit="1" customWidth="1"/>
    <col min="10239" max="10240" width="7.28515625" style="168" customWidth="1"/>
    <col min="10241" max="10242" width="7.28515625" style="168" bestFit="1" customWidth="1"/>
    <col min="10243" max="10245" width="7.28515625" style="168" customWidth="1"/>
    <col min="10246" max="10251" width="0" style="168" hidden="1" customWidth="1"/>
    <col min="10252" max="10252" width="9.7109375" style="168" customWidth="1"/>
    <col min="10253" max="10491" width="11.42578125" style="168"/>
    <col min="10492" max="10492" width="18.140625" style="168" customWidth="1"/>
    <col min="10493" max="10493" width="7.85546875" style="168" bestFit="1" customWidth="1"/>
    <col min="10494" max="10494" width="7.28515625" style="168" bestFit="1" customWidth="1"/>
    <col min="10495" max="10496" width="7.28515625" style="168" customWidth="1"/>
    <col min="10497" max="10498" width="7.28515625" style="168" bestFit="1" customWidth="1"/>
    <col min="10499" max="10501" width="7.28515625" style="168" customWidth="1"/>
    <col min="10502" max="10507" width="0" style="168" hidden="1" customWidth="1"/>
    <col min="10508" max="10508" width="9.7109375" style="168" customWidth="1"/>
    <col min="10509" max="10747" width="11.42578125" style="168"/>
    <col min="10748" max="10748" width="18.140625" style="168" customWidth="1"/>
    <col min="10749" max="10749" width="7.85546875" style="168" bestFit="1" customWidth="1"/>
    <col min="10750" max="10750" width="7.28515625" style="168" bestFit="1" customWidth="1"/>
    <col min="10751" max="10752" width="7.28515625" style="168" customWidth="1"/>
    <col min="10753" max="10754" width="7.28515625" style="168" bestFit="1" customWidth="1"/>
    <col min="10755" max="10757" width="7.28515625" style="168" customWidth="1"/>
    <col min="10758" max="10763" width="0" style="168" hidden="1" customWidth="1"/>
    <col min="10764" max="10764" width="9.7109375" style="168" customWidth="1"/>
    <col min="10765" max="11003" width="11.42578125" style="168"/>
    <col min="11004" max="11004" width="18.140625" style="168" customWidth="1"/>
    <col min="11005" max="11005" width="7.85546875" style="168" bestFit="1" customWidth="1"/>
    <col min="11006" max="11006" width="7.28515625" style="168" bestFit="1" customWidth="1"/>
    <col min="11007" max="11008" width="7.28515625" style="168" customWidth="1"/>
    <col min="11009" max="11010" width="7.28515625" style="168" bestFit="1" customWidth="1"/>
    <col min="11011" max="11013" width="7.28515625" style="168" customWidth="1"/>
    <col min="11014" max="11019" width="0" style="168" hidden="1" customWidth="1"/>
    <col min="11020" max="11020" width="9.7109375" style="168" customWidth="1"/>
    <col min="11021" max="11259" width="11.42578125" style="168"/>
    <col min="11260" max="11260" width="18.140625" style="168" customWidth="1"/>
    <col min="11261" max="11261" width="7.85546875" style="168" bestFit="1" customWidth="1"/>
    <col min="11262" max="11262" width="7.28515625" style="168" bestFit="1" customWidth="1"/>
    <col min="11263" max="11264" width="7.28515625" style="168" customWidth="1"/>
    <col min="11265" max="11266" width="7.28515625" style="168" bestFit="1" customWidth="1"/>
    <col min="11267" max="11269" width="7.28515625" style="168" customWidth="1"/>
    <col min="11270" max="11275" width="0" style="168" hidden="1" customWidth="1"/>
    <col min="11276" max="11276" width="9.7109375" style="168" customWidth="1"/>
    <col min="11277" max="11515" width="11.42578125" style="168"/>
    <col min="11516" max="11516" width="18.140625" style="168" customWidth="1"/>
    <col min="11517" max="11517" width="7.85546875" style="168" bestFit="1" customWidth="1"/>
    <col min="11518" max="11518" width="7.28515625" style="168" bestFit="1" customWidth="1"/>
    <col min="11519" max="11520" width="7.28515625" style="168" customWidth="1"/>
    <col min="11521" max="11522" width="7.28515625" style="168" bestFit="1" customWidth="1"/>
    <col min="11523" max="11525" width="7.28515625" style="168" customWidth="1"/>
    <col min="11526" max="11531" width="0" style="168" hidden="1" customWidth="1"/>
    <col min="11532" max="11532" width="9.7109375" style="168" customWidth="1"/>
    <col min="11533" max="11771" width="11.42578125" style="168"/>
    <col min="11772" max="11772" width="18.140625" style="168" customWidth="1"/>
    <col min="11773" max="11773" width="7.85546875" style="168" bestFit="1" customWidth="1"/>
    <col min="11774" max="11774" width="7.28515625" style="168" bestFit="1" customWidth="1"/>
    <col min="11775" max="11776" width="7.28515625" style="168" customWidth="1"/>
    <col min="11777" max="11778" width="7.28515625" style="168" bestFit="1" customWidth="1"/>
    <col min="11779" max="11781" width="7.28515625" style="168" customWidth="1"/>
    <col min="11782" max="11787" width="0" style="168" hidden="1" customWidth="1"/>
    <col min="11788" max="11788" width="9.7109375" style="168" customWidth="1"/>
    <col min="11789" max="12027" width="11.42578125" style="168"/>
    <col min="12028" max="12028" width="18.140625" style="168" customWidth="1"/>
    <col min="12029" max="12029" width="7.85546875" style="168" bestFit="1" customWidth="1"/>
    <col min="12030" max="12030" width="7.28515625" style="168" bestFit="1" customWidth="1"/>
    <col min="12031" max="12032" width="7.28515625" style="168" customWidth="1"/>
    <col min="12033" max="12034" width="7.28515625" style="168" bestFit="1" customWidth="1"/>
    <col min="12035" max="12037" width="7.28515625" style="168" customWidth="1"/>
    <col min="12038" max="12043" width="0" style="168" hidden="1" customWidth="1"/>
    <col min="12044" max="12044" width="9.7109375" style="168" customWidth="1"/>
    <col min="12045" max="12283" width="11.42578125" style="168"/>
    <col min="12284" max="12284" width="18.140625" style="168" customWidth="1"/>
    <col min="12285" max="12285" width="7.85546875" style="168" bestFit="1" customWidth="1"/>
    <col min="12286" max="12286" width="7.28515625" style="168" bestFit="1" customWidth="1"/>
    <col min="12287" max="12288" width="7.28515625" style="168" customWidth="1"/>
    <col min="12289" max="12290" width="7.28515625" style="168" bestFit="1" customWidth="1"/>
    <col min="12291" max="12293" width="7.28515625" style="168" customWidth="1"/>
    <col min="12294" max="12299" width="0" style="168" hidden="1" customWidth="1"/>
    <col min="12300" max="12300" width="9.7109375" style="168" customWidth="1"/>
    <col min="12301" max="12539" width="11.42578125" style="168"/>
    <col min="12540" max="12540" width="18.140625" style="168" customWidth="1"/>
    <col min="12541" max="12541" width="7.85546875" style="168" bestFit="1" customWidth="1"/>
    <col min="12542" max="12542" width="7.28515625" style="168" bestFit="1" customWidth="1"/>
    <col min="12543" max="12544" width="7.28515625" style="168" customWidth="1"/>
    <col min="12545" max="12546" width="7.28515625" style="168" bestFit="1" customWidth="1"/>
    <col min="12547" max="12549" width="7.28515625" style="168" customWidth="1"/>
    <col min="12550" max="12555" width="0" style="168" hidden="1" customWidth="1"/>
    <col min="12556" max="12556" width="9.7109375" style="168" customWidth="1"/>
    <col min="12557" max="12795" width="11.42578125" style="168"/>
    <col min="12796" max="12796" width="18.140625" style="168" customWidth="1"/>
    <col min="12797" max="12797" width="7.85546875" style="168" bestFit="1" customWidth="1"/>
    <col min="12798" max="12798" width="7.28515625" style="168" bestFit="1" customWidth="1"/>
    <col min="12799" max="12800" width="7.28515625" style="168" customWidth="1"/>
    <col min="12801" max="12802" width="7.28515625" style="168" bestFit="1" customWidth="1"/>
    <col min="12803" max="12805" width="7.28515625" style="168" customWidth="1"/>
    <col min="12806" max="12811" width="0" style="168" hidden="1" customWidth="1"/>
    <col min="12812" max="12812" width="9.7109375" style="168" customWidth="1"/>
    <col min="12813" max="13051" width="11.42578125" style="168"/>
    <col min="13052" max="13052" width="18.140625" style="168" customWidth="1"/>
    <col min="13053" max="13053" width="7.85546875" style="168" bestFit="1" customWidth="1"/>
    <col min="13054" max="13054" width="7.28515625" style="168" bestFit="1" customWidth="1"/>
    <col min="13055" max="13056" width="7.28515625" style="168" customWidth="1"/>
    <col min="13057" max="13058" width="7.28515625" style="168" bestFit="1" customWidth="1"/>
    <col min="13059" max="13061" width="7.28515625" style="168" customWidth="1"/>
    <col min="13062" max="13067" width="0" style="168" hidden="1" customWidth="1"/>
    <col min="13068" max="13068" width="9.7109375" style="168" customWidth="1"/>
    <col min="13069" max="13307" width="11.42578125" style="168"/>
    <col min="13308" max="13308" width="18.140625" style="168" customWidth="1"/>
    <col min="13309" max="13309" width="7.85546875" style="168" bestFit="1" customWidth="1"/>
    <col min="13310" max="13310" width="7.28515625" style="168" bestFit="1" customWidth="1"/>
    <col min="13311" max="13312" width="7.28515625" style="168" customWidth="1"/>
    <col min="13313" max="13314" width="7.28515625" style="168" bestFit="1" customWidth="1"/>
    <col min="13315" max="13317" width="7.28515625" style="168" customWidth="1"/>
    <col min="13318" max="13323" width="0" style="168" hidden="1" customWidth="1"/>
    <col min="13324" max="13324" width="9.7109375" style="168" customWidth="1"/>
    <col min="13325" max="13563" width="11.42578125" style="168"/>
    <col min="13564" max="13564" width="18.140625" style="168" customWidth="1"/>
    <col min="13565" max="13565" width="7.85546875" style="168" bestFit="1" customWidth="1"/>
    <col min="13566" max="13566" width="7.28515625" style="168" bestFit="1" customWidth="1"/>
    <col min="13567" max="13568" width="7.28515625" style="168" customWidth="1"/>
    <col min="13569" max="13570" width="7.28515625" style="168" bestFit="1" customWidth="1"/>
    <col min="13571" max="13573" width="7.28515625" style="168" customWidth="1"/>
    <col min="13574" max="13579" width="0" style="168" hidden="1" customWidth="1"/>
    <col min="13580" max="13580" width="9.7109375" style="168" customWidth="1"/>
    <col min="13581" max="13819" width="11.42578125" style="168"/>
    <col min="13820" max="13820" width="18.140625" style="168" customWidth="1"/>
    <col min="13821" max="13821" width="7.85546875" style="168" bestFit="1" customWidth="1"/>
    <col min="13822" max="13822" width="7.28515625" style="168" bestFit="1" customWidth="1"/>
    <col min="13823" max="13824" width="7.28515625" style="168" customWidth="1"/>
    <col min="13825" max="13826" width="7.28515625" style="168" bestFit="1" customWidth="1"/>
    <col min="13827" max="13829" width="7.28515625" style="168" customWidth="1"/>
    <col min="13830" max="13835" width="0" style="168" hidden="1" customWidth="1"/>
    <col min="13836" max="13836" width="9.7109375" style="168" customWidth="1"/>
    <col min="13837" max="14075" width="11.42578125" style="168"/>
    <col min="14076" max="14076" width="18.140625" style="168" customWidth="1"/>
    <col min="14077" max="14077" width="7.85546875" style="168" bestFit="1" customWidth="1"/>
    <col min="14078" max="14078" width="7.28515625" style="168" bestFit="1" customWidth="1"/>
    <col min="14079" max="14080" width="7.28515625" style="168" customWidth="1"/>
    <col min="14081" max="14082" width="7.28515625" style="168" bestFit="1" customWidth="1"/>
    <col min="14083" max="14085" width="7.28515625" style="168" customWidth="1"/>
    <col min="14086" max="14091" width="0" style="168" hidden="1" customWidth="1"/>
    <col min="14092" max="14092" width="9.7109375" style="168" customWidth="1"/>
    <col min="14093" max="14331" width="11.42578125" style="168"/>
    <col min="14332" max="14332" width="18.140625" style="168" customWidth="1"/>
    <col min="14333" max="14333" width="7.85546875" style="168" bestFit="1" customWidth="1"/>
    <col min="14334" max="14334" width="7.28515625" style="168" bestFit="1" customWidth="1"/>
    <col min="14335" max="14336" width="7.28515625" style="168" customWidth="1"/>
    <col min="14337" max="14338" width="7.28515625" style="168" bestFit="1" customWidth="1"/>
    <col min="14339" max="14341" width="7.28515625" style="168" customWidth="1"/>
    <col min="14342" max="14347" width="0" style="168" hidden="1" customWidth="1"/>
    <col min="14348" max="14348" width="9.7109375" style="168" customWidth="1"/>
    <col min="14349" max="14587" width="11.42578125" style="168"/>
    <col min="14588" max="14588" width="18.140625" style="168" customWidth="1"/>
    <col min="14589" max="14589" width="7.85546875" style="168" bestFit="1" customWidth="1"/>
    <col min="14590" max="14590" width="7.28515625" style="168" bestFit="1" customWidth="1"/>
    <col min="14591" max="14592" width="7.28515625" style="168" customWidth="1"/>
    <col min="14593" max="14594" width="7.28515625" style="168" bestFit="1" customWidth="1"/>
    <col min="14595" max="14597" width="7.28515625" style="168" customWidth="1"/>
    <col min="14598" max="14603" width="0" style="168" hidden="1" customWidth="1"/>
    <col min="14604" max="14604" width="9.7109375" style="168" customWidth="1"/>
    <col min="14605" max="14843" width="11.42578125" style="168"/>
    <col min="14844" max="14844" width="18.140625" style="168" customWidth="1"/>
    <col min="14845" max="14845" width="7.85546875" style="168" bestFit="1" customWidth="1"/>
    <col min="14846" max="14846" width="7.28515625" style="168" bestFit="1" customWidth="1"/>
    <col min="14847" max="14848" width="7.28515625" style="168" customWidth="1"/>
    <col min="14849" max="14850" width="7.28515625" style="168" bestFit="1" customWidth="1"/>
    <col min="14851" max="14853" width="7.28515625" style="168" customWidth="1"/>
    <col min="14854" max="14859" width="0" style="168" hidden="1" customWidth="1"/>
    <col min="14860" max="14860" width="9.7109375" style="168" customWidth="1"/>
    <col min="14861" max="15099" width="11.42578125" style="168"/>
    <col min="15100" max="15100" width="18.140625" style="168" customWidth="1"/>
    <col min="15101" max="15101" width="7.85546875" style="168" bestFit="1" customWidth="1"/>
    <col min="15102" max="15102" width="7.28515625" style="168" bestFit="1" customWidth="1"/>
    <col min="15103" max="15104" width="7.28515625" style="168" customWidth="1"/>
    <col min="15105" max="15106" width="7.28515625" style="168" bestFit="1" customWidth="1"/>
    <col min="15107" max="15109" width="7.28515625" style="168" customWidth="1"/>
    <col min="15110" max="15115" width="0" style="168" hidden="1" customWidth="1"/>
    <col min="15116" max="15116" width="9.7109375" style="168" customWidth="1"/>
    <col min="15117" max="15355" width="11.42578125" style="168"/>
    <col min="15356" max="15356" width="18.140625" style="168" customWidth="1"/>
    <col min="15357" max="15357" width="7.85546875" style="168" bestFit="1" customWidth="1"/>
    <col min="15358" max="15358" width="7.28515625" style="168" bestFit="1" customWidth="1"/>
    <col min="15359" max="15360" width="7.28515625" style="168" customWidth="1"/>
    <col min="15361" max="15362" width="7.28515625" style="168" bestFit="1" customWidth="1"/>
    <col min="15363" max="15365" width="7.28515625" style="168" customWidth="1"/>
    <col min="15366" max="15371" width="0" style="168" hidden="1" customWidth="1"/>
    <col min="15372" max="15372" width="9.7109375" style="168" customWidth="1"/>
    <col min="15373" max="15611" width="11.42578125" style="168"/>
    <col min="15612" max="15612" width="18.140625" style="168" customWidth="1"/>
    <col min="15613" max="15613" width="7.85546875" style="168" bestFit="1" customWidth="1"/>
    <col min="15614" max="15614" width="7.28515625" style="168" bestFit="1" customWidth="1"/>
    <col min="15615" max="15616" width="7.28515625" style="168" customWidth="1"/>
    <col min="15617" max="15618" width="7.28515625" style="168" bestFit="1" customWidth="1"/>
    <col min="15619" max="15621" width="7.28515625" style="168" customWidth="1"/>
    <col min="15622" max="15627" width="0" style="168" hidden="1" customWidth="1"/>
    <col min="15628" max="15628" width="9.7109375" style="168" customWidth="1"/>
    <col min="15629" max="15867" width="11.42578125" style="168"/>
    <col min="15868" max="15868" width="18.140625" style="168" customWidth="1"/>
    <col min="15869" max="15869" width="7.85546875" style="168" bestFit="1" customWidth="1"/>
    <col min="15870" max="15870" width="7.28515625" style="168" bestFit="1" customWidth="1"/>
    <col min="15871" max="15872" width="7.28515625" style="168" customWidth="1"/>
    <col min="15873" max="15874" width="7.28515625" style="168" bestFit="1" customWidth="1"/>
    <col min="15875" max="15877" width="7.28515625" style="168" customWidth="1"/>
    <col min="15878" max="15883" width="0" style="168" hidden="1" customWidth="1"/>
    <col min="15884" max="15884" width="9.7109375" style="168" customWidth="1"/>
    <col min="15885" max="16123" width="11.42578125" style="168"/>
    <col min="16124" max="16124" width="18.140625" style="168" customWidth="1"/>
    <col min="16125" max="16125" width="7.85546875" style="168" bestFit="1" customWidth="1"/>
    <col min="16126" max="16126" width="7.28515625" style="168" bestFit="1" customWidth="1"/>
    <col min="16127" max="16128" width="7.28515625" style="168" customWidth="1"/>
    <col min="16129" max="16130" width="7.28515625" style="168" bestFit="1" customWidth="1"/>
    <col min="16131" max="16133" width="7.28515625" style="168" customWidth="1"/>
    <col min="16134" max="16139" width="0" style="168" hidden="1" customWidth="1"/>
    <col min="16140" max="16140" width="9.7109375" style="168" customWidth="1"/>
    <col min="16141" max="16384" width="11.42578125" style="168"/>
  </cols>
  <sheetData>
    <row r="1" spans="1:16" s="169" customFormat="1" x14ac:dyDescent="0.2"/>
    <row r="2" spans="1:16" s="169" customFormat="1" x14ac:dyDescent="0.2">
      <c r="A2" s="196" t="s">
        <v>121</v>
      </c>
    </row>
    <row r="3" spans="1:16" s="169" customFormat="1" ht="15" x14ac:dyDescent="0.25">
      <c r="A3" s="196" t="s">
        <v>122</v>
      </c>
      <c r="J3" s="337"/>
    </row>
    <row r="4" spans="1:16" s="169" customFormat="1" x14ac:dyDescent="0.2"/>
    <row r="5" spans="1:16" s="169" customFormat="1" ht="12.75" x14ac:dyDescent="0.2">
      <c r="B5" s="418" t="s">
        <v>106</v>
      </c>
      <c r="C5" s="418"/>
      <c r="D5" s="418"/>
      <c r="E5" s="418"/>
      <c r="F5" s="418"/>
      <c r="G5" s="418"/>
      <c r="H5" s="418"/>
      <c r="I5" s="418"/>
      <c r="J5" s="418"/>
      <c r="K5" s="418"/>
      <c r="M5" s="367" t="s">
        <v>593</v>
      </c>
      <c r="O5" s="338"/>
    </row>
    <row r="6" spans="1:16" s="169" customFormat="1" ht="12.75" x14ac:dyDescent="0.2">
      <c r="B6" s="431" t="str">
        <f>'Solicitudes Regiones'!$B$6:$P$6</f>
        <v>Acumuladas de julio de 2008 a noviembre de 2018</v>
      </c>
      <c r="C6" s="431"/>
      <c r="D6" s="431"/>
      <c r="E6" s="431"/>
      <c r="F6" s="431"/>
      <c r="G6" s="431"/>
      <c r="H6" s="431"/>
      <c r="I6" s="431"/>
      <c r="J6" s="431"/>
      <c r="K6" s="431"/>
      <c r="L6" s="210"/>
    </row>
    <row r="7" spans="1:16" s="172" customFormat="1" x14ac:dyDescent="0.2">
      <c r="B7" s="170"/>
      <c r="C7" s="171"/>
      <c r="D7" s="171"/>
      <c r="E7" s="171"/>
      <c r="F7" s="171"/>
      <c r="G7" s="171"/>
      <c r="H7" s="171"/>
      <c r="I7" s="171"/>
      <c r="J7" s="171"/>
      <c r="K7" s="171"/>
      <c r="L7" s="171"/>
    </row>
    <row r="8" spans="1:16" ht="15" customHeight="1" x14ac:dyDescent="0.2">
      <c r="B8" s="447" t="s">
        <v>73</v>
      </c>
      <c r="C8" s="448"/>
      <c r="D8" s="448"/>
      <c r="E8" s="448"/>
      <c r="F8" s="448"/>
      <c r="G8" s="448"/>
      <c r="H8" s="448"/>
      <c r="I8" s="448"/>
      <c r="J8" s="448"/>
      <c r="K8" s="449"/>
      <c r="L8" s="187"/>
    </row>
    <row r="9" spans="1:16" ht="20.25" customHeight="1" x14ac:dyDescent="0.2">
      <c r="B9" s="446" t="s">
        <v>74</v>
      </c>
      <c r="C9" s="447" t="s">
        <v>2</v>
      </c>
      <c r="D9" s="448"/>
      <c r="E9" s="448"/>
      <c r="F9" s="448"/>
      <c r="G9" s="448"/>
      <c r="H9" s="448"/>
      <c r="I9" s="448"/>
      <c r="J9" s="448"/>
      <c r="K9" s="449"/>
    </row>
    <row r="10" spans="1:16" ht="24" x14ac:dyDescent="0.2">
      <c r="B10" s="446"/>
      <c r="C10" s="165" t="s">
        <v>75</v>
      </c>
      <c r="D10" s="165" t="s">
        <v>76</v>
      </c>
      <c r="E10" s="165" t="s">
        <v>77</v>
      </c>
      <c r="F10" s="165" t="s">
        <v>78</v>
      </c>
      <c r="G10" s="165" t="s">
        <v>8</v>
      </c>
      <c r="H10" s="165" t="s">
        <v>79</v>
      </c>
      <c r="I10" s="165" t="s">
        <v>80</v>
      </c>
      <c r="J10" s="165" t="s">
        <v>81</v>
      </c>
      <c r="K10" s="226" t="s">
        <v>46</v>
      </c>
    </row>
    <row r="11" spans="1:16" x14ac:dyDescent="0.2">
      <c r="B11" s="160" t="s">
        <v>253</v>
      </c>
      <c r="C11" s="160">
        <v>535</v>
      </c>
      <c r="D11" s="160">
        <v>518</v>
      </c>
      <c r="E11" s="160">
        <f>C11+D11</f>
        <v>1053</v>
      </c>
      <c r="F11" s="161">
        <f>E11/$E$41</f>
        <v>2.1019222707946584E-2</v>
      </c>
      <c r="G11" s="160">
        <v>1054</v>
      </c>
      <c r="H11" s="160">
        <v>88</v>
      </c>
      <c r="I11" s="160">
        <f>G11+H11</f>
        <v>1142</v>
      </c>
      <c r="J11" s="161">
        <f>I11/$I$41</f>
        <v>1.2177696261383267E-2</v>
      </c>
      <c r="K11" s="160">
        <f t="shared" ref="K11:K40" si="0">E11+I11</f>
        <v>2195</v>
      </c>
      <c r="P11" s="173"/>
    </row>
    <row r="12" spans="1:16" x14ac:dyDescent="0.2">
      <c r="B12" s="160" t="s">
        <v>254</v>
      </c>
      <c r="C12" s="160">
        <v>341</v>
      </c>
      <c r="D12" s="160">
        <v>145</v>
      </c>
      <c r="E12" s="160">
        <f t="shared" ref="E12:E40" si="1">C12+D12</f>
        <v>486</v>
      </c>
      <c r="F12" s="161">
        <f t="shared" ref="F12:F40" si="2">E12/$E$41</f>
        <v>9.7011797113599613E-3</v>
      </c>
      <c r="G12" s="160">
        <v>769</v>
      </c>
      <c r="H12" s="160">
        <v>51</v>
      </c>
      <c r="I12" s="160">
        <f t="shared" ref="I12:I40" si="3">G12+H12</f>
        <v>820</v>
      </c>
      <c r="J12" s="161">
        <f t="shared" ref="J12:J40" si="4">I12/$I$41</f>
        <v>8.7440551088741499E-3</v>
      </c>
      <c r="K12" s="160">
        <f t="shared" si="0"/>
        <v>1306</v>
      </c>
      <c r="P12" s="173"/>
    </row>
    <row r="13" spans="1:16" x14ac:dyDescent="0.2">
      <c r="B13" s="160" t="s">
        <v>255</v>
      </c>
      <c r="C13" s="160">
        <v>337</v>
      </c>
      <c r="D13" s="160">
        <v>235</v>
      </c>
      <c r="E13" s="160">
        <f t="shared" si="1"/>
        <v>572</v>
      </c>
      <c r="F13" s="161">
        <f t="shared" si="2"/>
        <v>1.1417849372217898E-2</v>
      </c>
      <c r="G13" s="160">
        <v>734</v>
      </c>
      <c r="H13" s="160">
        <v>52</v>
      </c>
      <c r="I13" s="160">
        <f t="shared" si="3"/>
        <v>786</v>
      </c>
      <c r="J13" s="161">
        <f t="shared" si="4"/>
        <v>8.381496726311076E-3</v>
      </c>
      <c r="K13" s="160">
        <f t="shared" si="0"/>
        <v>1358</v>
      </c>
      <c r="P13" s="173"/>
    </row>
    <row r="14" spans="1:16" x14ac:dyDescent="0.2">
      <c r="B14" s="160" t="s">
        <v>256</v>
      </c>
      <c r="C14" s="160">
        <v>329</v>
      </c>
      <c r="D14" s="160">
        <v>240</v>
      </c>
      <c r="E14" s="160">
        <f t="shared" si="1"/>
        <v>569</v>
      </c>
      <c r="F14" s="161">
        <f t="shared" si="2"/>
        <v>1.1357965546839132E-2</v>
      </c>
      <c r="G14" s="160">
        <v>466</v>
      </c>
      <c r="H14" s="160">
        <v>42</v>
      </c>
      <c r="I14" s="160">
        <f t="shared" si="3"/>
        <v>508</v>
      </c>
      <c r="J14" s="161">
        <f t="shared" si="4"/>
        <v>5.417048774765937E-3</v>
      </c>
      <c r="K14" s="160">
        <f t="shared" si="0"/>
        <v>1077</v>
      </c>
      <c r="P14" s="173"/>
    </row>
    <row r="15" spans="1:16" x14ac:dyDescent="0.2">
      <c r="B15" s="160" t="s">
        <v>257</v>
      </c>
      <c r="C15" s="160">
        <v>246</v>
      </c>
      <c r="D15" s="160">
        <v>153</v>
      </c>
      <c r="E15" s="160">
        <f t="shared" si="1"/>
        <v>399</v>
      </c>
      <c r="F15" s="161">
        <f t="shared" si="2"/>
        <v>7.9645487753757706E-3</v>
      </c>
      <c r="G15" s="160">
        <v>568</v>
      </c>
      <c r="H15" s="160">
        <v>44</v>
      </c>
      <c r="I15" s="160">
        <f t="shared" si="3"/>
        <v>612</v>
      </c>
      <c r="J15" s="161">
        <f t="shared" si="4"/>
        <v>6.5260508861353407E-3</v>
      </c>
      <c r="K15" s="160">
        <f t="shared" si="0"/>
        <v>1011</v>
      </c>
      <c r="P15" s="173"/>
    </row>
    <row r="16" spans="1:16" x14ac:dyDescent="0.2">
      <c r="B16" s="160" t="s">
        <v>258</v>
      </c>
      <c r="C16" s="160">
        <v>335</v>
      </c>
      <c r="D16" s="160">
        <v>171</v>
      </c>
      <c r="E16" s="160">
        <f t="shared" si="1"/>
        <v>506</v>
      </c>
      <c r="F16" s="161">
        <f t="shared" si="2"/>
        <v>1.0100405213885062E-2</v>
      </c>
      <c r="G16" s="160">
        <v>1175</v>
      </c>
      <c r="H16" s="160">
        <v>60</v>
      </c>
      <c r="I16" s="160">
        <f t="shared" si="3"/>
        <v>1235</v>
      </c>
      <c r="J16" s="161">
        <f t="shared" si="4"/>
        <v>1.3169400072511677E-2</v>
      </c>
      <c r="K16" s="160">
        <f t="shared" si="0"/>
        <v>1741</v>
      </c>
      <c r="P16" s="173"/>
    </row>
    <row r="17" spans="2:16" x14ac:dyDescent="0.2">
      <c r="B17" s="160" t="s">
        <v>259</v>
      </c>
      <c r="C17" s="160">
        <v>1252</v>
      </c>
      <c r="D17" s="160">
        <v>731</v>
      </c>
      <c r="E17" s="160">
        <f t="shared" si="1"/>
        <v>1983</v>
      </c>
      <c r="F17" s="161">
        <f t="shared" si="2"/>
        <v>3.9583208575363793E-2</v>
      </c>
      <c r="G17" s="160">
        <v>2651</v>
      </c>
      <c r="H17" s="160">
        <v>188</v>
      </c>
      <c r="I17" s="160">
        <f t="shared" si="3"/>
        <v>2839</v>
      </c>
      <c r="J17" s="161">
        <f t="shared" si="4"/>
        <v>3.0273624944016721E-2</v>
      </c>
      <c r="K17" s="160">
        <f t="shared" si="0"/>
        <v>4822</v>
      </c>
      <c r="P17" s="173"/>
    </row>
    <row r="18" spans="2:16" x14ac:dyDescent="0.2">
      <c r="B18" s="160" t="s">
        <v>260</v>
      </c>
      <c r="C18" s="160">
        <v>653</v>
      </c>
      <c r="D18" s="160">
        <v>348</v>
      </c>
      <c r="E18" s="160">
        <f t="shared" si="1"/>
        <v>1001</v>
      </c>
      <c r="F18" s="161">
        <f t="shared" si="2"/>
        <v>1.998123640138132E-2</v>
      </c>
      <c r="G18" s="160">
        <v>1441</v>
      </c>
      <c r="H18" s="160">
        <v>115</v>
      </c>
      <c r="I18" s="160">
        <f t="shared" si="3"/>
        <v>1556</v>
      </c>
      <c r="J18" s="161">
        <f t="shared" si="4"/>
        <v>1.6592377743180703E-2</v>
      </c>
      <c r="K18" s="160">
        <f t="shared" si="0"/>
        <v>2557</v>
      </c>
      <c r="P18" s="173"/>
    </row>
    <row r="19" spans="2:16" x14ac:dyDescent="0.2">
      <c r="B19" s="160" t="s">
        <v>261</v>
      </c>
      <c r="C19" s="160">
        <v>158</v>
      </c>
      <c r="D19" s="160">
        <v>200</v>
      </c>
      <c r="E19" s="160">
        <f t="shared" si="1"/>
        <v>358</v>
      </c>
      <c r="F19" s="161">
        <f t="shared" si="2"/>
        <v>7.146136495199313E-3</v>
      </c>
      <c r="G19" s="160">
        <v>273</v>
      </c>
      <c r="H19" s="160">
        <v>31</v>
      </c>
      <c r="I19" s="160">
        <f t="shared" si="3"/>
        <v>304</v>
      </c>
      <c r="J19" s="161">
        <f t="shared" si="4"/>
        <v>3.2416984793874897E-3</v>
      </c>
      <c r="K19" s="160">
        <f t="shared" si="0"/>
        <v>662</v>
      </c>
      <c r="P19" s="173"/>
    </row>
    <row r="20" spans="2:16" x14ac:dyDescent="0.2">
      <c r="B20" s="160" t="s">
        <v>262</v>
      </c>
      <c r="C20" s="160">
        <v>1461</v>
      </c>
      <c r="D20" s="160">
        <v>870</v>
      </c>
      <c r="E20" s="160">
        <f t="shared" si="1"/>
        <v>2331</v>
      </c>
      <c r="F20" s="161">
        <f t="shared" si="2"/>
        <v>4.6529732319300555E-2</v>
      </c>
      <c r="G20" s="160">
        <v>3299</v>
      </c>
      <c r="H20" s="160">
        <v>278</v>
      </c>
      <c r="I20" s="160">
        <f t="shared" si="3"/>
        <v>3577</v>
      </c>
      <c r="J20" s="161">
        <f t="shared" si="4"/>
        <v>3.8143274542003454E-2</v>
      </c>
      <c r="K20" s="160">
        <f t="shared" si="0"/>
        <v>5908</v>
      </c>
      <c r="P20" s="173"/>
    </row>
    <row r="21" spans="2:16" x14ac:dyDescent="0.2">
      <c r="B21" s="160" t="s">
        <v>263</v>
      </c>
      <c r="C21" s="160">
        <v>1864</v>
      </c>
      <c r="D21" s="160">
        <v>964</v>
      </c>
      <c r="E21" s="160">
        <f t="shared" si="1"/>
        <v>2828</v>
      </c>
      <c r="F21" s="161">
        <f t="shared" si="2"/>
        <v>5.6450486057049325E-2</v>
      </c>
      <c r="G21" s="160">
        <v>5020</v>
      </c>
      <c r="H21" s="160">
        <v>273</v>
      </c>
      <c r="I21" s="160">
        <f t="shared" si="3"/>
        <v>5293</v>
      </c>
      <c r="J21" s="161">
        <f t="shared" si="4"/>
        <v>5.6441809379598626E-2</v>
      </c>
      <c r="K21" s="160">
        <f t="shared" si="0"/>
        <v>8121</v>
      </c>
      <c r="P21" s="173"/>
    </row>
    <row r="22" spans="2:16" x14ac:dyDescent="0.2">
      <c r="B22" s="160" t="s">
        <v>264</v>
      </c>
      <c r="C22" s="160">
        <v>1057</v>
      </c>
      <c r="D22" s="160">
        <v>509</v>
      </c>
      <c r="E22" s="160">
        <f t="shared" si="1"/>
        <v>1566</v>
      </c>
      <c r="F22" s="161">
        <f t="shared" si="2"/>
        <v>3.1259356847715435E-2</v>
      </c>
      <c r="G22" s="160">
        <v>4195</v>
      </c>
      <c r="H22" s="160">
        <v>202</v>
      </c>
      <c r="I22" s="160">
        <f t="shared" si="3"/>
        <v>4397</v>
      </c>
      <c r="J22" s="161">
        <f t="shared" si="4"/>
        <v>4.6887329650877607E-2</v>
      </c>
      <c r="K22" s="160">
        <f t="shared" si="0"/>
        <v>5963</v>
      </c>
      <c r="P22" s="173"/>
    </row>
    <row r="23" spans="2:16" x14ac:dyDescent="0.2">
      <c r="B23" s="160" t="s">
        <v>265</v>
      </c>
      <c r="C23" s="160">
        <v>304</v>
      </c>
      <c r="D23" s="160">
        <v>158</v>
      </c>
      <c r="E23" s="160">
        <f t="shared" si="1"/>
        <v>462</v>
      </c>
      <c r="F23" s="161">
        <f t="shared" si="2"/>
        <v>9.2221091083298408E-3</v>
      </c>
      <c r="G23" s="160">
        <v>915</v>
      </c>
      <c r="H23" s="160">
        <v>51</v>
      </c>
      <c r="I23" s="160">
        <f t="shared" si="3"/>
        <v>966</v>
      </c>
      <c r="J23" s="161">
        <f t="shared" si="4"/>
        <v>1.0300923457527351E-2</v>
      </c>
      <c r="K23" s="160">
        <f t="shared" si="0"/>
        <v>1428</v>
      </c>
      <c r="P23" s="173"/>
    </row>
    <row r="24" spans="2:16" x14ac:dyDescent="0.2">
      <c r="B24" s="160" t="s">
        <v>266</v>
      </c>
      <c r="C24" s="160">
        <v>878</v>
      </c>
      <c r="D24" s="160">
        <v>517</v>
      </c>
      <c r="E24" s="160">
        <f t="shared" si="1"/>
        <v>1395</v>
      </c>
      <c r="F24" s="161">
        <f t="shared" si="2"/>
        <v>2.7845978801125815E-2</v>
      </c>
      <c r="G24" s="160">
        <v>2627</v>
      </c>
      <c r="H24" s="160">
        <v>133</v>
      </c>
      <c r="I24" s="160">
        <f t="shared" si="3"/>
        <v>2760</v>
      </c>
      <c r="J24" s="161">
        <f t="shared" si="4"/>
        <v>2.9431209878649577E-2</v>
      </c>
      <c r="K24" s="160">
        <f t="shared" si="0"/>
        <v>4155</v>
      </c>
      <c r="P24" s="173"/>
    </row>
    <row r="25" spans="2:16" x14ac:dyDescent="0.2">
      <c r="B25" s="160" t="s">
        <v>267</v>
      </c>
      <c r="C25" s="160">
        <v>202</v>
      </c>
      <c r="D25" s="160">
        <v>100</v>
      </c>
      <c r="E25" s="160">
        <f t="shared" si="1"/>
        <v>302</v>
      </c>
      <c r="F25" s="161">
        <f t="shared" si="2"/>
        <v>6.0283050881290295E-3</v>
      </c>
      <c r="G25" s="160">
        <v>321</v>
      </c>
      <c r="H25" s="160">
        <v>23</v>
      </c>
      <c r="I25" s="160">
        <f t="shared" si="3"/>
        <v>344</v>
      </c>
      <c r="J25" s="161">
        <f t="shared" si="4"/>
        <v>3.6682377529911065E-3</v>
      </c>
      <c r="K25" s="160">
        <f t="shared" si="0"/>
        <v>646</v>
      </c>
      <c r="P25" s="173"/>
    </row>
    <row r="26" spans="2:16" x14ac:dyDescent="0.2">
      <c r="B26" s="160" t="s">
        <v>268</v>
      </c>
      <c r="C26" s="160">
        <v>2982</v>
      </c>
      <c r="D26" s="160">
        <v>1253</v>
      </c>
      <c r="E26" s="160">
        <f t="shared" si="1"/>
        <v>4235</v>
      </c>
      <c r="F26" s="161">
        <f t="shared" si="2"/>
        <v>8.4536000159690206E-2</v>
      </c>
      <c r="G26" s="160">
        <v>8183</v>
      </c>
      <c r="H26" s="160">
        <v>545</v>
      </c>
      <c r="I26" s="160">
        <f t="shared" si="3"/>
        <v>8728</v>
      </c>
      <c r="J26" s="161">
        <f t="shared" si="4"/>
        <v>9.3070869500309239E-2</v>
      </c>
      <c r="K26" s="160">
        <f t="shared" si="0"/>
        <v>12963</v>
      </c>
      <c r="P26" s="173"/>
    </row>
    <row r="27" spans="2:16" x14ac:dyDescent="0.2">
      <c r="B27" s="160" t="s">
        <v>269</v>
      </c>
      <c r="C27" s="160">
        <v>786</v>
      </c>
      <c r="D27" s="160">
        <v>583</v>
      </c>
      <c r="E27" s="160">
        <f t="shared" si="1"/>
        <v>1369</v>
      </c>
      <c r="F27" s="161">
        <f t="shared" si="2"/>
        <v>2.7326985647843183E-2</v>
      </c>
      <c r="G27" s="160">
        <v>1833</v>
      </c>
      <c r="H27" s="160">
        <v>130</v>
      </c>
      <c r="I27" s="160">
        <f t="shared" si="3"/>
        <v>1963</v>
      </c>
      <c r="J27" s="161">
        <f t="shared" si="4"/>
        <v>2.0932414852097507E-2</v>
      </c>
      <c r="K27" s="160">
        <f t="shared" si="0"/>
        <v>3332</v>
      </c>
      <c r="P27" s="173"/>
    </row>
    <row r="28" spans="2:16" x14ac:dyDescent="0.2">
      <c r="B28" s="160" t="s">
        <v>270</v>
      </c>
      <c r="C28" s="160">
        <v>573</v>
      </c>
      <c r="D28" s="160">
        <v>344</v>
      </c>
      <c r="E28" s="160">
        <f t="shared" si="1"/>
        <v>917</v>
      </c>
      <c r="F28" s="161">
        <f t="shared" si="2"/>
        <v>1.8304489290775893E-2</v>
      </c>
      <c r="G28" s="160">
        <v>1605</v>
      </c>
      <c r="H28" s="160">
        <v>78</v>
      </c>
      <c r="I28" s="160">
        <f t="shared" si="3"/>
        <v>1683</v>
      </c>
      <c r="J28" s="161">
        <f t="shared" si="4"/>
        <v>1.7946639936872188E-2</v>
      </c>
      <c r="K28" s="160">
        <f t="shared" si="0"/>
        <v>2600</v>
      </c>
      <c r="P28" s="173"/>
    </row>
    <row r="29" spans="2:16" x14ac:dyDescent="0.2">
      <c r="B29" s="160" t="s">
        <v>271</v>
      </c>
      <c r="C29" s="160">
        <v>6245</v>
      </c>
      <c r="D29" s="160">
        <v>3393</v>
      </c>
      <c r="E29" s="160">
        <f t="shared" si="1"/>
        <v>9638</v>
      </c>
      <c r="F29" s="161">
        <f t="shared" si="2"/>
        <v>0.19238676966684631</v>
      </c>
      <c r="G29" s="160">
        <v>18084</v>
      </c>
      <c r="H29" s="160">
        <v>1308</v>
      </c>
      <c r="I29" s="160">
        <f t="shared" si="3"/>
        <v>19392</v>
      </c>
      <c r="J29" s="161">
        <f t="shared" si="4"/>
        <v>0.20678623984303354</v>
      </c>
      <c r="K29" s="160">
        <f t="shared" si="0"/>
        <v>29030</v>
      </c>
      <c r="P29" s="173"/>
    </row>
    <row r="30" spans="2:16" x14ac:dyDescent="0.2">
      <c r="B30" s="160" t="s">
        <v>58</v>
      </c>
      <c r="C30" s="160">
        <v>768</v>
      </c>
      <c r="D30" s="160">
        <v>765</v>
      </c>
      <c r="E30" s="160">
        <f t="shared" si="1"/>
        <v>1533</v>
      </c>
      <c r="F30" s="161">
        <f t="shared" si="2"/>
        <v>3.0600634768549014E-2</v>
      </c>
      <c r="G30" s="160">
        <v>1884</v>
      </c>
      <c r="H30" s="160">
        <v>175</v>
      </c>
      <c r="I30" s="160">
        <f t="shared" si="3"/>
        <v>2059</v>
      </c>
      <c r="J30" s="161">
        <f t="shared" si="4"/>
        <v>2.1956109108746187E-2</v>
      </c>
      <c r="K30" s="160">
        <f t="shared" si="0"/>
        <v>3592</v>
      </c>
      <c r="P30" s="173"/>
    </row>
    <row r="31" spans="2:16" x14ac:dyDescent="0.2">
      <c r="B31" s="160" t="s">
        <v>272</v>
      </c>
      <c r="C31" s="160">
        <v>279</v>
      </c>
      <c r="D31" s="160">
        <v>230</v>
      </c>
      <c r="E31" s="160">
        <f t="shared" si="1"/>
        <v>509</v>
      </c>
      <c r="F31" s="161">
        <f t="shared" si="2"/>
        <v>1.0160289039263828E-2</v>
      </c>
      <c r="G31" s="160">
        <v>733</v>
      </c>
      <c r="H31" s="160">
        <v>43</v>
      </c>
      <c r="I31" s="160">
        <f t="shared" si="3"/>
        <v>776</v>
      </c>
      <c r="J31" s="161">
        <f t="shared" si="4"/>
        <v>8.2748619079101703E-3</v>
      </c>
      <c r="K31" s="160">
        <f t="shared" si="0"/>
        <v>1285</v>
      </c>
      <c r="P31" s="173"/>
    </row>
    <row r="32" spans="2:16" x14ac:dyDescent="0.2">
      <c r="B32" s="160" t="s">
        <v>273</v>
      </c>
      <c r="C32" s="160">
        <v>482</v>
      </c>
      <c r="D32" s="160">
        <v>300</v>
      </c>
      <c r="E32" s="160">
        <f t="shared" si="1"/>
        <v>782</v>
      </c>
      <c r="F32" s="161">
        <f t="shared" si="2"/>
        <v>1.5609717148731462E-2</v>
      </c>
      <c r="G32" s="160">
        <v>1165</v>
      </c>
      <c r="H32" s="160">
        <v>66</v>
      </c>
      <c r="I32" s="160">
        <f t="shared" si="3"/>
        <v>1231</v>
      </c>
      <c r="J32" s="161">
        <f t="shared" si="4"/>
        <v>1.3126746145151314E-2</v>
      </c>
      <c r="K32" s="160">
        <f t="shared" si="0"/>
        <v>2013</v>
      </c>
      <c r="P32" s="173"/>
    </row>
    <row r="33" spans="2:16" x14ac:dyDescent="0.2">
      <c r="B33" s="160" t="s">
        <v>274</v>
      </c>
      <c r="C33" s="160">
        <v>3382</v>
      </c>
      <c r="D33" s="160">
        <v>1366</v>
      </c>
      <c r="E33" s="160">
        <f t="shared" si="1"/>
        <v>4748</v>
      </c>
      <c r="F33" s="161">
        <f t="shared" si="2"/>
        <v>9.4776134299459053E-2</v>
      </c>
      <c r="G33" s="160">
        <v>11931</v>
      </c>
      <c r="H33" s="160">
        <v>718</v>
      </c>
      <c r="I33" s="160">
        <f t="shared" si="3"/>
        <v>12649</v>
      </c>
      <c r="J33" s="161">
        <f t="shared" si="4"/>
        <v>0.13488238179530379</v>
      </c>
      <c r="K33" s="160">
        <f t="shared" si="0"/>
        <v>17397</v>
      </c>
      <c r="P33" s="173"/>
    </row>
    <row r="34" spans="2:16" x14ac:dyDescent="0.2">
      <c r="B34" s="160" t="s">
        <v>275</v>
      </c>
      <c r="C34" s="160">
        <v>551</v>
      </c>
      <c r="D34" s="160">
        <v>327</v>
      </c>
      <c r="E34" s="160">
        <f t="shared" si="1"/>
        <v>878</v>
      </c>
      <c r="F34" s="161">
        <f t="shared" si="2"/>
        <v>1.7525999560851949E-2</v>
      </c>
      <c r="G34" s="160">
        <v>1606</v>
      </c>
      <c r="H34" s="160">
        <v>96</v>
      </c>
      <c r="I34" s="160">
        <f t="shared" si="3"/>
        <v>1702</v>
      </c>
      <c r="J34" s="161">
        <f t="shared" si="4"/>
        <v>1.8149246091833906E-2</v>
      </c>
      <c r="K34" s="160">
        <f t="shared" si="0"/>
        <v>2580</v>
      </c>
      <c r="P34" s="173"/>
    </row>
    <row r="35" spans="2:16" x14ac:dyDescent="0.2">
      <c r="B35" s="160" t="s">
        <v>276</v>
      </c>
      <c r="C35" s="160">
        <v>449</v>
      </c>
      <c r="D35" s="160">
        <v>356</v>
      </c>
      <c r="E35" s="160">
        <f t="shared" si="1"/>
        <v>805</v>
      </c>
      <c r="F35" s="161">
        <f t="shared" si="2"/>
        <v>1.6068826476635326E-2</v>
      </c>
      <c r="G35" s="160">
        <v>1041</v>
      </c>
      <c r="H35" s="160">
        <v>62</v>
      </c>
      <c r="I35" s="160">
        <f t="shared" si="3"/>
        <v>1103</v>
      </c>
      <c r="J35" s="161">
        <f t="shared" si="4"/>
        <v>1.176182046961974E-2</v>
      </c>
      <c r="K35" s="160">
        <f t="shared" si="0"/>
        <v>1908</v>
      </c>
      <c r="P35" s="173"/>
    </row>
    <row r="36" spans="2:16" x14ac:dyDescent="0.2">
      <c r="B36" s="160" t="s">
        <v>277</v>
      </c>
      <c r="C36" s="160">
        <v>390</v>
      </c>
      <c r="D36" s="160">
        <v>359</v>
      </c>
      <c r="E36" s="160">
        <f t="shared" si="1"/>
        <v>749</v>
      </c>
      <c r="F36" s="161">
        <f t="shared" si="2"/>
        <v>1.4950995069565045E-2</v>
      </c>
      <c r="G36" s="160">
        <v>807</v>
      </c>
      <c r="H36" s="160">
        <v>73</v>
      </c>
      <c r="I36" s="160">
        <f t="shared" si="3"/>
        <v>880</v>
      </c>
      <c r="J36" s="161">
        <f t="shared" si="4"/>
        <v>9.3838640192795749E-3</v>
      </c>
      <c r="K36" s="160">
        <f t="shared" si="0"/>
        <v>1629</v>
      </c>
      <c r="P36" s="173"/>
    </row>
    <row r="37" spans="2:16" x14ac:dyDescent="0.2">
      <c r="B37" s="160" t="s">
        <v>278</v>
      </c>
      <c r="C37" s="160">
        <v>1279</v>
      </c>
      <c r="D37" s="160">
        <v>1160</v>
      </c>
      <c r="E37" s="160">
        <f t="shared" si="1"/>
        <v>2439</v>
      </c>
      <c r="F37" s="161">
        <f t="shared" si="2"/>
        <v>4.8685550032936106E-2</v>
      </c>
      <c r="G37" s="160">
        <v>3464</v>
      </c>
      <c r="H37" s="160">
        <v>217</v>
      </c>
      <c r="I37" s="160">
        <f t="shared" si="3"/>
        <v>3681</v>
      </c>
      <c r="J37" s="161">
        <f t="shared" si="4"/>
        <v>3.9252276653372858E-2</v>
      </c>
      <c r="K37" s="160">
        <f t="shared" si="0"/>
        <v>6120</v>
      </c>
      <c r="P37" s="173"/>
    </row>
    <row r="38" spans="2:16" x14ac:dyDescent="0.2">
      <c r="B38" s="160" t="s">
        <v>279</v>
      </c>
      <c r="C38" s="160">
        <v>1416</v>
      </c>
      <c r="D38" s="160">
        <v>634</v>
      </c>
      <c r="E38" s="160">
        <f t="shared" si="1"/>
        <v>2050</v>
      </c>
      <c r="F38" s="161">
        <f t="shared" si="2"/>
        <v>4.0920614008822881E-2</v>
      </c>
      <c r="G38" s="160">
        <v>4336</v>
      </c>
      <c r="H38" s="160">
        <v>179</v>
      </c>
      <c r="I38" s="160">
        <f t="shared" si="3"/>
        <v>4515</v>
      </c>
      <c r="J38" s="161">
        <f t="shared" si="4"/>
        <v>4.8145620508008274E-2</v>
      </c>
      <c r="K38" s="160">
        <f t="shared" si="0"/>
        <v>6565</v>
      </c>
      <c r="P38" s="173"/>
    </row>
    <row r="39" spans="2:16" x14ac:dyDescent="0.2">
      <c r="B39" s="160" t="s">
        <v>280</v>
      </c>
      <c r="C39" s="160">
        <v>634</v>
      </c>
      <c r="D39" s="160">
        <v>525</v>
      </c>
      <c r="E39" s="160">
        <f t="shared" si="1"/>
        <v>1159</v>
      </c>
      <c r="F39" s="161">
        <f t="shared" si="2"/>
        <v>2.313511787132962E-2</v>
      </c>
      <c r="G39" s="160">
        <v>1711</v>
      </c>
      <c r="H39" s="160">
        <v>156</v>
      </c>
      <c r="I39" s="160">
        <f t="shared" si="3"/>
        <v>1867</v>
      </c>
      <c r="J39" s="161">
        <f t="shared" si="4"/>
        <v>1.9908720595448827E-2</v>
      </c>
      <c r="K39" s="160">
        <f t="shared" si="0"/>
        <v>3026</v>
      </c>
      <c r="P39" s="173"/>
    </row>
    <row r="40" spans="2:16" x14ac:dyDescent="0.2">
      <c r="B40" s="160" t="s">
        <v>281</v>
      </c>
      <c r="C40" s="160">
        <v>1526</v>
      </c>
      <c r="D40" s="160">
        <v>949</v>
      </c>
      <c r="E40" s="160">
        <f t="shared" si="1"/>
        <v>2475</v>
      </c>
      <c r="F40" s="161">
        <f t="shared" si="2"/>
        <v>4.9404155937481285E-2</v>
      </c>
      <c r="G40" s="160">
        <v>4119</v>
      </c>
      <c r="H40" s="160">
        <v>291</v>
      </c>
      <c r="I40" s="160">
        <f t="shared" si="3"/>
        <v>4410</v>
      </c>
      <c r="J40" s="161">
        <f t="shared" si="4"/>
        <v>4.702595491479878E-2</v>
      </c>
      <c r="K40" s="160">
        <f t="shared" si="0"/>
        <v>6885</v>
      </c>
      <c r="P40" s="173"/>
    </row>
    <row r="41" spans="2:16" x14ac:dyDescent="0.2">
      <c r="B41" s="162" t="s">
        <v>66</v>
      </c>
      <c r="C41" s="160">
        <f t="shared" ref="C41:H41" si="5">SUM(C11:C40)</f>
        <v>31694</v>
      </c>
      <c r="D41" s="160">
        <f t="shared" si="5"/>
        <v>18403</v>
      </c>
      <c r="E41" s="162">
        <f t="shared" ref="E41" si="6">C41+D41</f>
        <v>50097</v>
      </c>
      <c r="F41" s="161">
        <f t="shared" ref="F41" si="7">E41/$E$41</f>
        <v>1</v>
      </c>
      <c r="G41" s="160">
        <f t="shared" si="5"/>
        <v>88010</v>
      </c>
      <c r="H41" s="160">
        <f t="shared" si="5"/>
        <v>5768</v>
      </c>
      <c r="I41" s="162">
        <f t="shared" ref="I41" si="8">G41+H41</f>
        <v>93778</v>
      </c>
      <c r="J41" s="161">
        <f t="shared" ref="J41" si="9">I41/$I$41</f>
        <v>1</v>
      </c>
      <c r="K41" s="162">
        <f t="shared" ref="K41:K42" si="10">E41+I41</f>
        <v>143875</v>
      </c>
      <c r="P41" s="173"/>
    </row>
    <row r="42" spans="2:16" ht="25.5" customHeight="1" x14ac:dyDescent="0.2">
      <c r="B42" s="174" t="s">
        <v>82</v>
      </c>
      <c r="C42" s="175">
        <f>+C41/$K$41</f>
        <v>0.2202884448305821</v>
      </c>
      <c r="D42" s="175">
        <f>+D41/$K$41</f>
        <v>0.12790964378801042</v>
      </c>
      <c r="E42" s="176">
        <f>C42+D42</f>
        <v>0.34819808861859253</v>
      </c>
      <c r="F42" s="175"/>
      <c r="G42" s="175">
        <f>+G41/$K$41</f>
        <v>0.61171155516941789</v>
      </c>
      <c r="H42" s="175">
        <f>+H41/$K$41</f>
        <v>4.0090356211989572E-2</v>
      </c>
      <c r="I42" s="176">
        <f>G42+H42</f>
        <v>0.65180191138140742</v>
      </c>
      <c r="J42" s="176"/>
      <c r="K42" s="176">
        <f t="shared" si="10"/>
        <v>1</v>
      </c>
    </row>
    <row r="43" spans="2:16" x14ac:dyDescent="0.2">
      <c r="B43" s="167"/>
      <c r="C43" s="180"/>
      <c r="D43" s="180"/>
      <c r="E43" s="180"/>
      <c r="F43" s="180"/>
      <c r="G43" s="180"/>
      <c r="H43" s="180"/>
      <c r="I43" s="180"/>
      <c r="J43" s="180"/>
      <c r="K43" s="180"/>
    </row>
    <row r="44" spans="2:16" ht="12.75" x14ac:dyDescent="0.2">
      <c r="B44" s="418" t="s">
        <v>107</v>
      </c>
      <c r="C44" s="418"/>
      <c r="D44" s="418"/>
      <c r="E44" s="418"/>
      <c r="F44" s="418"/>
      <c r="G44" s="418"/>
      <c r="H44" s="418"/>
      <c r="I44" s="418"/>
      <c r="J44" s="418"/>
      <c r="K44" s="418"/>
    </row>
    <row r="45" spans="2:16" ht="12.75" x14ac:dyDescent="0.2">
      <c r="B45" s="431" t="str">
        <f>'Solicitudes Regiones'!$B$6:$P$6</f>
        <v>Acumuladas de julio de 2008 a noviembre de 2018</v>
      </c>
      <c r="C45" s="431"/>
      <c r="D45" s="431"/>
      <c r="E45" s="431"/>
      <c r="F45" s="431"/>
      <c r="G45" s="431"/>
      <c r="H45" s="431"/>
      <c r="I45" s="431"/>
      <c r="J45" s="431"/>
      <c r="K45" s="431"/>
    </row>
    <row r="47" spans="2:16" ht="15" customHeight="1" x14ac:dyDescent="0.2">
      <c r="B47" s="447" t="s">
        <v>83</v>
      </c>
      <c r="C47" s="448"/>
      <c r="D47" s="448"/>
      <c r="E47" s="448"/>
      <c r="F47" s="448"/>
      <c r="G47" s="448"/>
      <c r="H47" s="448"/>
      <c r="I47" s="448"/>
      <c r="J47" s="448"/>
      <c r="K47" s="449"/>
      <c r="L47" s="181"/>
    </row>
    <row r="48" spans="2:16" ht="21" customHeight="1" x14ac:dyDescent="0.2">
      <c r="B48" s="446" t="s">
        <v>74</v>
      </c>
      <c r="C48" s="447" t="s">
        <v>2</v>
      </c>
      <c r="D48" s="448"/>
      <c r="E48" s="448"/>
      <c r="F48" s="448"/>
      <c r="G48" s="448"/>
      <c r="H48" s="448"/>
      <c r="I48" s="448"/>
      <c r="J48" s="448"/>
      <c r="K48" s="449"/>
    </row>
    <row r="49" spans="2:11" ht="24" x14ac:dyDescent="0.2">
      <c r="B49" s="446"/>
      <c r="C49" s="165" t="s">
        <v>75</v>
      </c>
      <c r="D49" s="165" t="s">
        <v>76</v>
      </c>
      <c r="E49" s="165" t="s">
        <v>77</v>
      </c>
      <c r="F49" s="165" t="s">
        <v>78</v>
      </c>
      <c r="G49" s="165" t="s">
        <v>8</v>
      </c>
      <c r="H49" s="165" t="s">
        <v>79</v>
      </c>
      <c r="I49" s="165" t="s">
        <v>80</v>
      </c>
      <c r="J49" s="165" t="s">
        <v>81</v>
      </c>
      <c r="K49" s="226" t="s">
        <v>46</v>
      </c>
    </row>
    <row r="50" spans="2:11" x14ac:dyDescent="0.2">
      <c r="B50" s="160" t="s">
        <v>253</v>
      </c>
      <c r="C50" s="160">
        <v>515</v>
      </c>
      <c r="D50" s="160">
        <v>189</v>
      </c>
      <c r="E50" s="160">
        <v>890</v>
      </c>
      <c r="F50" s="161">
        <f>E50/$E$80</f>
        <v>2.3022997128592494E-2</v>
      </c>
      <c r="G50" s="160">
        <v>943</v>
      </c>
      <c r="H50" s="160">
        <v>62</v>
      </c>
      <c r="I50" s="160">
        <f>G50+H50</f>
        <v>1005</v>
      </c>
      <c r="J50" s="161">
        <f>I50/$I$80</f>
        <v>1.2472077438570366E-2</v>
      </c>
      <c r="K50" s="160">
        <f t="shared" ref="K50:K79" si="11">E50+I50</f>
        <v>1895</v>
      </c>
    </row>
    <row r="51" spans="2:11" x14ac:dyDescent="0.2">
      <c r="B51" s="160" t="s">
        <v>254</v>
      </c>
      <c r="C51" s="160">
        <v>304</v>
      </c>
      <c r="D51" s="160">
        <v>77</v>
      </c>
      <c r="E51" s="160">
        <v>613</v>
      </c>
      <c r="F51" s="161">
        <f t="shared" ref="F51:F79" si="12">E51/$E$80</f>
        <v>1.5857412629019324E-2</v>
      </c>
      <c r="G51" s="160">
        <v>658</v>
      </c>
      <c r="H51" s="160">
        <v>40</v>
      </c>
      <c r="I51" s="160">
        <f t="shared" ref="I51:I79" si="13">G51+H51</f>
        <v>698</v>
      </c>
      <c r="J51" s="161">
        <f t="shared" ref="J51:J79" si="14">I51/$I$80</f>
        <v>8.6621990568379256E-3</v>
      </c>
      <c r="K51" s="160">
        <f t="shared" si="11"/>
        <v>1311</v>
      </c>
    </row>
    <row r="52" spans="2:11" x14ac:dyDescent="0.2">
      <c r="B52" s="160" t="s">
        <v>255</v>
      </c>
      <c r="C52" s="160">
        <v>288</v>
      </c>
      <c r="D52" s="160">
        <v>90</v>
      </c>
      <c r="E52" s="160">
        <v>587</v>
      </c>
      <c r="F52" s="161">
        <f t="shared" si="12"/>
        <v>1.5184830690431228E-2</v>
      </c>
      <c r="G52" s="160">
        <v>632</v>
      </c>
      <c r="H52" s="160">
        <v>39</v>
      </c>
      <c r="I52" s="160">
        <f t="shared" si="13"/>
        <v>671</v>
      </c>
      <c r="J52" s="161">
        <f t="shared" si="14"/>
        <v>8.3271283196823028E-3</v>
      </c>
      <c r="K52" s="160">
        <f t="shared" si="11"/>
        <v>1258</v>
      </c>
    </row>
    <row r="53" spans="2:11" x14ac:dyDescent="0.2">
      <c r="B53" s="160" t="s">
        <v>256</v>
      </c>
      <c r="C53" s="160">
        <v>306</v>
      </c>
      <c r="D53" s="160">
        <v>108</v>
      </c>
      <c r="E53" s="160">
        <v>370</v>
      </c>
      <c r="F53" s="161">
        <f t="shared" si="12"/>
        <v>9.5713583568305862E-3</v>
      </c>
      <c r="G53" s="160">
        <v>398</v>
      </c>
      <c r="H53" s="160">
        <v>26</v>
      </c>
      <c r="I53" s="160">
        <f t="shared" si="13"/>
        <v>424</v>
      </c>
      <c r="J53" s="161">
        <f t="shared" si="14"/>
        <v>5.2618515760734673E-3</v>
      </c>
      <c r="K53" s="160">
        <f t="shared" si="11"/>
        <v>794</v>
      </c>
    </row>
    <row r="54" spans="2:11" x14ac:dyDescent="0.2">
      <c r="B54" s="160" t="s">
        <v>257</v>
      </c>
      <c r="C54" s="160">
        <v>228</v>
      </c>
      <c r="D54" s="160">
        <v>78</v>
      </c>
      <c r="E54" s="160">
        <v>499</v>
      </c>
      <c r="F54" s="161">
        <f t="shared" si="12"/>
        <v>1.2908399513671521E-2</v>
      </c>
      <c r="G54" s="160">
        <v>513</v>
      </c>
      <c r="H54" s="160">
        <v>42</v>
      </c>
      <c r="I54" s="160">
        <f t="shared" si="13"/>
        <v>555</v>
      </c>
      <c r="J54" s="161">
        <f t="shared" si="14"/>
        <v>6.8875651526433355E-3</v>
      </c>
      <c r="K54" s="160">
        <f t="shared" si="11"/>
        <v>1054</v>
      </c>
    </row>
    <row r="55" spans="2:11" x14ac:dyDescent="0.2">
      <c r="B55" s="160" t="s">
        <v>258</v>
      </c>
      <c r="C55" s="160">
        <v>301</v>
      </c>
      <c r="D55" s="160">
        <v>102</v>
      </c>
      <c r="E55" s="160">
        <v>980</v>
      </c>
      <c r="F55" s="161">
        <f t="shared" si="12"/>
        <v>2.5351165377551284E-2</v>
      </c>
      <c r="G55" s="160">
        <v>1051</v>
      </c>
      <c r="H55" s="160">
        <v>51</v>
      </c>
      <c r="I55" s="160">
        <f t="shared" si="13"/>
        <v>1102</v>
      </c>
      <c r="J55" s="161">
        <f t="shared" si="14"/>
        <v>1.3675850086870191E-2</v>
      </c>
      <c r="K55" s="160">
        <f t="shared" si="11"/>
        <v>2082</v>
      </c>
    </row>
    <row r="56" spans="2:11" x14ac:dyDescent="0.2">
      <c r="B56" s="160" t="s">
        <v>259</v>
      </c>
      <c r="C56" s="160">
        <v>1103</v>
      </c>
      <c r="D56" s="160">
        <v>359</v>
      </c>
      <c r="E56" s="160">
        <v>2130</v>
      </c>
      <c r="F56" s="161">
        <f t="shared" si="12"/>
        <v>5.5099981892024731E-2</v>
      </c>
      <c r="G56" s="160">
        <v>2269</v>
      </c>
      <c r="H56" s="160">
        <v>162</v>
      </c>
      <c r="I56" s="160">
        <f t="shared" si="13"/>
        <v>2431</v>
      </c>
      <c r="J56" s="161">
        <f t="shared" si="14"/>
        <v>3.0168776371308017E-2</v>
      </c>
      <c r="K56" s="160">
        <f t="shared" si="11"/>
        <v>4561</v>
      </c>
    </row>
    <row r="57" spans="2:11" x14ac:dyDescent="0.2">
      <c r="B57" s="160" t="s">
        <v>260</v>
      </c>
      <c r="C57" s="160">
        <v>587</v>
      </c>
      <c r="D57" s="160">
        <v>189</v>
      </c>
      <c r="E57" s="160">
        <v>1177</v>
      </c>
      <c r="F57" s="161">
        <f t="shared" si="12"/>
        <v>3.0447266989161084E-2</v>
      </c>
      <c r="G57" s="160">
        <v>1272</v>
      </c>
      <c r="H57" s="160">
        <v>93</v>
      </c>
      <c r="I57" s="160">
        <f t="shared" si="13"/>
        <v>1365</v>
      </c>
      <c r="J57" s="161">
        <f t="shared" si="14"/>
        <v>1.6939687267311987E-2</v>
      </c>
      <c r="K57" s="160">
        <f t="shared" si="11"/>
        <v>2542</v>
      </c>
    </row>
    <row r="58" spans="2:11" x14ac:dyDescent="0.2">
      <c r="B58" s="160" t="s">
        <v>261</v>
      </c>
      <c r="C58" s="160">
        <v>154</v>
      </c>
      <c r="D58" s="160">
        <v>79</v>
      </c>
      <c r="E58" s="160">
        <v>234</v>
      </c>
      <c r="F58" s="161">
        <f t="shared" si="12"/>
        <v>6.0532374472928576E-3</v>
      </c>
      <c r="G58" s="160">
        <v>249</v>
      </c>
      <c r="H58" s="160">
        <v>26</v>
      </c>
      <c r="I58" s="160">
        <f t="shared" si="13"/>
        <v>275</v>
      </c>
      <c r="J58" s="161">
        <f t="shared" si="14"/>
        <v>3.4127575080665179E-3</v>
      </c>
      <c r="K58" s="160">
        <f t="shared" si="11"/>
        <v>509</v>
      </c>
    </row>
    <row r="59" spans="2:11" x14ac:dyDescent="0.2">
      <c r="B59" s="160" t="s">
        <v>262</v>
      </c>
      <c r="C59" s="160">
        <v>1313</v>
      </c>
      <c r="D59" s="160">
        <v>464</v>
      </c>
      <c r="E59" s="160">
        <v>2712</v>
      </c>
      <c r="F59" s="161">
        <f t="shared" si="12"/>
        <v>7.0155469901958242E-2</v>
      </c>
      <c r="G59" s="160">
        <v>2920</v>
      </c>
      <c r="H59" s="160">
        <v>190</v>
      </c>
      <c r="I59" s="160">
        <f t="shared" si="13"/>
        <v>3110</v>
      </c>
      <c r="J59" s="161">
        <f t="shared" si="14"/>
        <v>3.8595184909406798E-2</v>
      </c>
      <c r="K59" s="160">
        <f t="shared" si="11"/>
        <v>5822</v>
      </c>
    </row>
    <row r="60" spans="2:11" x14ac:dyDescent="0.2">
      <c r="B60" s="160" t="s">
        <v>263</v>
      </c>
      <c r="C60" s="160">
        <v>1718</v>
      </c>
      <c r="D60" s="160">
        <v>478</v>
      </c>
      <c r="E60" s="160">
        <v>4099</v>
      </c>
      <c r="F60" s="161">
        <f t="shared" si="12"/>
        <v>0.10603512947202318</v>
      </c>
      <c r="G60" s="160">
        <v>4316</v>
      </c>
      <c r="H60" s="160">
        <v>209</v>
      </c>
      <c r="I60" s="160">
        <f t="shared" si="13"/>
        <v>4525</v>
      </c>
      <c r="J60" s="161">
        <f t="shared" si="14"/>
        <v>5.615537354182179E-2</v>
      </c>
      <c r="K60" s="160">
        <f t="shared" si="11"/>
        <v>8624</v>
      </c>
    </row>
    <row r="61" spans="2:11" x14ac:dyDescent="0.2">
      <c r="B61" s="160" t="s">
        <v>264</v>
      </c>
      <c r="C61" s="160">
        <v>972</v>
      </c>
      <c r="D61" s="160">
        <v>322</v>
      </c>
      <c r="E61" s="160">
        <v>3373</v>
      </c>
      <c r="F61" s="161">
        <f t="shared" si="12"/>
        <v>8.7254572263755589E-2</v>
      </c>
      <c r="G61" s="160">
        <v>3631</v>
      </c>
      <c r="H61" s="160">
        <v>165</v>
      </c>
      <c r="I61" s="160">
        <f t="shared" si="13"/>
        <v>3796</v>
      </c>
      <c r="J61" s="161">
        <f t="shared" si="14"/>
        <v>4.7108463638620007E-2</v>
      </c>
      <c r="K61" s="160">
        <f t="shared" si="11"/>
        <v>7169</v>
      </c>
    </row>
    <row r="62" spans="2:11" x14ac:dyDescent="0.2">
      <c r="B62" s="160" t="s">
        <v>265</v>
      </c>
      <c r="C62" s="160">
        <v>285</v>
      </c>
      <c r="D62" s="160">
        <v>85</v>
      </c>
      <c r="E62" s="160">
        <v>793</v>
      </c>
      <c r="F62" s="161">
        <f t="shared" si="12"/>
        <v>2.0513749126936907E-2</v>
      </c>
      <c r="G62" s="160">
        <v>838</v>
      </c>
      <c r="H62" s="160">
        <v>43</v>
      </c>
      <c r="I62" s="160">
        <f t="shared" si="13"/>
        <v>881</v>
      </c>
      <c r="J62" s="161">
        <f t="shared" si="14"/>
        <v>1.0933234053114917E-2</v>
      </c>
      <c r="K62" s="160">
        <f t="shared" si="11"/>
        <v>1674</v>
      </c>
    </row>
    <row r="63" spans="2:11" x14ac:dyDescent="0.2">
      <c r="B63" s="160" t="s">
        <v>266</v>
      </c>
      <c r="C63" s="160">
        <v>822</v>
      </c>
      <c r="D63" s="160">
        <v>284</v>
      </c>
      <c r="E63" s="160">
        <v>2218</v>
      </c>
      <c r="F63" s="161">
        <f t="shared" si="12"/>
        <v>5.7376413068784438E-2</v>
      </c>
      <c r="G63" s="160">
        <v>2369</v>
      </c>
      <c r="H63" s="160">
        <v>109</v>
      </c>
      <c r="I63" s="160">
        <f t="shared" si="13"/>
        <v>2478</v>
      </c>
      <c r="J63" s="161">
        <f t="shared" si="14"/>
        <v>3.075204765450484E-2</v>
      </c>
      <c r="K63" s="160">
        <f t="shared" si="11"/>
        <v>4696</v>
      </c>
    </row>
    <row r="64" spans="2:11" x14ac:dyDescent="0.2">
      <c r="B64" s="160" t="s">
        <v>267</v>
      </c>
      <c r="C64" s="160">
        <v>192</v>
      </c>
      <c r="D64" s="160">
        <v>43</v>
      </c>
      <c r="E64" s="160">
        <v>280</v>
      </c>
      <c r="F64" s="161">
        <f t="shared" si="12"/>
        <v>7.2431901078717957E-3</v>
      </c>
      <c r="G64" s="160">
        <v>302</v>
      </c>
      <c r="H64" s="160">
        <v>18</v>
      </c>
      <c r="I64" s="160">
        <f t="shared" si="13"/>
        <v>320</v>
      </c>
      <c r="J64" s="161">
        <f t="shared" si="14"/>
        <v>3.971208736659221E-3</v>
      </c>
      <c r="K64" s="160">
        <f t="shared" si="11"/>
        <v>600</v>
      </c>
    </row>
    <row r="65" spans="2:11" x14ac:dyDescent="0.2">
      <c r="B65" s="160" t="s">
        <v>268</v>
      </c>
      <c r="C65" s="160">
        <v>2646</v>
      </c>
      <c r="D65" s="160">
        <v>778</v>
      </c>
      <c r="E65" s="160">
        <v>6519</v>
      </c>
      <c r="F65" s="161">
        <f t="shared" si="12"/>
        <v>0.16863698683291511</v>
      </c>
      <c r="G65" s="160">
        <v>6978</v>
      </c>
      <c r="H65" s="160">
        <v>423</v>
      </c>
      <c r="I65" s="160">
        <f t="shared" si="13"/>
        <v>7401</v>
      </c>
      <c r="J65" s="161">
        <f t="shared" si="14"/>
        <v>9.1846612062546532E-2</v>
      </c>
      <c r="K65" s="160">
        <f t="shared" si="11"/>
        <v>13920</v>
      </c>
    </row>
    <row r="66" spans="2:11" x14ac:dyDescent="0.2">
      <c r="B66" s="160" t="s">
        <v>269</v>
      </c>
      <c r="C66" s="160">
        <v>704</v>
      </c>
      <c r="D66" s="160">
        <v>248</v>
      </c>
      <c r="E66" s="160">
        <v>1539</v>
      </c>
      <c r="F66" s="161">
        <f t="shared" si="12"/>
        <v>3.9811677057195335E-2</v>
      </c>
      <c r="G66" s="160">
        <v>1630</v>
      </c>
      <c r="H66" s="160">
        <v>99</v>
      </c>
      <c r="I66" s="160">
        <f t="shared" si="13"/>
        <v>1729</v>
      </c>
      <c r="J66" s="161">
        <f t="shared" si="14"/>
        <v>2.1456937205261851E-2</v>
      </c>
      <c r="K66" s="160">
        <f t="shared" si="11"/>
        <v>3268</v>
      </c>
    </row>
    <row r="67" spans="2:11" x14ac:dyDescent="0.2">
      <c r="B67" s="160" t="s">
        <v>270</v>
      </c>
      <c r="C67" s="160">
        <v>497</v>
      </c>
      <c r="D67" s="160">
        <v>174</v>
      </c>
      <c r="E67" s="160">
        <v>1347</v>
      </c>
      <c r="F67" s="161">
        <f t="shared" si="12"/>
        <v>3.4844918126083244E-2</v>
      </c>
      <c r="G67" s="160">
        <v>1418</v>
      </c>
      <c r="H67" s="160">
        <v>62</v>
      </c>
      <c r="I67" s="160">
        <f t="shared" si="13"/>
        <v>1480</v>
      </c>
      <c r="J67" s="161">
        <f t="shared" si="14"/>
        <v>1.8366840407048897E-2</v>
      </c>
      <c r="K67" s="160">
        <f t="shared" si="11"/>
        <v>2827</v>
      </c>
    </row>
    <row r="68" spans="2:11" x14ac:dyDescent="0.2">
      <c r="B68" s="160" t="s">
        <v>271</v>
      </c>
      <c r="C68" s="160">
        <v>5635</v>
      </c>
      <c r="D68" s="160">
        <v>2037</v>
      </c>
      <c r="E68" s="160">
        <v>14224</v>
      </c>
      <c r="F68" s="161">
        <f t="shared" si="12"/>
        <v>0.36795405747988719</v>
      </c>
      <c r="G68" s="160">
        <v>15229</v>
      </c>
      <c r="H68" s="160">
        <v>1033</v>
      </c>
      <c r="I68" s="160">
        <f t="shared" si="13"/>
        <v>16262</v>
      </c>
      <c r="J68" s="161">
        <f t="shared" si="14"/>
        <v>0.20181186398610076</v>
      </c>
      <c r="K68" s="160">
        <f t="shared" si="11"/>
        <v>30486</v>
      </c>
    </row>
    <row r="69" spans="2:11" x14ac:dyDescent="0.2">
      <c r="B69" s="160" t="s">
        <v>58</v>
      </c>
      <c r="C69" s="160">
        <v>708</v>
      </c>
      <c r="D69" s="160">
        <v>364</v>
      </c>
      <c r="E69" s="160">
        <v>1520</v>
      </c>
      <c r="F69" s="161">
        <f t="shared" si="12"/>
        <v>3.9320174871304035E-2</v>
      </c>
      <c r="G69" s="160">
        <v>1682</v>
      </c>
      <c r="H69" s="160">
        <v>136</v>
      </c>
      <c r="I69" s="160">
        <f t="shared" si="13"/>
        <v>1818</v>
      </c>
      <c r="J69" s="161">
        <f t="shared" si="14"/>
        <v>2.2561429635145198E-2</v>
      </c>
      <c r="K69" s="160">
        <f t="shared" si="11"/>
        <v>3338</v>
      </c>
    </row>
    <row r="70" spans="2:11" x14ac:dyDescent="0.2">
      <c r="B70" s="160" t="s">
        <v>272</v>
      </c>
      <c r="C70" s="160">
        <v>265</v>
      </c>
      <c r="D70" s="160">
        <v>113</v>
      </c>
      <c r="E70" s="160">
        <v>645</v>
      </c>
      <c r="F70" s="161">
        <f t="shared" si="12"/>
        <v>1.6685205784204672E-2</v>
      </c>
      <c r="G70" s="160">
        <v>686</v>
      </c>
      <c r="H70" s="160">
        <v>36</v>
      </c>
      <c r="I70" s="160">
        <f t="shared" si="13"/>
        <v>722</v>
      </c>
      <c r="J70" s="161">
        <f t="shared" si="14"/>
        <v>8.960039712087366E-3</v>
      </c>
      <c r="K70" s="160">
        <f t="shared" si="11"/>
        <v>1367</v>
      </c>
    </row>
    <row r="71" spans="2:11" x14ac:dyDescent="0.2">
      <c r="B71" s="160" t="s">
        <v>273</v>
      </c>
      <c r="C71" s="160">
        <v>422</v>
      </c>
      <c r="D71" s="160">
        <v>140</v>
      </c>
      <c r="E71" s="160">
        <v>949</v>
      </c>
      <c r="F71" s="161">
        <f t="shared" si="12"/>
        <v>2.4549240758465478E-2</v>
      </c>
      <c r="G71" s="160">
        <v>1013</v>
      </c>
      <c r="H71" s="160">
        <v>49</v>
      </c>
      <c r="I71" s="160">
        <f t="shared" si="13"/>
        <v>1062</v>
      </c>
      <c r="J71" s="161">
        <f t="shared" si="14"/>
        <v>1.3179448994787788E-2</v>
      </c>
      <c r="K71" s="160">
        <f t="shared" si="11"/>
        <v>2011</v>
      </c>
    </row>
    <row r="72" spans="2:11" x14ac:dyDescent="0.2">
      <c r="B72" s="160" t="s">
        <v>274</v>
      </c>
      <c r="C72" s="160">
        <v>3136</v>
      </c>
      <c r="D72" s="160">
        <v>958</v>
      </c>
      <c r="E72" s="160">
        <v>9382</v>
      </c>
      <c r="F72" s="161">
        <f t="shared" si="12"/>
        <v>0.24269860568590423</v>
      </c>
      <c r="G72" s="160">
        <v>10168</v>
      </c>
      <c r="H72" s="160">
        <v>597</v>
      </c>
      <c r="I72" s="160">
        <f t="shared" si="13"/>
        <v>10765</v>
      </c>
      <c r="J72" s="161">
        <f t="shared" si="14"/>
        <v>0.13359394390667659</v>
      </c>
      <c r="K72" s="160">
        <f t="shared" si="11"/>
        <v>20147</v>
      </c>
    </row>
    <row r="73" spans="2:11" x14ac:dyDescent="0.2">
      <c r="B73" s="160" t="s">
        <v>275</v>
      </c>
      <c r="C73" s="160">
        <v>528</v>
      </c>
      <c r="D73" s="160">
        <v>168</v>
      </c>
      <c r="E73" s="160">
        <v>1302</v>
      </c>
      <c r="F73" s="161">
        <f t="shared" si="12"/>
        <v>3.3680834001603849E-2</v>
      </c>
      <c r="G73" s="160">
        <v>1433</v>
      </c>
      <c r="H73" s="160">
        <v>82</v>
      </c>
      <c r="I73" s="160">
        <f t="shared" si="13"/>
        <v>1515</v>
      </c>
      <c r="J73" s="161">
        <f t="shared" si="14"/>
        <v>1.8801191362620998E-2</v>
      </c>
      <c r="K73" s="160">
        <f t="shared" si="11"/>
        <v>2817</v>
      </c>
    </row>
    <row r="74" spans="2:11" x14ac:dyDescent="0.2">
      <c r="B74" s="160" t="s">
        <v>276</v>
      </c>
      <c r="C74" s="160">
        <v>418</v>
      </c>
      <c r="D74" s="160">
        <v>118</v>
      </c>
      <c r="E74" s="160">
        <v>908</v>
      </c>
      <c r="F74" s="161">
        <f t="shared" si="12"/>
        <v>2.3488630778384253E-2</v>
      </c>
      <c r="G74" s="160">
        <v>955</v>
      </c>
      <c r="H74" s="160">
        <v>52</v>
      </c>
      <c r="I74" s="160">
        <f t="shared" si="13"/>
        <v>1007</v>
      </c>
      <c r="J74" s="161">
        <f t="shared" si="14"/>
        <v>1.2496897493174485E-2</v>
      </c>
      <c r="K74" s="160">
        <f t="shared" si="11"/>
        <v>1915</v>
      </c>
    </row>
    <row r="75" spans="2:11" x14ac:dyDescent="0.2">
      <c r="B75" s="160" t="s">
        <v>277</v>
      </c>
      <c r="C75" s="160">
        <v>356</v>
      </c>
      <c r="D75" s="160">
        <v>157</v>
      </c>
      <c r="E75" s="160">
        <v>696</v>
      </c>
      <c r="F75" s="161">
        <f t="shared" si="12"/>
        <v>1.8004501125281319E-2</v>
      </c>
      <c r="G75" s="160">
        <v>737</v>
      </c>
      <c r="H75" s="160">
        <v>48</v>
      </c>
      <c r="I75" s="160">
        <f t="shared" si="13"/>
        <v>785</v>
      </c>
      <c r="J75" s="161">
        <f t="shared" si="14"/>
        <v>9.7418714321171503E-3</v>
      </c>
      <c r="K75" s="160">
        <f t="shared" si="11"/>
        <v>1481</v>
      </c>
    </row>
    <row r="76" spans="2:11" x14ac:dyDescent="0.2">
      <c r="B76" s="160" t="s">
        <v>278</v>
      </c>
      <c r="C76" s="160">
        <v>1153</v>
      </c>
      <c r="D76" s="160">
        <v>583</v>
      </c>
      <c r="E76" s="160">
        <v>2743</v>
      </c>
      <c r="F76" s="161">
        <f t="shared" si="12"/>
        <v>7.0957394521044048E-2</v>
      </c>
      <c r="G76" s="160">
        <v>2949</v>
      </c>
      <c r="H76" s="160">
        <v>168</v>
      </c>
      <c r="I76" s="160">
        <f t="shared" si="13"/>
        <v>3117</v>
      </c>
      <c r="J76" s="161">
        <f t="shared" si="14"/>
        <v>3.8682055100521223E-2</v>
      </c>
      <c r="K76" s="160">
        <f t="shared" si="11"/>
        <v>5860</v>
      </c>
    </row>
    <row r="77" spans="2:11" x14ac:dyDescent="0.2">
      <c r="B77" s="160" t="s">
        <v>279</v>
      </c>
      <c r="C77" s="160">
        <v>1298</v>
      </c>
      <c r="D77" s="160">
        <v>373</v>
      </c>
      <c r="E77" s="160">
        <v>3536</v>
      </c>
      <c r="F77" s="161">
        <f t="shared" si="12"/>
        <v>9.1471143647980965E-2</v>
      </c>
      <c r="G77" s="160">
        <v>3768</v>
      </c>
      <c r="H77" s="160">
        <v>134</v>
      </c>
      <c r="I77" s="160">
        <f t="shared" si="13"/>
        <v>3902</v>
      </c>
      <c r="J77" s="161">
        <f t="shared" si="14"/>
        <v>4.842392653263837E-2</v>
      </c>
      <c r="K77" s="160">
        <f t="shared" si="11"/>
        <v>7438</v>
      </c>
    </row>
    <row r="78" spans="2:11" x14ac:dyDescent="0.2">
      <c r="B78" s="160" t="s">
        <v>280</v>
      </c>
      <c r="C78" s="160">
        <v>561</v>
      </c>
      <c r="D78" s="160">
        <v>231</v>
      </c>
      <c r="E78" s="160">
        <v>1425</v>
      </c>
      <c r="F78" s="161">
        <f t="shared" si="12"/>
        <v>3.6862663941847527E-2</v>
      </c>
      <c r="G78" s="160">
        <v>1530</v>
      </c>
      <c r="H78" s="160">
        <v>96</v>
      </c>
      <c r="I78" s="160">
        <f t="shared" si="13"/>
        <v>1626</v>
      </c>
      <c r="J78" s="161">
        <f t="shared" si="14"/>
        <v>2.0178704393149664E-2</v>
      </c>
      <c r="K78" s="160">
        <f t="shared" si="11"/>
        <v>3051</v>
      </c>
    </row>
    <row r="79" spans="2:11" x14ac:dyDescent="0.2">
      <c r="B79" s="160" t="s">
        <v>281</v>
      </c>
      <c r="C79" s="160">
        <v>1383</v>
      </c>
      <c r="D79" s="160">
        <v>470</v>
      </c>
      <c r="E79" s="160">
        <v>3309</v>
      </c>
      <c r="F79" s="161">
        <f t="shared" si="12"/>
        <v>8.5598985953384901E-2</v>
      </c>
      <c r="G79" s="160">
        <v>3523</v>
      </c>
      <c r="H79" s="160">
        <v>230</v>
      </c>
      <c r="I79" s="160">
        <f t="shared" si="13"/>
        <v>3753</v>
      </c>
      <c r="J79" s="161">
        <f t="shared" si="14"/>
        <v>4.657483246463142E-2</v>
      </c>
      <c r="K79" s="160">
        <f t="shared" si="11"/>
        <v>7062</v>
      </c>
    </row>
    <row r="80" spans="2:11" x14ac:dyDescent="0.2">
      <c r="B80" s="162" t="s">
        <v>66</v>
      </c>
      <c r="C80" s="160">
        <f t="shared" ref="C80:H80" si="15">SUM(C50:C79)</f>
        <v>28798</v>
      </c>
      <c r="D80" s="160">
        <f t="shared" si="15"/>
        <v>9859</v>
      </c>
      <c r="E80" s="162">
        <f>C80+D80</f>
        <v>38657</v>
      </c>
      <c r="F80" s="193">
        <f t="shared" ref="F80" si="16">E80/$E$80</f>
        <v>1</v>
      </c>
      <c r="G80" s="160">
        <f t="shared" si="15"/>
        <v>76060</v>
      </c>
      <c r="H80" s="160">
        <f t="shared" si="15"/>
        <v>4520</v>
      </c>
      <c r="I80" s="162">
        <f t="shared" ref="I80" si="17">G80+H80</f>
        <v>80580</v>
      </c>
      <c r="J80" s="193">
        <f t="shared" ref="J80" si="18">I80/$I$80</f>
        <v>1</v>
      </c>
      <c r="K80" s="162">
        <f t="shared" ref="K80:K81" si="19">E80+I80</f>
        <v>119237</v>
      </c>
    </row>
    <row r="81" spans="2:11" ht="24" x14ac:dyDescent="0.2">
      <c r="B81" s="174" t="s">
        <v>84</v>
      </c>
      <c r="C81" s="175">
        <f>+C80/$K$80</f>
        <v>0.24151899158818152</v>
      </c>
      <c r="D81" s="175">
        <f>+D80/$K$80</f>
        <v>8.2684066187508912E-2</v>
      </c>
      <c r="E81" s="176">
        <f>C81+D81</f>
        <v>0.32420305777569042</v>
      </c>
      <c r="F81" s="176"/>
      <c r="G81" s="175">
        <f>+G80/$K$80</f>
        <v>0.63788924578780082</v>
      </c>
      <c r="H81" s="175">
        <f>+H80/$K$80</f>
        <v>3.7907696436508799E-2</v>
      </c>
      <c r="I81" s="176">
        <f>G81+H81</f>
        <v>0.67579694222430964</v>
      </c>
      <c r="J81" s="176"/>
      <c r="K81" s="176">
        <f t="shared" si="19"/>
        <v>1</v>
      </c>
    </row>
    <row r="82" spans="2:11" x14ac:dyDescent="0.2">
      <c r="B82" s="167" t="s">
        <v>149</v>
      </c>
    </row>
    <row r="83" spans="2:11" x14ac:dyDescent="0.2">
      <c r="B83" s="167" t="s">
        <v>150</v>
      </c>
    </row>
  </sheetData>
  <mergeCells count="10">
    <mergeCell ref="B48:B49"/>
    <mergeCell ref="C48:K48"/>
    <mergeCell ref="B8:K8"/>
    <mergeCell ref="B9:B10"/>
    <mergeCell ref="C9:K9"/>
    <mergeCell ref="B6:K6"/>
    <mergeCell ref="B5:K5"/>
    <mergeCell ref="B44:K44"/>
    <mergeCell ref="B45:K45"/>
    <mergeCell ref="B47:K47"/>
  </mergeCells>
  <hyperlinks>
    <hyperlink ref="M5" location="'Índice Pensiones Solidarias'!A1" display="Volver Sistema de Pensiones Solidadias" xr:uid="{00000000-0004-0000-0E00-000000000000}"/>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65"/>
  <sheetViews>
    <sheetView showGridLines="0" zoomScaleNormal="100" workbookViewId="0"/>
  </sheetViews>
  <sheetFormatPr baseColWidth="10" defaultRowHeight="12" x14ac:dyDescent="0.2"/>
  <cols>
    <col min="1" max="1" width="6" style="168" customWidth="1"/>
    <col min="2" max="2" width="18.140625" style="168" customWidth="1"/>
    <col min="3" max="3" width="7.85546875" style="168" bestFit="1" customWidth="1"/>
    <col min="4" max="4" width="7.28515625" style="168" bestFit="1" customWidth="1"/>
    <col min="5" max="6" width="7.28515625" style="168" customWidth="1"/>
    <col min="7" max="8" width="7.28515625" style="168" bestFit="1" customWidth="1"/>
    <col min="9" max="11" width="7.28515625" style="168" customWidth="1"/>
    <col min="12" max="12" width="9.7109375" style="168" customWidth="1"/>
    <col min="13" max="251" width="11.42578125" style="168"/>
    <col min="252" max="252" width="18.140625" style="168" customWidth="1"/>
    <col min="253" max="253" width="7.85546875" style="168" bestFit="1" customWidth="1"/>
    <col min="254" max="254" width="7.28515625" style="168" bestFit="1" customWidth="1"/>
    <col min="255" max="256" width="7.28515625" style="168" customWidth="1"/>
    <col min="257" max="258" width="7.28515625" style="168" bestFit="1" customWidth="1"/>
    <col min="259" max="261" width="7.28515625" style="168" customWidth="1"/>
    <col min="262" max="267" width="0" style="168" hidden="1" customWidth="1"/>
    <col min="268" max="268" width="9.7109375" style="168" customWidth="1"/>
    <col min="269" max="507" width="11.42578125" style="168"/>
    <col min="508" max="508" width="18.140625" style="168" customWidth="1"/>
    <col min="509" max="509" width="7.85546875" style="168" bestFit="1" customWidth="1"/>
    <col min="510" max="510" width="7.28515625" style="168" bestFit="1" customWidth="1"/>
    <col min="511" max="512" width="7.28515625" style="168" customWidth="1"/>
    <col min="513" max="514" width="7.28515625" style="168" bestFit="1" customWidth="1"/>
    <col min="515" max="517" width="7.28515625" style="168" customWidth="1"/>
    <col min="518" max="523" width="0" style="168" hidden="1" customWidth="1"/>
    <col min="524" max="524" width="9.7109375" style="168" customWidth="1"/>
    <col min="525" max="763" width="11.42578125" style="168"/>
    <col min="764" max="764" width="18.140625" style="168" customWidth="1"/>
    <col min="765" max="765" width="7.85546875" style="168" bestFit="1" customWidth="1"/>
    <col min="766" max="766" width="7.28515625" style="168" bestFit="1" customWidth="1"/>
    <col min="767" max="768" width="7.28515625" style="168" customWidth="1"/>
    <col min="769" max="770" width="7.28515625" style="168" bestFit="1" customWidth="1"/>
    <col min="771" max="773" width="7.28515625" style="168" customWidth="1"/>
    <col min="774" max="779" width="0" style="168" hidden="1" customWidth="1"/>
    <col min="780" max="780" width="9.7109375" style="168" customWidth="1"/>
    <col min="781" max="1019" width="11.42578125" style="168"/>
    <col min="1020" max="1020" width="18.140625" style="168" customWidth="1"/>
    <col min="1021" max="1021" width="7.85546875" style="168" bestFit="1" customWidth="1"/>
    <col min="1022" max="1022" width="7.28515625" style="168" bestFit="1" customWidth="1"/>
    <col min="1023" max="1024" width="7.28515625" style="168" customWidth="1"/>
    <col min="1025" max="1026" width="7.28515625" style="168" bestFit="1" customWidth="1"/>
    <col min="1027" max="1029" width="7.28515625" style="168" customWidth="1"/>
    <col min="1030" max="1035" width="0" style="168" hidden="1" customWidth="1"/>
    <col min="1036" max="1036" width="9.7109375" style="168" customWidth="1"/>
    <col min="1037" max="1275" width="11.42578125" style="168"/>
    <col min="1276" max="1276" width="18.140625" style="168" customWidth="1"/>
    <col min="1277" max="1277" width="7.85546875" style="168" bestFit="1" customWidth="1"/>
    <col min="1278" max="1278" width="7.28515625" style="168" bestFit="1" customWidth="1"/>
    <col min="1279" max="1280" width="7.28515625" style="168" customWidth="1"/>
    <col min="1281" max="1282" width="7.28515625" style="168" bestFit="1" customWidth="1"/>
    <col min="1283" max="1285" width="7.28515625" style="168" customWidth="1"/>
    <col min="1286" max="1291" width="0" style="168" hidden="1" customWidth="1"/>
    <col min="1292" max="1292" width="9.7109375" style="168" customWidth="1"/>
    <col min="1293" max="1531" width="11.42578125" style="168"/>
    <col min="1532" max="1532" width="18.140625" style="168" customWidth="1"/>
    <col min="1533" max="1533" width="7.85546875" style="168" bestFit="1" customWidth="1"/>
    <col min="1534" max="1534" width="7.28515625" style="168" bestFit="1" customWidth="1"/>
    <col min="1535" max="1536" width="7.28515625" style="168" customWidth="1"/>
    <col min="1537" max="1538" width="7.28515625" style="168" bestFit="1" customWidth="1"/>
    <col min="1539" max="1541" width="7.28515625" style="168" customWidth="1"/>
    <col min="1542" max="1547" width="0" style="168" hidden="1" customWidth="1"/>
    <col min="1548" max="1548" width="9.7109375" style="168" customWidth="1"/>
    <col min="1549" max="1787" width="11.42578125" style="168"/>
    <col min="1788" max="1788" width="18.140625" style="168" customWidth="1"/>
    <col min="1789" max="1789" width="7.85546875" style="168" bestFit="1" customWidth="1"/>
    <col min="1790" max="1790" width="7.28515625" style="168" bestFit="1" customWidth="1"/>
    <col min="1791" max="1792" width="7.28515625" style="168" customWidth="1"/>
    <col min="1793" max="1794" width="7.28515625" style="168" bestFit="1" customWidth="1"/>
    <col min="1795" max="1797" width="7.28515625" style="168" customWidth="1"/>
    <col min="1798" max="1803" width="0" style="168" hidden="1" customWidth="1"/>
    <col min="1804" max="1804" width="9.7109375" style="168" customWidth="1"/>
    <col min="1805" max="2043" width="11.42578125" style="168"/>
    <col min="2044" max="2044" width="18.140625" style="168" customWidth="1"/>
    <col min="2045" max="2045" width="7.85546875" style="168" bestFit="1" customWidth="1"/>
    <col min="2046" max="2046" width="7.28515625" style="168" bestFit="1" customWidth="1"/>
    <col min="2047" max="2048" width="7.28515625" style="168" customWidth="1"/>
    <col min="2049" max="2050" width="7.28515625" style="168" bestFit="1" customWidth="1"/>
    <col min="2051" max="2053" width="7.28515625" style="168" customWidth="1"/>
    <col min="2054" max="2059" width="0" style="168" hidden="1" customWidth="1"/>
    <col min="2060" max="2060" width="9.7109375" style="168" customWidth="1"/>
    <col min="2061" max="2299" width="11.42578125" style="168"/>
    <col min="2300" max="2300" width="18.140625" style="168" customWidth="1"/>
    <col min="2301" max="2301" width="7.85546875" style="168" bestFit="1" customWidth="1"/>
    <col min="2302" max="2302" width="7.28515625" style="168" bestFit="1" customWidth="1"/>
    <col min="2303" max="2304" width="7.28515625" style="168" customWidth="1"/>
    <col min="2305" max="2306" width="7.28515625" style="168" bestFit="1" customWidth="1"/>
    <col min="2307" max="2309" width="7.28515625" style="168" customWidth="1"/>
    <col min="2310" max="2315" width="0" style="168" hidden="1" customWidth="1"/>
    <col min="2316" max="2316" width="9.7109375" style="168" customWidth="1"/>
    <col min="2317" max="2555" width="11.42578125" style="168"/>
    <col min="2556" max="2556" width="18.140625" style="168" customWidth="1"/>
    <col min="2557" max="2557" width="7.85546875" style="168" bestFit="1" customWidth="1"/>
    <col min="2558" max="2558" width="7.28515625" style="168" bestFit="1" customWidth="1"/>
    <col min="2559" max="2560" width="7.28515625" style="168" customWidth="1"/>
    <col min="2561" max="2562" width="7.28515625" style="168" bestFit="1" customWidth="1"/>
    <col min="2563" max="2565" width="7.28515625" style="168" customWidth="1"/>
    <col min="2566" max="2571" width="0" style="168" hidden="1" customWidth="1"/>
    <col min="2572" max="2572" width="9.7109375" style="168" customWidth="1"/>
    <col min="2573" max="2811" width="11.42578125" style="168"/>
    <col min="2812" max="2812" width="18.140625" style="168" customWidth="1"/>
    <col min="2813" max="2813" width="7.85546875" style="168" bestFit="1" customWidth="1"/>
    <col min="2814" max="2814" width="7.28515625" style="168" bestFit="1" customWidth="1"/>
    <col min="2815" max="2816" width="7.28515625" style="168" customWidth="1"/>
    <col min="2817" max="2818" width="7.28515625" style="168" bestFit="1" customWidth="1"/>
    <col min="2819" max="2821" width="7.28515625" style="168" customWidth="1"/>
    <col min="2822" max="2827" width="0" style="168" hidden="1" customWidth="1"/>
    <col min="2828" max="2828" width="9.7109375" style="168" customWidth="1"/>
    <col min="2829" max="3067" width="11.42578125" style="168"/>
    <col min="3068" max="3068" width="18.140625" style="168" customWidth="1"/>
    <col min="3069" max="3069" width="7.85546875" style="168" bestFit="1" customWidth="1"/>
    <col min="3070" max="3070" width="7.28515625" style="168" bestFit="1" customWidth="1"/>
    <col min="3071" max="3072" width="7.28515625" style="168" customWidth="1"/>
    <col min="3073" max="3074" width="7.28515625" style="168" bestFit="1" customWidth="1"/>
    <col min="3075" max="3077" width="7.28515625" style="168" customWidth="1"/>
    <col min="3078" max="3083" width="0" style="168" hidden="1" customWidth="1"/>
    <col min="3084" max="3084" width="9.7109375" style="168" customWidth="1"/>
    <col min="3085" max="3323" width="11.42578125" style="168"/>
    <col min="3324" max="3324" width="18.140625" style="168" customWidth="1"/>
    <col min="3325" max="3325" width="7.85546875" style="168" bestFit="1" customWidth="1"/>
    <col min="3326" max="3326" width="7.28515625" style="168" bestFit="1" customWidth="1"/>
    <col min="3327" max="3328" width="7.28515625" style="168" customWidth="1"/>
    <col min="3329" max="3330" width="7.28515625" style="168" bestFit="1" customWidth="1"/>
    <col min="3331" max="3333" width="7.28515625" style="168" customWidth="1"/>
    <col min="3334" max="3339" width="0" style="168" hidden="1" customWidth="1"/>
    <col min="3340" max="3340" width="9.7109375" style="168" customWidth="1"/>
    <col min="3341" max="3579" width="11.42578125" style="168"/>
    <col min="3580" max="3580" width="18.140625" style="168" customWidth="1"/>
    <col min="3581" max="3581" width="7.85546875" style="168" bestFit="1" customWidth="1"/>
    <col min="3582" max="3582" width="7.28515625" style="168" bestFit="1" customWidth="1"/>
    <col min="3583" max="3584" width="7.28515625" style="168" customWidth="1"/>
    <col min="3585" max="3586" width="7.28515625" style="168" bestFit="1" customWidth="1"/>
    <col min="3587" max="3589" width="7.28515625" style="168" customWidth="1"/>
    <col min="3590" max="3595" width="0" style="168" hidden="1" customWidth="1"/>
    <col min="3596" max="3596" width="9.7109375" style="168" customWidth="1"/>
    <col min="3597" max="3835" width="11.42578125" style="168"/>
    <col min="3836" max="3836" width="18.140625" style="168" customWidth="1"/>
    <col min="3837" max="3837" width="7.85546875" style="168" bestFit="1" customWidth="1"/>
    <col min="3838" max="3838" width="7.28515625" style="168" bestFit="1" customWidth="1"/>
    <col min="3839" max="3840" width="7.28515625" style="168" customWidth="1"/>
    <col min="3841" max="3842" width="7.28515625" style="168" bestFit="1" customWidth="1"/>
    <col min="3843" max="3845" width="7.28515625" style="168" customWidth="1"/>
    <col min="3846" max="3851" width="0" style="168" hidden="1" customWidth="1"/>
    <col min="3852" max="3852" width="9.7109375" style="168" customWidth="1"/>
    <col min="3853" max="4091" width="11.42578125" style="168"/>
    <col min="4092" max="4092" width="18.140625" style="168" customWidth="1"/>
    <col min="4093" max="4093" width="7.85546875" style="168" bestFit="1" customWidth="1"/>
    <col min="4094" max="4094" width="7.28515625" style="168" bestFit="1" customWidth="1"/>
    <col min="4095" max="4096" width="7.28515625" style="168" customWidth="1"/>
    <col min="4097" max="4098" width="7.28515625" style="168" bestFit="1" customWidth="1"/>
    <col min="4099" max="4101" width="7.28515625" style="168" customWidth="1"/>
    <col min="4102" max="4107" width="0" style="168" hidden="1" customWidth="1"/>
    <col min="4108" max="4108" width="9.7109375" style="168" customWidth="1"/>
    <col min="4109" max="4347" width="11.42578125" style="168"/>
    <col min="4348" max="4348" width="18.140625" style="168" customWidth="1"/>
    <col min="4349" max="4349" width="7.85546875" style="168" bestFit="1" customWidth="1"/>
    <col min="4350" max="4350" width="7.28515625" style="168" bestFit="1" customWidth="1"/>
    <col min="4351" max="4352" width="7.28515625" style="168" customWidth="1"/>
    <col min="4353" max="4354" width="7.28515625" style="168" bestFit="1" customWidth="1"/>
    <col min="4355" max="4357" width="7.28515625" style="168" customWidth="1"/>
    <col min="4358" max="4363" width="0" style="168" hidden="1" customWidth="1"/>
    <col min="4364" max="4364" width="9.7109375" style="168" customWidth="1"/>
    <col min="4365" max="4603" width="11.42578125" style="168"/>
    <col min="4604" max="4604" width="18.140625" style="168" customWidth="1"/>
    <col min="4605" max="4605" width="7.85546875" style="168" bestFit="1" customWidth="1"/>
    <col min="4606" max="4606" width="7.28515625" style="168" bestFit="1" customWidth="1"/>
    <col min="4607" max="4608" width="7.28515625" style="168" customWidth="1"/>
    <col min="4609" max="4610" width="7.28515625" style="168" bestFit="1" customWidth="1"/>
    <col min="4611" max="4613" width="7.28515625" style="168" customWidth="1"/>
    <col min="4614" max="4619" width="0" style="168" hidden="1" customWidth="1"/>
    <col min="4620" max="4620" width="9.7109375" style="168" customWidth="1"/>
    <col min="4621" max="4859" width="11.42578125" style="168"/>
    <col min="4860" max="4860" width="18.140625" style="168" customWidth="1"/>
    <col min="4861" max="4861" width="7.85546875" style="168" bestFit="1" customWidth="1"/>
    <col min="4862" max="4862" width="7.28515625" style="168" bestFit="1" customWidth="1"/>
    <col min="4863" max="4864" width="7.28515625" style="168" customWidth="1"/>
    <col min="4865" max="4866" width="7.28515625" style="168" bestFit="1" customWidth="1"/>
    <col min="4867" max="4869" width="7.28515625" style="168" customWidth="1"/>
    <col min="4870" max="4875" width="0" style="168" hidden="1" customWidth="1"/>
    <col min="4876" max="4876" width="9.7109375" style="168" customWidth="1"/>
    <col min="4877" max="5115" width="11.42578125" style="168"/>
    <col min="5116" max="5116" width="18.140625" style="168" customWidth="1"/>
    <col min="5117" max="5117" width="7.85546875" style="168" bestFit="1" customWidth="1"/>
    <col min="5118" max="5118" width="7.28515625" style="168" bestFit="1" customWidth="1"/>
    <col min="5119" max="5120" width="7.28515625" style="168" customWidth="1"/>
    <col min="5121" max="5122" width="7.28515625" style="168" bestFit="1" customWidth="1"/>
    <col min="5123" max="5125" width="7.28515625" style="168" customWidth="1"/>
    <col min="5126" max="5131" width="0" style="168" hidden="1" customWidth="1"/>
    <col min="5132" max="5132" width="9.7109375" style="168" customWidth="1"/>
    <col min="5133" max="5371" width="11.42578125" style="168"/>
    <col min="5372" max="5372" width="18.140625" style="168" customWidth="1"/>
    <col min="5373" max="5373" width="7.85546875" style="168" bestFit="1" customWidth="1"/>
    <col min="5374" max="5374" width="7.28515625" style="168" bestFit="1" customWidth="1"/>
    <col min="5375" max="5376" width="7.28515625" style="168" customWidth="1"/>
    <col min="5377" max="5378" width="7.28515625" style="168" bestFit="1" customWidth="1"/>
    <col min="5379" max="5381" width="7.28515625" style="168" customWidth="1"/>
    <col min="5382" max="5387" width="0" style="168" hidden="1" customWidth="1"/>
    <col min="5388" max="5388" width="9.7109375" style="168" customWidth="1"/>
    <col min="5389" max="5627" width="11.42578125" style="168"/>
    <col min="5628" max="5628" width="18.140625" style="168" customWidth="1"/>
    <col min="5629" max="5629" width="7.85546875" style="168" bestFit="1" customWidth="1"/>
    <col min="5630" max="5630" width="7.28515625" style="168" bestFit="1" customWidth="1"/>
    <col min="5631" max="5632" width="7.28515625" style="168" customWidth="1"/>
    <col min="5633" max="5634" width="7.28515625" style="168" bestFit="1" customWidth="1"/>
    <col min="5635" max="5637" width="7.28515625" style="168" customWidth="1"/>
    <col min="5638" max="5643" width="0" style="168" hidden="1" customWidth="1"/>
    <col min="5644" max="5644" width="9.7109375" style="168" customWidth="1"/>
    <col min="5645" max="5883" width="11.42578125" style="168"/>
    <col min="5884" max="5884" width="18.140625" style="168" customWidth="1"/>
    <col min="5885" max="5885" width="7.85546875" style="168" bestFit="1" customWidth="1"/>
    <col min="5886" max="5886" width="7.28515625" style="168" bestFit="1" customWidth="1"/>
    <col min="5887" max="5888" width="7.28515625" style="168" customWidth="1"/>
    <col min="5889" max="5890" width="7.28515625" style="168" bestFit="1" customWidth="1"/>
    <col min="5891" max="5893" width="7.28515625" style="168" customWidth="1"/>
    <col min="5894" max="5899" width="0" style="168" hidden="1" customWidth="1"/>
    <col min="5900" max="5900" width="9.7109375" style="168" customWidth="1"/>
    <col min="5901" max="6139" width="11.42578125" style="168"/>
    <col min="6140" max="6140" width="18.140625" style="168" customWidth="1"/>
    <col min="6141" max="6141" width="7.85546875" style="168" bestFit="1" customWidth="1"/>
    <col min="6142" max="6142" width="7.28515625" style="168" bestFit="1" customWidth="1"/>
    <col min="6143" max="6144" width="7.28515625" style="168" customWidth="1"/>
    <col min="6145" max="6146" width="7.28515625" style="168" bestFit="1" customWidth="1"/>
    <col min="6147" max="6149" width="7.28515625" style="168" customWidth="1"/>
    <col min="6150" max="6155" width="0" style="168" hidden="1" customWidth="1"/>
    <col min="6156" max="6156" width="9.7109375" style="168" customWidth="1"/>
    <col min="6157" max="6395" width="11.42578125" style="168"/>
    <col min="6396" max="6396" width="18.140625" style="168" customWidth="1"/>
    <col min="6397" max="6397" width="7.85546875" style="168" bestFit="1" customWidth="1"/>
    <col min="6398" max="6398" width="7.28515625" style="168" bestFit="1" customWidth="1"/>
    <col min="6399" max="6400" width="7.28515625" style="168" customWidth="1"/>
    <col min="6401" max="6402" width="7.28515625" style="168" bestFit="1" customWidth="1"/>
    <col min="6403" max="6405" width="7.28515625" style="168" customWidth="1"/>
    <col min="6406" max="6411" width="0" style="168" hidden="1" customWidth="1"/>
    <col min="6412" max="6412" width="9.7109375" style="168" customWidth="1"/>
    <col min="6413" max="6651" width="11.42578125" style="168"/>
    <col min="6652" max="6652" width="18.140625" style="168" customWidth="1"/>
    <col min="6653" max="6653" width="7.85546875" style="168" bestFit="1" customWidth="1"/>
    <col min="6654" max="6654" width="7.28515625" style="168" bestFit="1" customWidth="1"/>
    <col min="6655" max="6656" width="7.28515625" style="168" customWidth="1"/>
    <col min="6657" max="6658" width="7.28515625" style="168" bestFit="1" customWidth="1"/>
    <col min="6659" max="6661" width="7.28515625" style="168" customWidth="1"/>
    <col min="6662" max="6667" width="0" style="168" hidden="1" customWidth="1"/>
    <col min="6668" max="6668" width="9.7109375" style="168" customWidth="1"/>
    <col min="6669" max="6907" width="11.42578125" style="168"/>
    <col min="6908" max="6908" width="18.140625" style="168" customWidth="1"/>
    <col min="6909" max="6909" width="7.85546875" style="168" bestFit="1" customWidth="1"/>
    <col min="6910" max="6910" width="7.28515625" style="168" bestFit="1" customWidth="1"/>
    <col min="6911" max="6912" width="7.28515625" style="168" customWidth="1"/>
    <col min="6913" max="6914" width="7.28515625" style="168" bestFit="1" customWidth="1"/>
    <col min="6915" max="6917" width="7.28515625" style="168" customWidth="1"/>
    <col min="6918" max="6923" width="0" style="168" hidden="1" customWidth="1"/>
    <col min="6924" max="6924" width="9.7109375" style="168" customWidth="1"/>
    <col min="6925" max="7163" width="11.42578125" style="168"/>
    <col min="7164" max="7164" width="18.140625" style="168" customWidth="1"/>
    <col min="7165" max="7165" width="7.85546875" style="168" bestFit="1" customWidth="1"/>
    <col min="7166" max="7166" width="7.28515625" style="168" bestFit="1" customWidth="1"/>
    <col min="7167" max="7168" width="7.28515625" style="168" customWidth="1"/>
    <col min="7169" max="7170" width="7.28515625" style="168" bestFit="1" customWidth="1"/>
    <col min="7171" max="7173" width="7.28515625" style="168" customWidth="1"/>
    <col min="7174" max="7179" width="0" style="168" hidden="1" customWidth="1"/>
    <col min="7180" max="7180" width="9.7109375" style="168" customWidth="1"/>
    <col min="7181" max="7419" width="11.42578125" style="168"/>
    <col min="7420" max="7420" width="18.140625" style="168" customWidth="1"/>
    <col min="7421" max="7421" width="7.85546875" style="168" bestFit="1" customWidth="1"/>
    <col min="7422" max="7422" width="7.28515625" style="168" bestFit="1" customWidth="1"/>
    <col min="7423" max="7424" width="7.28515625" style="168" customWidth="1"/>
    <col min="7425" max="7426" width="7.28515625" style="168" bestFit="1" customWidth="1"/>
    <col min="7427" max="7429" width="7.28515625" style="168" customWidth="1"/>
    <col min="7430" max="7435" width="0" style="168" hidden="1" customWidth="1"/>
    <col min="7436" max="7436" width="9.7109375" style="168" customWidth="1"/>
    <col min="7437" max="7675" width="11.42578125" style="168"/>
    <col min="7676" max="7676" width="18.140625" style="168" customWidth="1"/>
    <col min="7677" max="7677" width="7.85546875" style="168" bestFit="1" customWidth="1"/>
    <col min="7678" max="7678" width="7.28515625" style="168" bestFit="1" customWidth="1"/>
    <col min="7679" max="7680" width="7.28515625" style="168" customWidth="1"/>
    <col min="7681" max="7682" width="7.28515625" style="168" bestFit="1" customWidth="1"/>
    <col min="7683" max="7685" width="7.28515625" style="168" customWidth="1"/>
    <col min="7686" max="7691" width="0" style="168" hidden="1" customWidth="1"/>
    <col min="7692" max="7692" width="9.7109375" style="168" customWidth="1"/>
    <col min="7693" max="7931" width="11.42578125" style="168"/>
    <col min="7932" max="7932" width="18.140625" style="168" customWidth="1"/>
    <col min="7933" max="7933" width="7.85546875" style="168" bestFit="1" customWidth="1"/>
    <col min="7934" max="7934" width="7.28515625" style="168" bestFit="1" customWidth="1"/>
    <col min="7935" max="7936" width="7.28515625" style="168" customWidth="1"/>
    <col min="7937" max="7938" width="7.28515625" style="168" bestFit="1" customWidth="1"/>
    <col min="7939" max="7941" width="7.28515625" style="168" customWidth="1"/>
    <col min="7942" max="7947" width="0" style="168" hidden="1" customWidth="1"/>
    <col min="7948" max="7948" width="9.7109375" style="168" customWidth="1"/>
    <col min="7949" max="8187" width="11.42578125" style="168"/>
    <col min="8188" max="8188" width="18.140625" style="168" customWidth="1"/>
    <col min="8189" max="8189" width="7.85546875" style="168" bestFit="1" customWidth="1"/>
    <col min="8190" max="8190" width="7.28515625" style="168" bestFit="1" customWidth="1"/>
    <col min="8191" max="8192" width="7.28515625" style="168" customWidth="1"/>
    <col min="8193" max="8194" width="7.28515625" style="168" bestFit="1" customWidth="1"/>
    <col min="8195" max="8197" width="7.28515625" style="168" customWidth="1"/>
    <col min="8198" max="8203" width="0" style="168" hidden="1" customWidth="1"/>
    <col min="8204" max="8204" width="9.7109375" style="168" customWidth="1"/>
    <col min="8205" max="8443" width="11.42578125" style="168"/>
    <col min="8444" max="8444" width="18.140625" style="168" customWidth="1"/>
    <col min="8445" max="8445" width="7.85546875" style="168" bestFit="1" customWidth="1"/>
    <col min="8446" max="8446" width="7.28515625" style="168" bestFit="1" customWidth="1"/>
    <col min="8447" max="8448" width="7.28515625" style="168" customWidth="1"/>
    <col min="8449" max="8450" width="7.28515625" style="168" bestFit="1" customWidth="1"/>
    <col min="8451" max="8453" width="7.28515625" style="168" customWidth="1"/>
    <col min="8454" max="8459" width="0" style="168" hidden="1" customWidth="1"/>
    <col min="8460" max="8460" width="9.7109375" style="168" customWidth="1"/>
    <col min="8461" max="8699" width="11.42578125" style="168"/>
    <col min="8700" max="8700" width="18.140625" style="168" customWidth="1"/>
    <col min="8701" max="8701" width="7.85546875" style="168" bestFit="1" customWidth="1"/>
    <col min="8702" max="8702" width="7.28515625" style="168" bestFit="1" customWidth="1"/>
    <col min="8703" max="8704" width="7.28515625" style="168" customWidth="1"/>
    <col min="8705" max="8706" width="7.28515625" style="168" bestFit="1" customWidth="1"/>
    <col min="8707" max="8709" width="7.28515625" style="168" customWidth="1"/>
    <col min="8710" max="8715" width="0" style="168" hidden="1" customWidth="1"/>
    <col min="8716" max="8716" width="9.7109375" style="168" customWidth="1"/>
    <col min="8717" max="8955" width="11.42578125" style="168"/>
    <col min="8956" max="8956" width="18.140625" style="168" customWidth="1"/>
    <col min="8957" max="8957" width="7.85546875" style="168" bestFit="1" customWidth="1"/>
    <col min="8958" max="8958" width="7.28515625" style="168" bestFit="1" customWidth="1"/>
    <col min="8959" max="8960" width="7.28515625" style="168" customWidth="1"/>
    <col min="8961" max="8962" width="7.28515625" style="168" bestFit="1" customWidth="1"/>
    <col min="8963" max="8965" width="7.28515625" style="168" customWidth="1"/>
    <col min="8966" max="8971" width="0" style="168" hidden="1" customWidth="1"/>
    <col min="8972" max="8972" width="9.7109375" style="168" customWidth="1"/>
    <col min="8973" max="9211" width="11.42578125" style="168"/>
    <col min="9212" max="9212" width="18.140625" style="168" customWidth="1"/>
    <col min="9213" max="9213" width="7.85546875" style="168" bestFit="1" customWidth="1"/>
    <col min="9214" max="9214" width="7.28515625" style="168" bestFit="1" customWidth="1"/>
    <col min="9215" max="9216" width="7.28515625" style="168" customWidth="1"/>
    <col min="9217" max="9218" width="7.28515625" style="168" bestFit="1" customWidth="1"/>
    <col min="9219" max="9221" width="7.28515625" style="168" customWidth="1"/>
    <col min="9222" max="9227" width="0" style="168" hidden="1" customWidth="1"/>
    <col min="9228" max="9228" width="9.7109375" style="168" customWidth="1"/>
    <col min="9229" max="9467" width="11.42578125" style="168"/>
    <col min="9468" max="9468" width="18.140625" style="168" customWidth="1"/>
    <col min="9469" max="9469" width="7.85546875" style="168" bestFit="1" customWidth="1"/>
    <col min="9470" max="9470" width="7.28515625" style="168" bestFit="1" customWidth="1"/>
    <col min="9471" max="9472" width="7.28515625" style="168" customWidth="1"/>
    <col min="9473" max="9474" width="7.28515625" style="168" bestFit="1" customWidth="1"/>
    <col min="9475" max="9477" width="7.28515625" style="168" customWidth="1"/>
    <col min="9478" max="9483" width="0" style="168" hidden="1" customWidth="1"/>
    <col min="9484" max="9484" width="9.7109375" style="168" customWidth="1"/>
    <col min="9485" max="9723" width="11.42578125" style="168"/>
    <col min="9724" max="9724" width="18.140625" style="168" customWidth="1"/>
    <col min="9725" max="9725" width="7.85546875" style="168" bestFit="1" customWidth="1"/>
    <col min="9726" max="9726" width="7.28515625" style="168" bestFit="1" customWidth="1"/>
    <col min="9727" max="9728" width="7.28515625" style="168" customWidth="1"/>
    <col min="9729" max="9730" width="7.28515625" style="168" bestFit="1" customWidth="1"/>
    <col min="9731" max="9733" width="7.28515625" style="168" customWidth="1"/>
    <col min="9734" max="9739" width="0" style="168" hidden="1" customWidth="1"/>
    <col min="9740" max="9740" width="9.7109375" style="168" customWidth="1"/>
    <col min="9741" max="9979" width="11.42578125" style="168"/>
    <col min="9980" max="9980" width="18.140625" style="168" customWidth="1"/>
    <col min="9981" max="9981" width="7.85546875" style="168" bestFit="1" customWidth="1"/>
    <col min="9982" max="9982" width="7.28515625" style="168" bestFit="1" customWidth="1"/>
    <col min="9983" max="9984" width="7.28515625" style="168" customWidth="1"/>
    <col min="9985" max="9986" width="7.28515625" style="168" bestFit="1" customWidth="1"/>
    <col min="9987" max="9989" width="7.28515625" style="168" customWidth="1"/>
    <col min="9990" max="9995" width="0" style="168" hidden="1" customWidth="1"/>
    <col min="9996" max="9996" width="9.7109375" style="168" customWidth="1"/>
    <col min="9997" max="10235" width="11.42578125" style="168"/>
    <col min="10236" max="10236" width="18.140625" style="168" customWidth="1"/>
    <col min="10237" max="10237" width="7.85546875" style="168" bestFit="1" customWidth="1"/>
    <col min="10238" max="10238" width="7.28515625" style="168" bestFit="1" customWidth="1"/>
    <col min="10239" max="10240" width="7.28515625" style="168" customWidth="1"/>
    <col min="10241" max="10242" width="7.28515625" style="168" bestFit="1" customWidth="1"/>
    <col min="10243" max="10245" width="7.28515625" style="168" customWidth="1"/>
    <col min="10246" max="10251" width="0" style="168" hidden="1" customWidth="1"/>
    <col min="10252" max="10252" width="9.7109375" style="168" customWidth="1"/>
    <col min="10253" max="10491" width="11.42578125" style="168"/>
    <col min="10492" max="10492" width="18.140625" style="168" customWidth="1"/>
    <col min="10493" max="10493" width="7.85546875" style="168" bestFit="1" customWidth="1"/>
    <col min="10494" max="10494" width="7.28515625" style="168" bestFit="1" customWidth="1"/>
    <col min="10495" max="10496" width="7.28515625" style="168" customWidth="1"/>
    <col min="10497" max="10498" width="7.28515625" style="168" bestFit="1" customWidth="1"/>
    <col min="10499" max="10501" width="7.28515625" style="168" customWidth="1"/>
    <col min="10502" max="10507" width="0" style="168" hidden="1" customWidth="1"/>
    <col min="10508" max="10508" width="9.7109375" style="168" customWidth="1"/>
    <col min="10509" max="10747" width="11.42578125" style="168"/>
    <col min="10748" max="10748" width="18.140625" style="168" customWidth="1"/>
    <col min="10749" max="10749" width="7.85546875" style="168" bestFit="1" customWidth="1"/>
    <col min="10750" max="10750" width="7.28515625" style="168" bestFit="1" customWidth="1"/>
    <col min="10751" max="10752" width="7.28515625" style="168" customWidth="1"/>
    <col min="10753" max="10754" width="7.28515625" style="168" bestFit="1" customWidth="1"/>
    <col min="10755" max="10757" width="7.28515625" style="168" customWidth="1"/>
    <col min="10758" max="10763" width="0" style="168" hidden="1" customWidth="1"/>
    <col min="10764" max="10764" width="9.7109375" style="168" customWidth="1"/>
    <col min="10765" max="11003" width="11.42578125" style="168"/>
    <col min="11004" max="11004" width="18.140625" style="168" customWidth="1"/>
    <col min="11005" max="11005" width="7.85546875" style="168" bestFit="1" customWidth="1"/>
    <col min="11006" max="11006" width="7.28515625" style="168" bestFit="1" customWidth="1"/>
    <col min="11007" max="11008" width="7.28515625" style="168" customWidth="1"/>
    <col min="11009" max="11010" width="7.28515625" style="168" bestFit="1" customWidth="1"/>
    <col min="11011" max="11013" width="7.28515625" style="168" customWidth="1"/>
    <col min="11014" max="11019" width="0" style="168" hidden="1" customWidth="1"/>
    <col min="11020" max="11020" width="9.7109375" style="168" customWidth="1"/>
    <col min="11021" max="11259" width="11.42578125" style="168"/>
    <col min="11260" max="11260" width="18.140625" style="168" customWidth="1"/>
    <col min="11261" max="11261" width="7.85546875" style="168" bestFit="1" customWidth="1"/>
    <col min="11262" max="11262" width="7.28515625" style="168" bestFit="1" customWidth="1"/>
    <col min="11263" max="11264" width="7.28515625" style="168" customWidth="1"/>
    <col min="11265" max="11266" width="7.28515625" style="168" bestFit="1" customWidth="1"/>
    <col min="11267" max="11269" width="7.28515625" style="168" customWidth="1"/>
    <col min="11270" max="11275" width="0" style="168" hidden="1" customWidth="1"/>
    <col min="11276" max="11276" width="9.7109375" style="168" customWidth="1"/>
    <col min="11277" max="11515" width="11.42578125" style="168"/>
    <col min="11516" max="11516" width="18.140625" style="168" customWidth="1"/>
    <col min="11517" max="11517" width="7.85546875" style="168" bestFit="1" customWidth="1"/>
    <col min="11518" max="11518" width="7.28515625" style="168" bestFit="1" customWidth="1"/>
    <col min="11519" max="11520" width="7.28515625" style="168" customWidth="1"/>
    <col min="11521" max="11522" width="7.28515625" style="168" bestFit="1" customWidth="1"/>
    <col min="11523" max="11525" width="7.28515625" style="168" customWidth="1"/>
    <col min="11526" max="11531" width="0" style="168" hidden="1" customWidth="1"/>
    <col min="11532" max="11532" width="9.7109375" style="168" customWidth="1"/>
    <col min="11533" max="11771" width="11.42578125" style="168"/>
    <col min="11772" max="11772" width="18.140625" style="168" customWidth="1"/>
    <col min="11773" max="11773" width="7.85546875" style="168" bestFit="1" customWidth="1"/>
    <col min="11774" max="11774" width="7.28515625" style="168" bestFit="1" customWidth="1"/>
    <col min="11775" max="11776" width="7.28515625" style="168" customWidth="1"/>
    <col min="11777" max="11778" width="7.28515625" style="168" bestFit="1" customWidth="1"/>
    <col min="11779" max="11781" width="7.28515625" style="168" customWidth="1"/>
    <col min="11782" max="11787" width="0" style="168" hidden="1" customWidth="1"/>
    <col min="11788" max="11788" width="9.7109375" style="168" customWidth="1"/>
    <col min="11789" max="12027" width="11.42578125" style="168"/>
    <col min="12028" max="12028" width="18.140625" style="168" customWidth="1"/>
    <col min="12029" max="12029" width="7.85546875" style="168" bestFit="1" customWidth="1"/>
    <col min="12030" max="12030" width="7.28515625" style="168" bestFit="1" customWidth="1"/>
    <col min="12031" max="12032" width="7.28515625" style="168" customWidth="1"/>
    <col min="12033" max="12034" width="7.28515625" style="168" bestFit="1" customWidth="1"/>
    <col min="12035" max="12037" width="7.28515625" style="168" customWidth="1"/>
    <col min="12038" max="12043" width="0" style="168" hidden="1" customWidth="1"/>
    <col min="12044" max="12044" width="9.7109375" style="168" customWidth="1"/>
    <col min="12045" max="12283" width="11.42578125" style="168"/>
    <col min="12284" max="12284" width="18.140625" style="168" customWidth="1"/>
    <col min="12285" max="12285" width="7.85546875" style="168" bestFit="1" customWidth="1"/>
    <col min="12286" max="12286" width="7.28515625" style="168" bestFit="1" customWidth="1"/>
    <col min="12287" max="12288" width="7.28515625" style="168" customWidth="1"/>
    <col min="12289" max="12290" width="7.28515625" style="168" bestFit="1" customWidth="1"/>
    <col min="12291" max="12293" width="7.28515625" style="168" customWidth="1"/>
    <col min="12294" max="12299" width="0" style="168" hidden="1" customWidth="1"/>
    <col min="12300" max="12300" width="9.7109375" style="168" customWidth="1"/>
    <col min="12301" max="12539" width="11.42578125" style="168"/>
    <col min="12540" max="12540" width="18.140625" style="168" customWidth="1"/>
    <col min="12541" max="12541" width="7.85546875" style="168" bestFit="1" customWidth="1"/>
    <col min="12542" max="12542" width="7.28515625" style="168" bestFit="1" customWidth="1"/>
    <col min="12543" max="12544" width="7.28515625" style="168" customWidth="1"/>
    <col min="12545" max="12546" width="7.28515625" style="168" bestFit="1" customWidth="1"/>
    <col min="12547" max="12549" width="7.28515625" style="168" customWidth="1"/>
    <col min="12550" max="12555" width="0" style="168" hidden="1" customWidth="1"/>
    <col min="12556" max="12556" width="9.7109375" style="168" customWidth="1"/>
    <col min="12557" max="12795" width="11.42578125" style="168"/>
    <col min="12796" max="12796" width="18.140625" style="168" customWidth="1"/>
    <col min="12797" max="12797" width="7.85546875" style="168" bestFit="1" customWidth="1"/>
    <col min="12798" max="12798" width="7.28515625" style="168" bestFit="1" customWidth="1"/>
    <col min="12799" max="12800" width="7.28515625" style="168" customWidth="1"/>
    <col min="12801" max="12802" width="7.28515625" style="168" bestFit="1" customWidth="1"/>
    <col min="12803" max="12805" width="7.28515625" style="168" customWidth="1"/>
    <col min="12806" max="12811" width="0" style="168" hidden="1" customWidth="1"/>
    <col min="12812" max="12812" width="9.7109375" style="168" customWidth="1"/>
    <col min="12813" max="13051" width="11.42578125" style="168"/>
    <col min="13052" max="13052" width="18.140625" style="168" customWidth="1"/>
    <col min="13053" max="13053" width="7.85546875" style="168" bestFit="1" customWidth="1"/>
    <col min="13054" max="13054" width="7.28515625" style="168" bestFit="1" customWidth="1"/>
    <col min="13055" max="13056" width="7.28515625" style="168" customWidth="1"/>
    <col min="13057" max="13058" width="7.28515625" style="168" bestFit="1" customWidth="1"/>
    <col min="13059" max="13061" width="7.28515625" style="168" customWidth="1"/>
    <col min="13062" max="13067" width="0" style="168" hidden="1" customWidth="1"/>
    <col min="13068" max="13068" width="9.7109375" style="168" customWidth="1"/>
    <col min="13069" max="13307" width="11.42578125" style="168"/>
    <col min="13308" max="13308" width="18.140625" style="168" customWidth="1"/>
    <col min="13309" max="13309" width="7.85546875" style="168" bestFit="1" customWidth="1"/>
    <col min="13310" max="13310" width="7.28515625" style="168" bestFit="1" customWidth="1"/>
    <col min="13311" max="13312" width="7.28515625" style="168" customWidth="1"/>
    <col min="13313" max="13314" width="7.28515625" style="168" bestFit="1" customWidth="1"/>
    <col min="13315" max="13317" width="7.28515625" style="168" customWidth="1"/>
    <col min="13318" max="13323" width="0" style="168" hidden="1" customWidth="1"/>
    <col min="13324" max="13324" width="9.7109375" style="168" customWidth="1"/>
    <col min="13325" max="13563" width="11.42578125" style="168"/>
    <col min="13564" max="13564" width="18.140625" style="168" customWidth="1"/>
    <col min="13565" max="13565" width="7.85546875" style="168" bestFit="1" customWidth="1"/>
    <col min="13566" max="13566" width="7.28515625" style="168" bestFit="1" customWidth="1"/>
    <col min="13567" max="13568" width="7.28515625" style="168" customWidth="1"/>
    <col min="13569" max="13570" width="7.28515625" style="168" bestFit="1" customWidth="1"/>
    <col min="13571" max="13573" width="7.28515625" style="168" customWidth="1"/>
    <col min="13574" max="13579" width="0" style="168" hidden="1" customWidth="1"/>
    <col min="13580" max="13580" width="9.7109375" style="168" customWidth="1"/>
    <col min="13581" max="13819" width="11.42578125" style="168"/>
    <col min="13820" max="13820" width="18.140625" style="168" customWidth="1"/>
    <col min="13821" max="13821" width="7.85546875" style="168" bestFit="1" customWidth="1"/>
    <col min="13822" max="13822" width="7.28515625" style="168" bestFit="1" customWidth="1"/>
    <col min="13823" max="13824" width="7.28515625" style="168" customWidth="1"/>
    <col min="13825" max="13826" width="7.28515625" style="168" bestFit="1" customWidth="1"/>
    <col min="13827" max="13829" width="7.28515625" style="168" customWidth="1"/>
    <col min="13830" max="13835" width="0" style="168" hidden="1" customWidth="1"/>
    <col min="13836" max="13836" width="9.7109375" style="168" customWidth="1"/>
    <col min="13837" max="14075" width="11.42578125" style="168"/>
    <col min="14076" max="14076" width="18.140625" style="168" customWidth="1"/>
    <col min="14077" max="14077" width="7.85546875" style="168" bestFit="1" customWidth="1"/>
    <col min="14078" max="14078" width="7.28515625" style="168" bestFit="1" customWidth="1"/>
    <col min="14079" max="14080" width="7.28515625" style="168" customWidth="1"/>
    <col min="14081" max="14082" width="7.28515625" style="168" bestFit="1" customWidth="1"/>
    <col min="14083" max="14085" width="7.28515625" style="168" customWidth="1"/>
    <col min="14086" max="14091" width="0" style="168" hidden="1" customWidth="1"/>
    <col min="14092" max="14092" width="9.7109375" style="168" customWidth="1"/>
    <col min="14093" max="14331" width="11.42578125" style="168"/>
    <col min="14332" max="14332" width="18.140625" style="168" customWidth="1"/>
    <col min="14333" max="14333" width="7.85546875" style="168" bestFit="1" customWidth="1"/>
    <col min="14334" max="14334" width="7.28515625" style="168" bestFit="1" customWidth="1"/>
    <col min="14335" max="14336" width="7.28515625" style="168" customWidth="1"/>
    <col min="14337" max="14338" width="7.28515625" style="168" bestFit="1" customWidth="1"/>
    <col min="14339" max="14341" width="7.28515625" style="168" customWidth="1"/>
    <col min="14342" max="14347" width="0" style="168" hidden="1" customWidth="1"/>
    <col min="14348" max="14348" width="9.7109375" style="168" customWidth="1"/>
    <col min="14349" max="14587" width="11.42578125" style="168"/>
    <col min="14588" max="14588" width="18.140625" style="168" customWidth="1"/>
    <col min="14589" max="14589" width="7.85546875" style="168" bestFit="1" customWidth="1"/>
    <col min="14590" max="14590" width="7.28515625" style="168" bestFit="1" customWidth="1"/>
    <col min="14591" max="14592" width="7.28515625" style="168" customWidth="1"/>
    <col min="14593" max="14594" width="7.28515625" style="168" bestFit="1" customWidth="1"/>
    <col min="14595" max="14597" width="7.28515625" style="168" customWidth="1"/>
    <col min="14598" max="14603" width="0" style="168" hidden="1" customWidth="1"/>
    <col min="14604" max="14604" width="9.7109375" style="168" customWidth="1"/>
    <col min="14605" max="14843" width="11.42578125" style="168"/>
    <col min="14844" max="14844" width="18.140625" style="168" customWidth="1"/>
    <col min="14845" max="14845" width="7.85546875" style="168" bestFit="1" customWidth="1"/>
    <col min="14846" max="14846" width="7.28515625" style="168" bestFit="1" customWidth="1"/>
    <col min="14847" max="14848" width="7.28515625" style="168" customWidth="1"/>
    <col min="14849" max="14850" width="7.28515625" style="168" bestFit="1" customWidth="1"/>
    <col min="14851" max="14853" width="7.28515625" style="168" customWidth="1"/>
    <col min="14854" max="14859" width="0" style="168" hidden="1" customWidth="1"/>
    <col min="14860" max="14860" width="9.7109375" style="168" customWidth="1"/>
    <col min="14861" max="15099" width="11.42578125" style="168"/>
    <col min="15100" max="15100" width="18.140625" style="168" customWidth="1"/>
    <col min="15101" max="15101" width="7.85546875" style="168" bestFit="1" customWidth="1"/>
    <col min="15102" max="15102" width="7.28515625" style="168" bestFit="1" customWidth="1"/>
    <col min="15103" max="15104" width="7.28515625" style="168" customWidth="1"/>
    <col min="15105" max="15106" width="7.28515625" style="168" bestFit="1" customWidth="1"/>
    <col min="15107" max="15109" width="7.28515625" style="168" customWidth="1"/>
    <col min="15110" max="15115" width="0" style="168" hidden="1" customWidth="1"/>
    <col min="15116" max="15116" width="9.7109375" style="168" customWidth="1"/>
    <col min="15117" max="15355" width="11.42578125" style="168"/>
    <col min="15356" max="15356" width="18.140625" style="168" customWidth="1"/>
    <col min="15357" max="15357" width="7.85546875" style="168" bestFit="1" customWidth="1"/>
    <col min="15358" max="15358" width="7.28515625" style="168" bestFit="1" customWidth="1"/>
    <col min="15359" max="15360" width="7.28515625" style="168" customWidth="1"/>
    <col min="15361" max="15362" width="7.28515625" style="168" bestFit="1" customWidth="1"/>
    <col min="15363" max="15365" width="7.28515625" style="168" customWidth="1"/>
    <col min="15366" max="15371" width="0" style="168" hidden="1" customWidth="1"/>
    <col min="15372" max="15372" width="9.7109375" style="168" customWidth="1"/>
    <col min="15373" max="15611" width="11.42578125" style="168"/>
    <col min="15612" max="15612" width="18.140625" style="168" customWidth="1"/>
    <col min="15613" max="15613" width="7.85546875" style="168" bestFit="1" customWidth="1"/>
    <col min="15614" max="15614" width="7.28515625" style="168" bestFit="1" customWidth="1"/>
    <col min="15615" max="15616" width="7.28515625" style="168" customWidth="1"/>
    <col min="15617" max="15618" width="7.28515625" style="168" bestFit="1" customWidth="1"/>
    <col min="15619" max="15621" width="7.28515625" style="168" customWidth="1"/>
    <col min="15622" max="15627" width="0" style="168" hidden="1" customWidth="1"/>
    <col min="15628" max="15628" width="9.7109375" style="168" customWidth="1"/>
    <col min="15629" max="15867" width="11.42578125" style="168"/>
    <col min="15868" max="15868" width="18.140625" style="168" customWidth="1"/>
    <col min="15869" max="15869" width="7.85546875" style="168" bestFit="1" customWidth="1"/>
    <col min="15870" max="15870" width="7.28515625" style="168" bestFit="1" customWidth="1"/>
    <col min="15871" max="15872" width="7.28515625" style="168" customWidth="1"/>
    <col min="15873" max="15874" width="7.28515625" style="168" bestFit="1" customWidth="1"/>
    <col min="15875" max="15877" width="7.28515625" style="168" customWidth="1"/>
    <col min="15878" max="15883" width="0" style="168" hidden="1" customWidth="1"/>
    <col min="15884" max="15884" width="9.7109375" style="168" customWidth="1"/>
    <col min="15885" max="16123" width="11.42578125" style="168"/>
    <col min="16124" max="16124" width="18.140625" style="168" customWidth="1"/>
    <col min="16125" max="16125" width="7.85546875" style="168" bestFit="1" customWidth="1"/>
    <col min="16126" max="16126" width="7.28515625" style="168" bestFit="1" customWidth="1"/>
    <col min="16127" max="16128" width="7.28515625" style="168" customWidth="1"/>
    <col min="16129" max="16130" width="7.28515625" style="168" bestFit="1" customWidth="1"/>
    <col min="16131" max="16133" width="7.28515625" style="168" customWidth="1"/>
    <col min="16134" max="16139" width="0" style="168" hidden="1" customWidth="1"/>
    <col min="16140" max="16140" width="9.7109375" style="168" customWidth="1"/>
    <col min="16141" max="16384" width="11.42578125" style="168"/>
  </cols>
  <sheetData>
    <row r="1" spans="1:16" s="169" customFormat="1" x14ac:dyDescent="0.2"/>
    <row r="2" spans="1:16" s="169" customFormat="1" x14ac:dyDescent="0.2">
      <c r="A2" s="196" t="s">
        <v>121</v>
      </c>
    </row>
    <row r="3" spans="1:16" s="169" customFormat="1" ht="15" x14ac:dyDescent="0.25">
      <c r="A3" s="196" t="s">
        <v>122</v>
      </c>
      <c r="J3" s="337"/>
    </row>
    <row r="4" spans="1:16" s="169" customFormat="1" x14ac:dyDescent="0.2"/>
    <row r="5" spans="1:16" s="169" customFormat="1" ht="12.75" x14ac:dyDescent="0.2">
      <c r="B5" s="418" t="s">
        <v>613</v>
      </c>
      <c r="C5" s="418"/>
      <c r="D5" s="418"/>
      <c r="E5" s="418"/>
      <c r="F5" s="418"/>
      <c r="G5" s="418"/>
      <c r="H5" s="418"/>
      <c r="I5" s="418"/>
      <c r="J5" s="418"/>
      <c r="K5" s="418"/>
      <c r="M5" s="367" t="s">
        <v>593</v>
      </c>
      <c r="O5" s="338"/>
    </row>
    <row r="6" spans="1:16" s="169" customFormat="1" ht="12.75" x14ac:dyDescent="0.2">
      <c r="B6" s="431" t="str">
        <f>'Solicitudes Regiones'!$B$6:$P$6</f>
        <v>Acumuladas de julio de 2008 a noviembre de 2018</v>
      </c>
      <c r="C6" s="431"/>
      <c r="D6" s="431"/>
      <c r="E6" s="431"/>
      <c r="F6" s="431"/>
      <c r="G6" s="431"/>
      <c r="H6" s="431"/>
      <c r="I6" s="431"/>
      <c r="J6" s="431"/>
      <c r="K6" s="431"/>
      <c r="L6" s="210"/>
    </row>
    <row r="7" spans="1:16" s="172" customFormat="1" x14ac:dyDescent="0.2">
      <c r="B7" s="170"/>
      <c r="C7" s="171"/>
      <c r="D7" s="171"/>
      <c r="E7" s="171"/>
      <c r="F7" s="171"/>
      <c r="G7" s="171"/>
      <c r="H7" s="171"/>
      <c r="I7" s="171"/>
      <c r="J7" s="171"/>
      <c r="K7" s="171"/>
      <c r="L7" s="171"/>
    </row>
    <row r="8" spans="1:16" ht="15" customHeight="1" x14ac:dyDescent="0.2">
      <c r="B8" s="447" t="s">
        <v>73</v>
      </c>
      <c r="C8" s="448"/>
      <c r="D8" s="448"/>
      <c r="E8" s="448"/>
      <c r="F8" s="448"/>
      <c r="G8" s="448"/>
      <c r="H8" s="448"/>
      <c r="I8" s="448"/>
      <c r="J8" s="448"/>
      <c r="K8" s="449"/>
      <c r="L8" s="187"/>
    </row>
    <row r="9" spans="1:16" ht="20.25" customHeight="1" x14ac:dyDescent="0.2">
      <c r="B9" s="446" t="s">
        <v>74</v>
      </c>
      <c r="C9" s="447" t="s">
        <v>2</v>
      </c>
      <c r="D9" s="448"/>
      <c r="E9" s="448"/>
      <c r="F9" s="448"/>
      <c r="G9" s="448"/>
      <c r="H9" s="448"/>
      <c r="I9" s="448"/>
      <c r="J9" s="448"/>
      <c r="K9" s="449"/>
    </row>
    <row r="10" spans="1:16" ht="24" x14ac:dyDescent="0.2">
      <c r="B10" s="446"/>
      <c r="C10" s="165" t="s">
        <v>75</v>
      </c>
      <c r="D10" s="165" t="s">
        <v>76</v>
      </c>
      <c r="E10" s="165" t="s">
        <v>77</v>
      </c>
      <c r="F10" s="165" t="s">
        <v>78</v>
      </c>
      <c r="G10" s="165" t="s">
        <v>8</v>
      </c>
      <c r="H10" s="165" t="s">
        <v>79</v>
      </c>
      <c r="I10" s="165" t="s">
        <v>80</v>
      </c>
      <c r="J10" s="165" t="s">
        <v>81</v>
      </c>
      <c r="K10" s="383" t="s">
        <v>46</v>
      </c>
    </row>
    <row r="11" spans="1:16" ht="12" customHeight="1" x14ac:dyDescent="0.2">
      <c r="B11" s="160" t="s">
        <v>310</v>
      </c>
      <c r="C11" s="160">
        <v>5295</v>
      </c>
      <c r="D11" s="160">
        <v>5519</v>
      </c>
      <c r="E11" s="160">
        <f>C11+D11</f>
        <v>10814</v>
      </c>
      <c r="F11" s="161">
        <f t="shared" ref="F11:F32" si="0">E11/$E$32</f>
        <v>0.29891920280841416</v>
      </c>
      <c r="G11" s="160">
        <v>15884</v>
      </c>
      <c r="H11" s="160">
        <v>1682</v>
      </c>
      <c r="I11" s="160">
        <f>G11+H11</f>
        <v>17566</v>
      </c>
      <c r="J11" s="161">
        <f t="shared" ref="J11:J32" si="1">I11/$I$32</f>
        <v>0.38499134284524517</v>
      </c>
      <c r="K11" s="160">
        <f t="shared" ref="K11:K33" si="2">E11+I11</f>
        <v>28380</v>
      </c>
      <c r="P11" s="173"/>
    </row>
    <row r="12" spans="1:16" x14ac:dyDescent="0.2">
      <c r="B12" s="160" t="s">
        <v>311</v>
      </c>
      <c r="C12" s="160">
        <v>730</v>
      </c>
      <c r="D12" s="160">
        <v>856</v>
      </c>
      <c r="E12" s="160">
        <f t="shared" ref="E12:E32" si="3">C12+D12</f>
        <v>1586</v>
      </c>
      <c r="F12" s="161">
        <f t="shared" si="0"/>
        <v>4.3840008845399007E-2</v>
      </c>
      <c r="G12" s="160">
        <v>2159</v>
      </c>
      <c r="H12" s="160">
        <v>169</v>
      </c>
      <c r="I12" s="160">
        <f t="shared" ref="I12:I32" si="4">G12+H12</f>
        <v>2328</v>
      </c>
      <c r="J12" s="161">
        <f t="shared" si="1"/>
        <v>5.1022420934972716E-2</v>
      </c>
      <c r="K12" s="160">
        <f t="shared" si="2"/>
        <v>3914</v>
      </c>
      <c r="P12" s="173"/>
    </row>
    <row r="13" spans="1:16" x14ac:dyDescent="0.2">
      <c r="B13" s="160" t="s">
        <v>289</v>
      </c>
      <c r="C13" s="160">
        <v>633</v>
      </c>
      <c r="D13" s="160">
        <v>667</v>
      </c>
      <c r="E13" s="160">
        <f t="shared" si="3"/>
        <v>1300</v>
      </c>
      <c r="F13" s="161">
        <f t="shared" si="0"/>
        <v>3.5934433479835257E-2</v>
      </c>
      <c r="G13" s="160">
        <v>1609</v>
      </c>
      <c r="H13" s="160">
        <v>202</v>
      </c>
      <c r="I13" s="160">
        <f t="shared" si="4"/>
        <v>1811</v>
      </c>
      <c r="J13" s="161">
        <f t="shared" si="1"/>
        <v>3.9691410787472327E-2</v>
      </c>
      <c r="K13" s="160">
        <f t="shared" si="2"/>
        <v>3111</v>
      </c>
      <c r="P13" s="173"/>
    </row>
    <row r="14" spans="1:16" x14ac:dyDescent="0.2">
      <c r="B14" s="160" t="s">
        <v>314</v>
      </c>
      <c r="C14" s="160">
        <v>625</v>
      </c>
      <c r="D14" s="160">
        <v>985</v>
      </c>
      <c r="E14" s="160">
        <f t="shared" si="3"/>
        <v>1610</v>
      </c>
      <c r="F14" s="161">
        <f t="shared" si="0"/>
        <v>4.4503413771180583E-2</v>
      </c>
      <c r="G14" s="160">
        <v>838</v>
      </c>
      <c r="H14" s="160">
        <v>149</v>
      </c>
      <c r="I14" s="160">
        <f t="shared" si="4"/>
        <v>987</v>
      </c>
      <c r="J14" s="161">
        <f t="shared" si="1"/>
        <v>2.1631928463409823E-2</v>
      </c>
      <c r="K14" s="160">
        <f t="shared" si="2"/>
        <v>2597</v>
      </c>
      <c r="P14" s="173"/>
    </row>
    <row r="15" spans="1:16" x14ac:dyDescent="0.2">
      <c r="B15" s="160" t="s">
        <v>290</v>
      </c>
      <c r="C15" s="160">
        <v>277</v>
      </c>
      <c r="D15" s="160">
        <v>560</v>
      </c>
      <c r="E15" s="160">
        <f t="shared" si="3"/>
        <v>837</v>
      </c>
      <c r="F15" s="161">
        <f t="shared" si="0"/>
        <v>2.313624678663239E-2</v>
      </c>
      <c r="G15" s="160">
        <v>647</v>
      </c>
      <c r="H15" s="160">
        <v>88</v>
      </c>
      <c r="I15" s="160">
        <f t="shared" si="4"/>
        <v>735</v>
      </c>
      <c r="J15" s="161">
        <f t="shared" si="1"/>
        <v>1.6108882898283911E-2</v>
      </c>
      <c r="K15" s="160">
        <f t="shared" si="2"/>
        <v>1572</v>
      </c>
      <c r="P15" s="173"/>
    </row>
    <row r="16" spans="1:16" x14ac:dyDescent="0.2">
      <c r="B16" s="160" t="s">
        <v>317</v>
      </c>
      <c r="C16" s="160">
        <v>467</v>
      </c>
      <c r="D16" s="160">
        <v>593</v>
      </c>
      <c r="E16" s="160">
        <f t="shared" si="3"/>
        <v>1060</v>
      </c>
      <c r="F16" s="161">
        <f t="shared" si="0"/>
        <v>2.9300384222019516E-2</v>
      </c>
      <c r="G16" s="160">
        <v>844</v>
      </c>
      <c r="H16" s="160">
        <v>101</v>
      </c>
      <c r="I16" s="160">
        <f t="shared" si="4"/>
        <v>945</v>
      </c>
      <c r="J16" s="161">
        <f t="shared" si="1"/>
        <v>2.0711420869222171E-2</v>
      </c>
      <c r="K16" s="160">
        <f t="shared" si="2"/>
        <v>2005</v>
      </c>
      <c r="P16" s="173"/>
    </row>
    <row r="17" spans="2:16" x14ac:dyDescent="0.2">
      <c r="B17" s="160" t="s">
        <v>318</v>
      </c>
      <c r="C17" s="160">
        <v>819</v>
      </c>
      <c r="D17" s="160">
        <v>687</v>
      </c>
      <c r="E17" s="160">
        <f t="shared" si="3"/>
        <v>1506</v>
      </c>
      <c r="F17" s="161">
        <f t="shared" si="0"/>
        <v>4.1628659092793764E-2</v>
      </c>
      <c r="G17" s="160">
        <v>1623</v>
      </c>
      <c r="H17" s="160">
        <v>105</v>
      </c>
      <c r="I17" s="160">
        <f t="shared" si="4"/>
        <v>1728</v>
      </c>
      <c r="J17" s="161">
        <f t="shared" si="1"/>
        <v>3.7872312446577683E-2</v>
      </c>
      <c r="K17" s="160">
        <f t="shared" si="2"/>
        <v>3234</v>
      </c>
      <c r="P17" s="173"/>
    </row>
    <row r="18" spans="2:16" x14ac:dyDescent="0.2">
      <c r="B18" s="160" t="s">
        <v>321</v>
      </c>
      <c r="C18" s="160">
        <v>706</v>
      </c>
      <c r="D18" s="160">
        <v>1153</v>
      </c>
      <c r="E18" s="160">
        <f t="shared" si="3"/>
        <v>1859</v>
      </c>
      <c r="F18" s="161">
        <f t="shared" si="0"/>
        <v>5.1386239876164412E-2</v>
      </c>
      <c r="G18" s="160">
        <v>1171</v>
      </c>
      <c r="H18" s="160">
        <v>216</v>
      </c>
      <c r="I18" s="160">
        <f t="shared" si="4"/>
        <v>1387</v>
      </c>
      <c r="J18" s="161">
        <f t="shared" si="1"/>
        <v>3.0398667455673177E-2</v>
      </c>
      <c r="K18" s="160">
        <f t="shared" si="2"/>
        <v>3246</v>
      </c>
      <c r="P18" s="173"/>
    </row>
    <row r="19" spans="2:16" x14ac:dyDescent="0.2">
      <c r="B19" s="160" t="s">
        <v>323</v>
      </c>
      <c r="C19" s="160">
        <v>584</v>
      </c>
      <c r="D19" s="160">
        <v>686</v>
      </c>
      <c r="E19" s="160">
        <f t="shared" si="3"/>
        <v>1270</v>
      </c>
      <c r="F19" s="161">
        <f t="shared" si="0"/>
        <v>3.5105177322608289E-2</v>
      </c>
      <c r="G19" s="160">
        <v>1698</v>
      </c>
      <c r="H19" s="160">
        <v>130</v>
      </c>
      <c r="I19" s="160">
        <f t="shared" si="4"/>
        <v>1828</v>
      </c>
      <c r="J19" s="161">
        <f t="shared" si="1"/>
        <v>4.0063997194643521E-2</v>
      </c>
      <c r="K19" s="160">
        <f t="shared" si="2"/>
        <v>3098</v>
      </c>
      <c r="P19" s="173"/>
    </row>
    <row r="20" spans="2:16" x14ac:dyDescent="0.2">
      <c r="B20" s="160" t="s">
        <v>319</v>
      </c>
      <c r="C20" s="160">
        <v>438</v>
      </c>
      <c r="D20" s="160">
        <v>549</v>
      </c>
      <c r="E20" s="160">
        <f t="shared" si="3"/>
        <v>987</v>
      </c>
      <c r="F20" s="161">
        <f t="shared" si="0"/>
        <v>2.7282527572767227E-2</v>
      </c>
      <c r="G20" s="160">
        <v>1223</v>
      </c>
      <c r="H20" s="160">
        <v>96</v>
      </c>
      <c r="I20" s="160">
        <f t="shared" si="4"/>
        <v>1319</v>
      </c>
      <c r="J20" s="161">
        <f t="shared" si="1"/>
        <v>2.8908321826988406E-2</v>
      </c>
      <c r="K20" s="160">
        <f t="shared" si="2"/>
        <v>2306</v>
      </c>
      <c r="P20" s="173"/>
    </row>
    <row r="21" spans="2:16" x14ac:dyDescent="0.2">
      <c r="B21" s="160" t="s">
        <v>331</v>
      </c>
      <c r="C21" s="160">
        <v>298</v>
      </c>
      <c r="D21" s="160">
        <v>314</v>
      </c>
      <c r="E21" s="160">
        <f t="shared" si="3"/>
        <v>612</v>
      </c>
      <c r="F21" s="161">
        <f t="shared" si="0"/>
        <v>1.6916825607430134E-2</v>
      </c>
      <c r="G21" s="160">
        <v>355</v>
      </c>
      <c r="H21" s="160">
        <v>43</v>
      </c>
      <c r="I21" s="160">
        <f t="shared" si="4"/>
        <v>398</v>
      </c>
      <c r="J21" s="161">
        <f t="shared" si="1"/>
        <v>8.7229052973020367E-3</v>
      </c>
      <c r="K21" s="160">
        <f t="shared" si="2"/>
        <v>1010</v>
      </c>
      <c r="P21" s="173"/>
    </row>
    <row r="22" spans="2:16" x14ac:dyDescent="0.2">
      <c r="B22" s="160" t="s">
        <v>312</v>
      </c>
      <c r="C22" s="160">
        <v>637</v>
      </c>
      <c r="D22" s="160">
        <v>799</v>
      </c>
      <c r="E22" s="160">
        <f t="shared" si="3"/>
        <v>1436</v>
      </c>
      <c r="F22" s="161">
        <f t="shared" si="0"/>
        <v>3.9693728059264174E-2</v>
      </c>
      <c r="G22" s="160">
        <v>1825</v>
      </c>
      <c r="H22" s="160">
        <v>133</v>
      </c>
      <c r="I22" s="160">
        <f t="shared" si="4"/>
        <v>1958</v>
      </c>
      <c r="J22" s="161">
        <f t="shared" si="1"/>
        <v>4.291318736712911E-2</v>
      </c>
      <c r="K22" s="160">
        <f t="shared" si="2"/>
        <v>3394</v>
      </c>
      <c r="P22" s="173"/>
    </row>
    <row r="23" spans="2:16" x14ac:dyDescent="0.2">
      <c r="B23" s="160" t="s">
        <v>315</v>
      </c>
      <c r="C23" s="160">
        <v>296</v>
      </c>
      <c r="D23" s="160">
        <v>588</v>
      </c>
      <c r="E23" s="160">
        <f t="shared" si="3"/>
        <v>884</v>
      </c>
      <c r="F23" s="161">
        <f t="shared" si="0"/>
        <v>2.4435414766287973E-2</v>
      </c>
      <c r="G23" s="160">
        <v>472</v>
      </c>
      <c r="H23" s="160">
        <v>93</v>
      </c>
      <c r="I23" s="160">
        <f t="shared" si="4"/>
        <v>565</v>
      </c>
      <c r="J23" s="161">
        <f t="shared" si="1"/>
        <v>1.2383018826571985E-2</v>
      </c>
      <c r="K23" s="160">
        <f t="shared" si="2"/>
        <v>1449</v>
      </c>
      <c r="P23" s="173"/>
    </row>
    <row r="24" spans="2:16" x14ac:dyDescent="0.2">
      <c r="B24" s="160" t="s">
        <v>332</v>
      </c>
      <c r="C24" s="160">
        <v>233</v>
      </c>
      <c r="D24" s="160">
        <v>282</v>
      </c>
      <c r="E24" s="160">
        <f t="shared" si="3"/>
        <v>515</v>
      </c>
      <c r="F24" s="161">
        <f t="shared" si="0"/>
        <v>1.4235564032396274E-2</v>
      </c>
      <c r="G24" s="160">
        <v>511</v>
      </c>
      <c r="H24" s="160">
        <v>78</v>
      </c>
      <c r="I24" s="160">
        <f t="shared" si="4"/>
        <v>589</v>
      </c>
      <c r="J24" s="161">
        <f t="shared" si="1"/>
        <v>1.2909023166107788E-2</v>
      </c>
      <c r="K24" s="160">
        <f t="shared" si="2"/>
        <v>1104</v>
      </c>
      <c r="P24" s="173"/>
    </row>
    <row r="25" spans="2:16" x14ac:dyDescent="0.2">
      <c r="B25" s="160" t="s">
        <v>291</v>
      </c>
      <c r="C25" s="160">
        <v>253</v>
      </c>
      <c r="D25" s="160">
        <v>292</v>
      </c>
      <c r="E25" s="160">
        <f t="shared" si="3"/>
        <v>545</v>
      </c>
      <c r="F25" s="161">
        <f t="shared" si="0"/>
        <v>1.5064820189623242E-2</v>
      </c>
      <c r="G25" s="160">
        <v>642</v>
      </c>
      <c r="H25" s="160">
        <v>49</v>
      </c>
      <c r="I25" s="160">
        <f t="shared" si="4"/>
        <v>691</v>
      </c>
      <c r="J25" s="161">
        <f t="shared" si="1"/>
        <v>1.5144541609134941E-2</v>
      </c>
      <c r="K25" s="160">
        <f t="shared" si="2"/>
        <v>1236</v>
      </c>
      <c r="P25" s="173"/>
    </row>
    <row r="26" spans="2:16" x14ac:dyDescent="0.2">
      <c r="B26" s="160" t="s">
        <v>322</v>
      </c>
      <c r="C26" s="160">
        <v>230</v>
      </c>
      <c r="D26" s="160">
        <v>307</v>
      </c>
      <c r="E26" s="160">
        <f t="shared" si="3"/>
        <v>537</v>
      </c>
      <c r="F26" s="161">
        <f t="shared" si="0"/>
        <v>1.4843685214362717E-2</v>
      </c>
      <c r="G26" s="160">
        <v>507</v>
      </c>
      <c r="H26" s="160">
        <v>58</v>
      </c>
      <c r="I26" s="160">
        <f t="shared" si="4"/>
        <v>565</v>
      </c>
      <c r="J26" s="161">
        <f t="shared" si="1"/>
        <v>1.2383018826571985E-2</v>
      </c>
      <c r="K26" s="160">
        <f t="shared" si="2"/>
        <v>1102</v>
      </c>
      <c r="P26" s="173"/>
    </row>
    <row r="27" spans="2:16" x14ac:dyDescent="0.2">
      <c r="B27" s="160" t="s">
        <v>320</v>
      </c>
      <c r="C27" s="160">
        <v>1768</v>
      </c>
      <c r="D27" s="160">
        <v>2241</v>
      </c>
      <c r="E27" s="160">
        <f t="shared" si="3"/>
        <v>4009</v>
      </c>
      <c r="F27" s="161">
        <f t="shared" si="0"/>
        <v>0.11081626447743041</v>
      </c>
      <c r="G27" s="160">
        <v>5223</v>
      </c>
      <c r="H27" s="160">
        <v>563</v>
      </c>
      <c r="I27" s="160">
        <f t="shared" si="4"/>
        <v>5786</v>
      </c>
      <c r="J27" s="161">
        <f t="shared" si="1"/>
        <v>0.12681087952308939</v>
      </c>
      <c r="K27" s="160">
        <f t="shared" si="2"/>
        <v>9795</v>
      </c>
      <c r="P27" s="173"/>
    </row>
    <row r="28" spans="2:16" x14ac:dyDescent="0.2">
      <c r="B28" s="160" t="s">
        <v>313</v>
      </c>
      <c r="C28" s="160">
        <v>776</v>
      </c>
      <c r="D28" s="160">
        <v>1379</v>
      </c>
      <c r="E28" s="160">
        <f t="shared" si="3"/>
        <v>2155</v>
      </c>
      <c r="F28" s="161">
        <f t="shared" si="0"/>
        <v>5.9568233960803824E-2</v>
      </c>
      <c r="G28" s="160">
        <v>1626</v>
      </c>
      <c r="H28" s="160">
        <v>216</v>
      </c>
      <c r="I28" s="160">
        <f t="shared" si="4"/>
        <v>1842</v>
      </c>
      <c r="J28" s="161">
        <f t="shared" si="1"/>
        <v>4.0370833059372738E-2</v>
      </c>
      <c r="K28" s="160">
        <f t="shared" si="2"/>
        <v>3997</v>
      </c>
      <c r="P28" s="173"/>
    </row>
    <row r="29" spans="2:16" x14ac:dyDescent="0.2">
      <c r="B29" s="160" t="s">
        <v>316</v>
      </c>
      <c r="C29" s="160">
        <v>563</v>
      </c>
      <c r="D29" s="160">
        <v>783</v>
      </c>
      <c r="E29" s="160">
        <f t="shared" si="3"/>
        <v>1346</v>
      </c>
      <c r="F29" s="161">
        <f t="shared" si="0"/>
        <v>3.720595958758327E-2</v>
      </c>
      <c r="G29" s="160">
        <v>1124</v>
      </c>
      <c r="H29" s="160">
        <v>116</v>
      </c>
      <c r="I29" s="160">
        <f t="shared" si="4"/>
        <v>1240</v>
      </c>
      <c r="J29" s="161">
        <f t="shared" si="1"/>
        <v>2.7176890876016394E-2</v>
      </c>
      <c r="K29" s="160">
        <f t="shared" si="2"/>
        <v>2586</v>
      </c>
      <c r="P29" s="173"/>
    </row>
    <row r="30" spans="2:16" x14ac:dyDescent="0.2">
      <c r="B30" s="160" t="s">
        <v>333</v>
      </c>
      <c r="C30" s="160">
        <v>156</v>
      </c>
      <c r="D30" s="160">
        <v>175</v>
      </c>
      <c r="E30" s="160">
        <f t="shared" si="3"/>
        <v>331</v>
      </c>
      <c r="F30" s="161">
        <f t="shared" si="0"/>
        <v>9.1494596014042064E-3</v>
      </c>
      <c r="G30" s="160">
        <v>356</v>
      </c>
      <c r="H30" s="160">
        <v>23</v>
      </c>
      <c r="I30" s="160">
        <f t="shared" si="4"/>
        <v>379</v>
      </c>
      <c r="J30" s="161">
        <f t="shared" si="1"/>
        <v>8.306485195169527E-3</v>
      </c>
      <c r="K30" s="160">
        <f t="shared" si="2"/>
        <v>710</v>
      </c>
      <c r="P30" s="173"/>
    </row>
    <row r="31" spans="2:16" x14ac:dyDescent="0.2">
      <c r="B31" s="160" t="s">
        <v>292</v>
      </c>
      <c r="C31" s="160">
        <v>380</v>
      </c>
      <c r="D31" s="160">
        <v>598</v>
      </c>
      <c r="E31" s="160">
        <f t="shared" si="3"/>
        <v>978</v>
      </c>
      <c r="F31" s="161">
        <f t="shared" si="0"/>
        <v>2.7033750725599139E-2</v>
      </c>
      <c r="G31" s="160">
        <v>843</v>
      </c>
      <c r="H31" s="160">
        <v>137</v>
      </c>
      <c r="I31" s="160">
        <f t="shared" si="4"/>
        <v>980</v>
      </c>
      <c r="J31" s="161">
        <f t="shared" si="1"/>
        <v>2.1478510531045214E-2</v>
      </c>
      <c r="K31" s="160">
        <f t="shared" si="2"/>
        <v>1958</v>
      </c>
      <c r="P31" s="173"/>
    </row>
    <row r="32" spans="2:16" x14ac:dyDescent="0.2">
      <c r="B32" s="162" t="s">
        <v>66</v>
      </c>
      <c r="C32" s="160">
        <f>SUM(C11:C31)</f>
        <v>16164</v>
      </c>
      <c r="D32" s="160">
        <f>SUM(D11:D31)</f>
        <v>20013</v>
      </c>
      <c r="E32" s="162">
        <f t="shared" si="3"/>
        <v>36177</v>
      </c>
      <c r="F32" s="161">
        <f t="shared" si="0"/>
        <v>1</v>
      </c>
      <c r="G32" s="160">
        <f>SUM(G11:G31)</f>
        <v>41180</v>
      </c>
      <c r="H32" s="160">
        <f>SUM(H11:H31)</f>
        <v>4447</v>
      </c>
      <c r="I32" s="162">
        <f t="shared" si="4"/>
        <v>45627</v>
      </c>
      <c r="J32" s="161">
        <f t="shared" si="1"/>
        <v>1</v>
      </c>
      <c r="K32" s="162">
        <f t="shared" si="2"/>
        <v>81804</v>
      </c>
      <c r="P32" s="173"/>
    </row>
    <row r="33" spans="2:12" ht="25.5" customHeight="1" x14ac:dyDescent="0.2">
      <c r="B33" s="174" t="s">
        <v>82</v>
      </c>
      <c r="C33" s="175">
        <f>+C32/$K$32</f>
        <v>0.1975942496699428</v>
      </c>
      <c r="D33" s="175">
        <f>+D32/$K$32</f>
        <v>0.24464573859468974</v>
      </c>
      <c r="E33" s="176">
        <f>C33+D33</f>
        <v>0.44223998826463251</v>
      </c>
      <c r="F33" s="175"/>
      <c r="G33" s="175">
        <f>+G32/$K$32</f>
        <v>0.50339836682802797</v>
      </c>
      <c r="H33" s="175">
        <f>+H32/$K$32</f>
        <v>5.4361644907339496E-2</v>
      </c>
      <c r="I33" s="176">
        <f>G33+H33</f>
        <v>0.55776001173536749</v>
      </c>
      <c r="J33" s="176"/>
      <c r="K33" s="176">
        <f t="shared" si="2"/>
        <v>1</v>
      </c>
    </row>
    <row r="34" spans="2:12" x14ac:dyDescent="0.2">
      <c r="B34" s="167"/>
      <c r="C34" s="180"/>
      <c r="D34" s="180"/>
      <c r="E34" s="180"/>
      <c r="F34" s="180"/>
      <c r="G34" s="180"/>
      <c r="H34" s="180"/>
      <c r="I34" s="180"/>
      <c r="J34" s="180"/>
      <c r="K34" s="180"/>
    </row>
    <row r="35" spans="2:12" ht="12.75" x14ac:dyDescent="0.2">
      <c r="B35" s="418" t="s">
        <v>614</v>
      </c>
      <c r="C35" s="418"/>
      <c r="D35" s="418"/>
      <c r="E35" s="418"/>
      <c r="F35" s="418"/>
      <c r="G35" s="418"/>
      <c r="H35" s="418"/>
      <c r="I35" s="418"/>
      <c r="J35" s="418"/>
      <c r="K35" s="418"/>
    </row>
    <row r="36" spans="2:12" ht="12.75" x14ac:dyDescent="0.2">
      <c r="B36" s="431" t="str">
        <f>'Solicitudes Regiones'!$B$6:$P$6</f>
        <v>Acumuladas de julio de 2008 a noviembre de 2018</v>
      </c>
      <c r="C36" s="431"/>
      <c r="D36" s="431"/>
      <c r="E36" s="431"/>
      <c r="F36" s="431"/>
      <c r="G36" s="431"/>
      <c r="H36" s="431"/>
      <c r="I36" s="431"/>
      <c r="J36" s="431"/>
      <c r="K36" s="431"/>
    </row>
    <row r="38" spans="2:12" ht="15" customHeight="1" x14ac:dyDescent="0.2">
      <c r="B38" s="447" t="s">
        <v>83</v>
      </c>
      <c r="C38" s="448"/>
      <c r="D38" s="448"/>
      <c r="E38" s="448"/>
      <c r="F38" s="448"/>
      <c r="G38" s="448"/>
      <c r="H38" s="448"/>
      <c r="I38" s="448"/>
      <c r="J38" s="448"/>
      <c r="K38" s="449"/>
      <c r="L38" s="181"/>
    </row>
    <row r="39" spans="2:12" ht="21" customHeight="1" x14ac:dyDescent="0.2">
      <c r="B39" s="446" t="s">
        <v>74</v>
      </c>
      <c r="C39" s="447" t="s">
        <v>2</v>
      </c>
      <c r="D39" s="448"/>
      <c r="E39" s="448"/>
      <c r="F39" s="448"/>
      <c r="G39" s="448"/>
      <c r="H39" s="448"/>
      <c r="I39" s="448"/>
      <c r="J39" s="448"/>
      <c r="K39" s="449"/>
    </row>
    <row r="40" spans="2:12" ht="24" x14ac:dyDescent="0.2">
      <c r="B40" s="446"/>
      <c r="C40" s="165" t="s">
        <v>75</v>
      </c>
      <c r="D40" s="165" t="s">
        <v>76</v>
      </c>
      <c r="E40" s="165" t="s">
        <v>77</v>
      </c>
      <c r="F40" s="165" t="s">
        <v>78</v>
      </c>
      <c r="G40" s="165" t="s">
        <v>8</v>
      </c>
      <c r="H40" s="165" t="s">
        <v>79</v>
      </c>
      <c r="I40" s="165" t="s">
        <v>80</v>
      </c>
      <c r="J40" s="165" t="s">
        <v>81</v>
      </c>
      <c r="K40" s="383" t="s">
        <v>46</v>
      </c>
    </row>
    <row r="41" spans="2:12" x14ac:dyDescent="0.2">
      <c r="B41" s="160" t="s">
        <v>310</v>
      </c>
      <c r="C41" s="160">
        <v>4669</v>
      </c>
      <c r="D41" s="160">
        <v>2717</v>
      </c>
      <c r="E41" s="160">
        <v>890</v>
      </c>
      <c r="F41" s="161">
        <f t="shared" ref="F41:F62" si="5">E41/$E$62</f>
        <v>3.7820839707632163E-2</v>
      </c>
      <c r="G41" s="160">
        <v>13324</v>
      </c>
      <c r="H41" s="160">
        <v>1416</v>
      </c>
      <c r="I41" s="160">
        <f>G41+H41</f>
        <v>14740</v>
      </c>
      <c r="J41" s="161">
        <f t="shared" ref="J41:J62" si="6">I41/$I$62</f>
        <v>0.37078962594018061</v>
      </c>
      <c r="K41" s="160">
        <f t="shared" ref="K41:K63" si="7">E41+I41</f>
        <v>15630</v>
      </c>
    </row>
    <row r="42" spans="2:12" x14ac:dyDescent="0.2">
      <c r="B42" s="160" t="s">
        <v>311</v>
      </c>
      <c r="C42" s="160">
        <v>658</v>
      </c>
      <c r="D42" s="160">
        <v>373</v>
      </c>
      <c r="E42" s="160">
        <v>613</v>
      </c>
      <c r="F42" s="161">
        <f t="shared" si="5"/>
        <v>2.6049634540200577E-2</v>
      </c>
      <c r="G42" s="160">
        <v>1829</v>
      </c>
      <c r="H42" s="160">
        <v>124</v>
      </c>
      <c r="I42" s="160">
        <f t="shared" ref="I42:I62" si="8">G42+H42</f>
        <v>1953</v>
      </c>
      <c r="J42" s="161">
        <f t="shared" si="6"/>
        <v>4.9128367670364499E-2</v>
      </c>
      <c r="K42" s="160">
        <f t="shared" si="7"/>
        <v>2566</v>
      </c>
    </row>
    <row r="43" spans="2:12" x14ac:dyDescent="0.2">
      <c r="B43" s="160" t="s">
        <v>289</v>
      </c>
      <c r="C43" s="160">
        <v>562</v>
      </c>
      <c r="D43" s="160">
        <v>330</v>
      </c>
      <c r="E43" s="160">
        <v>587</v>
      </c>
      <c r="F43" s="161">
        <f t="shared" si="5"/>
        <v>2.494475607683155E-2</v>
      </c>
      <c r="G43" s="160">
        <v>1408</v>
      </c>
      <c r="H43" s="160">
        <v>174</v>
      </c>
      <c r="I43" s="160">
        <f t="shared" si="8"/>
        <v>1582</v>
      </c>
      <c r="J43" s="161">
        <f t="shared" si="6"/>
        <v>3.979573868638845E-2</v>
      </c>
      <c r="K43" s="160">
        <f t="shared" si="7"/>
        <v>2169</v>
      </c>
    </row>
    <row r="44" spans="2:12" x14ac:dyDescent="0.2">
      <c r="B44" s="160" t="s">
        <v>314</v>
      </c>
      <c r="C44" s="160">
        <v>603</v>
      </c>
      <c r="D44" s="160">
        <v>384</v>
      </c>
      <c r="E44" s="160">
        <v>370</v>
      </c>
      <c r="F44" s="161">
        <f t="shared" si="5"/>
        <v>1.5723270440251572E-2</v>
      </c>
      <c r="G44" s="160">
        <v>790</v>
      </c>
      <c r="H44" s="160">
        <v>134</v>
      </c>
      <c r="I44" s="160">
        <f t="shared" si="8"/>
        <v>924</v>
      </c>
      <c r="J44" s="161">
        <f t="shared" si="6"/>
        <v>2.324352879027998E-2</v>
      </c>
      <c r="K44" s="160">
        <f t="shared" si="7"/>
        <v>1294</v>
      </c>
    </row>
    <row r="45" spans="2:12" x14ac:dyDescent="0.2">
      <c r="B45" s="160" t="s">
        <v>290</v>
      </c>
      <c r="C45" s="160">
        <v>247</v>
      </c>
      <c r="D45" s="160">
        <v>211</v>
      </c>
      <c r="E45" s="160">
        <v>499</v>
      </c>
      <c r="F45" s="161">
        <f t="shared" si="5"/>
        <v>2.1205167431582527E-2</v>
      </c>
      <c r="G45" s="160">
        <v>581</v>
      </c>
      <c r="H45" s="160">
        <v>79</v>
      </c>
      <c r="I45" s="160">
        <f t="shared" si="8"/>
        <v>660</v>
      </c>
      <c r="J45" s="161">
        <f t="shared" si="6"/>
        <v>1.66025205644857E-2</v>
      </c>
      <c r="K45" s="160">
        <f t="shared" si="7"/>
        <v>1159</v>
      </c>
    </row>
    <row r="46" spans="2:12" x14ac:dyDescent="0.2">
      <c r="B46" s="160" t="s">
        <v>317</v>
      </c>
      <c r="C46" s="160">
        <v>428</v>
      </c>
      <c r="D46" s="160">
        <v>244</v>
      </c>
      <c r="E46" s="160">
        <v>980</v>
      </c>
      <c r="F46" s="161">
        <f t="shared" si="5"/>
        <v>4.164541900390957E-2</v>
      </c>
      <c r="G46" s="160">
        <v>770</v>
      </c>
      <c r="H46" s="160">
        <v>82</v>
      </c>
      <c r="I46" s="160">
        <f t="shared" si="8"/>
        <v>852</v>
      </c>
      <c r="J46" s="161">
        <f t="shared" si="6"/>
        <v>2.1432344728699721E-2</v>
      </c>
      <c r="K46" s="160">
        <f t="shared" si="7"/>
        <v>1832</v>
      </c>
    </row>
    <row r="47" spans="2:12" x14ac:dyDescent="0.2">
      <c r="B47" s="160" t="s">
        <v>318</v>
      </c>
      <c r="C47" s="160">
        <v>767</v>
      </c>
      <c r="D47" s="160">
        <v>303</v>
      </c>
      <c r="E47" s="160">
        <v>2130</v>
      </c>
      <c r="F47" s="161">
        <f t="shared" si="5"/>
        <v>9.0515043345232027E-2</v>
      </c>
      <c r="G47" s="160">
        <v>1442</v>
      </c>
      <c r="H47" s="160">
        <v>83</v>
      </c>
      <c r="I47" s="160">
        <f t="shared" si="8"/>
        <v>1525</v>
      </c>
      <c r="J47" s="161">
        <f t="shared" si="6"/>
        <v>3.8361884637637414E-2</v>
      </c>
      <c r="K47" s="160">
        <f t="shared" si="7"/>
        <v>3655</v>
      </c>
    </row>
    <row r="48" spans="2:12" x14ac:dyDescent="0.2">
      <c r="B48" s="160" t="s">
        <v>321</v>
      </c>
      <c r="C48" s="160">
        <v>679</v>
      </c>
      <c r="D48" s="160">
        <v>462</v>
      </c>
      <c r="E48" s="160">
        <v>1177</v>
      </c>
      <c r="F48" s="161">
        <f t="shared" si="5"/>
        <v>5.001699813020568E-2</v>
      </c>
      <c r="G48" s="160">
        <v>1081</v>
      </c>
      <c r="H48" s="160">
        <v>192</v>
      </c>
      <c r="I48" s="160">
        <f t="shared" si="8"/>
        <v>1273</v>
      </c>
      <c r="J48" s="161">
        <f t="shared" si="6"/>
        <v>3.202274042210651E-2</v>
      </c>
      <c r="K48" s="160">
        <f t="shared" si="7"/>
        <v>2450</v>
      </c>
    </row>
    <row r="49" spans="2:11" x14ac:dyDescent="0.2">
      <c r="B49" s="160" t="s">
        <v>323</v>
      </c>
      <c r="C49" s="160">
        <v>553</v>
      </c>
      <c r="D49" s="160">
        <v>267</v>
      </c>
      <c r="E49" s="160">
        <v>234</v>
      </c>
      <c r="F49" s="161">
        <f t="shared" si="5"/>
        <v>9.9439061703212647E-3</v>
      </c>
      <c r="G49" s="160">
        <v>1564</v>
      </c>
      <c r="H49" s="160">
        <v>95</v>
      </c>
      <c r="I49" s="160">
        <f t="shared" si="8"/>
        <v>1659</v>
      </c>
      <c r="J49" s="161">
        <f t="shared" si="6"/>
        <v>4.1732699418911778E-2</v>
      </c>
      <c r="K49" s="160">
        <f t="shared" si="7"/>
        <v>1893</v>
      </c>
    </row>
    <row r="50" spans="2:11" x14ac:dyDescent="0.2">
      <c r="B50" s="160" t="s">
        <v>319</v>
      </c>
      <c r="C50" s="160">
        <v>410</v>
      </c>
      <c r="D50" s="160">
        <v>243</v>
      </c>
      <c r="E50" s="160">
        <v>2712</v>
      </c>
      <c r="F50" s="161">
        <f t="shared" si="5"/>
        <v>0.11524732279449261</v>
      </c>
      <c r="G50" s="160">
        <v>1128</v>
      </c>
      <c r="H50" s="160">
        <v>85</v>
      </c>
      <c r="I50" s="160">
        <f t="shared" si="8"/>
        <v>1213</v>
      </c>
      <c r="J50" s="161">
        <f t="shared" si="6"/>
        <v>3.0513420370789628E-2</v>
      </c>
      <c r="K50" s="160">
        <f t="shared" si="7"/>
        <v>3925</v>
      </c>
    </row>
    <row r="51" spans="2:11" x14ac:dyDescent="0.2">
      <c r="B51" s="160" t="s">
        <v>331</v>
      </c>
      <c r="C51" s="160">
        <v>289</v>
      </c>
      <c r="D51" s="160">
        <v>125</v>
      </c>
      <c r="E51" s="160">
        <v>4099</v>
      </c>
      <c r="F51" s="161">
        <f t="shared" si="5"/>
        <v>0.17418833928267891</v>
      </c>
      <c r="G51" s="160">
        <v>338</v>
      </c>
      <c r="H51" s="160">
        <v>42</v>
      </c>
      <c r="I51" s="160">
        <f t="shared" si="8"/>
        <v>380</v>
      </c>
      <c r="J51" s="161">
        <f t="shared" si="6"/>
        <v>9.5590269916735852E-3</v>
      </c>
      <c r="K51" s="160">
        <f t="shared" si="7"/>
        <v>4479</v>
      </c>
    </row>
    <row r="52" spans="2:11" x14ac:dyDescent="0.2">
      <c r="B52" s="160" t="s">
        <v>312</v>
      </c>
      <c r="C52" s="160">
        <v>611</v>
      </c>
      <c r="D52" s="160">
        <v>352</v>
      </c>
      <c r="E52" s="160">
        <v>3373</v>
      </c>
      <c r="F52" s="161">
        <f t="shared" si="5"/>
        <v>0.14333673295937446</v>
      </c>
      <c r="G52" s="160">
        <v>1654</v>
      </c>
      <c r="H52" s="160">
        <v>111</v>
      </c>
      <c r="I52" s="160">
        <f t="shared" si="8"/>
        <v>1765</v>
      </c>
      <c r="J52" s="161">
        <f t="shared" si="6"/>
        <v>4.4399164842904938E-2</v>
      </c>
      <c r="K52" s="160">
        <f t="shared" si="7"/>
        <v>5138</v>
      </c>
    </row>
    <row r="53" spans="2:11" x14ac:dyDescent="0.2">
      <c r="B53" s="160" t="s">
        <v>315</v>
      </c>
      <c r="C53" s="160">
        <v>276</v>
      </c>
      <c r="D53" s="160">
        <v>211</v>
      </c>
      <c r="E53" s="160">
        <v>793</v>
      </c>
      <c r="F53" s="161">
        <f t="shared" si="5"/>
        <v>3.3698793132755395E-2</v>
      </c>
      <c r="G53" s="160">
        <v>429</v>
      </c>
      <c r="H53" s="160">
        <v>78</v>
      </c>
      <c r="I53" s="160">
        <f t="shared" si="8"/>
        <v>507</v>
      </c>
      <c r="J53" s="161">
        <f t="shared" si="6"/>
        <v>1.275375443362765E-2</v>
      </c>
      <c r="K53" s="160">
        <f t="shared" si="7"/>
        <v>1300</v>
      </c>
    </row>
    <row r="54" spans="2:11" x14ac:dyDescent="0.2">
      <c r="B54" s="160" t="s">
        <v>332</v>
      </c>
      <c r="C54" s="160">
        <v>226</v>
      </c>
      <c r="D54" s="160">
        <v>129</v>
      </c>
      <c r="E54" s="160">
        <v>2218</v>
      </c>
      <c r="F54" s="161">
        <f t="shared" si="5"/>
        <v>9.425463199048105E-2</v>
      </c>
      <c r="G54" s="160">
        <v>476</v>
      </c>
      <c r="H54" s="160">
        <v>66</v>
      </c>
      <c r="I54" s="160">
        <f t="shared" si="8"/>
        <v>542</v>
      </c>
      <c r="J54" s="161">
        <f t="shared" si="6"/>
        <v>1.3634191130229165E-2</v>
      </c>
      <c r="K54" s="160">
        <f t="shared" si="7"/>
        <v>2760</v>
      </c>
    </row>
    <row r="55" spans="2:11" x14ac:dyDescent="0.2">
      <c r="B55" s="160" t="s">
        <v>291</v>
      </c>
      <c r="C55" s="160">
        <v>244</v>
      </c>
      <c r="D55" s="160">
        <v>132</v>
      </c>
      <c r="E55" s="160">
        <v>280</v>
      </c>
      <c r="F55" s="161">
        <f t="shared" si="5"/>
        <v>1.1898691143974164E-2</v>
      </c>
      <c r="G55" s="160">
        <v>584</v>
      </c>
      <c r="H55" s="160">
        <v>39</v>
      </c>
      <c r="I55" s="160">
        <f t="shared" si="8"/>
        <v>623</v>
      </c>
      <c r="J55" s="161">
        <f t="shared" si="6"/>
        <v>1.5671773199506956E-2</v>
      </c>
      <c r="K55" s="160">
        <f t="shared" si="7"/>
        <v>903</v>
      </c>
    </row>
    <row r="56" spans="2:11" x14ac:dyDescent="0.2">
      <c r="B56" s="160" t="s">
        <v>322</v>
      </c>
      <c r="C56" s="160">
        <v>229</v>
      </c>
      <c r="D56" s="160">
        <v>141</v>
      </c>
      <c r="E56" s="160">
        <v>6519</v>
      </c>
      <c r="F56" s="161">
        <f t="shared" si="5"/>
        <v>0.27702702702702703</v>
      </c>
      <c r="G56" s="160">
        <v>481</v>
      </c>
      <c r="H56" s="160">
        <v>46</v>
      </c>
      <c r="I56" s="160">
        <f t="shared" si="8"/>
        <v>527</v>
      </c>
      <c r="J56" s="161">
        <f t="shared" si="6"/>
        <v>1.3256861117399944E-2</v>
      </c>
      <c r="K56" s="160">
        <f t="shared" si="7"/>
        <v>7046</v>
      </c>
    </row>
    <row r="57" spans="2:11" x14ac:dyDescent="0.2">
      <c r="B57" s="160" t="s">
        <v>320</v>
      </c>
      <c r="C57" s="160">
        <v>1617</v>
      </c>
      <c r="D57" s="160">
        <v>960</v>
      </c>
      <c r="E57" s="160">
        <v>1539</v>
      </c>
      <c r="F57" s="161">
        <f t="shared" si="5"/>
        <v>6.5400305966343705E-2</v>
      </c>
      <c r="G57" s="160">
        <v>4590</v>
      </c>
      <c r="H57" s="160">
        <v>496</v>
      </c>
      <c r="I57" s="160">
        <f t="shared" si="8"/>
        <v>5086</v>
      </c>
      <c r="J57" s="161">
        <f t="shared" si="6"/>
        <v>0.12794002968329435</v>
      </c>
      <c r="K57" s="160">
        <f t="shared" si="7"/>
        <v>6625</v>
      </c>
    </row>
    <row r="58" spans="2:11" x14ac:dyDescent="0.2">
      <c r="B58" s="160" t="s">
        <v>313</v>
      </c>
      <c r="C58" s="160">
        <v>707</v>
      </c>
      <c r="D58" s="160">
        <v>523</v>
      </c>
      <c r="E58" s="160">
        <v>1347</v>
      </c>
      <c r="F58" s="161">
        <f t="shared" si="5"/>
        <v>5.7241203467618559E-2</v>
      </c>
      <c r="G58" s="160">
        <v>1422</v>
      </c>
      <c r="H58" s="160">
        <v>192</v>
      </c>
      <c r="I58" s="160">
        <f t="shared" si="8"/>
        <v>1614</v>
      </c>
      <c r="J58" s="161">
        <f t="shared" si="6"/>
        <v>4.0600709380424121E-2</v>
      </c>
      <c r="K58" s="160">
        <f t="shared" si="7"/>
        <v>2961</v>
      </c>
    </row>
    <row r="59" spans="2:11" x14ac:dyDescent="0.2">
      <c r="B59" s="160" t="s">
        <v>316</v>
      </c>
      <c r="C59" s="160">
        <v>516</v>
      </c>
      <c r="D59" s="160">
        <v>333</v>
      </c>
      <c r="E59" s="160">
        <v>14224</v>
      </c>
      <c r="F59" s="161">
        <f t="shared" si="5"/>
        <v>0.60445351011388748</v>
      </c>
      <c r="G59" s="160">
        <v>975</v>
      </c>
      <c r="H59" s="160">
        <v>102</v>
      </c>
      <c r="I59" s="160">
        <f t="shared" si="8"/>
        <v>1077</v>
      </c>
      <c r="J59" s="161">
        <f t="shared" si="6"/>
        <v>2.7092294921138026E-2</v>
      </c>
      <c r="K59" s="160">
        <f t="shared" si="7"/>
        <v>15301</v>
      </c>
    </row>
    <row r="60" spans="2:11" x14ac:dyDescent="0.2">
      <c r="B60" s="160" t="s">
        <v>333</v>
      </c>
      <c r="C60" s="160">
        <v>143</v>
      </c>
      <c r="D60" s="160">
        <v>73</v>
      </c>
      <c r="E60" s="160">
        <v>1520</v>
      </c>
      <c r="F60" s="161">
        <f t="shared" si="5"/>
        <v>6.4592894781574026E-2</v>
      </c>
      <c r="G60" s="160">
        <v>320</v>
      </c>
      <c r="H60" s="160">
        <v>23</v>
      </c>
      <c r="I60" s="160">
        <f t="shared" si="8"/>
        <v>343</v>
      </c>
      <c r="J60" s="161">
        <f t="shared" si="6"/>
        <v>8.628279626694841E-3</v>
      </c>
      <c r="K60" s="160">
        <f t="shared" si="7"/>
        <v>1863</v>
      </c>
    </row>
    <row r="61" spans="2:11" x14ac:dyDescent="0.2">
      <c r="B61" s="160" t="s">
        <v>292</v>
      </c>
      <c r="C61" s="160">
        <v>364</v>
      </c>
      <c r="D61" s="160">
        <v>221</v>
      </c>
      <c r="E61" s="160">
        <v>645</v>
      </c>
      <c r="F61" s="161">
        <f t="shared" si="5"/>
        <v>2.7409484956654767E-2</v>
      </c>
      <c r="G61" s="160">
        <v>793</v>
      </c>
      <c r="H61" s="160">
        <v>115</v>
      </c>
      <c r="I61" s="160">
        <f t="shared" si="8"/>
        <v>908</v>
      </c>
      <c r="J61" s="161">
        <f t="shared" si="6"/>
        <v>2.2841043443262144E-2</v>
      </c>
      <c r="K61" s="160">
        <f t="shared" si="7"/>
        <v>1553</v>
      </c>
    </row>
    <row r="62" spans="2:11" x14ac:dyDescent="0.2">
      <c r="B62" s="162" t="s">
        <v>66</v>
      </c>
      <c r="C62" s="160">
        <f>SUM(C41:C61)</f>
        <v>14798</v>
      </c>
      <c r="D62" s="160">
        <f>SUM(D41:D61)</f>
        <v>8734</v>
      </c>
      <c r="E62" s="162">
        <f>C62+D62</f>
        <v>23532</v>
      </c>
      <c r="F62" s="193">
        <f t="shared" si="5"/>
        <v>1</v>
      </c>
      <c r="G62" s="160">
        <f>SUM(G41:G61)</f>
        <v>35979</v>
      </c>
      <c r="H62" s="160">
        <f>SUM(H41:H61)</f>
        <v>3774</v>
      </c>
      <c r="I62" s="162">
        <f t="shared" si="8"/>
        <v>39753</v>
      </c>
      <c r="J62" s="193">
        <f t="shared" si="6"/>
        <v>1</v>
      </c>
      <c r="K62" s="162">
        <f t="shared" si="7"/>
        <v>63285</v>
      </c>
    </row>
    <row r="63" spans="2:11" ht="24" x14ac:dyDescent="0.2">
      <c r="B63" s="174" t="s">
        <v>84</v>
      </c>
      <c r="C63" s="175">
        <f>+C62/$K$62</f>
        <v>0.23383108161491664</v>
      </c>
      <c r="D63" s="175">
        <f>+D62/$K$62</f>
        <v>0.13801058702694161</v>
      </c>
      <c r="E63" s="176">
        <f>C63+D63</f>
        <v>0.37184166864185825</v>
      </c>
      <c r="F63" s="176"/>
      <c r="G63" s="175">
        <f>+G62/$K$62</f>
        <v>0.56852334676463612</v>
      </c>
      <c r="H63" s="175">
        <f>+H62/$K$62</f>
        <v>5.9634984593505573E-2</v>
      </c>
      <c r="I63" s="176">
        <f>G63+H63</f>
        <v>0.6281583313581417</v>
      </c>
      <c r="J63" s="176"/>
      <c r="K63" s="176">
        <f t="shared" si="7"/>
        <v>1</v>
      </c>
    </row>
    <row r="64" spans="2:11" x14ac:dyDescent="0.2">
      <c r="B64" s="167" t="s">
        <v>149</v>
      </c>
    </row>
    <row r="65" spans="2:2" x14ac:dyDescent="0.2">
      <c r="B65" s="167" t="s">
        <v>150</v>
      </c>
    </row>
  </sheetData>
  <mergeCells count="10">
    <mergeCell ref="B36:K36"/>
    <mergeCell ref="B38:K38"/>
    <mergeCell ref="B39:B40"/>
    <mergeCell ref="C39:K39"/>
    <mergeCell ref="B5:K5"/>
    <mergeCell ref="B6:K6"/>
    <mergeCell ref="B8:K8"/>
    <mergeCell ref="B9:B10"/>
    <mergeCell ref="C9:K9"/>
    <mergeCell ref="B35:K35"/>
  </mergeCells>
  <hyperlinks>
    <hyperlink ref="M5" location="'Índice Pensiones Solidarias'!A1" display="Volver Sistema de Pensiones Solidadias" xr:uid="{00000000-0004-0000-0F00-000000000000}"/>
  </hyperlinks>
  <pageMargins left="0.74803149606299213" right="0.74803149606299213" top="0.98425196850393704" bottom="0.98425196850393704" header="0" footer="0"/>
  <pageSetup scale="83" fitToHeight="2" orientation="portrait" r:id="rId1"/>
  <headerFooter alignWithMargins="0"/>
  <rowBreaks count="1" manualBreakCount="1">
    <brk id="38" min="1" max="12"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6">
    <pageSetUpPr fitToPage="1"/>
  </sheetPr>
  <dimension ref="A1:P89"/>
  <sheetViews>
    <sheetView showGridLines="0" zoomScaleNormal="100" workbookViewId="0"/>
  </sheetViews>
  <sheetFormatPr baseColWidth="10" defaultRowHeight="12" x14ac:dyDescent="0.2"/>
  <cols>
    <col min="1" max="1" width="6" style="168" customWidth="1"/>
    <col min="2" max="2" width="18.140625" style="168" customWidth="1"/>
    <col min="3" max="3" width="9.7109375" style="168" bestFit="1" customWidth="1"/>
    <col min="4" max="4" width="9.140625" style="168" bestFit="1" customWidth="1"/>
    <col min="5" max="6" width="9.140625" style="168" customWidth="1"/>
    <col min="7" max="7" width="9.7109375" style="168" bestFit="1" customWidth="1"/>
    <col min="8" max="8" width="8.42578125" style="168" bestFit="1" customWidth="1"/>
    <col min="9" max="11" width="11" style="168" customWidth="1"/>
    <col min="12" max="12" width="9.140625" style="168" customWidth="1"/>
    <col min="13" max="251" width="11.42578125" style="168"/>
    <col min="252" max="252" width="18.140625" style="168" customWidth="1"/>
    <col min="253" max="253" width="9.7109375" style="168" bestFit="1" customWidth="1"/>
    <col min="254" max="254" width="9.140625" style="168" bestFit="1" customWidth="1"/>
    <col min="255" max="256" width="9.140625" style="168" customWidth="1"/>
    <col min="257" max="257" width="9.7109375" style="168" bestFit="1" customWidth="1"/>
    <col min="258" max="258" width="8.42578125" style="168" bestFit="1" customWidth="1"/>
    <col min="259" max="261" width="11" style="168" customWidth="1"/>
    <col min="262" max="267" width="0" style="168" hidden="1" customWidth="1"/>
    <col min="268" max="268" width="9.140625" style="168" customWidth="1"/>
    <col min="269" max="507" width="11.42578125" style="168"/>
    <col min="508" max="508" width="18.140625" style="168" customWidth="1"/>
    <col min="509" max="509" width="9.7109375" style="168" bestFit="1" customWidth="1"/>
    <col min="510" max="510" width="9.140625" style="168" bestFit="1" customWidth="1"/>
    <col min="511" max="512" width="9.140625" style="168" customWidth="1"/>
    <col min="513" max="513" width="9.7109375" style="168" bestFit="1" customWidth="1"/>
    <col min="514" max="514" width="8.42578125" style="168" bestFit="1" customWidth="1"/>
    <col min="515" max="517" width="11" style="168" customWidth="1"/>
    <col min="518" max="523" width="0" style="168" hidden="1" customWidth="1"/>
    <col min="524" max="524" width="9.140625" style="168" customWidth="1"/>
    <col min="525" max="763" width="11.42578125" style="168"/>
    <col min="764" max="764" width="18.140625" style="168" customWidth="1"/>
    <col min="765" max="765" width="9.7109375" style="168" bestFit="1" customWidth="1"/>
    <col min="766" max="766" width="9.140625" style="168" bestFit="1" customWidth="1"/>
    <col min="767" max="768" width="9.140625" style="168" customWidth="1"/>
    <col min="769" max="769" width="9.7109375" style="168" bestFit="1" customWidth="1"/>
    <col min="770" max="770" width="8.42578125" style="168" bestFit="1" customWidth="1"/>
    <col min="771" max="773" width="11" style="168" customWidth="1"/>
    <col min="774" max="779" width="0" style="168" hidden="1" customWidth="1"/>
    <col min="780" max="780" width="9.140625" style="168" customWidth="1"/>
    <col min="781" max="1019" width="11.42578125" style="168"/>
    <col min="1020" max="1020" width="18.140625" style="168" customWidth="1"/>
    <col min="1021" max="1021" width="9.7109375" style="168" bestFit="1" customWidth="1"/>
    <col min="1022" max="1022" width="9.140625" style="168" bestFit="1" customWidth="1"/>
    <col min="1023" max="1024" width="9.140625" style="168" customWidth="1"/>
    <col min="1025" max="1025" width="9.7109375" style="168" bestFit="1" customWidth="1"/>
    <col min="1026" max="1026" width="8.42578125" style="168" bestFit="1" customWidth="1"/>
    <col min="1027" max="1029" width="11" style="168" customWidth="1"/>
    <col min="1030" max="1035" width="0" style="168" hidden="1" customWidth="1"/>
    <col min="1036" max="1036" width="9.140625" style="168" customWidth="1"/>
    <col min="1037" max="1275" width="11.42578125" style="168"/>
    <col min="1276" max="1276" width="18.140625" style="168" customWidth="1"/>
    <col min="1277" max="1277" width="9.7109375" style="168" bestFit="1" customWidth="1"/>
    <col min="1278" max="1278" width="9.140625" style="168" bestFit="1" customWidth="1"/>
    <col min="1279" max="1280" width="9.140625" style="168" customWidth="1"/>
    <col min="1281" max="1281" width="9.7109375" style="168" bestFit="1" customWidth="1"/>
    <col min="1282" max="1282" width="8.42578125" style="168" bestFit="1" customWidth="1"/>
    <col min="1283" max="1285" width="11" style="168" customWidth="1"/>
    <col min="1286" max="1291" width="0" style="168" hidden="1" customWidth="1"/>
    <col min="1292" max="1292" width="9.140625" style="168" customWidth="1"/>
    <col min="1293" max="1531" width="11.42578125" style="168"/>
    <col min="1532" max="1532" width="18.140625" style="168" customWidth="1"/>
    <col min="1533" max="1533" width="9.7109375" style="168" bestFit="1" customWidth="1"/>
    <col min="1534" max="1534" width="9.140625" style="168" bestFit="1" customWidth="1"/>
    <col min="1535" max="1536" width="9.140625" style="168" customWidth="1"/>
    <col min="1537" max="1537" width="9.7109375" style="168" bestFit="1" customWidth="1"/>
    <col min="1538" max="1538" width="8.42578125" style="168" bestFit="1" customWidth="1"/>
    <col min="1539" max="1541" width="11" style="168" customWidth="1"/>
    <col min="1542" max="1547" width="0" style="168" hidden="1" customWidth="1"/>
    <col min="1548" max="1548" width="9.140625" style="168" customWidth="1"/>
    <col min="1549" max="1787" width="11.42578125" style="168"/>
    <col min="1788" max="1788" width="18.140625" style="168" customWidth="1"/>
    <col min="1789" max="1789" width="9.7109375" style="168" bestFit="1" customWidth="1"/>
    <col min="1790" max="1790" width="9.140625" style="168" bestFit="1" customWidth="1"/>
    <col min="1791" max="1792" width="9.140625" style="168" customWidth="1"/>
    <col min="1793" max="1793" width="9.7109375" style="168" bestFit="1" customWidth="1"/>
    <col min="1794" max="1794" width="8.42578125" style="168" bestFit="1" customWidth="1"/>
    <col min="1795" max="1797" width="11" style="168" customWidth="1"/>
    <col min="1798" max="1803" width="0" style="168" hidden="1" customWidth="1"/>
    <col min="1804" max="1804" width="9.140625" style="168" customWidth="1"/>
    <col min="1805" max="2043" width="11.42578125" style="168"/>
    <col min="2044" max="2044" width="18.140625" style="168" customWidth="1"/>
    <col min="2045" max="2045" width="9.7109375" style="168" bestFit="1" customWidth="1"/>
    <col min="2046" max="2046" width="9.140625" style="168" bestFit="1" customWidth="1"/>
    <col min="2047" max="2048" width="9.140625" style="168" customWidth="1"/>
    <col min="2049" max="2049" width="9.7109375" style="168" bestFit="1" customWidth="1"/>
    <col min="2050" max="2050" width="8.42578125" style="168" bestFit="1" customWidth="1"/>
    <col min="2051" max="2053" width="11" style="168" customWidth="1"/>
    <col min="2054" max="2059" width="0" style="168" hidden="1" customWidth="1"/>
    <col min="2060" max="2060" width="9.140625" style="168" customWidth="1"/>
    <col min="2061" max="2299" width="11.42578125" style="168"/>
    <col min="2300" max="2300" width="18.140625" style="168" customWidth="1"/>
    <col min="2301" max="2301" width="9.7109375" style="168" bestFit="1" customWidth="1"/>
    <col min="2302" max="2302" width="9.140625" style="168" bestFit="1" customWidth="1"/>
    <col min="2303" max="2304" width="9.140625" style="168" customWidth="1"/>
    <col min="2305" max="2305" width="9.7109375" style="168" bestFit="1" customWidth="1"/>
    <col min="2306" max="2306" width="8.42578125" style="168" bestFit="1" customWidth="1"/>
    <col min="2307" max="2309" width="11" style="168" customWidth="1"/>
    <col min="2310" max="2315" width="0" style="168" hidden="1" customWidth="1"/>
    <col min="2316" max="2316" width="9.140625" style="168" customWidth="1"/>
    <col min="2317" max="2555" width="11.42578125" style="168"/>
    <col min="2556" max="2556" width="18.140625" style="168" customWidth="1"/>
    <col min="2557" max="2557" width="9.7109375" style="168" bestFit="1" customWidth="1"/>
    <col min="2558" max="2558" width="9.140625" style="168" bestFit="1" customWidth="1"/>
    <col min="2559" max="2560" width="9.140625" style="168" customWidth="1"/>
    <col min="2561" max="2561" width="9.7109375" style="168" bestFit="1" customWidth="1"/>
    <col min="2562" max="2562" width="8.42578125" style="168" bestFit="1" customWidth="1"/>
    <col min="2563" max="2565" width="11" style="168" customWidth="1"/>
    <col min="2566" max="2571" width="0" style="168" hidden="1" customWidth="1"/>
    <col min="2572" max="2572" width="9.140625" style="168" customWidth="1"/>
    <col min="2573" max="2811" width="11.42578125" style="168"/>
    <col min="2812" max="2812" width="18.140625" style="168" customWidth="1"/>
    <col min="2813" max="2813" width="9.7109375" style="168" bestFit="1" customWidth="1"/>
    <col min="2814" max="2814" width="9.140625" style="168" bestFit="1" customWidth="1"/>
    <col min="2815" max="2816" width="9.140625" style="168" customWidth="1"/>
    <col min="2817" max="2817" width="9.7109375" style="168" bestFit="1" customWidth="1"/>
    <col min="2818" max="2818" width="8.42578125" style="168" bestFit="1" customWidth="1"/>
    <col min="2819" max="2821" width="11" style="168" customWidth="1"/>
    <col min="2822" max="2827" width="0" style="168" hidden="1" customWidth="1"/>
    <col min="2828" max="2828" width="9.140625" style="168" customWidth="1"/>
    <col min="2829" max="3067" width="11.42578125" style="168"/>
    <col min="3068" max="3068" width="18.140625" style="168" customWidth="1"/>
    <col min="3069" max="3069" width="9.7109375" style="168" bestFit="1" customWidth="1"/>
    <col min="3070" max="3070" width="9.140625" style="168" bestFit="1" customWidth="1"/>
    <col min="3071" max="3072" width="9.140625" style="168" customWidth="1"/>
    <col min="3073" max="3073" width="9.7109375" style="168" bestFit="1" customWidth="1"/>
    <col min="3074" max="3074" width="8.42578125" style="168" bestFit="1" customWidth="1"/>
    <col min="3075" max="3077" width="11" style="168" customWidth="1"/>
    <col min="3078" max="3083" width="0" style="168" hidden="1" customWidth="1"/>
    <col min="3084" max="3084" width="9.140625" style="168" customWidth="1"/>
    <col min="3085" max="3323" width="11.42578125" style="168"/>
    <col min="3324" max="3324" width="18.140625" style="168" customWidth="1"/>
    <col min="3325" max="3325" width="9.7109375" style="168" bestFit="1" customWidth="1"/>
    <col min="3326" max="3326" width="9.140625" style="168" bestFit="1" customWidth="1"/>
    <col min="3327" max="3328" width="9.140625" style="168" customWidth="1"/>
    <col min="3329" max="3329" width="9.7109375" style="168" bestFit="1" customWidth="1"/>
    <col min="3330" max="3330" width="8.42578125" style="168" bestFit="1" customWidth="1"/>
    <col min="3331" max="3333" width="11" style="168" customWidth="1"/>
    <col min="3334" max="3339" width="0" style="168" hidden="1" customWidth="1"/>
    <col min="3340" max="3340" width="9.140625" style="168" customWidth="1"/>
    <col min="3341" max="3579" width="11.42578125" style="168"/>
    <col min="3580" max="3580" width="18.140625" style="168" customWidth="1"/>
    <col min="3581" max="3581" width="9.7109375" style="168" bestFit="1" customWidth="1"/>
    <col min="3582" max="3582" width="9.140625" style="168" bestFit="1" customWidth="1"/>
    <col min="3583" max="3584" width="9.140625" style="168" customWidth="1"/>
    <col min="3585" max="3585" width="9.7109375" style="168" bestFit="1" customWidth="1"/>
    <col min="3586" max="3586" width="8.42578125" style="168" bestFit="1" customWidth="1"/>
    <col min="3587" max="3589" width="11" style="168" customWidth="1"/>
    <col min="3590" max="3595" width="0" style="168" hidden="1" customWidth="1"/>
    <col min="3596" max="3596" width="9.140625" style="168" customWidth="1"/>
    <col min="3597" max="3835" width="11.42578125" style="168"/>
    <col min="3836" max="3836" width="18.140625" style="168" customWidth="1"/>
    <col min="3837" max="3837" width="9.7109375" style="168" bestFit="1" customWidth="1"/>
    <col min="3838" max="3838" width="9.140625" style="168" bestFit="1" customWidth="1"/>
    <col min="3839" max="3840" width="9.140625" style="168" customWidth="1"/>
    <col min="3841" max="3841" width="9.7109375" style="168" bestFit="1" customWidth="1"/>
    <col min="3842" max="3842" width="8.42578125" style="168" bestFit="1" customWidth="1"/>
    <col min="3843" max="3845" width="11" style="168" customWidth="1"/>
    <col min="3846" max="3851" width="0" style="168" hidden="1" customWidth="1"/>
    <col min="3852" max="3852" width="9.140625" style="168" customWidth="1"/>
    <col min="3853" max="4091" width="11.42578125" style="168"/>
    <col min="4092" max="4092" width="18.140625" style="168" customWidth="1"/>
    <col min="4093" max="4093" width="9.7109375" style="168" bestFit="1" customWidth="1"/>
    <col min="4094" max="4094" width="9.140625" style="168" bestFit="1" customWidth="1"/>
    <col min="4095" max="4096" width="9.140625" style="168" customWidth="1"/>
    <col min="4097" max="4097" width="9.7109375" style="168" bestFit="1" customWidth="1"/>
    <col min="4098" max="4098" width="8.42578125" style="168" bestFit="1" customWidth="1"/>
    <col min="4099" max="4101" width="11" style="168" customWidth="1"/>
    <col min="4102" max="4107" width="0" style="168" hidden="1" customWidth="1"/>
    <col min="4108" max="4108" width="9.140625" style="168" customWidth="1"/>
    <col min="4109" max="4347" width="11.42578125" style="168"/>
    <col min="4348" max="4348" width="18.140625" style="168" customWidth="1"/>
    <col min="4349" max="4349" width="9.7109375" style="168" bestFit="1" customWidth="1"/>
    <col min="4350" max="4350" width="9.140625" style="168" bestFit="1" customWidth="1"/>
    <col min="4351" max="4352" width="9.140625" style="168" customWidth="1"/>
    <col min="4353" max="4353" width="9.7109375" style="168" bestFit="1" customWidth="1"/>
    <col min="4354" max="4354" width="8.42578125" style="168" bestFit="1" customWidth="1"/>
    <col min="4355" max="4357" width="11" style="168" customWidth="1"/>
    <col min="4358" max="4363" width="0" style="168" hidden="1" customWidth="1"/>
    <col min="4364" max="4364" width="9.140625" style="168" customWidth="1"/>
    <col min="4365" max="4603" width="11.42578125" style="168"/>
    <col min="4604" max="4604" width="18.140625" style="168" customWidth="1"/>
    <col min="4605" max="4605" width="9.7109375" style="168" bestFit="1" customWidth="1"/>
    <col min="4606" max="4606" width="9.140625" style="168" bestFit="1" customWidth="1"/>
    <col min="4607" max="4608" width="9.140625" style="168" customWidth="1"/>
    <col min="4609" max="4609" width="9.7109375" style="168" bestFit="1" customWidth="1"/>
    <col min="4610" max="4610" width="8.42578125" style="168" bestFit="1" customWidth="1"/>
    <col min="4611" max="4613" width="11" style="168" customWidth="1"/>
    <col min="4614" max="4619" width="0" style="168" hidden="1" customWidth="1"/>
    <col min="4620" max="4620" width="9.140625" style="168" customWidth="1"/>
    <col min="4621" max="4859" width="11.42578125" style="168"/>
    <col min="4860" max="4860" width="18.140625" style="168" customWidth="1"/>
    <col min="4861" max="4861" width="9.7109375" style="168" bestFit="1" customWidth="1"/>
    <col min="4862" max="4862" width="9.140625" style="168" bestFit="1" customWidth="1"/>
    <col min="4863" max="4864" width="9.140625" style="168" customWidth="1"/>
    <col min="4865" max="4865" width="9.7109375" style="168" bestFit="1" customWidth="1"/>
    <col min="4866" max="4866" width="8.42578125" style="168" bestFit="1" customWidth="1"/>
    <col min="4867" max="4869" width="11" style="168" customWidth="1"/>
    <col min="4870" max="4875" width="0" style="168" hidden="1" customWidth="1"/>
    <col min="4876" max="4876" width="9.140625" style="168" customWidth="1"/>
    <col min="4877" max="5115" width="11.42578125" style="168"/>
    <col min="5116" max="5116" width="18.140625" style="168" customWidth="1"/>
    <col min="5117" max="5117" width="9.7109375" style="168" bestFit="1" customWidth="1"/>
    <col min="5118" max="5118" width="9.140625" style="168" bestFit="1" customWidth="1"/>
    <col min="5119" max="5120" width="9.140625" style="168" customWidth="1"/>
    <col min="5121" max="5121" width="9.7109375" style="168" bestFit="1" customWidth="1"/>
    <col min="5122" max="5122" width="8.42578125" style="168" bestFit="1" customWidth="1"/>
    <col min="5123" max="5125" width="11" style="168" customWidth="1"/>
    <col min="5126" max="5131" width="0" style="168" hidden="1" customWidth="1"/>
    <col min="5132" max="5132" width="9.140625" style="168" customWidth="1"/>
    <col min="5133" max="5371" width="11.42578125" style="168"/>
    <col min="5372" max="5372" width="18.140625" style="168" customWidth="1"/>
    <col min="5373" max="5373" width="9.7109375" style="168" bestFit="1" customWidth="1"/>
    <col min="5374" max="5374" width="9.140625" style="168" bestFit="1" customWidth="1"/>
    <col min="5375" max="5376" width="9.140625" style="168" customWidth="1"/>
    <col min="5377" max="5377" width="9.7109375" style="168" bestFit="1" customWidth="1"/>
    <col min="5378" max="5378" width="8.42578125" style="168" bestFit="1" customWidth="1"/>
    <col min="5379" max="5381" width="11" style="168" customWidth="1"/>
    <col min="5382" max="5387" width="0" style="168" hidden="1" customWidth="1"/>
    <col min="5388" max="5388" width="9.140625" style="168" customWidth="1"/>
    <col min="5389" max="5627" width="11.42578125" style="168"/>
    <col min="5628" max="5628" width="18.140625" style="168" customWidth="1"/>
    <col min="5629" max="5629" width="9.7109375" style="168" bestFit="1" customWidth="1"/>
    <col min="5630" max="5630" width="9.140625" style="168" bestFit="1" customWidth="1"/>
    <col min="5631" max="5632" width="9.140625" style="168" customWidth="1"/>
    <col min="5633" max="5633" width="9.7109375" style="168" bestFit="1" customWidth="1"/>
    <col min="5634" max="5634" width="8.42578125" style="168" bestFit="1" customWidth="1"/>
    <col min="5635" max="5637" width="11" style="168" customWidth="1"/>
    <col min="5638" max="5643" width="0" style="168" hidden="1" customWidth="1"/>
    <col min="5644" max="5644" width="9.140625" style="168" customWidth="1"/>
    <col min="5645" max="5883" width="11.42578125" style="168"/>
    <col min="5884" max="5884" width="18.140625" style="168" customWidth="1"/>
    <col min="5885" max="5885" width="9.7109375" style="168" bestFit="1" customWidth="1"/>
    <col min="5886" max="5886" width="9.140625" style="168" bestFit="1" customWidth="1"/>
    <col min="5887" max="5888" width="9.140625" style="168" customWidth="1"/>
    <col min="5889" max="5889" width="9.7109375" style="168" bestFit="1" customWidth="1"/>
    <col min="5890" max="5890" width="8.42578125" style="168" bestFit="1" customWidth="1"/>
    <col min="5891" max="5893" width="11" style="168" customWidth="1"/>
    <col min="5894" max="5899" width="0" style="168" hidden="1" customWidth="1"/>
    <col min="5900" max="5900" width="9.140625" style="168" customWidth="1"/>
    <col min="5901" max="6139" width="11.42578125" style="168"/>
    <col min="6140" max="6140" width="18.140625" style="168" customWidth="1"/>
    <col min="6141" max="6141" width="9.7109375" style="168" bestFit="1" customWidth="1"/>
    <col min="6142" max="6142" width="9.140625" style="168" bestFit="1" customWidth="1"/>
    <col min="6143" max="6144" width="9.140625" style="168" customWidth="1"/>
    <col min="6145" max="6145" width="9.7109375" style="168" bestFit="1" customWidth="1"/>
    <col min="6146" max="6146" width="8.42578125" style="168" bestFit="1" customWidth="1"/>
    <col min="6147" max="6149" width="11" style="168" customWidth="1"/>
    <col min="6150" max="6155" width="0" style="168" hidden="1" customWidth="1"/>
    <col min="6156" max="6156" width="9.140625" style="168" customWidth="1"/>
    <col min="6157" max="6395" width="11.42578125" style="168"/>
    <col min="6396" max="6396" width="18.140625" style="168" customWidth="1"/>
    <col min="6397" max="6397" width="9.7109375" style="168" bestFit="1" customWidth="1"/>
    <col min="6398" max="6398" width="9.140625" style="168" bestFit="1" customWidth="1"/>
    <col min="6399" max="6400" width="9.140625" style="168" customWidth="1"/>
    <col min="6401" max="6401" width="9.7109375" style="168" bestFit="1" customWidth="1"/>
    <col min="6402" max="6402" width="8.42578125" style="168" bestFit="1" customWidth="1"/>
    <col min="6403" max="6405" width="11" style="168" customWidth="1"/>
    <col min="6406" max="6411" width="0" style="168" hidden="1" customWidth="1"/>
    <col min="6412" max="6412" width="9.140625" style="168" customWidth="1"/>
    <col min="6413" max="6651" width="11.42578125" style="168"/>
    <col min="6652" max="6652" width="18.140625" style="168" customWidth="1"/>
    <col min="6653" max="6653" width="9.7109375" style="168" bestFit="1" customWidth="1"/>
    <col min="6654" max="6654" width="9.140625" style="168" bestFit="1" customWidth="1"/>
    <col min="6655" max="6656" width="9.140625" style="168" customWidth="1"/>
    <col min="6657" max="6657" width="9.7109375" style="168" bestFit="1" customWidth="1"/>
    <col min="6658" max="6658" width="8.42578125" style="168" bestFit="1" customWidth="1"/>
    <col min="6659" max="6661" width="11" style="168" customWidth="1"/>
    <col min="6662" max="6667" width="0" style="168" hidden="1" customWidth="1"/>
    <col min="6668" max="6668" width="9.140625" style="168" customWidth="1"/>
    <col min="6669" max="6907" width="11.42578125" style="168"/>
    <col min="6908" max="6908" width="18.140625" style="168" customWidth="1"/>
    <col min="6909" max="6909" width="9.7109375" style="168" bestFit="1" customWidth="1"/>
    <col min="6910" max="6910" width="9.140625" style="168" bestFit="1" customWidth="1"/>
    <col min="6911" max="6912" width="9.140625" style="168" customWidth="1"/>
    <col min="6913" max="6913" width="9.7109375" style="168" bestFit="1" customWidth="1"/>
    <col min="6914" max="6914" width="8.42578125" style="168" bestFit="1" customWidth="1"/>
    <col min="6915" max="6917" width="11" style="168" customWidth="1"/>
    <col min="6918" max="6923" width="0" style="168" hidden="1" customWidth="1"/>
    <col min="6924" max="6924" width="9.140625" style="168" customWidth="1"/>
    <col min="6925" max="7163" width="11.42578125" style="168"/>
    <col min="7164" max="7164" width="18.140625" style="168" customWidth="1"/>
    <col min="7165" max="7165" width="9.7109375" style="168" bestFit="1" customWidth="1"/>
    <col min="7166" max="7166" width="9.140625" style="168" bestFit="1" customWidth="1"/>
    <col min="7167" max="7168" width="9.140625" style="168" customWidth="1"/>
    <col min="7169" max="7169" width="9.7109375" style="168" bestFit="1" customWidth="1"/>
    <col min="7170" max="7170" width="8.42578125" style="168" bestFit="1" customWidth="1"/>
    <col min="7171" max="7173" width="11" style="168" customWidth="1"/>
    <col min="7174" max="7179" width="0" style="168" hidden="1" customWidth="1"/>
    <col min="7180" max="7180" width="9.140625" style="168" customWidth="1"/>
    <col min="7181" max="7419" width="11.42578125" style="168"/>
    <col min="7420" max="7420" width="18.140625" style="168" customWidth="1"/>
    <col min="7421" max="7421" width="9.7109375" style="168" bestFit="1" customWidth="1"/>
    <col min="7422" max="7422" width="9.140625" style="168" bestFit="1" customWidth="1"/>
    <col min="7423" max="7424" width="9.140625" style="168" customWidth="1"/>
    <col min="7425" max="7425" width="9.7109375" style="168" bestFit="1" customWidth="1"/>
    <col min="7426" max="7426" width="8.42578125" style="168" bestFit="1" customWidth="1"/>
    <col min="7427" max="7429" width="11" style="168" customWidth="1"/>
    <col min="7430" max="7435" width="0" style="168" hidden="1" customWidth="1"/>
    <col min="7436" max="7436" width="9.140625" style="168" customWidth="1"/>
    <col min="7437" max="7675" width="11.42578125" style="168"/>
    <col min="7676" max="7676" width="18.140625" style="168" customWidth="1"/>
    <col min="7677" max="7677" width="9.7109375" style="168" bestFit="1" customWidth="1"/>
    <col min="7678" max="7678" width="9.140625" style="168" bestFit="1" customWidth="1"/>
    <col min="7679" max="7680" width="9.140625" style="168" customWidth="1"/>
    <col min="7681" max="7681" width="9.7109375" style="168" bestFit="1" customWidth="1"/>
    <col min="7682" max="7682" width="8.42578125" style="168" bestFit="1" customWidth="1"/>
    <col min="7683" max="7685" width="11" style="168" customWidth="1"/>
    <col min="7686" max="7691" width="0" style="168" hidden="1" customWidth="1"/>
    <col min="7692" max="7692" width="9.140625" style="168" customWidth="1"/>
    <col min="7693" max="7931" width="11.42578125" style="168"/>
    <col min="7932" max="7932" width="18.140625" style="168" customWidth="1"/>
    <col min="7933" max="7933" width="9.7109375" style="168" bestFit="1" customWidth="1"/>
    <col min="7934" max="7934" width="9.140625" style="168" bestFit="1" customWidth="1"/>
    <col min="7935" max="7936" width="9.140625" style="168" customWidth="1"/>
    <col min="7937" max="7937" width="9.7109375" style="168" bestFit="1" customWidth="1"/>
    <col min="7938" max="7938" width="8.42578125" style="168" bestFit="1" customWidth="1"/>
    <col min="7939" max="7941" width="11" style="168" customWidth="1"/>
    <col min="7942" max="7947" width="0" style="168" hidden="1" customWidth="1"/>
    <col min="7948" max="7948" width="9.140625" style="168" customWidth="1"/>
    <col min="7949" max="8187" width="11.42578125" style="168"/>
    <col min="8188" max="8188" width="18.140625" style="168" customWidth="1"/>
    <col min="8189" max="8189" width="9.7109375" style="168" bestFit="1" customWidth="1"/>
    <col min="8190" max="8190" width="9.140625" style="168" bestFit="1" customWidth="1"/>
    <col min="8191" max="8192" width="9.140625" style="168" customWidth="1"/>
    <col min="8193" max="8193" width="9.7109375" style="168" bestFit="1" customWidth="1"/>
    <col min="8194" max="8194" width="8.42578125" style="168" bestFit="1" customWidth="1"/>
    <col min="8195" max="8197" width="11" style="168" customWidth="1"/>
    <col min="8198" max="8203" width="0" style="168" hidden="1" customWidth="1"/>
    <col min="8204" max="8204" width="9.140625" style="168" customWidth="1"/>
    <col min="8205" max="8443" width="11.42578125" style="168"/>
    <col min="8444" max="8444" width="18.140625" style="168" customWidth="1"/>
    <col min="8445" max="8445" width="9.7109375" style="168" bestFit="1" customWidth="1"/>
    <col min="8446" max="8446" width="9.140625" style="168" bestFit="1" customWidth="1"/>
    <col min="8447" max="8448" width="9.140625" style="168" customWidth="1"/>
    <col min="8449" max="8449" width="9.7109375" style="168" bestFit="1" customWidth="1"/>
    <col min="8450" max="8450" width="8.42578125" style="168" bestFit="1" customWidth="1"/>
    <col min="8451" max="8453" width="11" style="168" customWidth="1"/>
    <col min="8454" max="8459" width="0" style="168" hidden="1" customWidth="1"/>
    <col min="8460" max="8460" width="9.140625" style="168" customWidth="1"/>
    <col min="8461" max="8699" width="11.42578125" style="168"/>
    <col min="8700" max="8700" width="18.140625" style="168" customWidth="1"/>
    <col min="8701" max="8701" width="9.7109375" style="168" bestFit="1" customWidth="1"/>
    <col min="8702" max="8702" width="9.140625" style="168" bestFit="1" customWidth="1"/>
    <col min="8703" max="8704" width="9.140625" style="168" customWidth="1"/>
    <col min="8705" max="8705" width="9.7109375" style="168" bestFit="1" customWidth="1"/>
    <col min="8706" max="8706" width="8.42578125" style="168" bestFit="1" customWidth="1"/>
    <col min="8707" max="8709" width="11" style="168" customWidth="1"/>
    <col min="8710" max="8715" width="0" style="168" hidden="1" customWidth="1"/>
    <col min="8716" max="8716" width="9.140625" style="168" customWidth="1"/>
    <col min="8717" max="8955" width="11.42578125" style="168"/>
    <col min="8956" max="8956" width="18.140625" style="168" customWidth="1"/>
    <col min="8957" max="8957" width="9.7109375" style="168" bestFit="1" customWidth="1"/>
    <col min="8958" max="8958" width="9.140625" style="168" bestFit="1" customWidth="1"/>
    <col min="8959" max="8960" width="9.140625" style="168" customWidth="1"/>
    <col min="8961" max="8961" width="9.7109375" style="168" bestFit="1" customWidth="1"/>
    <col min="8962" max="8962" width="8.42578125" style="168" bestFit="1" customWidth="1"/>
    <col min="8963" max="8965" width="11" style="168" customWidth="1"/>
    <col min="8966" max="8971" width="0" style="168" hidden="1" customWidth="1"/>
    <col min="8972" max="8972" width="9.140625" style="168" customWidth="1"/>
    <col min="8973" max="9211" width="11.42578125" style="168"/>
    <col min="9212" max="9212" width="18.140625" style="168" customWidth="1"/>
    <col min="9213" max="9213" width="9.7109375" style="168" bestFit="1" customWidth="1"/>
    <col min="9214" max="9214" width="9.140625" style="168" bestFit="1" customWidth="1"/>
    <col min="9215" max="9216" width="9.140625" style="168" customWidth="1"/>
    <col min="9217" max="9217" width="9.7109375" style="168" bestFit="1" customWidth="1"/>
    <col min="9218" max="9218" width="8.42578125" style="168" bestFit="1" customWidth="1"/>
    <col min="9219" max="9221" width="11" style="168" customWidth="1"/>
    <col min="9222" max="9227" width="0" style="168" hidden="1" customWidth="1"/>
    <col min="9228" max="9228" width="9.140625" style="168" customWidth="1"/>
    <col min="9229" max="9467" width="11.42578125" style="168"/>
    <col min="9468" max="9468" width="18.140625" style="168" customWidth="1"/>
    <col min="9469" max="9469" width="9.7109375" style="168" bestFit="1" customWidth="1"/>
    <col min="9470" max="9470" width="9.140625" style="168" bestFit="1" customWidth="1"/>
    <col min="9471" max="9472" width="9.140625" style="168" customWidth="1"/>
    <col min="9473" max="9473" width="9.7109375" style="168" bestFit="1" customWidth="1"/>
    <col min="9474" max="9474" width="8.42578125" style="168" bestFit="1" customWidth="1"/>
    <col min="9475" max="9477" width="11" style="168" customWidth="1"/>
    <col min="9478" max="9483" width="0" style="168" hidden="1" customWidth="1"/>
    <col min="9484" max="9484" width="9.140625" style="168" customWidth="1"/>
    <col min="9485" max="9723" width="11.42578125" style="168"/>
    <col min="9724" max="9724" width="18.140625" style="168" customWidth="1"/>
    <col min="9725" max="9725" width="9.7109375" style="168" bestFit="1" customWidth="1"/>
    <col min="9726" max="9726" width="9.140625" style="168" bestFit="1" customWidth="1"/>
    <col min="9727" max="9728" width="9.140625" style="168" customWidth="1"/>
    <col min="9729" max="9729" width="9.7109375" style="168" bestFit="1" customWidth="1"/>
    <col min="9730" max="9730" width="8.42578125" style="168" bestFit="1" customWidth="1"/>
    <col min="9731" max="9733" width="11" style="168" customWidth="1"/>
    <col min="9734" max="9739" width="0" style="168" hidden="1" customWidth="1"/>
    <col min="9740" max="9740" width="9.140625" style="168" customWidth="1"/>
    <col min="9741" max="9979" width="11.42578125" style="168"/>
    <col min="9980" max="9980" width="18.140625" style="168" customWidth="1"/>
    <col min="9981" max="9981" width="9.7109375" style="168" bestFit="1" customWidth="1"/>
    <col min="9982" max="9982" width="9.140625" style="168" bestFit="1" customWidth="1"/>
    <col min="9983" max="9984" width="9.140625" style="168" customWidth="1"/>
    <col min="9985" max="9985" width="9.7109375" style="168" bestFit="1" customWidth="1"/>
    <col min="9986" max="9986" width="8.42578125" style="168" bestFit="1" customWidth="1"/>
    <col min="9987" max="9989" width="11" style="168" customWidth="1"/>
    <col min="9990" max="9995" width="0" style="168" hidden="1" customWidth="1"/>
    <col min="9996" max="9996" width="9.140625" style="168" customWidth="1"/>
    <col min="9997" max="10235" width="11.42578125" style="168"/>
    <col min="10236" max="10236" width="18.140625" style="168" customWidth="1"/>
    <col min="10237" max="10237" width="9.7109375" style="168" bestFit="1" customWidth="1"/>
    <col min="10238" max="10238" width="9.140625" style="168" bestFit="1" customWidth="1"/>
    <col min="10239" max="10240" width="9.140625" style="168" customWidth="1"/>
    <col min="10241" max="10241" width="9.7109375" style="168" bestFit="1" customWidth="1"/>
    <col min="10242" max="10242" width="8.42578125" style="168" bestFit="1" customWidth="1"/>
    <col min="10243" max="10245" width="11" style="168" customWidth="1"/>
    <col min="10246" max="10251" width="0" style="168" hidden="1" customWidth="1"/>
    <col min="10252" max="10252" width="9.140625" style="168" customWidth="1"/>
    <col min="10253" max="10491" width="11.42578125" style="168"/>
    <col min="10492" max="10492" width="18.140625" style="168" customWidth="1"/>
    <col min="10493" max="10493" width="9.7109375" style="168" bestFit="1" customWidth="1"/>
    <col min="10494" max="10494" width="9.140625" style="168" bestFit="1" customWidth="1"/>
    <col min="10495" max="10496" width="9.140625" style="168" customWidth="1"/>
    <col min="10497" max="10497" width="9.7109375" style="168" bestFit="1" customWidth="1"/>
    <col min="10498" max="10498" width="8.42578125" style="168" bestFit="1" customWidth="1"/>
    <col min="10499" max="10501" width="11" style="168" customWidth="1"/>
    <col min="10502" max="10507" width="0" style="168" hidden="1" customWidth="1"/>
    <col min="10508" max="10508" width="9.140625" style="168" customWidth="1"/>
    <col min="10509" max="10747" width="11.42578125" style="168"/>
    <col min="10748" max="10748" width="18.140625" style="168" customWidth="1"/>
    <col min="10749" max="10749" width="9.7109375" style="168" bestFit="1" customWidth="1"/>
    <col min="10750" max="10750" width="9.140625" style="168" bestFit="1" customWidth="1"/>
    <col min="10751" max="10752" width="9.140625" style="168" customWidth="1"/>
    <col min="10753" max="10753" width="9.7109375" style="168" bestFit="1" customWidth="1"/>
    <col min="10754" max="10754" width="8.42578125" style="168" bestFit="1" customWidth="1"/>
    <col min="10755" max="10757" width="11" style="168" customWidth="1"/>
    <col min="10758" max="10763" width="0" style="168" hidden="1" customWidth="1"/>
    <col min="10764" max="10764" width="9.140625" style="168" customWidth="1"/>
    <col min="10765" max="11003" width="11.42578125" style="168"/>
    <col min="11004" max="11004" width="18.140625" style="168" customWidth="1"/>
    <col min="11005" max="11005" width="9.7109375" style="168" bestFit="1" customWidth="1"/>
    <col min="11006" max="11006" width="9.140625" style="168" bestFit="1" customWidth="1"/>
    <col min="11007" max="11008" width="9.140625" style="168" customWidth="1"/>
    <col min="11009" max="11009" width="9.7109375" style="168" bestFit="1" customWidth="1"/>
    <col min="11010" max="11010" width="8.42578125" style="168" bestFit="1" customWidth="1"/>
    <col min="11011" max="11013" width="11" style="168" customWidth="1"/>
    <col min="11014" max="11019" width="0" style="168" hidden="1" customWidth="1"/>
    <col min="11020" max="11020" width="9.140625" style="168" customWidth="1"/>
    <col min="11021" max="11259" width="11.42578125" style="168"/>
    <col min="11260" max="11260" width="18.140625" style="168" customWidth="1"/>
    <col min="11261" max="11261" width="9.7109375" style="168" bestFit="1" customWidth="1"/>
    <col min="11262" max="11262" width="9.140625" style="168" bestFit="1" customWidth="1"/>
    <col min="11263" max="11264" width="9.140625" style="168" customWidth="1"/>
    <col min="11265" max="11265" width="9.7109375" style="168" bestFit="1" customWidth="1"/>
    <col min="11266" max="11266" width="8.42578125" style="168" bestFit="1" customWidth="1"/>
    <col min="11267" max="11269" width="11" style="168" customWidth="1"/>
    <col min="11270" max="11275" width="0" style="168" hidden="1" customWidth="1"/>
    <col min="11276" max="11276" width="9.140625" style="168" customWidth="1"/>
    <col min="11277" max="11515" width="11.42578125" style="168"/>
    <col min="11516" max="11516" width="18.140625" style="168" customWidth="1"/>
    <col min="11517" max="11517" width="9.7109375" style="168" bestFit="1" customWidth="1"/>
    <col min="11518" max="11518" width="9.140625" style="168" bestFit="1" customWidth="1"/>
    <col min="11519" max="11520" width="9.140625" style="168" customWidth="1"/>
    <col min="11521" max="11521" width="9.7109375" style="168" bestFit="1" customWidth="1"/>
    <col min="11522" max="11522" width="8.42578125" style="168" bestFit="1" customWidth="1"/>
    <col min="11523" max="11525" width="11" style="168" customWidth="1"/>
    <col min="11526" max="11531" width="0" style="168" hidden="1" customWidth="1"/>
    <col min="11532" max="11532" width="9.140625" style="168" customWidth="1"/>
    <col min="11533" max="11771" width="11.42578125" style="168"/>
    <col min="11772" max="11772" width="18.140625" style="168" customWidth="1"/>
    <col min="11773" max="11773" width="9.7109375" style="168" bestFit="1" customWidth="1"/>
    <col min="11774" max="11774" width="9.140625" style="168" bestFit="1" customWidth="1"/>
    <col min="11775" max="11776" width="9.140625" style="168" customWidth="1"/>
    <col min="11777" max="11777" width="9.7109375" style="168" bestFit="1" customWidth="1"/>
    <col min="11778" max="11778" width="8.42578125" style="168" bestFit="1" customWidth="1"/>
    <col min="11779" max="11781" width="11" style="168" customWidth="1"/>
    <col min="11782" max="11787" width="0" style="168" hidden="1" customWidth="1"/>
    <col min="11788" max="11788" width="9.140625" style="168" customWidth="1"/>
    <col min="11789" max="12027" width="11.42578125" style="168"/>
    <col min="12028" max="12028" width="18.140625" style="168" customWidth="1"/>
    <col min="12029" max="12029" width="9.7109375" style="168" bestFit="1" customWidth="1"/>
    <col min="12030" max="12030" width="9.140625" style="168" bestFit="1" customWidth="1"/>
    <col min="12031" max="12032" width="9.140625" style="168" customWidth="1"/>
    <col min="12033" max="12033" width="9.7109375" style="168" bestFit="1" customWidth="1"/>
    <col min="12034" max="12034" width="8.42578125" style="168" bestFit="1" customWidth="1"/>
    <col min="12035" max="12037" width="11" style="168" customWidth="1"/>
    <col min="12038" max="12043" width="0" style="168" hidden="1" customWidth="1"/>
    <col min="12044" max="12044" width="9.140625" style="168" customWidth="1"/>
    <col min="12045" max="12283" width="11.42578125" style="168"/>
    <col min="12284" max="12284" width="18.140625" style="168" customWidth="1"/>
    <col min="12285" max="12285" width="9.7109375" style="168" bestFit="1" customWidth="1"/>
    <col min="12286" max="12286" width="9.140625" style="168" bestFit="1" customWidth="1"/>
    <col min="12287" max="12288" width="9.140625" style="168" customWidth="1"/>
    <col min="12289" max="12289" width="9.7109375" style="168" bestFit="1" customWidth="1"/>
    <col min="12290" max="12290" width="8.42578125" style="168" bestFit="1" customWidth="1"/>
    <col min="12291" max="12293" width="11" style="168" customWidth="1"/>
    <col min="12294" max="12299" width="0" style="168" hidden="1" customWidth="1"/>
    <col min="12300" max="12300" width="9.140625" style="168" customWidth="1"/>
    <col min="12301" max="12539" width="11.42578125" style="168"/>
    <col min="12540" max="12540" width="18.140625" style="168" customWidth="1"/>
    <col min="12541" max="12541" width="9.7109375" style="168" bestFit="1" customWidth="1"/>
    <col min="12542" max="12542" width="9.140625" style="168" bestFit="1" customWidth="1"/>
    <col min="12543" max="12544" width="9.140625" style="168" customWidth="1"/>
    <col min="12545" max="12545" width="9.7109375" style="168" bestFit="1" customWidth="1"/>
    <col min="12546" max="12546" width="8.42578125" style="168" bestFit="1" customWidth="1"/>
    <col min="12547" max="12549" width="11" style="168" customWidth="1"/>
    <col min="12550" max="12555" width="0" style="168" hidden="1" customWidth="1"/>
    <col min="12556" max="12556" width="9.140625" style="168" customWidth="1"/>
    <col min="12557" max="12795" width="11.42578125" style="168"/>
    <col min="12796" max="12796" width="18.140625" style="168" customWidth="1"/>
    <col min="12797" max="12797" width="9.7109375" style="168" bestFit="1" customWidth="1"/>
    <col min="12798" max="12798" width="9.140625" style="168" bestFit="1" customWidth="1"/>
    <col min="12799" max="12800" width="9.140625" style="168" customWidth="1"/>
    <col min="12801" max="12801" width="9.7109375" style="168" bestFit="1" customWidth="1"/>
    <col min="12802" max="12802" width="8.42578125" style="168" bestFit="1" customWidth="1"/>
    <col min="12803" max="12805" width="11" style="168" customWidth="1"/>
    <col min="12806" max="12811" width="0" style="168" hidden="1" customWidth="1"/>
    <col min="12812" max="12812" width="9.140625" style="168" customWidth="1"/>
    <col min="12813" max="13051" width="11.42578125" style="168"/>
    <col min="13052" max="13052" width="18.140625" style="168" customWidth="1"/>
    <col min="13053" max="13053" width="9.7109375" style="168" bestFit="1" customWidth="1"/>
    <col min="13054" max="13054" width="9.140625" style="168" bestFit="1" customWidth="1"/>
    <col min="13055" max="13056" width="9.140625" style="168" customWidth="1"/>
    <col min="13057" max="13057" width="9.7109375" style="168" bestFit="1" customWidth="1"/>
    <col min="13058" max="13058" width="8.42578125" style="168" bestFit="1" customWidth="1"/>
    <col min="13059" max="13061" width="11" style="168" customWidth="1"/>
    <col min="13062" max="13067" width="0" style="168" hidden="1" customWidth="1"/>
    <col min="13068" max="13068" width="9.140625" style="168" customWidth="1"/>
    <col min="13069" max="13307" width="11.42578125" style="168"/>
    <col min="13308" max="13308" width="18.140625" style="168" customWidth="1"/>
    <col min="13309" max="13309" width="9.7109375" style="168" bestFit="1" customWidth="1"/>
    <col min="13310" max="13310" width="9.140625" style="168" bestFit="1" customWidth="1"/>
    <col min="13311" max="13312" width="9.140625" style="168" customWidth="1"/>
    <col min="13313" max="13313" width="9.7109375" style="168" bestFit="1" customWidth="1"/>
    <col min="13314" max="13314" width="8.42578125" style="168" bestFit="1" customWidth="1"/>
    <col min="13315" max="13317" width="11" style="168" customWidth="1"/>
    <col min="13318" max="13323" width="0" style="168" hidden="1" customWidth="1"/>
    <col min="13324" max="13324" width="9.140625" style="168" customWidth="1"/>
    <col min="13325" max="13563" width="11.42578125" style="168"/>
    <col min="13564" max="13564" width="18.140625" style="168" customWidth="1"/>
    <col min="13565" max="13565" width="9.7109375" style="168" bestFit="1" customWidth="1"/>
    <col min="13566" max="13566" width="9.140625" style="168" bestFit="1" customWidth="1"/>
    <col min="13567" max="13568" width="9.140625" style="168" customWidth="1"/>
    <col min="13569" max="13569" width="9.7109375" style="168" bestFit="1" customWidth="1"/>
    <col min="13570" max="13570" width="8.42578125" style="168" bestFit="1" customWidth="1"/>
    <col min="13571" max="13573" width="11" style="168" customWidth="1"/>
    <col min="13574" max="13579" width="0" style="168" hidden="1" customWidth="1"/>
    <col min="13580" max="13580" width="9.140625" style="168" customWidth="1"/>
    <col min="13581" max="13819" width="11.42578125" style="168"/>
    <col min="13820" max="13820" width="18.140625" style="168" customWidth="1"/>
    <col min="13821" max="13821" width="9.7109375" style="168" bestFit="1" customWidth="1"/>
    <col min="13822" max="13822" width="9.140625" style="168" bestFit="1" customWidth="1"/>
    <col min="13823" max="13824" width="9.140625" style="168" customWidth="1"/>
    <col min="13825" max="13825" width="9.7109375" style="168" bestFit="1" customWidth="1"/>
    <col min="13826" max="13826" width="8.42578125" style="168" bestFit="1" customWidth="1"/>
    <col min="13827" max="13829" width="11" style="168" customWidth="1"/>
    <col min="13830" max="13835" width="0" style="168" hidden="1" customWidth="1"/>
    <col min="13836" max="13836" width="9.140625" style="168" customWidth="1"/>
    <col min="13837" max="14075" width="11.42578125" style="168"/>
    <col min="14076" max="14076" width="18.140625" style="168" customWidth="1"/>
    <col min="14077" max="14077" width="9.7109375" style="168" bestFit="1" customWidth="1"/>
    <col min="14078" max="14078" width="9.140625" style="168" bestFit="1" customWidth="1"/>
    <col min="14079" max="14080" width="9.140625" style="168" customWidth="1"/>
    <col min="14081" max="14081" width="9.7109375" style="168" bestFit="1" customWidth="1"/>
    <col min="14082" max="14082" width="8.42578125" style="168" bestFit="1" customWidth="1"/>
    <col min="14083" max="14085" width="11" style="168" customWidth="1"/>
    <col min="14086" max="14091" width="0" style="168" hidden="1" customWidth="1"/>
    <col min="14092" max="14092" width="9.140625" style="168" customWidth="1"/>
    <col min="14093" max="14331" width="11.42578125" style="168"/>
    <col min="14332" max="14332" width="18.140625" style="168" customWidth="1"/>
    <col min="14333" max="14333" width="9.7109375" style="168" bestFit="1" customWidth="1"/>
    <col min="14334" max="14334" width="9.140625" style="168" bestFit="1" customWidth="1"/>
    <col min="14335" max="14336" width="9.140625" style="168" customWidth="1"/>
    <col min="14337" max="14337" width="9.7109375" style="168" bestFit="1" customWidth="1"/>
    <col min="14338" max="14338" width="8.42578125" style="168" bestFit="1" customWidth="1"/>
    <col min="14339" max="14341" width="11" style="168" customWidth="1"/>
    <col min="14342" max="14347" width="0" style="168" hidden="1" customWidth="1"/>
    <col min="14348" max="14348" width="9.140625" style="168" customWidth="1"/>
    <col min="14349" max="14587" width="11.42578125" style="168"/>
    <col min="14588" max="14588" width="18.140625" style="168" customWidth="1"/>
    <col min="14589" max="14589" width="9.7109375" style="168" bestFit="1" customWidth="1"/>
    <col min="14590" max="14590" width="9.140625" style="168" bestFit="1" customWidth="1"/>
    <col min="14591" max="14592" width="9.140625" style="168" customWidth="1"/>
    <col min="14593" max="14593" width="9.7109375" style="168" bestFit="1" customWidth="1"/>
    <col min="14594" max="14594" width="8.42578125" style="168" bestFit="1" customWidth="1"/>
    <col min="14595" max="14597" width="11" style="168" customWidth="1"/>
    <col min="14598" max="14603" width="0" style="168" hidden="1" customWidth="1"/>
    <col min="14604" max="14604" width="9.140625" style="168" customWidth="1"/>
    <col min="14605" max="14843" width="11.42578125" style="168"/>
    <col min="14844" max="14844" width="18.140625" style="168" customWidth="1"/>
    <col min="14845" max="14845" width="9.7109375" style="168" bestFit="1" customWidth="1"/>
    <col min="14846" max="14846" width="9.140625" style="168" bestFit="1" customWidth="1"/>
    <col min="14847" max="14848" width="9.140625" style="168" customWidth="1"/>
    <col min="14849" max="14849" width="9.7109375" style="168" bestFit="1" customWidth="1"/>
    <col min="14850" max="14850" width="8.42578125" style="168" bestFit="1" customWidth="1"/>
    <col min="14851" max="14853" width="11" style="168" customWidth="1"/>
    <col min="14854" max="14859" width="0" style="168" hidden="1" customWidth="1"/>
    <col min="14860" max="14860" width="9.140625" style="168" customWidth="1"/>
    <col min="14861" max="15099" width="11.42578125" style="168"/>
    <col min="15100" max="15100" width="18.140625" style="168" customWidth="1"/>
    <col min="15101" max="15101" width="9.7109375" style="168" bestFit="1" customWidth="1"/>
    <col min="15102" max="15102" width="9.140625" style="168" bestFit="1" customWidth="1"/>
    <col min="15103" max="15104" width="9.140625" style="168" customWidth="1"/>
    <col min="15105" max="15105" width="9.7109375" style="168" bestFit="1" customWidth="1"/>
    <col min="15106" max="15106" width="8.42578125" style="168" bestFit="1" customWidth="1"/>
    <col min="15107" max="15109" width="11" style="168" customWidth="1"/>
    <col min="15110" max="15115" width="0" style="168" hidden="1" customWidth="1"/>
    <col min="15116" max="15116" width="9.140625" style="168" customWidth="1"/>
    <col min="15117" max="15355" width="11.42578125" style="168"/>
    <col min="15356" max="15356" width="18.140625" style="168" customWidth="1"/>
    <col min="15357" max="15357" width="9.7109375" style="168" bestFit="1" customWidth="1"/>
    <col min="15358" max="15358" width="9.140625" style="168" bestFit="1" customWidth="1"/>
    <col min="15359" max="15360" width="9.140625" style="168" customWidth="1"/>
    <col min="15361" max="15361" width="9.7109375" style="168" bestFit="1" customWidth="1"/>
    <col min="15362" max="15362" width="8.42578125" style="168" bestFit="1" customWidth="1"/>
    <col min="15363" max="15365" width="11" style="168" customWidth="1"/>
    <col min="15366" max="15371" width="0" style="168" hidden="1" customWidth="1"/>
    <col min="15372" max="15372" width="9.140625" style="168" customWidth="1"/>
    <col min="15373" max="15611" width="11.42578125" style="168"/>
    <col min="15612" max="15612" width="18.140625" style="168" customWidth="1"/>
    <col min="15613" max="15613" width="9.7109375" style="168" bestFit="1" customWidth="1"/>
    <col min="15614" max="15614" width="9.140625" style="168" bestFit="1" customWidth="1"/>
    <col min="15615" max="15616" width="9.140625" style="168" customWidth="1"/>
    <col min="15617" max="15617" width="9.7109375" style="168" bestFit="1" customWidth="1"/>
    <col min="15618" max="15618" width="8.42578125" style="168" bestFit="1" customWidth="1"/>
    <col min="15619" max="15621" width="11" style="168" customWidth="1"/>
    <col min="15622" max="15627" width="0" style="168" hidden="1" customWidth="1"/>
    <col min="15628" max="15628" width="9.140625" style="168" customWidth="1"/>
    <col min="15629" max="15867" width="11.42578125" style="168"/>
    <col min="15868" max="15868" width="18.140625" style="168" customWidth="1"/>
    <col min="15869" max="15869" width="9.7109375" style="168" bestFit="1" customWidth="1"/>
    <col min="15870" max="15870" width="9.140625" style="168" bestFit="1" customWidth="1"/>
    <col min="15871" max="15872" width="9.140625" style="168" customWidth="1"/>
    <col min="15873" max="15873" width="9.7109375" style="168" bestFit="1" customWidth="1"/>
    <col min="15874" max="15874" width="8.42578125" style="168" bestFit="1" customWidth="1"/>
    <col min="15875" max="15877" width="11" style="168" customWidth="1"/>
    <col min="15878" max="15883" width="0" style="168" hidden="1" customWidth="1"/>
    <col min="15884" max="15884" width="9.140625" style="168" customWidth="1"/>
    <col min="15885" max="16123" width="11.42578125" style="168"/>
    <col min="16124" max="16124" width="18.140625" style="168" customWidth="1"/>
    <col min="16125" max="16125" width="9.7109375" style="168" bestFit="1" customWidth="1"/>
    <col min="16126" max="16126" width="9.140625" style="168" bestFit="1" customWidth="1"/>
    <col min="16127" max="16128" width="9.140625" style="168" customWidth="1"/>
    <col min="16129" max="16129" width="9.7109375" style="168" bestFit="1" customWidth="1"/>
    <col min="16130" max="16130" width="8.42578125" style="168" bestFit="1" customWidth="1"/>
    <col min="16131" max="16133" width="11" style="168" customWidth="1"/>
    <col min="16134" max="16139" width="0" style="168" hidden="1" customWidth="1"/>
    <col min="16140" max="16140" width="9.140625" style="168" customWidth="1"/>
    <col min="16141" max="16384" width="11.42578125" style="168"/>
  </cols>
  <sheetData>
    <row r="1" spans="1:16" s="169" customFormat="1" x14ac:dyDescent="0.2">
      <c r="B1" s="182"/>
      <c r="C1" s="182"/>
      <c r="D1" s="182"/>
      <c r="E1" s="182"/>
      <c r="F1" s="182"/>
      <c r="G1" s="182"/>
      <c r="H1" s="182"/>
      <c r="I1" s="182"/>
      <c r="J1" s="182"/>
      <c r="K1" s="182"/>
      <c r="L1" s="182"/>
    </row>
    <row r="2" spans="1:16" s="169" customFormat="1" x14ac:dyDescent="0.2">
      <c r="A2" s="196" t="s">
        <v>121</v>
      </c>
      <c r="B2" s="182"/>
      <c r="C2" s="182"/>
      <c r="D2" s="182"/>
      <c r="E2" s="182"/>
      <c r="F2" s="182"/>
      <c r="G2" s="182"/>
      <c r="H2" s="182"/>
      <c r="I2" s="182"/>
      <c r="K2" s="182"/>
      <c r="L2" s="182"/>
    </row>
    <row r="3" spans="1:16" s="169" customFormat="1" ht="15" x14ac:dyDescent="0.25">
      <c r="A3" s="196" t="s">
        <v>122</v>
      </c>
      <c r="B3" s="182"/>
      <c r="C3" s="182"/>
      <c r="D3" s="182"/>
      <c r="E3" s="182"/>
      <c r="F3" s="182"/>
      <c r="G3" s="182"/>
      <c r="H3" s="182"/>
      <c r="I3" s="182"/>
      <c r="J3" s="337"/>
      <c r="K3" s="182"/>
      <c r="L3" s="182"/>
    </row>
    <row r="4" spans="1:16" s="169" customFormat="1" x14ac:dyDescent="0.2">
      <c r="B4" s="182"/>
      <c r="C4" s="182"/>
      <c r="D4" s="182"/>
      <c r="E4" s="182"/>
      <c r="F4" s="182"/>
      <c r="G4" s="182"/>
      <c r="H4" s="182"/>
      <c r="I4" s="182"/>
      <c r="J4" s="182"/>
      <c r="K4" s="182"/>
      <c r="L4" s="182"/>
    </row>
    <row r="5" spans="1:16" s="169" customFormat="1" ht="12.75" x14ac:dyDescent="0.2">
      <c r="B5" s="418" t="s">
        <v>140</v>
      </c>
      <c r="C5" s="418"/>
      <c r="D5" s="418"/>
      <c r="E5" s="418"/>
      <c r="F5" s="418"/>
      <c r="G5" s="418"/>
      <c r="H5" s="418"/>
      <c r="I5" s="418"/>
      <c r="J5" s="418"/>
      <c r="K5" s="418"/>
      <c r="M5" s="367" t="s">
        <v>593</v>
      </c>
      <c r="O5" s="338"/>
    </row>
    <row r="6" spans="1:16" s="169" customFormat="1" ht="12.75" x14ac:dyDescent="0.2">
      <c r="B6" s="431" t="str">
        <f>'Solicitudes Regiones'!$B$6:$P$6</f>
        <v>Acumuladas de julio de 2008 a noviembre de 2018</v>
      </c>
      <c r="C6" s="431"/>
      <c r="D6" s="431"/>
      <c r="E6" s="431"/>
      <c r="F6" s="431"/>
      <c r="G6" s="431"/>
      <c r="H6" s="431"/>
      <c r="I6" s="431"/>
      <c r="J6" s="431"/>
      <c r="K6" s="431"/>
      <c r="L6" s="210"/>
    </row>
    <row r="7" spans="1:16" x14ac:dyDescent="0.2">
      <c r="B7" s="170"/>
    </row>
    <row r="8" spans="1:16" ht="15" customHeight="1" x14ac:dyDescent="0.2">
      <c r="B8" s="447" t="s">
        <v>73</v>
      </c>
      <c r="C8" s="448"/>
      <c r="D8" s="448"/>
      <c r="E8" s="448"/>
      <c r="F8" s="448"/>
      <c r="G8" s="448"/>
      <c r="H8" s="448"/>
      <c r="I8" s="448"/>
      <c r="J8" s="448"/>
      <c r="K8" s="449"/>
      <c r="L8" s="187"/>
    </row>
    <row r="9" spans="1:16" ht="20.25" customHeight="1" x14ac:dyDescent="0.2">
      <c r="B9" s="446" t="s">
        <v>74</v>
      </c>
      <c r="C9" s="447" t="s">
        <v>2</v>
      </c>
      <c r="D9" s="448"/>
      <c r="E9" s="448"/>
      <c r="F9" s="448"/>
      <c r="G9" s="448"/>
      <c r="H9" s="448"/>
      <c r="I9" s="448"/>
      <c r="J9" s="448"/>
      <c r="K9" s="449"/>
    </row>
    <row r="10" spans="1:16" ht="24" x14ac:dyDescent="0.2">
      <c r="B10" s="446"/>
      <c r="C10" s="165" t="s">
        <v>75</v>
      </c>
      <c r="D10" s="165" t="s">
        <v>76</v>
      </c>
      <c r="E10" s="165" t="s">
        <v>77</v>
      </c>
      <c r="F10" s="165" t="s">
        <v>78</v>
      </c>
      <c r="G10" s="165" t="s">
        <v>8</v>
      </c>
      <c r="H10" s="165" t="s">
        <v>79</v>
      </c>
      <c r="I10" s="165" t="s">
        <v>80</v>
      </c>
      <c r="J10" s="165" t="s">
        <v>81</v>
      </c>
      <c r="K10" s="226" t="s">
        <v>46</v>
      </c>
    </row>
    <row r="11" spans="1:16" ht="15.75" customHeight="1" x14ac:dyDescent="0.2">
      <c r="B11" s="160" t="s">
        <v>282</v>
      </c>
      <c r="C11" s="160">
        <v>1954</v>
      </c>
      <c r="D11" s="160">
        <v>1163</v>
      </c>
      <c r="E11" s="160">
        <f>C11+D11</f>
        <v>3117</v>
      </c>
      <c r="F11" s="161">
        <f t="shared" ref="F11:F43" si="0">E11/$E$44</f>
        <v>4.2260968599164811E-2</v>
      </c>
      <c r="G11" s="160">
        <v>6428</v>
      </c>
      <c r="H11" s="160">
        <v>346</v>
      </c>
      <c r="I11" s="160">
        <f>G11+H11</f>
        <v>6774</v>
      </c>
      <c r="J11" s="161">
        <f t="shared" ref="J11:J43" si="1">I11/$I$44</f>
        <v>5.2591534424396756E-2</v>
      </c>
      <c r="K11" s="160">
        <f t="shared" ref="K11:K43" si="2">E11+I11</f>
        <v>9891</v>
      </c>
      <c r="P11" s="173"/>
    </row>
    <row r="12" spans="1:16" x14ac:dyDescent="0.2">
      <c r="B12" s="160" t="s">
        <v>283</v>
      </c>
      <c r="C12" s="160">
        <v>1593</v>
      </c>
      <c r="D12" s="160">
        <v>1030</v>
      </c>
      <c r="E12" s="160">
        <f t="shared" ref="E12:E43" si="3">C12+D12</f>
        <v>2623</v>
      </c>
      <c r="F12" s="161">
        <f t="shared" si="0"/>
        <v>3.5563208416942348E-2</v>
      </c>
      <c r="G12" s="160">
        <v>5186</v>
      </c>
      <c r="H12" s="160">
        <v>208</v>
      </c>
      <c r="I12" s="160">
        <f t="shared" ref="I12:I43" si="4">G12+H12</f>
        <v>5394</v>
      </c>
      <c r="J12" s="161">
        <f t="shared" si="1"/>
        <v>4.1877581441570139E-2</v>
      </c>
      <c r="K12" s="160">
        <f t="shared" si="2"/>
        <v>8017</v>
      </c>
      <c r="P12" s="173"/>
    </row>
    <row r="13" spans="1:16" x14ac:dyDescent="0.2">
      <c r="B13" s="160" t="s">
        <v>284</v>
      </c>
      <c r="C13" s="160">
        <v>2166</v>
      </c>
      <c r="D13" s="160">
        <v>1219</v>
      </c>
      <c r="E13" s="160">
        <f t="shared" si="3"/>
        <v>3385</v>
      </c>
      <c r="F13" s="161">
        <f t="shared" si="0"/>
        <v>4.5894571289115463E-2</v>
      </c>
      <c r="G13" s="160">
        <v>7989</v>
      </c>
      <c r="H13" s="160">
        <v>340</v>
      </c>
      <c r="I13" s="160">
        <f t="shared" si="4"/>
        <v>8329</v>
      </c>
      <c r="J13" s="161">
        <f t="shared" si="1"/>
        <v>6.4664140865190525E-2</v>
      </c>
      <c r="K13" s="160">
        <f t="shared" si="2"/>
        <v>11714</v>
      </c>
      <c r="P13" s="173"/>
    </row>
    <row r="14" spans="1:16" x14ac:dyDescent="0.2">
      <c r="B14" s="160" t="s">
        <v>285</v>
      </c>
      <c r="C14" s="160">
        <v>5438</v>
      </c>
      <c r="D14" s="160">
        <v>3725</v>
      </c>
      <c r="E14" s="160">
        <f t="shared" si="3"/>
        <v>9163</v>
      </c>
      <c r="F14" s="161">
        <f t="shared" si="0"/>
        <v>0.12423396062693205</v>
      </c>
      <c r="G14" s="160">
        <v>14565</v>
      </c>
      <c r="H14" s="160">
        <v>1114</v>
      </c>
      <c r="I14" s="160">
        <f t="shared" si="4"/>
        <v>15679</v>
      </c>
      <c r="J14" s="161">
        <f t="shared" si="1"/>
        <v>0.12172758609981056</v>
      </c>
      <c r="K14" s="160">
        <f t="shared" si="2"/>
        <v>24842</v>
      </c>
      <c r="P14" s="173"/>
    </row>
    <row r="15" spans="1:16" x14ac:dyDescent="0.2">
      <c r="B15" s="160" t="s">
        <v>286</v>
      </c>
      <c r="C15" s="160">
        <v>988</v>
      </c>
      <c r="D15" s="160">
        <v>904</v>
      </c>
      <c r="E15" s="160">
        <f t="shared" si="3"/>
        <v>1892</v>
      </c>
      <c r="F15" s="161">
        <f t="shared" si="0"/>
        <v>2.5652150333532187E-2</v>
      </c>
      <c r="G15" s="160">
        <v>2017</v>
      </c>
      <c r="H15" s="160">
        <v>192</v>
      </c>
      <c r="I15" s="160">
        <f t="shared" si="4"/>
        <v>2209</v>
      </c>
      <c r="J15" s="161">
        <f t="shared" si="1"/>
        <v>1.7150088506568118E-2</v>
      </c>
      <c r="K15" s="160">
        <f t="shared" si="2"/>
        <v>4101</v>
      </c>
      <c r="P15" s="173"/>
    </row>
    <row r="16" spans="1:16" x14ac:dyDescent="0.2">
      <c r="B16" s="160" t="s">
        <v>287</v>
      </c>
      <c r="C16" s="160">
        <v>527</v>
      </c>
      <c r="D16" s="160">
        <v>434</v>
      </c>
      <c r="E16" s="160">
        <f t="shared" si="3"/>
        <v>961</v>
      </c>
      <c r="F16" s="161">
        <f t="shared" si="0"/>
        <v>1.3029448451651391E-2</v>
      </c>
      <c r="G16" s="160">
        <v>1126</v>
      </c>
      <c r="H16" s="160">
        <v>96</v>
      </c>
      <c r="I16" s="160">
        <f t="shared" si="4"/>
        <v>1222</v>
      </c>
      <c r="J16" s="161">
        <f t="shared" si="1"/>
        <v>9.4872830036334278E-3</v>
      </c>
      <c r="K16" s="160">
        <f t="shared" si="2"/>
        <v>2183</v>
      </c>
      <c r="P16" s="173"/>
    </row>
    <row r="17" spans="2:16" x14ac:dyDescent="0.2">
      <c r="B17" s="160" t="s">
        <v>288</v>
      </c>
      <c r="C17" s="160">
        <v>131</v>
      </c>
      <c r="D17" s="160">
        <v>203</v>
      </c>
      <c r="E17" s="160">
        <f t="shared" si="3"/>
        <v>334</v>
      </c>
      <c r="F17" s="161">
        <f t="shared" si="0"/>
        <v>4.5284451434459572E-3</v>
      </c>
      <c r="G17" s="160">
        <v>215</v>
      </c>
      <c r="H17" s="160">
        <v>59</v>
      </c>
      <c r="I17" s="160">
        <f t="shared" si="4"/>
        <v>274</v>
      </c>
      <c r="J17" s="161">
        <f t="shared" si="1"/>
        <v>2.127263128474271E-3</v>
      </c>
      <c r="K17" s="160">
        <f t="shared" si="2"/>
        <v>608</v>
      </c>
      <c r="P17" s="173"/>
    </row>
    <row r="18" spans="2:16" x14ac:dyDescent="0.2">
      <c r="B18" s="160" t="s">
        <v>293</v>
      </c>
      <c r="C18" s="160">
        <v>3015</v>
      </c>
      <c r="D18" s="160">
        <v>2071</v>
      </c>
      <c r="E18" s="160">
        <f t="shared" si="3"/>
        <v>5086</v>
      </c>
      <c r="F18" s="161">
        <f t="shared" si="0"/>
        <v>6.8957101795108194E-2</v>
      </c>
      <c r="G18" s="160">
        <v>8633</v>
      </c>
      <c r="H18" s="160">
        <v>451</v>
      </c>
      <c r="I18" s="160">
        <f t="shared" si="4"/>
        <v>9084</v>
      </c>
      <c r="J18" s="161">
        <f t="shared" si="1"/>
        <v>7.0525760069563057E-2</v>
      </c>
      <c r="K18" s="160">
        <f t="shared" si="2"/>
        <v>14170</v>
      </c>
      <c r="P18" s="173"/>
    </row>
    <row r="19" spans="2:16" x14ac:dyDescent="0.2">
      <c r="B19" s="160" t="s">
        <v>294</v>
      </c>
      <c r="C19" s="160">
        <v>667</v>
      </c>
      <c r="D19" s="160">
        <v>590</v>
      </c>
      <c r="E19" s="160">
        <f t="shared" si="3"/>
        <v>1257</v>
      </c>
      <c r="F19" s="161">
        <f t="shared" si="0"/>
        <v>1.7042681273387927E-2</v>
      </c>
      <c r="G19" s="160">
        <v>1664</v>
      </c>
      <c r="H19" s="160">
        <v>117</v>
      </c>
      <c r="I19" s="160">
        <f t="shared" si="4"/>
        <v>1781</v>
      </c>
      <c r="J19" s="161">
        <f t="shared" si="1"/>
        <v>1.3827210335082761E-2</v>
      </c>
      <c r="K19" s="160">
        <f t="shared" si="2"/>
        <v>3038</v>
      </c>
      <c r="P19" s="173"/>
    </row>
    <row r="20" spans="2:16" x14ac:dyDescent="0.2">
      <c r="B20" s="160" t="s">
        <v>295</v>
      </c>
      <c r="C20" s="160">
        <v>1167</v>
      </c>
      <c r="D20" s="160">
        <v>1071</v>
      </c>
      <c r="E20" s="160">
        <f t="shared" si="3"/>
        <v>2238</v>
      </c>
      <c r="F20" s="161">
        <f t="shared" si="0"/>
        <v>3.0343294104886381E-2</v>
      </c>
      <c r="G20" s="160">
        <v>4290</v>
      </c>
      <c r="H20" s="160">
        <v>231</v>
      </c>
      <c r="I20" s="160">
        <f t="shared" si="4"/>
        <v>4521</v>
      </c>
      <c r="J20" s="161">
        <f t="shared" si="1"/>
        <v>3.5099841619825468E-2</v>
      </c>
      <c r="K20" s="160">
        <f t="shared" si="2"/>
        <v>6759</v>
      </c>
      <c r="P20" s="173"/>
    </row>
    <row r="21" spans="2:16" x14ac:dyDescent="0.2">
      <c r="B21" s="160" t="s">
        <v>296</v>
      </c>
      <c r="C21" s="160">
        <v>610</v>
      </c>
      <c r="D21" s="160">
        <v>516</v>
      </c>
      <c r="E21" s="160">
        <f t="shared" si="3"/>
        <v>1126</v>
      </c>
      <c r="F21" s="161">
        <f t="shared" si="0"/>
        <v>1.5266554585389664E-2</v>
      </c>
      <c r="G21" s="160">
        <v>1101</v>
      </c>
      <c r="H21" s="160">
        <v>71</v>
      </c>
      <c r="I21" s="160">
        <f t="shared" si="4"/>
        <v>1172</v>
      </c>
      <c r="J21" s="161">
        <f t="shared" si="1"/>
        <v>9.0990963013571E-3</v>
      </c>
      <c r="K21" s="160">
        <f t="shared" si="2"/>
        <v>2298</v>
      </c>
      <c r="P21" s="173"/>
    </row>
    <row r="22" spans="2:16" x14ac:dyDescent="0.2">
      <c r="B22" s="160" t="s">
        <v>297</v>
      </c>
      <c r="C22" s="160">
        <v>3845</v>
      </c>
      <c r="D22" s="160">
        <v>2548</v>
      </c>
      <c r="E22" s="160">
        <f t="shared" si="3"/>
        <v>6393</v>
      </c>
      <c r="F22" s="161">
        <f t="shared" si="0"/>
        <v>8.6677694018113774E-2</v>
      </c>
      <c r="G22" s="160">
        <v>11861</v>
      </c>
      <c r="H22" s="160">
        <v>761</v>
      </c>
      <c r="I22" s="160">
        <f t="shared" si="4"/>
        <v>12622</v>
      </c>
      <c r="J22" s="161">
        <f t="shared" si="1"/>
        <v>9.799385112263595E-2</v>
      </c>
      <c r="K22" s="160">
        <f t="shared" si="2"/>
        <v>19015</v>
      </c>
      <c r="P22" s="173"/>
    </row>
    <row r="23" spans="2:16" x14ac:dyDescent="0.2">
      <c r="B23" s="160" t="s">
        <v>298</v>
      </c>
      <c r="C23" s="160">
        <v>793</v>
      </c>
      <c r="D23" s="160">
        <v>806</v>
      </c>
      <c r="E23" s="160">
        <f t="shared" si="3"/>
        <v>1599</v>
      </c>
      <c r="F23" s="161">
        <f t="shared" si="0"/>
        <v>2.1679592168772709E-2</v>
      </c>
      <c r="G23" s="160">
        <v>2032</v>
      </c>
      <c r="H23" s="160">
        <v>115</v>
      </c>
      <c r="I23" s="160">
        <f t="shared" si="4"/>
        <v>2147</v>
      </c>
      <c r="J23" s="161">
        <f t="shared" si="1"/>
        <v>1.6668736995745472E-2</v>
      </c>
      <c r="K23" s="160">
        <f t="shared" si="2"/>
        <v>3746</v>
      </c>
      <c r="P23" s="173"/>
    </row>
    <row r="24" spans="2:16" x14ac:dyDescent="0.2">
      <c r="B24" s="160" t="s">
        <v>299</v>
      </c>
      <c r="C24" s="160">
        <v>268</v>
      </c>
      <c r="D24" s="160">
        <v>318</v>
      </c>
      <c r="E24" s="160">
        <f t="shared" si="3"/>
        <v>586</v>
      </c>
      <c r="F24" s="161">
        <f t="shared" si="0"/>
        <v>7.9451163295189541E-3</v>
      </c>
      <c r="G24" s="160">
        <v>492</v>
      </c>
      <c r="H24" s="160">
        <v>51</v>
      </c>
      <c r="I24" s="160">
        <f t="shared" si="4"/>
        <v>543</v>
      </c>
      <c r="J24" s="161">
        <f t="shared" si="1"/>
        <v>4.2157075867209097E-3</v>
      </c>
      <c r="K24" s="160">
        <f t="shared" si="2"/>
        <v>1129</v>
      </c>
      <c r="P24" s="173"/>
    </row>
    <row r="25" spans="2:16" x14ac:dyDescent="0.2">
      <c r="B25" s="160" t="s">
        <v>300</v>
      </c>
      <c r="C25" s="160">
        <v>570</v>
      </c>
      <c r="D25" s="160">
        <v>515</v>
      </c>
      <c r="E25" s="160">
        <f t="shared" si="3"/>
        <v>1085</v>
      </c>
      <c r="F25" s="161">
        <f t="shared" si="0"/>
        <v>1.4710667606703183E-2</v>
      </c>
      <c r="G25" s="160">
        <v>1497</v>
      </c>
      <c r="H25" s="160">
        <v>107</v>
      </c>
      <c r="I25" s="160">
        <f t="shared" si="4"/>
        <v>1604</v>
      </c>
      <c r="J25" s="161">
        <f t="shared" si="1"/>
        <v>1.2453029409024565E-2</v>
      </c>
      <c r="K25" s="160">
        <f t="shared" si="2"/>
        <v>2689</v>
      </c>
      <c r="P25" s="173"/>
    </row>
    <row r="26" spans="2:16" x14ac:dyDescent="0.2">
      <c r="B26" s="160" t="s">
        <v>301</v>
      </c>
      <c r="C26" s="160">
        <v>390</v>
      </c>
      <c r="D26" s="160">
        <v>397</v>
      </c>
      <c r="E26" s="160">
        <f t="shared" si="3"/>
        <v>787</v>
      </c>
      <c r="F26" s="161">
        <f t="shared" si="0"/>
        <v>1.0670318346981941E-2</v>
      </c>
      <c r="G26" s="160">
        <v>363</v>
      </c>
      <c r="H26" s="160">
        <v>48</v>
      </c>
      <c r="I26" s="160">
        <f t="shared" si="4"/>
        <v>411</v>
      </c>
      <c r="J26" s="161">
        <f t="shared" si="1"/>
        <v>3.1908946927114066E-3</v>
      </c>
      <c r="K26" s="160">
        <f t="shared" si="2"/>
        <v>1198</v>
      </c>
      <c r="P26" s="173"/>
    </row>
    <row r="27" spans="2:16" x14ac:dyDescent="0.2">
      <c r="B27" s="160" t="s">
        <v>302</v>
      </c>
      <c r="C27" s="160">
        <v>155</v>
      </c>
      <c r="D27" s="160">
        <v>116</v>
      </c>
      <c r="E27" s="160">
        <f t="shared" si="3"/>
        <v>271</v>
      </c>
      <c r="F27" s="161">
        <f t="shared" si="0"/>
        <v>3.6742773469277076E-3</v>
      </c>
      <c r="G27" s="160">
        <v>377</v>
      </c>
      <c r="H27" s="160">
        <v>25</v>
      </c>
      <c r="I27" s="160">
        <f t="shared" si="4"/>
        <v>402</v>
      </c>
      <c r="J27" s="161">
        <f t="shared" si="1"/>
        <v>3.1210210863016675E-3</v>
      </c>
      <c r="K27" s="160">
        <f t="shared" si="2"/>
        <v>673</v>
      </c>
      <c r="P27" s="173"/>
    </row>
    <row r="28" spans="2:16" x14ac:dyDescent="0.2">
      <c r="B28" s="160" t="s">
        <v>303</v>
      </c>
      <c r="C28" s="160">
        <v>870</v>
      </c>
      <c r="D28" s="160">
        <v>979</v>
      </c>
      <c r="E28" s="160">
        <f t="shared" si="3"/>
        <v>1849</v>
      </c>
      <c r="F28" s="161">
        <f t="shared" si="0"/>
        <v>2.5069146916861001E-2</v>
      </c>
      <c r="G28" s="160">
        <v>2482</v>
      </c>
      <c r="H28" s="160">
        <v>163</v>
      </c>
      <c r="I28" s="160">
        <f t="shared" si="4"/>
        <v>2645</v>
      </c>
      <c r="J28" s="161">
        <f t="shared" si="1"/>
        <v>2.053507655041769E-2</v>
      </c>
      <c r="K28" s="160">
        <f t="shared" si="2"/>
        <v>4494</v>
      </c>
      <c r="P28" s="173"/>
    </row>
    <row r="29" spans="2:16" x14ac:dyDescent="0.2">
      <c r="B29" s="160" t="s">
        <v>304</v>
      </c>
      <c r="C29" s="160">
        <v>1005</v>
      </c>
      <c r="D29" s="160">
        <v>1063</v>
      </c>
      <c r="E29" s="160">
        <f t="shared" si="3"/>
        <v>2068</v>
      </c>
      <c r="F29" s="161">
        <f t="shared" si="0"/>
        <v>2.8038396876186346E-2</v>
      </c>
      <c r="G29" s="160">
        <v>2814</v>
      </c>
      <c r="H29" s="160">
        <v>250</v>
      </c>
      <c r="I29" s="160">
        <f t="shared" si="4"/>
        <v>3064</v>
      </c>
      <c r="J29" s="161">
        <f t="shared" si="1"/>
        <v>2.3788081115493308E-2</v>
      </c>
      <c r="K29" s="160">
        <f t="shared" si="2"/>
        <v>5132</v>
      </c>
      <c r="P29" s="173"/>
    </row>
    <row r="30" spans="2:16" x14ac:dyDescent="0.2">
      <c r="B30" s="160" t="s">
        <v>305</v>
      </c>
      <c r="C30" s="160">
        <v>284</v>
      </c>
      <c r="D30" s="160">
        <v>297</v>
      </c>
      <c r="E30" s="160">
        <f t="shared" si="3"/>
        <v>581</v>
      </c>
      <c r="F30" s="161">
        <f t="shared" si="0"/>
        <v>7.8773252345571889E-3</v>
      </c>
      <c r="G30" s="160">
        <v>832</v>
      </c>
      <c r="H30" s="160">
        <v>101</v>
      </c>
      <c r="I30" s="160">
        <f t="shared" si="4"/>
        <v>933</v>
      </c>
      <c r="J30" s="161">
        <f t="shared" si="1"/>
        <v>7.2435638644762585E-3</v>
      </c>
      <c r="K30" s="160">
        <f t="shared" si="2"/>
        <v>1514</v>
      </c>
      <c r="P30" s="173"/>
    </row>
    <row r="31" spans="2:16" x14ac:dyDescent="0.2">
      <c r="B31" s="160" t="s">
        <v>306</v>
      </c>
      <c r="C31" s="160">
        <v>214</v>
      </c>
      <c r="D31" s="160">
        <v>135</v>
      </c>
      <c r="E31" s="160">
        <f t="shared" si="3"/>
        <v>349</v>
      </c>
      <c r="F31" s="161">
        <f t="shared" si="0"/>
        <v>4.7318184283312546E-3</v>
      </c>
      <c r="G31" s="160">
        <v>407</v>
      </c>
      <c r="H31" s="160">
        <v>29</v>
      </c>
      <c r="I31" s="160">
        <f t="shared" si="4"/>
        <v>436</v>
      </c>
      <c r="J31" s="161">
        <f t="shared" si="1"/>
        <v>3.38498804384957E-3</v>
      </c>
      <c r="K31" s="160">
        <f t="shared" si="2"/>
        <v>785</v>
      </c>
      <c r="P31" s="173"/>
    </row>
    <row r="32" spans="2:16" x14ac:dyDescent="0.2">
      <c r="B32" s="160" t="s">
        <v>307</v>
      </c>
      <c r="C32" s="160">
        <v>138</v>
      </c>
      <c r="D32" s="160">
        <v>139</v>
      </c>
      <c r="E32" s="160">
        <f t="shared" si="3"/>
        <v>277</v>
      </c>
      <c r="F32" s="161">
        <f t="shared" si="0"/>
        <v>3.7556266608818265E-3</v>
      </c>
      <c r="G32" s="160">
        <v>340</v>
      </c>
      <c r="H32" s="160">
        <v>34</v>
      </c>
      <c r="I32" s="160">
        <f t="shared" si="4"/>
        <v>374</v>
      </c>
      <c r="J32" s="161">
        <f t="shared" si="1"/>
        <v>2.9036365330269245E-3</v>
      </c>
      <c r="K32" s="160">
        <f t="shared" si="2"/>
        <v>651</v>
      </c>
      <c r="P32" s="173"/>
    </row>
    <row r="33" spans="2:16" x14ac:dyDescent="0.2">
      <c r="B33" s="160" t="s">
        <v>308</v>
      </c>
      <c r="C33" s="160">
        <v>480</v>
      </c>
      <c r="D33" s="160">
        <v>438</v>
      </c>
      <c r="E33" s="160">
        <f t="shared" si="3"/>
        <v>918</v>
      </c>
      <c r="F33" s="161">
        <f t="shared" si="0"/>
        <v>1.2446445034980205E-2</v>
      </c>
      <c r="G33" s="160">
        <v>1408</v>
      </c>
      <c r="H33" s="160">
        <v>103</v>
      </c>
      <c r="I33" s="160">
        <f t="shared" si="4"/>
        <v>1511</v>
      </c>
      <c r="J33" s="161">
        <f t="shared" si="1"/>
        <v>1.1731002142790596E-2</v>
      </c>
      <c r="K33" s="160">
        <f t="shared" si="2"/>
        <v>2429</v>
      </c>
      <c r="P33" s="173"/>
    </row>
    <row r="34" spans="2:16" x14ac:dyDescent="0.2">
      <c r="B34" s="160" t="s">
        <v>309</v>
      </c>
      <c r="C34" s="160">
        <v>913</v>
      </c>
      <c r="D34" s="160">
        <v>1128</v>
      </c>
      <c r="E34" s="160">
        <f t="shared" si="3"/>
        <v>2041</v>
      </c>
      <c r="F34" s="161">
        <f t="shared" si="0"/>
        <v>2.7672324963392808E-2</v>
      </c>
      <c r="G34" s="160">
        <v>2356</v>
      </c>
      <c r="H34" s="160">
        <v>174</v>
      </c>
      <c r="I34" s="160">
        <f t="shared" si="4"/>
        <v>2530</v>
      </c>
      <c r="J34" s="161">
        <f t="shared" si="1"/>
        <v>1.9642247135182138E-2</v>
      </c>
      <c r="K34" s="160">
        <f t="shared" si="2"/>
        <v>4571</v>
      </c>
      <c r="P34" s="173"/>
    </row>
    <row r="35" spans="2:16" x14ac:dyDescent="0.2">
      <c r="B35" s="160" t="s">
        <v>324</v>
      </c>
      <c r="C35" s="160">
        <v>5159</v>
      </c>
      <c r="D35" s="160">
        <v>2622</v>
      </c>
      <c r="E35" s="160">
        <f t="shared" si="3"/>
        <v>7781</v>
      </c>
      <c r="F35" s="161">
        <f t="shared" si="0"/>
        <v>0.10549650197949997</v>
      </c>
      <c r="G35" s="160">
        <v>16608</v>
      </c>
      <c r="H35" s="160">
        <v>894</v>
      </c>
      <c r="I35" s="160">
        <f t="shared" si="4"/>
        <v>17502</v>
      </c>
      <c r="J35" s="161">
        <f t="shared" si="1"/>
        <v>0.13588087326480544</v>
      </c>
      <c r="K35" s="160">
        <f t="shared" si="2"/>
        <v>25283</v>
      </c>
      <c r="P35" s="173"/>
    </row>
    <row r="36" spans="2:16" x14ac:dyDescent="0.2">
      <c r="B36" s="160" t="s">
        <v>325</v>
      </c>
      <c r="C36" s="160">
        <v>1645</v>
      </c>
      <c r="D36" s="160">
        <v>1041</v>
      </c>
      <c r="E36" s="160">
        <f t="shared" si="3"/>
        <v>2686</v>
      </c>
      <c r="F36" s="161">
        <f t="shared" si="0"/>
        <v>3.6417376213460598E-2</v>
      </c>
      <c r="G36" s="160">
        <v>5933</v>
      </c>
      <c r="H36" s="160">
        <v>277</v>
      </c>
      <c r="I36" s="160">
        <f t="shared" si="4"/>
        <v>6210</v>
      </c>
      <c r="J36" s="161">
        <f t="shared" si="1"/>
        <v>4.8212788422719789E-2</v>
      </c>
      <c r="K36" s="160">
        <f t="shared" si="2"/>
        <v>8896</v>
      </c>
      <c r="P36" s="173"/>
    </row>
    <row r="37" spans="2:16" x14ac:dyDescent="0.2">
      <c r="B37" s="160" t="s">
        <v>326</v>
      </c>
      <c r="C37" s="160">
        <v>1966</v>
      </c>
      <c r="D37" s="160">
        <v>1312</v>
      </c>
      <c r="E37" s="160">
        <f t="shared" si="3"/>
        <v>3278</v>
      </c>
      <c r="F37" s="161">
        <f t="shared" si="0"/>
        <v>4.4443841856933675E-2</v>
      </c>
      <c r="G37" s="160">
        <v>5789</v>
      </c>
      <c r="H37" s="160">
        <v>356</v>
      </c>
      <c r="I37" s="160">
        <f t="shared" si="4"/>
        <v>6145</v>
      </c>
      <c r="J37" s="161">
        <f t="shared" si="1"/>
        <v>4.7708145709760563E-2</v>
      </c>
      <c r="K37" s="160">
        <f t="shared" si="2"/>
        <v>9423</v>
      </c>
      <c r="P37" s="173"/>
    </row>
    <row r="38" spans="2:16" x14ac:dyDescent="0.2">
      <c r="B38" s="160" t="s">
        <v>327</v>
      </c>
      <c r="C38" s="160">
        <v>435</v>
      </c>
      <c r="D38" s="160">
        <v>340</v>
      </c>
      <c r="E38" s="160">
        <f t="shared" si="3"/>
        <v>775</v>
      </c>
      <c r="F38" s="161">
        <f t="shared" si="0"/>
        <v>1.0507619719073703E-2</v>
      </c>
      <c r="G38" s="160">
        <v>948</v>
      </c>
      <c r="H38" s="160">
        <v>66</v>
      </c>
      <c r="I38" s="160">
        <f t="shared" si="4"/>
        <v>1014</v>
      </c>
      <c r="J38" s="161">
        <f t="shared" si="1"/>
        <v>7.8724263221639085E-3</v>
      </c>
      <c r="K38" s="160">
        <f t="shared" si="2"/>
        <v>1789</v>
      </c>
      <c r="P38" s="173"/>
    </row>
    <row r="39" spans="2:16" x14ac:dyDescent="0.2">
      <c r="B39" s="160" t="s">
        <v>328</v>
      </c>
      <c r="C39" s="160">
        <v>1165</v>
      </c>
      <c r="D39" s="160">
        <v>1157</v>
      </c>
      <c r="E39" s="160">
        <f t="shared" si="3"/>
        <v>2322</v>
      </c>
      <c r="F39" s="161">
        <f t="shared" si="0"/>
        <v>3.1482184500244051E-2</v>
      </c>
      <c r="G39" s="160">
        <v>2689</v>
      </c>
      <c r="H39" s="160">
        <v>177</v>
      </c>
      <c r="I39" s="160">
        <f t="shared" si="4"/>
        <v>2866</v>
      </c>
      <c r="J39" s="161">
        <f t="shared" si="1"/>
        <v>2.2250861774479054E-2</v>
      </c>
      <c r="K39" s="160">
        <f t="shared" si="2"/>
        <v>5188</v>
      </c>
      <c r="P39" s="173"/>
    </row>
    <row r="40" spans="2:16" x14ac:dyDescent="0.2">
      <c r="B40" s="160" t="s">
        <v>329</v>
      </c>
      <c r="C40" s="160">
        <v>1245</v>
      </c>
      <c r="D40" s="160">
        <v>1038</v>
      </c>
      <c r="E40" s="160">
        <f t="shared" si="3"/>
        <v>2283</v>
      </c>
      <c r="F40" s="161">
        <f t="shared" si="0"/>
        <v>3.0953413959542275E-2</v>
      </c>
      <c r="G40" s="160">
        <v>2759</v>
      </c>
      <c r="H40" s="160">
        <v>173</v>
      </c>
      <c r="I40" s="160">
        <f t="shared" si="4"/>
        <v>2932</v>
      </c>
      <c r="J40" s="161">
        <f t="shared" si="1"/>
        <v>2.2763268221483803E-2</v>
      </c>
      <c r="K40" s="160">
        <f t="shared" si="2"/>
        <v>5215</v>
      </c>
      <c r="P40" s="173"/>
    </row>
    <row r="41" spans="2:16" x14ac:dyDescent="0.2">
      <c r="B41" s="160" t="s">
        <v>330</v>
      </c>
      <c r="C41" s="160">
        <v>1042</v>
      </c>
      <c r="D41" s="160">
        <v>1065</v>
      </c>
      <c r="E41" s="160">
        <f t="shared" si="3"/>
        <v>2107</v>
      </c>
      <c r="F41" s="161">
        <f t="shared" si="0"/>
        <v>2.8567167416888119E-2</v>
      </c>
      <c r="G41" s="160">
        <v>3036</v>
      </c>
      <c r="H41" s="160">
        <v>109</v>
      </c>
      <c r="I41" s="160">
        <f t="shared" si="4"/>
        <v>3145</v>
      </c>
      <c r="J41" s="161">
        <f t="shared" si="1"/>
        <v>2.4416943573180958E-2</v>
      </c>
      <c r="K41" s="160">
        <f t="shared" si="2"/>
        <v>5252</v>
      </c>
      <c r="P41" s="173"/>
    </row>
    <row r="42" spans="2:16" x14ac:dyDescent="0.2">
      <c r="B42" s="160" t="s">
        <v>334</v>
      </c>
      <c r="C42" s="160">
        <v>918</v>
      </c>
      <c r="D42" s="160">
        <v>828</v>
      </c>
      <c r="E42" s="160">
        <f t="shared" si="3"/>
        <v>1746</v>
      </c>
      <c r="F42" s="161">
        <f t="shared" si="0"/>
        <v>2.3672650360648625E-2</v>
      </c>
      <c r="G42" s="160">
        <v>2186</v>
      </c>
      <c r="H42" s="160">
        <v>198</v>
      </c>
      <c r="I42" s="160">
        <f t="shared" si="4"/>
        <v>2384</v>
      </c>
      <c r="J42" s="161">
        <f t="shared" si="1"/>
        <v>1.8508741964535263E-2</v>
      </c>
      <c r="K42" s="160">
        <f t="shared" si="2"/>
        <v>4130</v>
      </c>
      <c r="P42" s="173"/>
    </row>
    <row r="43" spans="2:16" x14ac:dyDescent="0.2">
      <c r="B43" s="160" t="s">
        <v>335</v>
      </c>
      <c r="C43" s="160">
        <v>448</v>
      </c>
      <c r="D43" s="160">
        <v>344</v>
      </c>
      <c r="E43" s="160">
        <f t="shared" si="3"/>
        <v>792</v>
      </c>
      <c r="F43" s="161">
        <f t="shared" si="0"/>
        <v>1.0738109441943706E-2</v>
      </c>
      <c r="G43" s="160">
        <v>875</v>
      </c>
      <c r="H43" s="160">
        <v>70</v>
      </c>
      <c r="I43" s="160">
        <f t="shared" si="4"/>
        <v>945</v>
      </c>
      <c r="J43" s="161">
        <f t="shared" si="1"/>
        <v>7.3367286730225767E-3</v>
      </c>
      <c r="K43" s="160">
        <f t="shared" si="2"/>
        <v>1737</v>
      </c>
      <c r="P43" s="173"/>
    </row>
    <row r="44" spans="2:16" x14ac:dyDescent="0.2">
      <c r="B44" s="162" t="s">
        <v>66</v>
      </c>
      <c r="C44" s="160">
        <f>SUM(C11:C43)</f>
        <v>42204</v>
      </c>
      <c r="D44" s="160">
        <f>SUM(D11:D43)</f>
        <v>31552</v>
      </c>
      <c r="E44" s="162">
        <f t="shared" ref="E44" si="5">C44+D44</f>
        <v>73756</v>
      </c>
      <c r="F44" s="161">
        <f t="shared" ref="F44" si="6">E44/$E$44</f>
        <v>1</v>
      </c>
      <c r="G44" s="160">
        <f>SUM(G11:G43)</f>
        <v>121298</v>
      </c>
      <c r="H44" s="160">
        <f>SUM(H11:H43)</f>
        <v>7506</v>
      </c>
      <c r="I44" s="162">
        <f t="shared" ref="I44" si="7">G44+H44</f>
        <v>128804</v>
      </c>
      <c r="J44" s="160">
        <f t="shared" ref="J44" si="8">I44/$I$44</f>
        <v>1</v>
      </c>
      <c r="K44" s="162">
        <f t="shared" ref="K44:K45" si="9">E44+I44</f>
        <v>202560</v>
      </c>
      <c r="P44" s="173"/>
    </row>
    <row r="45" spans="2:16" ht="25.5" customHeight="1" x14ac:dyDescent="0.2">
      <c r="B45" s="198" t="s">
        <v>82</v>
      </c>
      <c r="C45" s="194">
        <f>+C44/$K$44</f>
        <v>0.20835308056872037</v>
      </c>
      <c r="D45" s="194">
        <f>+D44/$K$44</f>
        <v>0.15576619273301737</v>
      </c>
      <c r="E45" s="195">
        <f>C45+D45</f>
        <v>0.36411927330173777</v>
      </c>
      <c r="F45" s="195"/>
      <c r="G45" s="194">
        <f>+G44/$K$44</f>
        <v>0.59882503949447075</v>
      </c>
      <c r="H45" s="194">
        <f>+H44/$K$44</f>
        <v>3.7055687203791467E-2</v>
      </c>
      <c r="I45" s="195">
        <f>G45+H45</f>
        <v>0.63588072669826223</v>
      </c>
      <c r="J45" s="195"/>
      <c r="K45" s="195">
        <f t="shared" si="9"/>
        <v>1</v>
      </c>
    </row>
    <row r="46" spans="2:16" x14ac:dyDescent="0.2">
      <c r="B46" s="167"/>
      <c r="C46" s="180"/>
      <c r="D46" s="180"/>
      <c r="E46" s="180"/>
      <c r="F46" s="180"/>
      <c r="G46" s="180"/>
      <c r="H46" s="180"/>
      <c r="I46" s="180"/>
      <c r="J46" s="180"/>
      <c r="K46" s="180"/>
    </row>
    <row r="47" spans="2:16" ht="12.75" x14ac:dyDescent="0.2">
      <c r="B47" s="418" t="s">
        <v>141</v>
      </c>
      <c r="C47" s="418"/>
      <c r="D47" s="418"/>
      <c r="E47" s="418"/>
      <c r="F47" s="418"/>
      <c r="G47" s="418"/>
      <c r="H47" s="418"/>
      <c r="I47" s="418"/>
      <c r="J47" s="418"/>
      <c r="K47" s="418"/>
    </row>
    <row r="48" spans="2:16" ht="12.75" x14ac:dyDescent="0.2">
      <c r="B48" s="431" t="str">
        <f>'Solicitudes Regiones'!$B$6:$P$6</f>
        <v>Acumuladas de julio de 2008 a noviembre de 2018</v>
      </c>
      <c r="C48" s="431"/>
      <c r="D48" s="431"/>
      <c r="E48" s="431"/>
      <c r="F48" s="431"/>
      <c r="G48" s="431"/>
      <c r="H48" s="431"/>
      <c r="I48" s="431"/>
      <c r="J48" s="431"/>
      <c r="K48" s="431"/>
    </row>
    <row r="49" spans="2:12" x14ac:dyDescent="0.2">
      <c r="B49" s="167"/>
      <c r="C49" s="180"/>
      <c r="D49" s="180"/>
      <c r="E49" s="180"/>
      <c r="F49" s="180"/>
      <c r="G49" s="180"/>
      <c r="H49" s="180"/>
      <c r="I49" s="180"/>
      <c r="J49" s="180"/>
      <c r="K49" s="180"/>
    </row>
    <row r="50" spans="2:12" ht="15" customHeight="1" x14ac:dyDescent="0.2">
      <c r="B50" s="447" t="s">
        <v>83</v>
      </c>
      <c r="C50" s="448"/>
      <c r="D50" s="448"/>
      <c r="E50" s="448"/>
      <c r="F50" s="448"/>
      <c r="G50" s="448"/>
      <c r="H50" s="448"/>
      <c r="I50" s="448"/>
      <c r="J50" s="448"/>
      <c r="K50" s="449"/>
      <c r="L50" s="181"/>
    </row>
    <row r="51" spans="2:12" ht="15.75" customHeight="1" x14ac:dyDescent="0.2">
      <c r="B51" s="452" t="s">
        <v>74</v>
      </c>
      <c r="C51" s="447" t="s">
        <v>2</v>
      </c>
      <c r="D51" s="448"/>
      <c r="E51" s="448"/>
      <c r="F51" s="448"/>
      <c r="G51" s="448"/>
      <c r="H51" s="448"/>
      <c r="I51" s="448"/>
      <c r="J51" s="448"/>
      <c r="K51" s="449"/>
    </row>
    <row r="52" spans="2:12" ht="24" x14ac:dyDescent="0.2">
      <c r="B52" s="451"/>
      <c r="C52" s="165" t="s">
        <v>75</v>
      </c>
      <c r="D52" s="165" t="s">
        <v>76</v>
      </c>
      <c r="E52" s="165" t="s">
        <v>77</v>
      </c>
      <c r="F52" s="165" t="s">
        <v>78</v>
      </c>
      <c r="G52" s="165" t="s">
        <v>8</v>
      </c>
      <c r="H52" s="165" t="s">
        <v>79</v>
      </c>
      <c r="I52" s="165" t="s">
        <v>80</v>
      </c>
      <c r="J52" s="165" t="s">
        <v>81</v>
      </c>
      <c r="K52" s="226" t="s">
        <v>46</v>
      </c>
    </row>
    <row r="53" spans="2:12" x14ac:dyDescent="0.2">
      <c r="B53" s="160" t="s">
        <v>282</v>
      </c>
      <c r="C53" s="160">
        <v>1699</v>
      </c>
      <c r="D53" s="160">
        <v>614</v>
      </c>
      <c r="E53" s="160">
        <f>C53+D53</f>
        <v>2313</v>
      </c>
      <c r="F53" s="161">
        <f t="shared" ref="F53:F85" si="10">E53/$E$86</f>
        <v>4.3903272340748617E-2</v>
      </c>
      <c r="G53" s="160">
        <v>5351</v>
      </c>
      <c r="H53" s="160">
        <v>258</v>
      </c>
      <c r="I53" s="160">
        <f>G53+H53</f>
        <v>5609</v>
      </c>
      <c r="J53" s="161">
        <f t="shared" ref="J53:J85" si="11">I53/$I$86</f>
        <v>5.2227271034302955E-2</v>
      </c>
      <c r="K53" s="160">
        <f t="shared" ref="K53:K85" si="12">E53+I53</f>
        <v>7922</v>
      </c>
    </row>
    <row r="54" spans="2:12" x14ac:dyDescent="0.2">
      <c r="B54" s="160" t="s">
        <v>283</v>
      </c>
      <c r="C54" s="160">
        <v>1294</v>
      </c>
      <c r="D54" s="160">
        <v>425</v>
      </c>
      <c r="E54" s="160">
        <f t="shared" ref="E54:E85" si="13">C54+D54</f>
        <v>1719</v>
      </c>
      <c r="F54" s="161">
        <f t="shared" si="10"/>
        <v>3.2628502011996054E-2</v>
      </c>
      <c r="G54" s="160">
        <v>4323</v>
      </c>
      <c r="H54" s="160">
        <v>149</v>
      </c>
      <c r="I54" s="160">
        <f t="shared" ref="I54:I85" si="14">G54+H54</f>
        <v>4472</v>
      </c>
      <c r="J54" s="161">
        <f t="shared" si="11"/>
        <v>4.1640284554359565E-2</v>
      </c>
      <c r="K54" s="160">
        <f t="shared" si="12"/>
        <v>6191</v>
      </c>
    </row>
    <row r="55" spans="2:12" x14ac:dyDescent="0.2">
      <c r="B55" s="160" t="s">
        <v>284</v>
      </c>
      <c r="C55" s="160">
        <v>1915</v>
      </c>
      <c r="D55" s="160">
        <v>694</v>
      </c>
      <c r="E55" s="160">
        <f t="shared" si="13"/>
        <v>2609</v>
      </c>
      <c r="F55" s="161">
        <f t="shared" si="10"/>
        <v>4.9521676410295347E-2</v>
      </c>
      <c r="G55" s="160">
        <v>6727</v>
      </c>
      <c r="H55" s="160">
        <v>233</v>
      </c>
      <c r="I55" s="160">
        <f t="shared" si="14"/>
        <v>6960</v>
      </c>
      <c r="J55" s="161">
        <f t="shared" si="11"/>
        <v>6.4806882937912022E-2</v>
      </c>
      <c r="K55" s="160">
        <f t="shared" si="12"/>
        <v>9569</v>
      </c>
    </row>
    <row r="56" spans="2:12" x14ac:dyDescent="0.2">
      <c r="B56" s="160" t="s">
        <v>285</v>
      </c>
      <c r="C56" s="160">
        <v>4933</v>
      </c>
      <c r="D56" s="160">
        <v>2247</v>
      </c>
      <c r="E56" s="160">
        <f t="shared" si="13"/>
        <v>7180</v>
      </c>
      <c r="F56" s="161">
        <f t="shared" si="10"/>
        <v>0.13628426087616732</v>
      </c>
      <c r="G56" s="160">
        <v>12316</v>
      </c>
      <c r="H56" s="160">
        <v>977</v>
      </c>
      <c r="I56" s="160">
        <f t="shared" si="14"/>
        <v>13293</v>
      </c>
      <c r="J56" s="161">
        <f t="shared" si="11"/>
        <v>0.1237755596111587</v>
      </c>
      <c r="K56" s="160">
        <f t="shared" si="12"/>
        <v>20473</v>
      </c>
    </row>
    <row r="57" spans="2:12" x14ac:dyDescent="0.2">
      <c r="B57" s="160" t="s">
        <v>286</v>
      </c>
      <c r="C57" s="160">
        <v>871</v>
      </c>
      <c r="D57" s="160">
        <v>482</v>
      </c>
      <c r="E57" s="160">
        <f t="shared" si="13"/>
        <v>1353</v>
      </c>
      <c r="F57" s="161">
        <f t="shared" si="10"/>
        <v>2.5681421304380836E-2</v>
      </c>
      <c r="G57" s="160">
        <v>1721</v>
      </c>
      <c r="H57" s="160">
        <v>167</v>
      </c>
      <c r="I57" s="160">
        <f t="shared" si="14"/>
        <v>1888</v>
      </c>
      <c r="J57" s="161">
        <f t="shared" si="11"/>
        <v>1.7579798130284183E-2</v>
      </c>
      <c r="K57" s="160">
        <f t="shared" si="12"/>
        <v>3241</v>
      </c>
    </row>
    <row r="58" spans="2:12" x14ac:dyDescent="0.2">
      <c r="B58" s="160" t="s">
        <v>287</v>
      </c>
      <c r="C58" s="160">
        <v>481</v>
      </c>
      <c r="D58" s="160">
        <v>214</v>
      </c>
      <c r="E58" s="160">
        <f t="shared" si="13"/>
        <v>695</v>
      </c>
      <c r="F58" s="161">
        <f t="shared" si="10"/>
        <v>1.319186090653709E-2</v>
      </c>
      <c r="G58" s="160">
        <v>1030</v>
      </c>
      <c r="H58" s="160">
        <v>77</v>
      </c>
      <c r="I58" s="160">
        <f t="shared" si="14"/>
        <v>1107</v>
      </c>
      <c r="J58" s="161">
        <f t="shared" si="11"/>
        <v>1.0307646467279974E-2</v>
      </c>
      <c r="K58" s="160">
        <f t="shared" si="12"/>
        <v>1802</v>
      </c>
    </row>
    <row r="59" spans="2:12" x14ac:dyDescent="0.2">
      <c r="B59" s="160" t="s">
        <v>288</v>
      </c>
      <c r="C59" s="160">
        <v>128</v>
      </c>
      <c r="D59" s="160">
        <v>126</v>
      </c>
      <c r="E59" s="160">
        <f t="shared" si="13"/>
        <v>254</v>
      </c>
      <c r="F59" s="161">
        <f t="shared" si="10"/>
        <v>4.8211980867056414E-3</v>
      </c>
      <c r="G59" s="160">
        <v>209</v>
      </c>
      <c r="H59" s="160">
        <v>52</v>
      </c>
      <c r="I59" s="160">
        <f t="shared" si="14"/>
        <v>261</v>
      </c>
      <c r="J59" s="161">
        <f t="shared" si="11"/>
        <v>2.430258110171701E-3</v>
      </c>
      <c r="K59" s="160">
        <f t="shared" si="12"/>
        <v>515</v>
      </c>
    </row>
    <row r="60" spans="2:12" x14ac:dyDescent="0.2">
      <c r="B60" s="160" t="s">
        <v>293</v>
      </c>
      <c r="C60" s="160">
        <v>2589</v>
      </c>
      <c r="D60" s="160">
        <v>984</v>
      </c>
      <c r="E60" s="160">
        <f t="shared" si="13"/>
        <v>3573</v>
      </c>
      <c r="F60" s="161">
        <f t="shared" si="10"/>
        <v>6.7819451825981328E-2</v>
      </c>
      <c r="G60" s="160">
        <v>7109</v>
      </c>
      <c r="H60" s="160">
        <v>370</v>
      </c>
      <c r="I60" s="160">
        <f t="shared" si="14"/>
        <v>7479</v>
      </c>
      <c r="J60" s="161">
        <f t="shared" si="11"/>
        <v>6.9639465156989086E-2</v>
      </c>
      <c r="K60" s="160">
        <f t="shared" si="12"/>
        <v>11052</v>
      </c>
    </row>
    <row r="61" spans="2:12" x14ac:dyDescent="0.2">
      <c r="B61" s="160" t="s">
        <v>294</v>
      </c>
      <c r="C61" s="160">
        <v>621</v>
      </c>
      <c r="D61" s="160">
        <v>261</v>
      </c>
      <c r="E61" s="160">
        <f t="shared" si="13"/>
        <v>882</v>
      </c>
      <c r="F61" s="161">
        <f t="shared" si="10"/>
        <v>1.6741325639662897E-2</v>
      </c>
      <c r="G61" s="160">
        <v>1458</v>
      </c>
      <c r="H61" s="160">
        <v>96</v>
      </c>
      <c r="I61" s="160">
        <f t="shared" si="14"/>
        <v>1554</v>
      </c>
      <c r="J61" s="161">
        <f t="shared" si="11"/>
        <v>1.446981265596484E-2</v>
      </c>
      <c r="K61" s="160">
        <f t="shared" si="12"/>
        <v>2436</v>
      </c>
    </row>
    <row r="62" spans="2:12" x14ac:dyDescent="0.2">
      <c r="B62" s="160" t="s">
        <v>295</v>
      </c>
      <c r="C62" s="160">
        <v>1058</v>
      </c>
      <c r="D62" s="160">
        <v>411</v>
      </c>
      <c r="E62" s="160">
        <f t="shared" si="13"/>
        <v>1469</v>
      </c>
      <c r="F62" s="161">
        <f t="shared" si="10"/>
        <v>2.7883228304608609E-2</v>
      </c>
      <c r="G62" s="160">
        <v>3608</v>
      </c>
      <c r="H62" s="160">
        <v>157</v>
      </c>
      <c r="I62" s="160">
        <f t="shared" si="14"/>
        <v>3765</v>
      </c>
      <c r="J62" s="161">
        <f t="shared" si="11"/>
        <v>3.5057171589258446E-2</v>
      </c>
      <c r="K62" s="160">
        <f t="shared" si="12"/>
        <v>5234</v>
      </c>
    </row>
    <row r="63" spans="2:12" x14ac:dyDescent="0.2">
      <c r="B63" s="160" t="s">
        <v>296</v>
      </c>
      <c r="C63" s="160">
        <v>562</v>
      </c>
      <c r="D63" s="160">
        <v>172</v>
      </c>
      <c r="E63" s="160">
        <f t="shared" si="13"/>
        <v>734</v>
      </c>
      <c r="F63" s="161">
        <f t="shared" si="10"/>
        <v>1.393212360488953E-2</v>
      </c>
      <c r="G63" s="160">
        <v>959</v>
      </c>
      <c r="H63" s="160">
        <v>57</v>
      </c>
      <c r="I63" s="160">
        <f t="shared" si="14"/>
        <v>1016</v>
      </c>
      <c r="J63" s="161">
        <f t="shared" si="11"/>
        <v>9.460315095534284E-3</v>
      </c>
      <c r="K63" s="160">
        <f t="shared" si="12"/>
        <v>1750</v>
      </c>
    </row>
    <row r="64" spans="2:12" x14ac:dyDescent="0.2">
      <c r="B64" s="160" t="s">
        <v>297</v>
      </c>
      <c r="C64" s="160">
        <v>3295</v>
      </c>
      <c r="D64" s="160">
        <v>1283</v>
      </c>
      <c r="E64" s="160">
        <f t="shared" si="13"/>
        <v>4578</v>
      </c>
      <c r="F64" s="161">
        <f t="shared" si="10"/>
        <v>8.6895452129678835E-2</v>
      </c>
      <c r="G64" s="160">
        <v>9293</v>
      </c>
      <c r="H64" s="160">
        <v>561</v>
      </c>
      <c r="I64" s="160">
        <f t="shared" si="14"/>
        <v>9854</v>
      </c>
      <c r="J64" s="161">
        <f t="shared" si="11"/>
        <v>9.1753882826176025E-2</v>
      </c>
      <c r="K64" s="160">
        <f t="shared" si="12"/>
        <v>14432</v>
      </c>
    </row>
    <row r="65" spans="2:11" x14ac:dyDescent="0.2">
      <c r="B65" s="160" t="s">
        <v>298</v>
      </c>
      <c r="C65" s="160">
        <v>677</v>
      </c>
      <c r="D65" s="160">
        <v>335</v>
      </c>
      <c r="E65" s="160">
        <f t="shared" si="13"/>
        <v>1012</v>
      </c>
      <c r="F65" s="161">
        <f t="shared" si="10"/>
        <v>1.9208867967504366E-2</v>
      </c>
      <c r="G65" s="160">
        <v>1695</v>
      </c>
      <c r="H65" s="160">
        <v>88</v>
      </c>
      <c r="I65" s="160">
        <f t="shared" si="14"/>
        <v>1783</v>
      </c>
      <c r="J65" s="161">
        <f t="shared" si="11"/>
        <v>1.6602108085962235E-2</v>
      </c>
      <c r="K65" s="160">
        <f t="shared" si="12"/>
        <v>2795</v>
      </c>
    </row>
    <row r="66" spans="2:11" x14ac:dyDescent="0.2">
      <c r="B66" s="160" t="s">
        <v>299</v>
      </c>
      <c r="C66" s="160">
        <v>232</v>
      </c>
      <c r="D66" s="160">
        <v>91</v>
      </c>
      <c r="E66" s="160">
        <f t="shared" si="13"/>
        <v>323</v>
      </c>
      <c r="F66" s="161">
        <f t="shared" si="10"/>
        <v>6.1308936299445749E-3</v>
      </c>
      <c r="G66" s="160">
        <v>419</v>
      </c>
      <c r="H66" s="160">
        <v>36</v>
      </c>
      <c r="I66" s="160">
        <f t="shared" si="14"/>
        <v>455</v>
      </c>
      <c r="J66" s="161">
        <f t="shared" si="11"/>
        <v>4.2366568587284444E-3</v>
      </c>
      <c r="K66" s="160">
        <f t="shared" si="12"/>
        <v>778</v>
      </c>
    </row>
    <row r="67" spans="2:11" x14ac:dyDescent="0.2">
      <c r="B67" s="160" t="s">
        <v>300</v>
      </c>
      <c r="C67" s="160">
        <v>482</v>
      </c>
      <c r="D67" s="160">
        <v>207</v>
      </c>
      <c r="E67" s="160">
        <f t="shared" si="13"/>
        <v>689</v>
      </c>
      <c r="F67" s="161">
        <f t="shared" si="10"/>
        <v>1.307797433755979E-2</v>
      </c>
      <c r="G67" s="160">
        <v>1327</v>
      </c>
      <c r="H67" s="160">
        <v>86</v>
      </c>
      <c r="I67" s="160">
        <f t="shared" si="14"/>
        <v>1413</v>
      </c>
      <c r="J67" s="161">
        <f t="shared" si="11"/>
        <v>1.3156914596446795E-2</v>
      </c>
      <c r="K67" s="160">
        <f t="shared" si="12"/>
        <v>2102</v>
      </c>
    </row>
    <row r="68" spans="2:11" x14ac:dyDescent="0.2">
      <c r="B68" s="160" t="s">
        <v>301</v>
      </c>
      <c r="C68" s="160">
        <v>374</v>
      </c>
      <c r="D68" s="160">
        <v>166</v>
      </c>
      <c r="E68" s="160">
        <f t="shared" si="13"/>
        <v>540</v>
      </c>
      <c r="F68" s="161">
        <f t="shared" si="10"/>
        <v>1.0249791207956875E-2</v>
      </c>
      <c r="G68" s="160">
        <v>320</v>
      </c>
      <c r="H68" s="160">
        <v>38</v>
      </c>
      <c r="I68" s="160">
        <f t="shared" si="14"/>
        <v>358</v>
      </c>
      <c r="J68" s="161">
        <f t="shared" si="11"/>
        <v>3.3334574844500727E-3</v>
      </c>
      <c r="K68" s="160">
        <f t="shared" si="12"/>
        <v>898</v>
      </c>
    </row>
    <row r="69" spans="2:11" x14ac:dyDescent="0.2">
      <c r="B69" s="160" t="s">
        <v>302</v>
      </c>
      <c r="C69" s="160">
        <v>147</v>
      </c>
      <c r="D69" s="160">
        <v>56</v>
      </c>
      <c r="E69" s="160">
        <f t="shared" si="13"/>
        <v>203</v>
      </c>
      <c r="F69" s="161">
        <f t="shared" si="10"/>
        <v>3.8531622503986031E-3</v>
      </c>
      <c r="G69" s="160">
        <v>333</v>
      </c>
      <c r="H69" s="160">
        <v>23</v>
      </c>
      <c r="I69" s="160">
        <f t="shared" si="14"/>
        <v>356</v>
      </c>
      <c r="J69" s="161">
        <f t="shared" si="11"/>
        <v>3.3148348169391782E-3</v>
      </c>
      <c r="K69" s="160">
        <f t="shared" si="12"/>
        <v>559</v>
      </c>
    </row>
    <row r="70" spans="2:11" x14ac:dyDescent="0.2">
      <c r="B70" s="160" t="s">
        <v>303</v>
      </c>
      <c r="C70" s="160">
        <v>811</v>
      </c>
      <c r="D70" s="160">
        <v>487</v>
      </c>
      <c r="E70" s="160">
        <f t="shared" si="13"/>
        <v>1298</v>
      </c>
      <c r="F70" s="161">
        <f t="shared" si="10"/>
        <v>2.4637461088755599E-2</v>
      </c>
      <c r="G70" s="160">
        <v>2243</v>
      </c>
      <c r="H70" s="160">
        <v>140</v>
      </c>
      <c r="I70" s="160">
        <f t="shared" si="14"/>
        <v>2383</v>
      </c>
      <c r="J70" s="161">
        <f t="shared" si="11"/>
        <v>2.2188908339230512E-2</v>
      </c>
      <c r="K70" s="160">
        <f t="shared" si="12"/>
        <v>3681</v>
      </c>
    </row>
    <row r="71" spans="2:11" x14ac:dyDescent="0.2">
      <c r="B71" s="160" t="s">
        <v>304</v>
      </c>
      <c r="C71" s="160">
        <v>885</v>
      </c>
      <c r="D71" s="160">
        <v>535</v>
      </c>
      <c r="E71" s="160">
        <f t="shared" si="13"/>
        <v>1420</v>
      </c>
      <c r="F71" s="161">
        <f t="shared" si="10"/>
        <v>2.6953154657960672E-2</v>
      </c>
      <c r="G71" s="160">
        <v>2478</v>
      </c>
      <c r="H71" s="160">
        <v>212</v>
      </c>
      <c r="I71" s="160">
        <f t="shared" si="14"/>
        <v>2690</v>
      </c>
      <c r="J71" s="161">
        <f t="shared" si="11"/>
        <v>2.5047487802152782E-2</v>
      </c>
      <c r="K71" s="160">
        <f t="shared" si="12"/>
        <v>4110</v>
      </c>
    </row>
    <row r="72" spans="2:11" x14ac:dyDescent="0.2">
      <c r="B72" s="160" t="s">
        <v>305</v>
      </c>
      <c r="C72" s="160">
        <v>270</v>
      </c>
      <c r="D72" s="160">
        <v>163</v>
      </c>
      <c r="E72" s="160">
        <f t="shared" si="13"/>
        <v>433</v>
      </c>
      <c r="F72" s="161">
        <f t="shared" si="10"/>
        <v>8.2188140611950504E-3</v>
      </c>
      <c r="G72" s="160">
        <v>751</v>
      </c>
      <c r="H72" s="160">
        <v>88</v>
      </c>
      <c r="I72" s="160">
        <f t="shared" si="14"/>
        <v>839</v>
      </c>
      <c r="J72" s="161">
        <f t="shared" si="11"/>
        <v>7.8122090208201421E-3</v>
      </c>
      <c r="K72" s="160">
        <f t="shared" si="12"/>
        <v>1272</v>
      </c>
    </row>
    <row r="73" spans="2:11" x14ac:dyDescent="0.2">
      <c r="B73" s="160" t="s">
        <v>306</v>
      </c>
      <c r="C73" s="160">
        <v>205</v>
      </c>
      <c r="D73" s="160">
        <v>79</v>
      </c>
      <c r="E73" s="160">
        <f t="shared" si="13"/>
        <v>284</v>
      </c>
      <c r="F73" s="161">
        <f t="shared" si="10"/>
        <v>5.3906309315921346E-3</v>
      </c>
      <c r="G73" s="160">
        <v>387</v>
      </c>
      <c r="H73" s="160">
        <v>25</v>
      </c>
      <c r="I73" s="160">
        <f t="shared" si="14"/>
        <v>412</v>
      </c>
      <c r="J73" s="161">
        <f t="shared" si="11"/>
        <v>3.8362695072442178E-3</v>
      </c>
      <c r="K73" s="160">
        <f t="shared" si="12"/>
        <v>696</v>
      </c>
    </row>
    <row r="74" spans="2:11" x14ac:dyDescent="0.2">
      <c r="B74" s="160" t="s">
        <v>307</v>
      </c>
      <c r="C74" s="160">
        <v>130</v>
      </c>
      <c r="D74" s="160">
        <v>70</v>
      </c>
      <c r="E74" s="160">
        <f t="shared" si="13"/>
        <v>200</v>
      </c>
      <c r="F74" s="161">
        <f t="shared" si="10"/>
        <v>3.7962189659099537E-3</v>
      </c>
      <c r="G74" s="160">
        <v>297</v>
      </c>
      <c r="H74" s="160">
        <v>25</v>
      </c>
      <c r="I74" s="160">
        <f t="shared" si="14"/>
        <v>322</v>
      </c>
      <c r="J74" s="161">
        <f t="shared" si="11"/>
        <v>2.9982494692539761E-3</v>
      </c>
      <c r="K74" s="160">
        <f t="shared" si="12"/>
        <v>522</v>
      </c>
    </row>
    <row r="75" spans="2:11" x14ac:dyDescent="0.2">
      <c r="B75" s="160" t="s">
        <v>308</v>
      </c>
      <c r="C75" s="160">
        <v>438</v>
      </c>
      <c r="D75" s="160">
        <v>218</v>
      </c>
      <c r="E75" s="160">
        <f t="shared" si="13"/>
        <v>656</v>
      </c>
      <c r="F75" s="161">
        <f t="shared" si="10"/>
        <v>1.2451598208184648E-2</v>
      </c>
      <c r="G75" s="160">
        <v>1276</v>
      </c>
      <c r="H75" s="160">
        <v>90</v>
      </c>
      <c r="I75" s="160">
        <f t="shared" si="14"/>
        <v>1366</v>
      </c>
      <c r="J75" s="161">
        <f t="shared" si="11"/>
        <v>1.271928190994078E-2</v>
      </c>
      <c r="K75" s="160">
        <f t="shared" si="12"/>
        <v>2022</v>
      </c>
    </row>
    <row r="76" spans="2:11" x14ac:dyDescent="0.2">
      <c r="B76" s="160" t="s">
        <v>309</v>
      </c>
      <c r="C76" s="160">
        <v>863</v>
      </c>
      <c r="D76" s="160">
        <v>517</v>
      </c>
      <c r="E76" s="160">
        <f t="shared" si="13"/>
        <v>1380</v>
      </c>
      <c r="F76" s="161">
        <f t="shared" si="10"/>
        <v>2.619391086477868E-2</v>
      </c>
      <c r="G76" s="160">
        <v>2057</v>
      </c>
      <c r="H76" s="160">
        <v>139</v>
      </c>
      <c r="I76" s="160">
        <f t="shared" si="14"/>
        <v>2196</v>
      </c>
      <c r="J76" s="161">
        <f t="shared" si="11"/>
        <v>2.0447688926961898E-2</v>
      </c>
      <c r="K76" s="160">
        <f t="shared" si="12"/>
        <v>3576</v>
      </c>
    </row>
    <row r="77" spans="2:11" x14ac:dyDescent="0.2">
      <c r="B77" s="160" t="s">
        <v>324</v>
      </c>
      <c r="C77" s="160">
        <v>4428</v>
      </c>
      <c r="D77" s="160">
        <v>1415</v>
      </c>
      <c r="E77" s="160">
        <f t="shared" si="13"/>
        <v>5843</v>
      </c>
      <c r="F77" s="161">
        <f t="shared" si="10"/>
        <v>0.1109065370890593</v>
      </c>
      <c r="G77" s="160">
        <v>13344</v>
      </c>
      <c r="H77" s="160">
        <v>653</v>
      </c>
      <c r="I77" s="160">
        <f t="shared" si="14"/>
        <v>13997</v>
      </c>
      <c r="J77" s="161">
        <f t="shared" si="11"/>
        <v>0.13033073857499347</v>
      </c>
      <c r="K77" s="160">
        <f t="shared" si="12"/>
        <v>19840</v>
      </c>
    </row>
    <row r="78" spans="2:11" x14ac:dyDescent="0.2">
      <c r="B78" s="160" t="s">
        <v>325</v>
      </c>
      <c r="C78" s="160">
        <v>1482</v>
      </c>
      <c r="D78" s="160">
        <v>485</v>
      </c>
      <c r="E78" s="160">
        <f t="shared" si="13"/>
        <v>1967</v>
      </c>
      <c r="F78" s="161">
        <f t="shared" si="10"/>
        <v>3.7335813529724392E-2</v>
      </c>
      <c r="G78" s="160">
        <v>5016</v>
      </c>
      <c r="H78" s="160">
        <v>226</v>
      </c>
      <c r="I78" s="160">
        <f t="shared" si="14"/>
        <v>5242</v>
      </c>
      <c r="J78" s="161">
        <f t="shared" si="11"/>
        <v>4.8810011546053855E-2</v>
      </c>
      <c r="K78" s="160">
        <f t="shared" si="12"/>
        <v>7209</v>
      </c>
    </row>
    <row r="79" spans="2:11" x14ac:dyDescent="0.2">
      <c r="B79" s="160" t="s">
        <v>326</v>
      </c>
      <c r="C79" s="160">
        <v>1701</v>
      </c>
      <c r="D79" s="160">
        <v>716</v>
      </c>
      <c r="E79" s="160">
        <f t="shared" si="13"/>
        <v>2417</v>
      </c>
      <c r="F79" s="161">
        <f t="shared" si="10"/>
        <v>4.5877306203021793E-2</v>
      </c>
      <c r="G79" s="160">
        <v>4733</v>
      </c>
      <c r="H79" s="160">
        <v>294</v>
      </c>
      <c r="I79" s="160">
        <f t="shared" si="14"/>
        <v>5027</v>
      </c>
      <c r="J79" s="161">
        <f t="shared" si="11"/>
        <v>4.6808074788632727E-2</v>
      </c>
      <c r="K79" s="160">
        <f t="shared" si="12"/>
        <v>7444</v>
      </c>
    </row>
    <row r="80" spans="2:11" x14ac:dyDescent="0.2">
      <c r="B80" s="160" t="s">
        <v>327</v>
      </c>
      <c r="C80" s="160">
        <v>417</v>
      </c>
      <c r="D80" s="160">
        <v>148</v>
      </c>
      <c r="E80" s="160">
        <f t="shared" si="13"/>
        <v>565</v>
      </c>
      <c r="F80" s="161">
        <f t="shared" si="10"/>
        <v>1.0724318578695619E-2</v>
      </c>
      <c r="G80" s="160">
        <v>867</v>
      </c>
      <c r="H80" s="160">
        <v>55</v>
      </c>
      <c r="I80" s="160">
        <f t="shared" si="14"/>
        <v>922</v>
      </c>
      <c r="J80" s="161">
        <f t="shared" si="11"/>
        <v>8.5850497225222547E-3</v>
      </c>
      <c r="K80" s="160">
        <f t="shared" si="12"/>
        <v>1487</v>
      </c>
    </row>
    <row r="81" spans="2:11" x14ac:dyDescent="0.2">
      <c r="B81" s="160" t="s">
        <v>328</v>
      </c>
      <c r="C81" s="160">
        <v>1021</v>
      </c>
      <c r="D81" s="160">
        <v>413</v>
      </c>
      <c r="E81" s="160">
        <f t="shared" si="13"/>
        <v>1434</v>
      </c>
      <c r="F81" s="161">
        <f t="shared" si="10"/>
        <v>2.7218889985574368E-2</v>
      </c>
      <c r="G81" s="160">
        <v>2292</v>
      </c>
      <c r="H81" s="160">
        <v>125</v>
      </c>
      <c r="I81" s="160">
        <f t="shared" si="14"/>
        <v>2417</v>
      </c>
      <c r="J81" s="161">
        <f t="shared" si="11"/>
        <v>2.2505493686915713E-2</v>
      </c>
      <c r="K81" s="160">
        <f t="shared" si="12"/>
        <v>3851</v>
      </c>
    </row>
    <row r="82" spans="2:11" x14ac:dyDescent="0.2">
      <c r="B82" s="160" t="s">
        <v>329</v>
      </c>
      <c r="C82" s="160">
        <v>1157</v>
      </c>
      <c r="D82" s="160">
        <v>377</v>
      </c>
      <c r="E82" s="160">
        <f t="shared" si="13"/>
        <v>1534</v>
      </c>
      <c r="F82" s="161">
        <f t="shared" si="10"/>
        <v>2.9116999468529345E-2</v>
      </c>
      <c r="G82" s="160">
        <v>2381</v>
      </c>
      <c r="H82" s="160">
        <v>146</v>
      </c>
      <c r="I82" s="160">
        <f t="shared" si="14"/>
        <v>2527</v>
      </c>
      <c r="J82" s="161">
        <f t="shared" si="11"/>
        <v>2.3529740400014897E-2</v>
      </c>
      <c r="K82" s="160">
        <f t="shared" si="12"/>
        <v>4061</v>
      </c>
    </row>
    <row r="83" spans="2:11" x14ac:dyDescent="0.2">
      <c r="B83" s="160" t="s">
        <v>330</v>
      </c>
      <c r="C83" s="160">
        <v>865</v>
      </c>
      <c r="D83" s="160">
        <v>390</v>
      </c>
      <c r="E83" s="160">
        <f t="shared" si="13"/>
        <v>1255</v>
      </c>
      <c r="F83" s="161">
        <f t="shared" si="10"/>
        <v>2.3821274011084959E-2</v>
      </c>
      <c r="G83" s="160">
        <v>2480</v>
      </c>
      <c r="H83" s="160">
        <v>82</v>
      </c>
      <c r="I83" s="160">
        <f t="shared" si="14"/>
        <v>2562</v>
      </c>
      <c r="J83" s="161">
        <f t="shared" si="11"/>
        <v>2.3855637081455546E-2</v>
      </c>
      <c r="K83" s="160">
        <f t="shared" si="12"/>
        <v>3817</v>
      </c>
    </row>
    <row r="84" spans="2:11" x14ac:dyDescent="0.2">
      <c r="B84" s="160" t="s">
        <v>334</v>
      </c>
      <c r="C84" s="160">
        <v>826</v>
      </c>
      <c r="D84" s="160">
        <v>427</v>
      </c>
      <c r="E84" s="160">
        <f t="shared" si="13"/>
        <v>1253</v>
      </c>
      <c r="F84" s="161">
        <f t="shared" si="10"/>
        <v>2.3783311821425859E-2</v>
      </c>
      <c r="G84" s="160">
        <v>1872</v>
      </c>
      <c r="H84" s="160">
        <v>159</v>
      </c>
      <c r="I84" s="160">
        <f t="shared" si="14"/>
        <v>2031</v>
      </c>
      <c r="J84" s="161">
        <f t="shared" si="11"/>
        <v>1.8911318857313123E-2</v>
      </c>
      <c r="K84" s="160">
        <f t="shared" si="12"/>
        <v>3284</v>
      </c>
    </row>
    <row r="85" spans="2:11" x14ac:dyDescent="0.2">
      <c r="B85" s="160" t="s">
        <v>335</v>
      </c>
      <c r="C85" s="160">
        <v>428</v>
      </c>
      <c r="D85" s="160">
        <v>191</v>
      </c>
      <c r="E85" s="160">
        <f t="shared" si="13"/>
        <v>619</v>
      </c>
      <c r="F85" s="161">
        <f t="shared" si="10"/>
        <v>1.1749297699491307E-2</v>
      </c>
      <c r="G85" s="160">
        <v>780</v>
      </c>
      <c r="H85" s="160">
        <v>60</v>
      </c>
      <c r="I85" s="160">
        <f t="shared" si="14"/>
        <v>840</v>
      </c>
      <c r="J85" s="161">
        <f t="shared" si="11"/>
        <v>7.8215203545755896E-3</v>
      </c>
      <c r="K85" s="160">
        <f t="shared" si="12"/>
        <v>1459</v>
      </c>
    </row>
    <row r="86" spans="2:11" x14ac:dyDescent="0.2">
      <c r="B86" s="162" t="s">
        <v>66</v>
      </c>
      <c r="C86" s="160">
        <f>SUM(C53:C85)</f>
        <v>37285</v>
      </c>
      <c r="D86" s="160">
        <f>SUM(D53:D85)</f>
        <v>15399</v>
      </c>
      <c r="E86" s="162">
        <f t="shared" ref="E86" si="15">C86+D86</f>
        <v>52684</v>
      </c>
      <c r="F86" s="164">
        <f t="shared" ref="F86" si="16">E86/$E$86</f>
        <v>1</v>
      </c>
      <c r="G86" s="160">
        <f>SUM(G53:G85)</f>
        <v>101452</v>
      </c>
      <c r="H86" s="160">
        <f>SUM(H53:H85)</f>
        <v>5944</v>
      </c>
      <c r="I86" s="162">
        <f>G86+H86</f>
        <v>107396</v>
      </c>
      <c r="J86" s="193">
        <f t="shared" ref="J86" si="17">I86/$I$86</f>
        <v>1</v>
      </c>
      <c r="K86" s="162">
        <f t="shared" ref="K86:K87" si="18">E86+I86</f>
        <v>160080</v>
      </c>
    </row>
    <row r="87" spans="2:11" ht="24" x14ac:dyDescent="0.2">
      <c r="B87" s="198" t="s">
        <v>84</v>
      </c>
      <c r="C87" s="194">
        <f>+C86/$K$86</f>
        <v>0.23291479260369816</v>
      </c>
      <c r="D87" s="194">
        <f>+D86/$K$86</f>
        <v>9.6195652173913043E-2</v>
      </c>
      <c r="E87" s="195">
        <f>C87+D87</f>
        <v>0.3291104447776112</v>
      </c>
      <c r="F87" s="195"/>
      <c r="G87" s="194">
        <f>+G86/$K$86</f>
        <v>0.63375812093953021</v>
      </c>
      <c r="H87" s="194">
        <f>+H86/$K$86</f>
        <v>3.7131434282858568E-2</v>
      </c>
      <c r="I87" s="195">
        <f>G87+H87</f>
        <v>0.6708895552223888</v>
      </c>
      <c r="J87" s="195"/>
      <c r="K87" s="195">
        <f t="shared" si="18"/>
        <v>1</v>
      </c>
    </row>
    <row r="88" spans="2:11" x14ac:dyDescent="0.2">
      <c r="B88" s="167" t="s">
        <v>149</v>
      </c>
    </row>
    <row r="89" spans="2:11" x14ac:dyDescent="0.2">
      <c r="B89" s="167" t="s">
        <v>150</v>
      </c>
    </row>
  </sheetData>
  <mergeCells count="10">
    <mergeCell ref="B51:B52"/>
    <mergeCell ref="C51:K51"/>
    <mergeCell ref="B8:K8"/>
    <mergeCell ref="B9:B10"/>
    <mergeCell ref="C9:K9"/>
    <mergeCell ref="B6:K6"/>
    <mergeCell ref="B5:K5"/>
    <mergeCell ref="B48:K48"/>
    <mergeCell ref="B47:K47"/>
    <mergeCell ref="B50:K50"/>
  </mergeCells>
  <hyperlinks>
    <hyperlink ref="M5" location="'Índice Pensiones Solidarias'!A1" display="Volver Sistema de Pensiones Solidadias" xr:uid="{00000000-0004-0000-1000-000000000000}"/>
  </hyperlinks>
  <pageMargins left="0.74803149606299213" right="0.74803149606299213" top="0.98425196850393704" bottom="0.98425196850393704" header="0" footer="0"/>
  <pageSetup scale="72" fitToHeight="2"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7"/>
  <dimension ref="A1:P87"/>
  <sheetViews>
    <sheetView showGridLines="0" topLeftCell="A19" zoomScaleNormal="100" workbookViewId="0"/>
  </sheetViews>
  <sheetFormatPr baseColWidth="10" defaultRowHeight="12" x14ac:dyDescent="0.2"/>
  <cols>
    <col min="1" max="1" width="6" style="168" customWidth="1"/>
    <col min="2" max="2" width="18.140625" style="168" customWidth="1"/>
    <col min="3" max="3" width="7.85546875" style="168" customWidth="1"/>
    <col min="4" max="4" width="7" style="168" customWidth="1"/>
    <col min="5" max="6" width="8.42578125" style="168" customWidth="1"/>
    <col min="7" max="7" width="8" style="168" customWidth="1"/>
    <col min="8" max="8" width="6.85546875" style="168" customWidth="1"/>
    <col min="9" max="11" width="8.28515625" style="168" customWidth="1"/>
    <col min="12" max="12" width="7.85546875" style="168" customWidth="1"/>
    <col min="13" max="251" width="11.42578125" style="168"/>
    <col min="252" max="252" width="18.140625" style="168" customWidth="1"/>
    <col min="253" max="253" width="7.85546875" style="168" customWidth="1"/>
    <col min="254" max="254" width="7" style="168" customWidth="1"/>
    <col min="255" max="256" width="8.42578125" style="168" customWidth="1"/>
    <col min="257" max="257" width="8" style="168" customWidth="1"/>
    <col min="258" max="258" width="6.85546875" style="168" customWidth="1"/>
    <col min="259" max="261" width="8.28515625" style="168" customWidth="1"/>
    <col min="262" max="267" width="0" style="168" hidden="1" customWidth="1"/>
    <col min="268" max="268" width="7.85546875" style="168" customWidth="1"/>
    <col min="269" max="507" width="11.42578125" style="168"/>
    <col min="508" max="508" width="18.140625" style="168" customWidth="1"/>
    <col min="509" max="509" width="7.85546875" style="168" customWidth="1"/>
    <col min="510" max="510" width="7" style="168" customWidth="1"/>
    <col min="511" max="512" width="8.42578125" style="168" customWidth="1"/>
    <col min="513" max="513" width="8" style="168" customWidth="1"/>
    <col min="514" max="514" width="6.85546875" style="168" customWidth="1"/>
    <col min="515" max="517" width="8.28515625" style="168" customWidth="1"/>
    <col min="518" max="523" width="0" style="168" hidden="1" customWidth="1"/>
    <col min="524" max="524" width="7.85546875" style="168" customWidth="1"/>
    <col min="525" max="763" width="11.42578125" style="168"/>
    <col min="764" max="764" width="18.140625" style="168" customWidth="1"/>
    <col min="765" max="765" width="7.85546875" style="168" customWidth="1"/>
    <col min="766" max="766" width="7" style="168" customWidth="1"/>
    <col min="767" max="768" width="8.42578125" style="168" customWidth="1"/>
    <col min="769" max="769" width="8" style="168" customWidth="1"/>
    <col min="770" max="770" width="6.85546875" style="168" customWidth="1"/>
    <col min="771" max="773" width="8.28515625" style="168" customWidth="1"/>
    <col min="774" max="779" width="0" style="168" hidden="1" customWidth="1"/>
    <col min="780" max="780" width="7.85546875" style="168" customWidth="1"/>
    <col min="781" max="1019" width="11.42578125" style="168"/>
    <col min="1020" max="1020" width="18.140625" style="168" customWidth="1"/>
    <col min="1021" max="1021" width="7.85546875" style="168" customWidth="1"/>
    <col min="1022" max="1022" width="7" style="168" customWidth="1"/>
    <col min="1023" max="1024" width="8.42578125" style="168" customWidth="1"/>
    <col min="1025" max="1025" width="8" style="168" customWidth="1"/>
    <col min="1026" max="1026" width="6.85546875" style="168" customWidth="1"/>
    <col min="1027" max="1029" width="8.28515625" style="168" customWidth="1"/>
    <col min="1030" max="1035" width="0" style="168" hidden="1" customWidth="1"/>
    <col min="1036" max="1036" width="7.85546875" style="168" customWidth="1"/>
    <col min="1037" max="1275" width="11.42578125" style="168"/>
    <col min="1276" max="1276" width="18.140625" style="168" customWidth="1"/>
    <col min="1277" max="1277" width="7.85546875" style="168" customWidth="1"/>
    <col min="1278" max="1278" width="7" style="168" customWidth="1"/>
    <col min="1279" max="1280" width="8.42578125" style="168" customWidth="1"/>
    <col min="1281" max="1281" width="8" style="168" customWidth="1"/>
    <col min="1282" max="1282" width="6.85546875" style="168" customWidth="1"/>
    <col min="1283" max="1285" width="8.28515625" style="168" customWidth="1"/>
    <col min="1286" max="1291" width="0" style="168" hidden="1" customWidth="1"/>
    <col min="1292" max="1292" width="7.85546875" style="168" customWidth="1"/>
    <col min="1293" max="1531" width="11.42578125" style="168"/>
    <col min="1532" max="1532" width="18.140625" style="168" customWidth="1"/>
    <col min="1533" max="1533" width="7.85546875" style="168" customWidth="1"/>
    <col min="1534" max="1534" width="7" style="168" customWidth="1"/>
    <col min="1535" max="1536" width="8.42578125" style="168" customWidth="1"/>
    <col min="1537" max="1537" width="8" style="168" customWidth="1"/>
    <col min="1538" max="1538" width="6.85546875" style="168" customWidth="1"/>
    <col min="1539" max="1541" width="8.28515625" style="168" customWidth="1"/>
    <col min="1542" max="1547" width="0" style="168" hidden="1" customWidth="1"/>
    <col min="1548" max="1548" width="7.85546875" style="168" customWidth="1"/>
    <col min="1549" max="1787" width="11.42578125" style="168"/>
    <col min="1788" max="1788" width="18.140625" style="168" customWidth="1"/>
    <col min="1789" max="1789" width="7.85546875" style="168" customWidth="1"/>
    <col min="1790" max="1790" width="7" style="168" customWidth="1"/>
    <col min="1791" max="1792" width="8.42578125" style="168" customWidth="1"/>
    <col min="1793" max="1793" width="8" style="168" customWidth="1"/>
    <col min="1794" max="1794" width="6.85546875" style="168" customWidth="1"/>
    <col min="1795" max="1797" width="8.28515625" style="168" customWidth="1"/>
    <col min="1798" max="1803" width="0" style="168" hidden="1" customWidth="1"/>
    <col min="1804" max="1804" width="7.85546875" style="168" customWidth="1"/>
    <col min="1805" max="2043" width="11.42578125" style="168"/>
    <col min="2044" max="2044" width="18.140625" style="168" customWidth="1"/>
    <col min="2045" max="2045" width="7.85546875" style="168" customWidth="1"/>
    <col min="2046" max="2046" width="7" style="168" customWidth="1"/>
    <col min="2047" max="2048" width="8.42578125" style="168" customWidth="1"/>
    <col min="2049" max="2049" width="8" style="168" customWidth="1"/>
    <col min="2050" max="2050" width="6.85546875" style="168" customWidth="1"/>
    <col min="2051" max="2053" width="8.28515625" style="168" customWidth="1"/>
    <col min="2054" max="2059" width="0" style="168" hidden="1" customWidth="1"/>
    <col min="2060" max="2060" width="7.85546875" style="168" customWidth="1"/>
    <col min="2061" max="2299" width="11.42578125" style="168"/>
    <col min="2300" max="2300" width="18.140625" style="168" customWidth="1"/>
    <col min="2301" max="2301" width="7.85546875" style="168" customWidth="1"/>
    <col min="2302" max="2302" width="7" style="168" customWidth="1"/>
    <col min="2303" max="2304" width="8.42578125" style="168" customWidth="1"/>
    <col min="2305" max="2305" width="8" style="168" customWidth="1"/>
    <col min="2306" max="2306" width="6.85546875" style="168" customWidth="1"/>
    <col min="2307" max="2309" width="8.28515625" style="168" customWidth="1"/>
    <col min="2310" max="2315" width="0" style="168" hidden="1" customWidth="1"/>
    <col min="2316" max="2316" width="7.85546875" style="168" customWidth="1"/>
    <col min="2317" max="2555" width="11.42578125" style="168"/>
    <col min="2556" max="2556" width="18.140625" style="168" customWidth="1"/>
    <col min="2557" max="2557" width="7.85546875" style="168" customWidth="1"/>
    <col min="2558" max="2558" width="7" style="168" customWidth="1"/>
    <col min="2559" max="2560" width="8.42578125" style="168" customWidth="1"/>
    <col min="2561" max="2561" width="8" style="168" customWidth="1"/>
    <col min="2562" max="2562" width="6.85546875" style="168" customWidth="1"/>
    <col min="2563" max="2565" width="8.28515625" style="168" customWidth="1"/>
    <col min="2566" max="2571" width="0" style="168" hidden="1" customWidth="1"/>
    <col min="2572" max="2572" width="7.85546875" style="168" customWidth="1"/>
    <col min="2573" max="2811" width="11.42578125" style="168"/>
    <col min="2812" max="2812" width="18.140625" style="168" customWidth="1"/>
    <col min="2813" max="2813" width="7.85546875" style="168" customWidth="1"/>
    <col min="2814" max="2814" width="7" style="168" customWidth="1"/>
    <col min="2815" max="2816" width="8.42578125" style="168" customWidth="1"/>
    <col min="2817" max="2817" width="8" style="168" customWidth="1"/>
    <col min="2818" max="2818" width="6.85546875" style="168" customWidth="1"/>
    <col min="2819" max="2821" width="8.28515625" style="168" customWidth="1"/>
    <col min="2822" max="2827" width="0" style="168" hidden="1" customWidth="1"/>
    <col min="2828" max="2828" width="7.85546875" style="168" customWidth="1"/>
    <col min="2829" max="3067" width="11.42578125" style="168"/>
    <col min="3068" max="3068" width="18.140625" style="168" customWidth="1"/>
    <col min="3069" max="3069" width="7.85546875" style="168" customWidth="1"/>
    <col min="3070" max="3070" width="7" style="168" customWidth="1"/>
    <col min="3071" max="3072" width="8.42578125" style="168" customWidth="1"/>
    <col min="3073" max="3073" width="8" style="168" customWidth="1"/>
    <col min="3074" max="3074" width="6.85546875" style="168" customWidth="1"/>
    <col min="3075" max="3077" width="8.28515625" style="168" customWidth="1"/>
    <col min="3078" max="3083" width="0" style="168" hidden="1" customWidth="1"/>
    <col min="3084" max="3084" width="7.85546875" style="168" customWidth="1"/>
    <col min="3085" max="3323" width="11.42578125" style="168"/>
    <col min="3324" max="3324" width="18.140625" style="168" customWidth="1"/>
    <col min="3325" max="3325" width="7.85546875" style="168" customWidth="1"/>
    <col min="3326" max="3326" width="7" style="168" customWidth="1"/>
    <col min="3327" max="3328" width="8.42578125" style="168" customWidth="1"/>
    <col min="3329" max="3329" width="8" style="168" customWidth="1"/>
    <col min="3330" max="3330" width="6.85546875" style="168" customWidth="1"/>
    <col min="3331" max="3333" width="8.28515625" style="168" customWidth="1"/>
    <col min="3334" max="3339" width="0" style="168" hidden="1" customWidth="1"/>
    <col min="3340" max="3340" width="7.85546875" style="168" customWidth="1"/>
    <col min="3341" max="3579" width="11.42578125" style="168"/>
    <col min="3580" max="3580" width="18.140625" style="168" customWidth="1"/>
    <col min="3581" max="3581" width="7.85546875" style="168" customWidth="1"/>
    <col min="3582" max="3582" width="7" style="168" customWidth="1"/>
    <col min="3583" max="3584" width="8.42578125" style="168" customWidth="1"/>
    <col min="3585" max="3585" width="8" style="168" customWidth="1"/>
    <col min="3586" max="3586" width="6.85546875" style="168" customWidth="1"/>
    <col min="3587" max="3589" width="8.28515625" style="168" customWidth="1"/>
    <col min="3590" max="3595" width="0" style="168" hidden="1" customWidth="1"/>
    <col min="3596" max="3596" width="7.85546875" style="168" customWidth="1"/>
    <col min="3597" max="3835" width="11.42578125" style="168"/>
    <col min="3836" max="3836" width="18.140625" style="168" customWidth="1"/>
    <col min="3837" max="3837" width="7.85546875" style="168" customWidth="1"/>
    <col min="3838" max="3838" width="7" style="168" customWidth="1"/>
    <col min="3839" max="3840" width="8.42578125" style="168" customWidth="1"/>
    <col min="3841" max="3841" width="8" style="168" customWidth="1"/>
    <col min="3842" max="3842" width="6.85546875" style="168" customWidth="1"/>
    <col min="3843" max="3845" width="8.28515625" style="168" customWidth="1"/>
    <col min="3846" max="3851" width="0" style="168" hidden="1" customWidth="1"/>
    <col min="3852" max="3852" width="7.85546875" style="168" customWidth="1"/>
    <col min="3853" max="4091" width="11.42578125" style="168"/>
    <col min="4092" max="4092" width="18.140625" style="168" customWidth="1"/>
    <col min="4093" max="4093" width="7.85546875" style="168" customWidth="1"/>
    <col min="4094" max="4094" width="7" style="168" customWidth="1"/>
    <col min="4095" max="4096" width="8.42578125" style="168" customWidth="1"/>
    <col min="4097" max="4097" width="8" style="168" customWidth="1"/>
    <col min="4098" max="4098" width="6.85546875" style="168" customWidth="1"/>
    <col min="4099" max="4101" width="8.28515625" style="168" customWidth="1"/>
    <col min="4102" max="4107" width="0" style="168" hidden="1" customWidth="1"/>
    <col min="4108" max="4108" width="7.85546875" style="168" customWidth="1"/>
    <col min="4109" max="4347" width="11.42578125" style="168"/>
    <col min="4348" max="4348" width="18.140625" style="168" customWidth="1"/>
    <col min="4349" max="4349" width="7.85546875" style="168" customWidth="1"/>
    <col min="4350" max="4350" width="7" style="168" customWidth="1"/>
    <col min="4351" max="4352" width="8.42578125" style="168" customWidth="1"/>
    <col min="4353" max="4353" width="8" style="168" customWidth="1"/>
    <col min="4354" max="4354" width="6.85546875" style="168" customWidth="1"/>
    <col min="4355" max="4357" width="8.28515625" style="168" customWidth="1"/>
    <col min="4358" max="4363" width="0" style="168" hidden="1" customWidth="1"/>
    <col min="4364" max="4364" width="7.85546875" style="168" customWidth="1"/>
    <col min="4365" max="4603" width="11.42578125" style="168"/>
    <col min="4604" max="4604" width="18.140625" style="168" customWidth="1"/>
    <col min="4605" max="4605" width="7.85546875" style="168" customWidth="1"/>
    <col min="4606" max="4606" width="7" style="168" customWidth="1"/>
    <col min="4607" max="4608" width="8.42578125" style="168" customWidth="1"/>
    <col min="4609" max="4609" width="8" style="168" customWidth="1"/>
    <col min="4610" max="4610" width="6.85546875" style="168" customWidth="1"/>
    <col min="4611" max="4613" width="8.28515625" style="168" customWidth="1"/>
    <col min="4614" max="4619" width="0" style="168" hidden="1" customWidth="1"/>
    <col min="4620" max="4620" width="7.85546875" style="168" customWidth="1"/>
    <col min="4621" max="4859" width="11.42578125" style="168"/>
    <col min="4860" max="4860" width="18.140625" style="168" customWidth="1"/>
    <col min="4861" max="4861" width="7.85546875" style="168" customWidth="1"/>
    <col min="4862" max="4862" width="7" style="168" customWidth="1"/>
    <col min="4863" max="4864" width="8.42578125" style="168" customWidth="1"/>
    <col min="4865" max="4865" width="8" style="168" customWidth="1"/>
    <col min="4866" max="4866" width="6.85546875" style="168" customWidth="1"/>
    <col min="4867" max="4869" width="8.28515625" style="168" customWidth="1"/>
    <col min="4870" max="4875" width="0" style="168" hidden="1" customWidth="1"/>
    <col min="4876" max="4876" width="7.85546875" style="168" customWidth="1"/>
    <col min="4877" max="5115" width="11.42578125" style="168"/>
    <col min="5116" max="5116" width="18.140625" style="168" customWidth="1"/>
    <col min="5117" max="5117" width="7.85546875" style="168" customWidth="1"/>
    <col min="5118" max="5118" width="7" style="168" customWidth="1"/>
    <col min="5119" max="5120" width="8.42578125" style="168" customWidth="1"/>
    <col min="5121" max="5121" width="8" style="168" customWidth="1"/>
    <col min="5122" max="5122" width="6.85546875" style="168" customWidth="1"/>
    <col min="5123" max="5125" width="8.28515625" style="168" customWidth="1"/>
    <col min="5126" max="5131" width="0" style="168" hidden="1" customWidth="1"/>
    <col min="5132" max="5132" width="7.85546875" style="168" customWidth="1"/>
    <col min="5133" max="5371" width="11.42578125" style="168"/>
    <col min="5372" max="5372" width="18.140625" style="168" customWidth="1"/>
    <col min="5373" max="5373" width="7.85546875" style="168" customWidth="1"/>
    <col min="5374" max="5374" width="7" style="168" customWidth="1"/>
    <col min="5375" max="5376" width="8.42578125" style="168" customWidth="1"/>
    <col min="5377" max="5377" width="8" style="168" customWidth="1"/>
    <col min="5378" max="5378" width="6.85546875" style="168" customWidth="1"/>
    <col min="5379" max="5381" width="8.28515625" style="168" customWidth="1"/>
    <col min="5382" max="5387" width="0" style="168" hidden="1" customWidth="1"/>
    <col min="5388" max="5388" width="7.85546875" style="168" customWidth="1"/>
    <col min="5389" max="5627" width="11.42578125" style="168"/>
    <col min="5628" max="5628" width="18.140625" style="168" customWidth="1"/>
    <col min="5629" max="5629" width="7.85546875" style="168" customWidth="1"/>
    <col min="5630" max="5630" width="7" style="168" customWidth="1"/>
    <col min="5631" max="5632" width="8.42578125" style="168" customWidth="1"/>
    <col min="5633" max="5633" width="8" style="168" customWidth="1"/>
    <col min="5634" max="5634" width="6.85546875" style="168" customWidth="1"/>
    <col min="5635" max="5637" width="8.28515625" style="168" customWidth="1"/>
    <col min="5638" max="5643" width="0" style="168" hidden="1" customWidth="1"/>
    <col min="5644" max="5644" width="7.85546875" style="168" customWidth="1"/>
    <col min="5645" max="5883" width="11.42578125" style="168"/>
    <col min="5884" max="5884" width="18.140625" style="168" customWidth="1"/>
    <col min="5885" max="5885" width="7.85546875" style="168" customWidth="1"/>
    <col min="5886" max="5886" width="7" style="168" customWidth="1"/>
    <col min="5887" max="5888" width="8.42578125" style="168" customWidth="1"/>
    <col min="5889" max="5889" width="8" style="168" customWidth="1"/>
    <col min="5890" max="5890" width="6.85546875" style="168" customWidth="1"/>
    <col min="5891" max="5893" width="8.28515625" style="168" customWidth="1"/>
    <col min="5894" max="5899" width="0" style="168" hidden="1" customWidth="1"/>
    <col min="5900" max="5900" width="7.85546875" style="168" customWidth="1"/>
    <col min="5901" max="6139" width="11.42578125" style="168"/>
    <col min="6140" max="6140" width="18.140625" style="168" customWidth="1"/>
    <col min="6141" max="6141" width="7.85546875" style="168" customWidth="1"/>
    <col min="6142" max="6142" width="7" style="168" customWidth="1"/>
    <col min="6143" max="6144" width="8.42578125" style="168" customWidth="1"/>
    <col min="6145" max="6145" width="8" style="168" customWidth="1"/>
    <col min="6146" max="6146" width="6.85546875" style="168" customWidth="1"/>
    <col min="6147" max="6149" width="8.28515625" style="168" customWidth="1"/>
    <col min="6150" max="6155" width="0" style="168" hidden="1" customWidth="1"/>
    <col min="6156" max="6156" width="7.85546875" style="168" customWidth="1"/>
    <col min="6157" max="6395" width="11.42578125" style="168"/>
    <col min="6396" max="6396" width="18.140625" style="168" customWidth="1"/>
    <col min="6397" max="6397" width="7.85546875" style="168" customWidth="1"/>
    <col min="6398" max="6398" width="7" style="168" customWidth="1"/>
    <col min="6399" max="6400" width="8.42578125" style="168" customWidth="1"/>
    <col min="6401" max="6401" width="8" style="168" customWidth="1"/>
    <col min="6402" max="6402" width="6.85546875" style="168" customWidth="1"/>
    <col min="6403" max="6405" width="8.28515625" style="168" customWidth="1"/>
    <col min="6406" max="6411" width="0" style="168" hidden="1" customWidth="1"/>
    <col min="6412" max="6412" width="7.85546875" style="168" customWidth="1"/>
    <col min="6413" max="6651" width="11.42578125" style="168"/>
    <col min="6652" max="6652" width="18.140625" style="168" customWidth="1"/>
    <col min="6653" max="6653" width="7.85546875" style="168" customWidth="1"/>
    <col min="6654" max="6654" width="7" style="168" customWidth="1"/>
    <col min="6655" max="6656" width="8.42578125" style="168" customWidth="1"/>
    <col min="6657" max="6657" width="8" style="168" customWidth="1"/>
    <col min="6658" max="6658" width="6.85546875" style="168" customWidth="1"/>
    <col min="6659" max="6661" width="8.28515625" style="168" customWidth="1"/>
    <col min="6662" max="6667" width="0" style="168" hidden="1" customWidth="1"/>
    <col min="6668" max="6668" width="7.85546875" style="168" customWidth="1"/>
    <col min="6669" max="6907" width="11.42578125" style="168"/>
    <col min="6908" max="6908" width="18.140625" style="168" customWidth="1"/>
    <col min="6909" max="6909" width="7.85546875" style="168" customWidth="1"/>
    <col min="6910" max="6910" width="7" style="168" customWidth="1"/>
    <col min="6911" max="6912" width="8.42578125" style="168" customWidth="1"/>
    <col min="6913" max="6913" width="8" style="168" customWidth="1"/>
    <col min="6914" max="6914" width="6.85546875" style="168" customWidth="1"/>
    <col min="6915" max="6917" width="8.28515625" style="168" customWidth="1"/>
    <col min="6918" max="6923" width="0" style="168" hidden="1" customWidth="1"/>
    <col min="6924" max="6924" width="7.85546875" style="168" customWidth="1"/>
    <col min="6925" max="7163" width="11.42578125" style="168"/>
    <col min="7164" max="7164" width="18.140625" style="168" customWidth="1"/>
    <col min="7165" max="7165" width="7.85546875" style="168" customWidth="1"/>
    <col min="7166" max="7166" width="7" style="168" customWidth="1"/>
    <col min="7167" max="7168" width="8.42578125" style="168" customWidth="1"/>
    <col min="7169" max="7169" width="8" style="168" customWidth="1"/>
    <col min="7170" max="7170" width="6.85546875" style="168" customWidth="1"/>
    <col min="7171" max="7173" width="8.28515625" style="168" customWidth="1"/>
    <col min="7174" max="7179" width="0" style="168" hidden="1" customWidth="1"/>
    <col min="7180" max="7180" width="7.85546875" style="168" customWidth="1"/>
    <col min="7181" max="7419" width="11.42578125" style="168"/>
    <col min="7420" max="7420" width="18.140625" style="168" customWidth="1"/>
    <col min="7421" max="7421" width="7.85546875" style="168" customWidth="1"/>
    <col min="7422" max="7422" width="7" style="168" customWidth="1"/>
    <col min="7423" max="7424" width="8.42578125" style="168" customWidth="1"/>
    <col min="7425" max="7425" width="8" style="168" customWidth="1"/>
    <col min="7426" max="7426" width="6.85546875" style="168" customWidth="1"/>
    <col min="7427" max="7429" width="8.28515625" style="168" customWidth="1"/>
    <col min="7430" max="7435" width="0" style="168" hidden="1" customWidth="1"/>
    <col min="7436" max="7436" width="7.85546875" style="168" customWidth="1"/>
    <col min="7437" max="7675" width="11.42578125" style="168"/>
    <col min="7676" max="7676" width="18.140625" style="168" customWidth="1"/>
    <col min="7677" max="7677" width="7.85546875" style="168" customWidth="1"/>
    <col min="7678" max="7678" width="7" style="168" customWidth="1"/>
    <col min="7679" max="7680" width="8.42578125" style="168" customWidth="1"/>
    <col min="7681" max="7681" width="8" style="168" customWidth="1"/>
    <col min="7682" max="7682" width="6.85546875" style="168" customWidth="1"/>
    <col min="7683" max="7685" width="8.28515625" style="168" customWidth="1"/>
    <col min="7686" max="7691" width="0" style="168" hidden="1" customWidth="1"/>
    <col min="7692" max="7692" width="7.85546875" style="168" customWidth="1"/>
    <col min="7693" max="7931" width="11.42578125" style="168"/>
    <col min="7932" max="7932" width="18.140625" style="168" customWidth="1"/>
    <col min="7933" max="7933" width="7.85546875" style="168" customWidth="1"/>
    <col min="7934" max="7934" width="7" style="168" customWidth="1"/>
    <col min="7935" max="7936" width="8.42578125" style="168" customWidth="1"/>
    <col min="7937" max="7937" width="8" style="168" customWidth="1"/>
    <col min="7938" max="7938" width="6.85546875" style="168" customWidth="1"/>
    <col min="7939" max="7941" width="8.28515625" style="168" customWidth="1"/>
    <col min="7942" max="7947" width="0" style="168" hidden="1" customWidth="1"/>
    <col min="7948" max="7948" width="7.85546875" style="168" customWidth="1"/>
    <col min="7949" max="8187" width="11.42578125" style="168"/>
    <col min="8188" max="8188" width="18.140625" style="168" customWidth="1"/>
    <col min="8189" max="8189" width="7.85546875" style="168" customWidth="1"/>
    <col min="8190" max="8190" width="7" style="168" customWidth="1"/>
    <col min="8191" max="8192" width="8.42578125" style="168" customWidth="1"/>
    <col min="8193" max="8193" width="8" style="168" customWidth="1"/>
    <col min="8194" max="8194" width="6.85546875" style="168" customWidth="1"/>
    <col min="8195" max="8197" width="8.28515625" style="168" customWidth="1"/>
    <col min="8198" max="8203" width="0" style="168" hidden="1" customWidth="1"/>
    <col min="8204" max="8204" width="7.85546875" style="168" customWidth="1"/>
    <col min="8205" max="8443" width="11.42578125" style="168"/>
    <col min="8444" max="8444" width="18.140625" style="168" customWidth="1"/>
    <col min="8445" max="8445" width="7.85546875" style="168" customWidth="1"/>
    <col min="8446" max="8446" width="7" style="168" customWidth="1"/>
    <col min="8447" max="8448" width="8.42578125" style="168" customWidth="1"/>
    <col min="8449" max="8449" width="8" style="168" customWidth="1"/>
    <col min="8450" max="8450" width="6.85546875" style="168" customWidth="1"/>
    <col min="8451" max="8453" width="8.28515625" style="168" customWidth="1"/>
    <col min="8454" max="8459" width="0" style="168" hidden="1" customWidth="1"/>
    <col min="8460" max="8460" width="7.85546875" style="168" customWidth="1"/>
    <col min="8461" max="8699" width="11.42578125" style="168"/>
    <col min="8700" max="8700" width="18.140625" style="168" customWidth="1"/>
    <col min="8701" max="8701" width="7.85546875" style="168" customWidth="1"/>
    <col min="8702" max="8702" width="7" style="168" customWidth="1"/>
    <col min="8703" max="8704" width="8.42578125" style="168" customWidth="1"/>
    <col min="8705" max="8705" width="8" style="168" customWidth="1"/>
    <col min="8706" max="8706" width="6.85546875" style="168" customWidth="1"/>
    <col min="8707" max="8709" width="8.28515625" style="168" customWidth="1"/>
    <col min="8710" max="8715" width="0" style="168" hidden="1" customWidth="1"/>
    <col min="8716" max="8716" width="7.85546875" style="168" customWidth="1"/>
    <col min="8717" max="8955" width="11.42578125" style="168"/>
    <col min="8956" max="8956" width="18.140625" style="168" customWidth="1"/>
    <col min="8957" max="8957" width="7.85546875" style="168" customWidth="1"/>
    <col min="8958" max="8958" width="7" style="168" customWidth="1"/>
    <col min="8959" max="8960" width="8.42578125" style="168" customWidth="1"/>
    <col min="8961" max="8961" width="8" style="168" customWidth="1"/>
    <col min="8962" max="8962" width="6.85546875" style="168" customWidth="1"/>
    <col min="8963" max="8965" width="8.28515625" style="168" customWidth="1"/>
    <col min="8966" max="8971" width="0" style="168" hidden="1" customWidth="1"/>
    <col min="8972" max="8972" width="7.85546875" style="168" customWidth="1"/>
    <col min="8973" max="9211" width="11.42578125" style="168"/>
    <col min="9212" max="9212" width="18.140625" style="168" customWidth="1"/>
    <col min="9213" max="9213" width="7.85546875" style="168" customWidth="1"/>
    <col min="9214" max="9214" width="7" style="168" customWidth="1"/>
    <col min="9215" max="9216" width="8.42578125" style="168" customWidth="1"/>
    <col min="9217" max="9217" width="8" style="168" customWidth="1"/>
    <col min="9218" max="9218" width="6.85546875" style="168" customWidth="1"/>
    <col min="9219" max="9221" width="8.28515625" style="168" customWidth="1"/>
    <col min="9222" max="9227" width="0" style="168" hidden="1" customWidth="1"/>
    <col min="9228" max="9228" width="7.85546875" style="168" customWidth="1"/>
    <col min="9229" max="9467" width="11.42578125" style="168"/>
    <col min="9468" max="9468" width="18.140625" style="168" customWidth="1"/>
    <col min="9469" max="9469" width="7.85546875" style="168" customWidth="1"/>
    <col min="9470" max="9470" width="7" style="168" customWidth="1"/>
    <col min="9471" max="9472" width="8.42578125" style="168" customWidth="1"/>
    <col min="9473" max="9473" width="8" style="168" customWidth="1"/>
    <col min="9474" max="9474" width="6.85546875" style="168" customWidth="1"/>
    <col min="9475" max="9477" width="8.28515625" style="168" customWidth="1"/>
    <col min="9478" max="9483" width="0" style="168" hidden="1" customWidth="1"/>
    <col min="9484" max="9484" width="7.85546875" style="168" customWidth="1"/>
    <col min="9485" max="9723" width="11.42578125" style="168"/>
    <col min="9724" max="9724" width="18.140625" style="168" customWidth="1"/>
    <col min="9725" max="9725" width="7.85546875" style="168" customWidth="1"/>
    <col min="9726" max="9726" width="7" style="168" customWidth="1"/>
    <col min="9727" max="9728" width="8.42578125" style="168" customWidth="1"/>
    <col min="9729" max="9729" width="8" style="168" customWidth="1"/>
    <col min="9730" max="9730" width="6.85546875" style="168" customWidth="1"/>
    <col min="9731" max="9733" width="8.28515625" style="168" customWidth="1"/>
    <col min="9734" max="9739" width="0" style="168" hidden="1" customWidth="1"/>
    <col min="9740" max="9740" width="7.85546875" style="168" customWidth="1"/>
    <col min="9741" max="9979" width="11.42578125" style="168"/>
    <col min="9980" max="9980" width="18.140625" style="168" customWidth="1"/>
    <col min="9981" max="9981" width="7.85546875" style="168" customWidth="1"/>
    <col min="9982" max="9982" width="7" style="168" customWidth="1"/>
    <col min="9983" max="9984" width="8.42578125" style="168" customWidth="1"/>
    <col min="9985" max="9985" width="8" style="168" customWidth="1"/>
    <col min="9986" max="9986" width="6.85546875" style="168" customWidth="1"/>
    <col min="9987" max="9989" width="8.28515625" style="168" customWidth="1"/>
    <col min="9990" max="9995" width="0" style="168" hidden="1" customWidth="1"/>
    <col min="9996" max="9996" width="7.85546875" style="168" customWidth="1"/>
    <col min="9997" max="10235" width="11.42578125" style="168"/>
    <col min="10236" max="10236" width="18.140625" style="168" customWidth="1"/>
    <col min="10237" max="10237" width="7.85546875" style="168" customWidth="1"/>
    <col min="10238" max="10238" width="7" style="168" customWidth="1"/>
    <col min="10239" max="10240" width="8.42578125" style="168" customWidth="1"/>
    <col min="10241" max="10241" width="8" style="168" customWidth="1"/>
    <col min="10242" max="10242" width="6.85546875" style="168" customWidth="1"/>
    <col min="10243" max="10245" width="8.28515625" style="168" customWidth="1"/>
    <col min="10246" max="10251" width="0" style="168" hidden="1" customWidth="1"/>
    <col min="10252" max="10252" width="7.85546875" style="168" customWidth="1"/>
    <col min="10253" max="10491" width="11.42578125" style="168"/>
    <col min="10492" max="10492" width="18.140625" style="168" customWidth="1"/>
    <col min="10493" max="10493" width="7.85546875" style="168" customWidth="1"/>
    <col min="10494" max="10494" width="7" style="168" customWidth="1"/>
    <col min="10495" max="10496" width="8.42578125" style="168" customWidth="1"/>
    <col min="10497" max="10497" width="8" style="168" customWidth="1"/>
    <col min="10498" max="10498" width="6.85546875" style="168" customWidth="1"/>
    <col min="10499" max="10501" width="8.28515625" style="168" customWidth="1"/>
    <col min="10502" max="10507" width="0" style="168" hidden="1" customWidth="1"/>
    <col min="10508" max="10508" width="7.85546875" style="168" customWidth="1"/>
    <col min="10509" max="10747" width="11.42578125" style="168"/>
    <col min="10748" max="10748" width="18.140625" style="168" customWidth="1"/>
    <col min="10749" max="10749" width="7.85546875" style="168" customWidth="1"/>
    <col min="10750" max="10750" width="7" style="168" customWidth="1"/>
    <col min="10751" max="10752" width="8.42578125" style="168" customWidth="1"/>
    <col min="10753" max="10753" width="8" style="168" customWidth="1"/>
    <col min="10754" max="10754" width="6.85546875" style="168" customWidth="1"/>
    <col min="10755" max="10757" width="8.28515625" style="168" customWidth="1"/>
    <col min="10758" max="10763" width="0" style="168" hidden="1" customWidth="1"/>
    <col min="10764" max="10764" width="7.85546875" style="168" customWidth="1"/>
    <col min="10765" max="11003" width="11.42578125" style="168"/>
    <col min="11004" max="11004" width="18.140625" style="168" customWidth="1"/>
    <col min="11005" max="11005" width="7.85546875" style="168" customWidth="1"/>
    <col min="11006" max="11006" width="7" style="168" customWidth="1"/>
    <col min="11007" max="11008" width="8.42578125" style="168" customWidth="1"/>
    <col min="11009" max="11009" width="8" style="168" customWidth="1"/>
    <col min="11010" max="11010" width="6.85546875" style="168" customWidth="1"/>
    <col min="11011" max="11013" width="8.28515625" style="168" customWidth="1"/>
    <col min="11014" max="11019" width="0" style="168" hidden="1" customWidth="1"/>
    <col min="11020" max="11020" width="7.85546875" style="168" customWidth="1"/>
    <col min="11021" max="11259" width="11.42578125" style="168"/>
    <col min="11260" max="11260" width="18.140625" style="168" customWidth="1"/>
    <col min="11261" max="11261" width="7.85546875" style="168" customWidth="1"/>
    <col min="11262" max="11262" width="7" style="168" customWidth="1"/>
    <col min="11263" max="11264" width="8.42578125" style="168" customWidth="1"/>
    <col min="11265" max="11265" width="8" style="168" customWidth="1"/>
    <col min="11266" max="11266" width="6.85546875" style="168" customWidth="1"/>
    <col min="11267" max="11269" width="8.28515625" style="168" customWidth="1"/>
    <col min="11270" max="11275" width="0" style="168" hidden="1" customWidth="1"/>
    <col min="11276" max="11276" width="7.85546875" style="168" customWidth="1"/>
    <col min="11277" max="11515" width="11.42578125" style="168"/>
    <col min="11516" max="11516" width="18.140625" style="168" customWidth="1"/>
    <col min="11517" max="11517" width="7.85546875" style="168" customWidth="1"/>
    <col min="11518" max="11518" width="7" style="168" customWidth="1"/>
    <col min="11519" max="11520" width="8.42578125" style="168" customWidth="1"/>
    <col min="11521" max="11521" width="8" style="168" customWidth="1"/>
    <col min="11522" max="11522" width="6.85546875" style="168" customWidth="1"/>
    <col min="11523" max="11525" width="8.28515625" style="168" customWidth="1"/>
    <col min="11526" max="11531" width="0" style="168" hidden="1" customWidth="1"/>
    <col min="11532" max="11532" width="7.85546875" style="168" customWidth="1"/>
    <col min="11533" max="11771" width="11.42578125" style="168"/>
    <col min="11772" max="11772" width="18.140625" style="168" customWidth="1"/>
    <col min="11773" max="11773" width="7.85546875" style="168" customWidth="1"/>
    <col min="11774" max="11774" width="7" style="168" customWidth="1"/>
    <col min="11775" max="11776" width="8.42578125" style="168" customWidth="1"/>
    <col min="11777" max="11777" width="8" style="168" customWidth="1"/>
    <col min="11778" max="11778" width="6.85546875" style="168" customWidth="1"/>
    <col min="11779" max="11781" width="8.28515625" style="168" customWidth="1"/>
    <col min="11782" max="11787" width="0" style="168" hidden="1" customWidth="1"/>
    <col min="11788" max="11788" width="7.85546875" style="168" customWidth="1"/>
    <col min="11789" max="12027" width="11.42578125" style="168"/>
    <col min="12028" max="12028" width="18.140625" style="168" customWidth="1"/>
    <col min="12029" max="12029" width="7.85546875" style="168" customWidth="1"/>
    <col min="12030" max="12030" width="7" style="168" customWidth="1"/>
    <col min="12031" max="12032" width="8.42578125" style="168" customWidth="1"/>
    <col min="12033" max="12033" width="8" style="168" customWidth="1"/>
    <col min="12034" max="12034" width="6.85546875" style="168" customWidth="1"/>
    <col min="12035" max="12037" width="8.28515625" style="168" customWidth="1"/>
    <col min="12038" max="12043" width="0" style="168" hidden="1" customWidth="1"/>
    <col min="12044" max="12044" width="7.85546875" style="168" customWidth="1"/>
    <col min="12045" max="12283" width="11.42578125" style="168"/>
    <col min="12284" max="12284" width="18.140625" style="168" customWidth="1"/>
    <col min="12285" max="12285" width="7.85546875" style="168" customWidth="1"/>
    <col min="12286" max="12286" width="7" style="168" customWidth="1"/>
    <col min="12287" max="12288" width="8.42578125" style="168" customWidth="1"/>
    <col min="12289" max="12289" width="8" style="168" customWidth="1"/>
    <col min="12290" max="12290" width="6.85546875" style="168" customWidth="1"/>
    <col min="12291" max="12293" width="8.28515625" style="168" customWidth="1"/>
    <col min="12294" max="12299" width="0" style="168" hidden="1" customWidth="1"/>
    <col min="12300" max="12300" width="7.85546875" style="168" customWidth="1"/>
    <col min="12301" max="12539" width="11.42578125" style="168"/>
    <col min="12540" max="12540" width="18.140625" style="168" customWidth="1"/>
    <col min="12541" max="12541" width="7.85546875" style="168" customWidth="1"/>
    <col min="12542" max="12542" width="7" style="168" customWidth="1"/>
    <col min="12543" max="12544" width="8.42578125" style="168" customWidth="1"/>
    <col min="12545" max="12545" width="8" style="168" customWidth="1"/>
    <col min="12546" max="12546" width="6.85546875" style="168" customWidth="1"/>
    <col min="12547" max="12549" width="8.28515625" style="168" customWidth="1"/>
    <col min="12550" max="12555" width="0" style="168" hidden="1" customWidth="1"/>
    <col min="12556" max="12556" width="7.85546875" style="168" customWidth="1"/>
    <col min="12557" max="12795" width="11.42578125" style="168"/>
    <col min="12796" max="12796" width="18.140625" style="168" customWidth="1"/>
    <col min="12797" max="12797" width="7.85546875" style="168" customWidth="1"/>
    <col min="12798" max="12798" width="7" style="168" customWidth="1"/>
    <col min="12799" max="12800" width="8.42578125" style="168" customWidth="1"/>
    <col min="12801" max="12801" width="8" style="168" customWidth="1"/>
    <col min="12802" max="12802" width="6.85546875" style="168" customWidth="1"/>
    <col min="12803" max="12805" width="8.28515625" style="168" customWidth="1"/>
    <col min="12806" max="12811" width="0" style="168" hidden="1" customWidth="1"/>
    <col min="12812" max="12812" width="7.85546875" style="168" customWidth="1"/>
    <col min="12813" max="13051" width="11.42578125" style="168"/>
    <col min="13052" max="13052" width="18.140625" style="168" customWidth="1"/>
    <col min="13053" max="13053" width="7.85546875" style="168" customWidth="1"/>
    <col min="13054" max="13054" width="7" style="168" customWidth="1"/>
    <col min="13055" max="13056" width="8.42578125" style="168" customWidth="1"/>
    <col min="13057" max="13057" width="8" style="168" customWidth="1"/>
    <col min="13058" max="13058" width="6.85546875" style="168" customWidth="1"/>
    <col min="13059" max="13061" width="8.28515625" style="168" customWidth="1"/>
    <col min="13062" max="13067" width="0" style="168" hidden="1" customWidth="1"/>
    <col min="13068" max="13068" width="7.85546875" style="168" customWidth="1"/>
    <col min="13069" max="13307" width="11.42578125" style="168"/>
    <col min="13308" max="13308" width="18.140625" style="168" customWidth="1"/>
    <col min="13309" max="13309" width="7.85546875" style="168" customWidth="1"/>
    <col min="13310" max="13310" width="7" style="168" customWidth="1"/>
    <col min="13311" max="13312" width="8.42578125" style="168" customWidth="1"/>
    <col min="13313" max="13313" width="8" style="168" customWidth="1"/>
    <col min="13314" max="13314" width="6.85546875" style="168" customWidth="1"/>
    <col min="13315" max="13317" width="8.28515625" style="168" customWidth="1"/>
    <col min="13318" max="13323" width="0" style="168" hidden="1" customWidth="1"/>
    <col min="13324" max="13324" width="7.85546875" style="168" customWidth="1"/>
    <col min="13325" max="13563" width="11.42578125" style="168"/>
    <col min="13564" max="13564" width="18.140625" style="168" customWidth="1"/>
    <col min="13565" max="13565" width="7.85546875" style="168" customWidth="1"/>
    <col min="13566" max="13566" width="7" style="168" customWidth="1"/>
    <col min="13567" max="13568" width="8.42578125" style="168" customWidth="1"/>
    <col min="13569" max="13569" width="8" style="168" customWidth="1"/>
    <col min="13570" max="13570" width="6.85546875" style="168" customWidth="1"/>
    <col min="13571" max="13573" width="8.28515625" style="168" customWidth="1"/>
    <col min="13574" max="13579" width="0" style="168" hidden="1" customWidth="1"/>
    <col min="13580" max="13580" width="7.85546875" style="168" customWidth="1"/>
    <col min="13581" max="13819" width="11.42578125" style="168"/>
    <col min="13820" max="13820" width="18.140625" style="168" customWidth="1"/>
    <col min="13821" max="13821" width="7.85546875" style="168" customWidth="1"/>
    <col min="13822" max="13822" width="7" style="168" customWidth="1"/>
    <col min="13823" max="13824" width="8.42578125" style="168" customWidth="1"/>
    <col min="13825" max="13825" width="8" style="168" customWidth="1"/>
    <col min="13826" max="13826" width="6.85546875" style="168" customWidth="1"/>
    <col min="13827" max="13829" width="8.28515625" style="168" customWidth="1"/>
    <col min="13830" max="13835" width="0" style="168" hidden="1" customWidth="1"/>
    <col min="13836" max="13836" width="7.85546875" style="168" customWidth="1"/>
    <col min="13837" max="14075" width="11.42578125" style="168"/>
    <col min="14076" max="14076" width="18.140625" style="168" customWidth="1"/>
    <col min="14077" max="14077" width="7.85546875" style="168" customWidth="1"/>
    <col min="14078" max="14078" width="7" style="168" customWidth="1"/>
    <col min="14079" max="14080" width="8.42578125" style="168" customWidth="1"/>
    <col min="14081" max="14081" width="8" style="168" customWidth="1"/>
    <col min="14082" max="14082" width="6.85546875" style="168" customWidth="1"/>
    <col min="14083" max="14085" width="8.28515625" style="168" customWidth="1"/>
    <col min="14086" max="14091" width="0" style="168" hidden="1" customWidth="1"/>
    <col min="14092" max="14092" width="7.85546875" style="168" customWidth="1"/>
    <col min="14093" max="14331" width="11.42578125" style="168"/>
    <col min="14332" max="14332" width="18.140625" style="168" customWidth="1"/>
    <col min="14333" max="14333" width="7.85546875" style="168" customWidth="1"/>
    <col min="14334" max="14334" width="7" style="168" customWidth="1"/>
    <col min="14335" max="14336" width="8.42578125" style="168" customWidth="1"/>
    <col min="14337" max="14337" width="8" style="168" customWidth="1"/>
    <col min="14338" max="14338" width="6.85546875" style="168" customWidth="1"/>
    <col min="14339" max="14341" width="8.28515625" style="168" customWidth="1"/>
    <col min="14342" max="14347" width="0" style="168" hidden="1" customWidth="1"/>
    <col min="14348" max="14348" width="7.85546875" style="168" customWidth="1"/>
    <col min="14349" max="14587" width="11.42578125" style="168"/>
    <col min="14588" max="14588" width="18.140625" style="168" customWidth="1"/>
    <col min="14589" max="14589" width="7.85546875" style="168" customWidth="1"/>
    <col min="14590" max="14590" width="7" style="168" customWidth="1"/>
    <col min="14591" max="14592" width="8.42578125" style="168" customWidth="1"/>
    <col min="14593" max="14593" width="8" style="168" customWidth="1"/>
    <col min="14594" max="14594" width="6.85546875" style="168" customWidth="1"/>
    <col min="14595" max="14597" width="8.28515625" style="168" customWidth="1"/>
    <col min="14598" max="14603" width="0" style="168" hidden="1" customWidth="1"/>
    <col min="14604" max="14604" width="7.85546875" style="168" customWidth="1"/>
    <col min="14605" max="14843" width="11.42578125" style="168"/>
    <col min="14844" max="14844" width="18.140625" style="168" customWidth="1"/>
    <col min="14845" max="14845" width="7.85546875" style="168" customWidth="1"/>
    <col min="14846" max="14846" width="7" style="168" customWidth="1"/>
    <col min="14847" max="14848" width="8.42578125" style="168" customWidth="1"/>
    <col min="14849" max="14849" width="8" style="168" customWidth="1"/>
    <col min="14850" max="14850" width="6.85546875" style="168" customWidth="1"/>
    <col min="14851" max="14853" width="8.28515625" style="168" customWidth="1"/>
    <col min="14854" max="14859" width="0" style="168" hidden="1" customWidth="1"/>
    <col min="14860" max="14860" width="7.85546875" style="168" customWidth="1"/>
    <col min="14861" max="15099" width="11.42578125" style="168"/>
    <col min="15100" max="15100" width="18.140625" style="168" customWidth="1"/>
    <col min="15101" max="15101" width="7.85546875" style="168" customWidth="1"/>
    <col min="15102" max="15102" width="7" style="168" customWidth="1"/>
    <col min="15103" max="15104" width="8.42578125" style="168" customWidth="1"/>
    <col min="15105" max="15105" width="8" style="168" customWidth="1"/>
    <col min="15106" max="15106" width="6.85546875" style="168" customWidth="1"/>
    <col min="15107" max="15109" width="8.28515625" style="168" customWidth="1"/>
    <col min="15110" max="15115" width="0" style="168" hidden="1" customWidth="1"/>
    <col min="15116" max="15116" width="7.85546875" style="168" customWidth="1"/>
    <col min="15117" max="15355" width="11.42578125" style="168"/>
    <col min="15356" max="15356" width="18.140625" style="168" customWidth="1"/>
    <col min="15357" max="15357" width="7.85546875" style="168" customWidth="1"/>
    <col min="15358" max="15358" width="7" style="168" customWidth="1"/>
    <col min="15359" max="15360" width="8.42578125" style="168" customWidth="1"/>
    <col min="15361" max="15361" width="8" style="168" customWidth="1"/>
    <col min="15362" max="15362" width="6.85546875" style="168" customWidth="1"/>
    <col min="15363" max="15365" width="8.28515625" style="168" customWidth="1"/>
    <col min="15366" max="15371" width="0" style="168" hidden="1" customWidth="1"/>
    <col min="15372" max="15372" width="7.85546875" style="168" customWidth="1"/>
    <col min="15373" max="15611" width="11.42578125" style="168"/>
    <col min="15612" max="15612" width="18.140625" style="168" customWidth="1"/>
    <col min="15613" max="15613" width="7.85546875" style="168" customWidth="1"/>
    <col min="15614" max="15614" width="7" style="168" customWidth="1"/>
    <col min="15615" max="15616" width="8.42578125" style="168" customWidth="1"/>
    <col min="15617" max="15617" width="8" style="168" customWidth="1"/>
    <col min="15618" max="15618" width="6.85546875" style="168" customWidth="1"/>
    <col min="15619" max="15621" width="8.28515625" style="168" customWidth="1"/>
    <col min="15622" max="15627" width="0" style="168" hidden="1" customWidth="1"/>
    <col min="15628" max="15628" width="7.85546875" style="168" customWidth="1"/>
    <col min="15629" max="15867" width="11.42578125" style="168"/>
    <col min="15868" max="15868" width="18.140625" style="168" customWidth="1"/>
    <col min="15869" max="15869" width="7.85546875" style="168" customWidth="1"/>
    <col min="15870" max="15870" width="7" style="168" customWidth="1"/>
    <col min="15871" max="15872" width="8.42578125" style="168" customWidth="1"/>
    <col min="15873" max="15873" width="8" style="168" customWidth="1"/>
    <col min="15874" max="15874" width="6.85546875" style="168" customWidth="1"/>
    <col min="15875" max="15877" width="8.28515625" style="168" customWidth="1"/>
    <col min="15878" max="15883" width="0" style="168" hidden="1" customWidth="1"/>
    <col min="15884" max="15884" width="7.85546875" style="168" customWidth="1"/>
    <col min="15885" max="16123" width="11.42578125" style="168"/>
    <col min="16124" max="16124" width="18.140625" style="168" customWidth="1"/>
    <col min="16125" max="16125" width="7.85546875" style="168" customWidth="1"/>
    <col min="16126" max="16126" width="7" style="168" customWidth="1"/>
    <col min="16127" max="16128" width="8.42578125" style="168" customWidth="1"/>
    <col min="16129" max="16129" width="8" style="168" customWidth="1"/>
    <col min="16130" max="16130" width="6.85546875" style="168" customWidth="1"/>
    <col min="16131" max="16133" width="8.28515625" style="168" customWidth="1"/>
    <col min="16134" max="16139" width="0" style="168" hidden="1" customWidth="1"/>
    <col min="16140" max="16140" width="7.85546875" style="168" customWidth="1"/>
    <col min="16141" max="16384" width="11.42578125" style="168"/>
  </cols>
  <sheetData>
    <row r="1" spans="1:16" s="169" customFormat="1" x14ac:dyDescent="0.2">
      <c r="B1" s="182"/>
      <c r="C1" s="182"/>
      <c r="D1" s="182"/>
      <c r="E1" s="182"/>
      <c r="F1" s="182"/>
      <c r="G1" s="182"/>
      <c r="H1" s="182"/>
      <c r="I1" s="182"/>
      <c r="J1" s="182"/>
      <c r="K1" s="182"/>
      <c r="L1" s="182"/>
    </row>
    <row r="2" spans="1:16" s="169" customFormat="1" x14ac:dyDescent="0.2">
      <c r="A2" s="196" t="s">
        <v>121</v>
      </c>
      <c r="B2" s="182"/>
      <c r="C2" s="182"/>
      <c r="D2" s="182"/>
      <c r="E2" s="182"/>
      <c r="F2" s="182"/>
      <c r="G2" s="182"/>
      <c r="H2" s="182"/>
      <c r="I2" s="182"/>
      <c r="K2" s="182"/>
      <c r="L2" s="182"/>
    </row>
    <row r="3" spans="1:16" s="169" customFormat="1" ht="15" x14ac:dyDescent="0.25">
      <c r="A3" s="196" t="s">
        <v>122</v>
      </c>
      <c r="B3" s="182"/>
      <c r="C3" s="182"/>
      <c r="D3" s="182"/>
      <c r="E3" s="182"/>
      <c r="F3" s="182"/>
      <c r="G3" s="182"/>
      <c r="H3" s="182"/>
      <c r="I3" s="182"/>
      <c r="J3" s="337"/>
      <c r="K3" s="182"/>
      <c r="L3" s="182"/>
    </row>
    <row r="4" spans="1:16" s="169" customFormat="1" x14ac:dyDescent="0.2">
      <c r="B4" s="182"/>
      <c r="C4" s="182"/>
      <c r="D4" s="182"/>
      <c r="E4" s="182"/>
      <c r="F4" s="182"/>
      <c r="G4" s="182"/>
      <c r="H4" s="182"/>
      <c r="I4" s="182"/>
      <c r="J4" s="182"/>
      <c r="K4" s="182"/>
      <c r="L4" s="182"/>
    </row>
    <row r="5" spans="1:16" s="169" customFormat="1" ht="12.75" x14ac:dyDescent="0.2">
      <c r="B5" s="418" t="s">
        <v>109</v>
      </c>
      <c r="C5" s="418"/>
      <c r="D5" s="418"/>
      <c r="E5" s="418"/>
      <c r="F5" s="418"/>
      <c r="G5" s="418"/>
      <c r="H5" s="418"/>
      <c r="I5" s="418"/>
      <c r="J5" s="418"/>
      <c r="K5" s="418"/>
      <c r="M5" s="367" t="s">
        <v>593</v>
      </c>
      <c r="O5" s="338"/>
    </row>
    <row r="6" spans="1:16" s="169" customFormat="1" ht="12.75" x14ac:dyDescent="0.2">
      <c r="B6" s="431" t="str">
        <f>'Solicitudes Regiones'!$B$6:$P$6</f>
        <v>Acumuladas de julio de 2008 a noviembre de 2018</v>
      </c>
      <c r="C6" s="431"/>
      <c r="D6" s="431"/>
      <c r="E6" s="431"/>
      <c r="F6" s="431"/>
      <c r="G6" s="431"/>
      <c r="H6" s="431"/>
      <c r="I6" s="431"/>
      <c r="J6" s="431"/>
      <c r="K6" s="431"/>
      <c r="L6" s="210"/>
    </row>
    <row r="7" spans="1:16" x14ac:dyDescent="0.2">
      <c r="B7" s="170"/>
      <c r="C7" s="171"/>
      <c r="D7" s="171"/>
      <c r="E7" s="171"/>
      <c r="F7" s="171"/>
      <c r="G7" s="171"/>
      <c r="H7" s="171"/>
      <c r="I7" s="171"/>
      <c r="J7" s="171"/>
      <c r="K7" s="171"/>
      <c r="L7" s="171"/>
    </row>
    <row r="8" spans="1:16" ht="15" customHeight="1" x14ac:dyDescent="0.2">
      <c r="B8" s="447" t="s">
        <v>73</v>
      </c>
      <c r="C8" s="448"/>
      <c r="D8" s="448"/>
      <c r="E8" s="448"/>
      <c r="F8" s="448"/>
      <c r="G8" s="448"/>
      <c r="H8" s="448"/>
      <c r="I8" s="448"/>
      <c r="J8" s="448"/>
      <c r="K8" s="449"/>
      <c r="L8" s="187"/>
    </row>
    <row r="9" spans="1:16" ht="21" customHeight="1" x14ac:dyDescent="0.2">
      <c r="B9" s="452" t="s">
        <v>74</v>
      </c>
      <c r="C9" s="447" t="s">
        <v>2</v>
      </c>
      <c r="D9" s="448"/>
      <c r="E9" s="448"/>
      <c r="F9" s="448"/>
      <c r="G9" s="448"/>
      <c r="H9" s="448"/>
      <c r="I9" s="448"/>
      <c r="J9" s="448"/>
      <c r="K9" s="449"/>
    </row>
    <row r="10" spans="1:16" ht="24" x14ac:dyDescent="0.2">
      <c r="B10" s="451"/>
      <c r="C10" s="165" t="s">
        <v>75</v>
      </c>
      <c r="D10" s="165" t="s">
        <v>76</v>
      </c>
      <c r="E10" s="165" t="s">
        <v>77</v>
      </c>
      <c r="F10" s="165" t="s">
        <v>78</v>
      </c>
      <c r="G10" s="165" t="s">
        <v>8</v>
      </c>
      <c r="H10" s="165" t="s">
        <v>79</v>
      </c>
      <c r="I10" s="165" t="s">
        <v>80</v>
      </c>
      <c r="J10" s="165" t="s">
        <v>81</v>
      </c>
      <c r="K10" s="226" t="s">
        <v>46</v>
      </c>
    </row>
    <row r="11" spans="1:16" x14ac:dyDescent="0.2">
      <c r="B11" s="162" t="s">
        <v>336</v>
      </c>
      <c r="C11" s="160">
        <v>1464</v>
      </c>
      <c r="D11" s="160">
        <v>1187</v>
      </c>
      <c r="E11" s="160">
        <f>C11+D11</f>
        <v>2651</v>
      </c>
      <c r="F11" s="161">
        <f>E11/$E$43</f>
        <v>4.7491087583525916E-2</v>
      </c>
      <c r="G11" s="160">
        <v>1619</v>
      </c>
      <c r="H11" s="160">
        <v>146</v>
      </c>
      <c r="I11" s="160">
        <f>G11+H11</f>
        <v>1765</v>
      </c>
      <c r="J11" s="161">
        <f>I11/$I$43</f>
        <v>2.387684149294517E-2</v>
      </c>
      <c r="K11" s="160">
        <f t="shared" ref="K11:K42" si="0">E11+I11</f>
        <v>4416</v>
      </c>
      <c r="P11" s="173"/>
    </row>
    <row r="12" spans="1:16" x14ac:dyDescent="0.2">
      <c r="B12" s="162" t="s">
        <v>337</v>
      </c>
      <c r="C12" s="160">
        <v>528</v>
      </c>
      <c r="D12" s="160">
        <v>226</v>
      </c>
      <c r="E12" s="160">
        <f t="shared" ref="E12:E42" si="1">C12+D12</f>
        <v>754</v>
      </c>
      <c r="F12" s="161">
        <f t="shared" ref="F12:F42" si="2">E12/$E$43</f>
        <v>1.3507461349671271E-2</v>
      </c>
      <c r="G12" s="160">
        <v>336</v>
      </c>
      <c r="H12" s="160">
        <v>28</v>
      </c>
      <c r="I12" s="160">
        <f t="shared" ref="I12:I42" si="3">G12+H12</f>
        <v>364</v>
      </c>
      <c r="J12" s="161">
        <f t="shared" ref="J12:J42" si="4">I12/$I$43</f>
        <v>4.9241758093099388E-3</v>
      </c>
      <c r="K12" s="160">
        <f t="shared" si="0"/>
        <v>1118</v>
      </c>
      <c r="P12" s="173"/>
    </row>
    <row r="13" spans="1:16" x14ac:dyDescent="0.2">
      <c r="B13" s="162" t="s">
        <v>338</v>
      </c>
      <c r="C13" s="160">
        <v>1146</v>
      </c>
      <c r="D13" s="160">
        <v>632</v>
      </c>
      <c r="E13" s="160">
        <f t="shared" si="1"/>
        <v>1778</v>
      </c>
      <c r="F13" s="161">
        <f t="shared" si="2"/>
        <v>3.185181204206302E-2</v>
      </c>
      <c r="G13" s="160">
        <v>2118</v>
      </c>
      <c r="H13" s="160">
        <v>134</v>
      </c>
      <c r="I13" s="160">
        <f t="shared" si="3"/>
        <v>2252</v>
      </c>
      <c r="J13" s="161">
        <f t="shared" si="4"/>
        <v>3.0464955831225226E-2</v>
      </c>
      <c r="K13" s="160">
        <f t="shared" si="0"/>
        <v>4030</v>
      </c>
      <c r="P13" s="173"/>
    </row>
    <row r="14" spans="1:16" x14ac:dyDescent="0.2">
      <c r="B14" s="162" t="s">
        <v>339</v>
      </c>
      <c r="C14" s="160">
        <v>888</v>
      </c>
      <c r="D14" s="160">
        <v>515</v>
      </c>
      <c r="E14" s="160">
        <f t="shared" si="1"/>
        <v>1403</v>
      </c>
      <c r="F14" s="161">
        <f t="shared" si="2"/>
        <v>2.5133910177173466E-2</v>
      </c>
      <c r="G14" s="160">
        <v>856</v>
      </c>
      <c r="H14" s="160">
        <v>74</v>
      </c>
      <c r="I14" s="160">
        <f t="shared" si="3"/>
        <v>930</v>
      </c>
      <c r="J14" s="161">
        <f t="shared" si="4"/>
        <v>1.2580998633676493E-2</v>
      </c>
      <c r="K14" s="160">
        <f t="shared" si="0"/>
        <v>2333</v>
      </c>
      <c r="P14" s="173"/>
    </row>
    <row r="15" spans="1:16" x14ac:dyDescent="0.2">
      <c r="B15" s="162" t="s">
        <v>340</v>
      </c>
      <c r="C15" s="160">
        <v>1923</v>
      </c>
      <c r="D15" s="160">
        <v>982</v>
      </c>
      <c r="E15" s="160">
        <f t="shared" si="1"/>
        <v>2905</v>
      </c>
      <c r="F15" s="161">
        <f t="shared" si="2"/>
        <v>5.2041346446677773E-2</v>
      </c>
      <c r="G15" s="160">
        <v>4435</v>
      </c>
      <c r="H15" s="160">
        <v>276</v>
      </c>
      <c r="I15" s="160">
        <f t="shared" si="3"/>
        <v>4711</v>
      </c>
      <c r="J15" s="161">
        <f t="shared" si="4"/>
        <v>6.3730198455107481E-2</v>
      </c>
      <c r="K15" s="160">
        <f t="shared" si="0"/>
        <v>7616</v>
      </c>
      <c r="P15" s="173"/>
    </row>
    <row r="16" spans="1:16" x14ac:dyDescent="0.2">
      <c r="B16" s="162" t="s">
        <v>341</v>
      </c>
      <c r="C16" s="160">
        <v>722</v>
      </c>
      <c r="D16" s="160">
        <v>597</v>
      </c>
      <c r="E16" s="160">
        <f t="shared" si="1"/>
        <v>1319</v>
      </c>
      <c r="F16" s="161">
        <f t="shared" si="2"/>
        <v>2.3629100159438206E-2</v>
      </c>
      <c r="G16" s="160">
        <v>1865</v>
      </c>
      <c r="H16" s="160">
        <v>147</v>
      </c>
      <c r="I16" s="160">
        <f t="shared" si="3"/>
        <v>2012</v>
      </c>
      <c r="J16" s="161">
        <f t="shared" si="4"/>
        <v>2.7218246506405488E-2</v>
      </c>
      <c r="K16" s="160">
        <f t="shared" si="0"/>
        <v>3331</v>
      </c>
      <c r="P16" s="173"/>
    </row>
    <row r="17" spans="2:16" x14ac:dyDescent="0.2">
      <c r="B17" s="162" t="s">
        <v>342</v>
      </c>
      <c r="C17" s="160">
        <v>809</v>
      </c>
      <c r="D17" s="160">
        <v>631</v>
      </c>
      <c r="E17" s="160">
        <f t="shared" si="1"/>
        <v>1440</v>
      </c>
      <c r="F17" s="161">
        <f t="shared" si="2"/>
        <v>2.5796743161175903E-2</v>
      </c>
      <c r="G17" s="160">
        <v>2159</v>
      </c>
      <c r="H17" s="160">
        <v>117</v>
      </c>
      <c r="I17" s="160">
        <f t="shared" si="3"/>
        <v>2276</v>
      </c>
      <c r="J17" s="161">
        <f t="shared" si="4"/>
        <v>3.0789626763707202E-2</v>
      </c>
      <c r="K17" s="160">
        <f t="shared" si="0"/>
        <v>3716</v>
      </c>
      <c r="P17" s="173"/>
    </row>
    <row r="18" spans="2:16" x14ac:dyDescent="0.2">
      <c r="B18" s="162" t="s">
        <v>343</v>
      </c>
      <c r="C18" s="160">
        <v>7302</v>
      </c>
      <c r="D18" s="160">
        <v>3738</v>
      </c>
      <c r="E18" s="160">
        <f t="shared" si="1"/>
        <v>11040</v>
      </c>
      <c r="F18" s="161">
        <f t="shared" si="2"/>
        <v>0.19777503090234858</v>
      </c>
      <c r="G18" s="160">
        <v>19495</v>
      </c>
      <c r="H18" s="160">
        <v>1196</v>
      </c>
      <c r="I18" s="160">
        <f t="shared" si="3"/>
        <v>20691</v>
      </c>
      <c r="J18" s="161">
        <f t="shared" si="4"/>
        <v>0.27990692766602182</v>
      </c>
      <c r="K18" s="160">
        <f t="shared" si="0"/>
        <v>31731</v>
      </c>
      <c r="P18" s="173"/>
    </row>
    <row r="19" spans="2:16" x14ac:dyDescent="0.2">
      <c r="B19" s="162" t="s">
        <v>344</v>
      </c>
      <c r="C19" s="160">
        <v>1102</v>
      </c>
      <c r="D19" s="160">
        <v>599</v>
      </c>
      <c r="E19" s="160">
        <f t="shared" si="1"/>
        <v>1701</v>
      </c>
      <c r="F19" s="161">
        <f t="shared" si="2"/>
        <v>3.0472402859139033E-2</v>
      </c>
      <c r="G19" s="160">
        <v>1608</v>
      </c>
      <c r="H19" s="160">
        <v>96</v>
      </c>
      <c r="I19" s="160">
        <f t="shared" si="3"/>
        <v>1704</v>
      </c>
      <c r="J19" s="161">
        <f t="shared" si="4"/>
        <v>2.3051636206220152E-2</v>
      </c>
      <c r="K19" s="160">
        <f t="shared" si="0"/>
        <v>3405</v>
      </c>
      <c r="P19" s="173"/>
    </row>
    <row r="20" spans="2:16" x14ac:dyDescent="0.2">
      <c r="B20" s="162" t="s">
        <v>345</v>
      </c>
      <c r="C20" s="160">
        <v>1025</v>
      </c>
      <c r="D20" s="160">
        <v>581</v>
      </c>
      <c r="E20" s="160">
        <f t="shared" si="1"/>
        <v>1606</v>
      </c>
      <c r="F20" s="161">
        <f t="shared" si="2"/>
        <v>2.8770534386700346E-2</v>
      </c>
      <c r="G20" s="160">
        <v>1757</v>
      </c>
      <c r="H20" s="160">
        <v>126</v>
      </c>
      <c r="I20" s="160">
        <f t="shared" si="3"/>
        <v>1883</v>
      </c>
      <c r="J20" s="161">
        <f t="shared" si="4"/>
        <v>2.5473140244314876E-2</v>
      </c>
      <c r="K20" s="160">
        <f t="shared" si="0"/>
        <v>3489</v>
      </c>
      <c r="P20" s="173"/>
    </row>
    <row r="21" spans="2:16" x14ac:dyDescent="0.2">
      <c r="B21" s="162" t="s">
        <v>346</v>
      </c>
      <c r="C21" s="160">
        <v>561</v>
      </c>
      <c r="D21" s="160">
        <v>589</v>
      </c>
      <c r="E21" s="160">
        <f t="shared" si="1"/>
        <v>1150</v>
      </c>
      <c r="F21" s="161">
        <f t="shared" si="2"/>
        <v>2.0601565718994644E-2</v>
      </c>
      <c r="G21" s="160">
        <v>712</v>
      </c>
      <c r="H21" s="160">
        <v>84</v>
      </c>
      <c r="I21" s="160">
        <f t="shared" si="3"/>
        <v>796</v>
      </c>
      <c r="J21" s="161">
        <f t="shared" si="4"/>
        <v>1.0768252593985471E-2</v>
      </c>
      <c r="K21" s="160">
        <f t="shared" si="0"/>
        <v>1946</v>
      </c>
      <c r="P21" s="173"/>
    </row>
    <row r="22" spans="2:16" x14ac:dyDescent="0.2">
      <c r="B22" s="162" t="s">
        <v>347</v>
      </c>
      <c r="C22" s="160">
        <v>1185</v>
      </c>
      <c r="D22" s="160">
        <v>800</v>
      </c>
      <c r="E22" s="160">
        <f t="shared" si="1"/>
        <v>1985</v>
      </c>
      <c r="F22" s="161">
        <f t="shared" si="2"/>
        <v>3.5560093871482061E-2</v>
      </c>
      <c r="G22" s="160">
        <v>2548</v>
      </c>
      <c r="H22" s="160">
        <v>182</v>
      </c>
      <c r="I22" s="160">
        <f t="shared" si="3"/>
        <v>2730</v>
      </c>
      <c r="J22" s="161">
        <f t="shared" si="4"/>
        <v>3.6931318569824539E-2</v>
      </c>
      <c r="K22" s="160">
        <f t="shared" si="0"/>
        <v>4715</v>
      </c>
      <c r="P22" s="173"/>
    </row>
    <row r="23" spans="2:16" x14ac:dyDescent="0.2">
      <c r="B23" s="162" t="s">
        <v>348</v>
      </c>
      <c r="C23" s="160">
        <v>452</v>
      </c>
      <c r="D23" s="160">
        <v>235</v>
      </c>
      <c r="E23" s="160">
        <f t="shared" si="1"/>
        <v>687</v>
      </c>
      <c r="F23" s="161">
        <f t="shared" si="2"/>
        <v>1.230719621647767E-2</v>
      </c>
      <c r="G23" s="160">
        <v>389</v>
      </c>
      <c r="H23" s="160">
        <v>37</v>
      </c>
      <c r="I23" s="160">
        <f t="shared" si="3"/>
        <v>426</v>
      </c>
      <c r="J23" s="161">
        <f t="shared" si="4"/>
        <v>5.7629090515550381E-3</v>
      </c>
      <c r="K23" s="160">
        <f t="shared" si="0"/>
        <v>1113</v>
      </c>
      <c r="P23" s="173"/>
    </row>
    <row r="24" spans="2:16" x14ac:dyDescent="0.2">
      <c r="B24" s="162" t="s">
        <v>349</v>
      </c>
      <c r="C24" s="160">
        <v>2153</v>
      </c>
      <c r="D24" s="160">
        <v>1669</v>
      </c>
      <c r="E24" s="160">
        <f t="shared" si="1"/>
        <v>3822</v>
      </c>
      <c r="F24" s="161">
        <f t="shared" si="2"/>
        <v>6.8468855806954373E-2</v>
      </c>
      <c r="G24" s="160">
        <v>3585</v>
      </c>
      <c r="H24" s="160">
        <v>384</v>
      </c>
      <c r="I24" s="160">
        <f t="shared" si="3"/>
        <v>3969</v>
      </c>
      <c r="J24" s="161">
        <f t="shared" si="4"/>
        <v>5.3692455459206451E-2</v>
      </c>
      <c r="K24" s="160">
        <f t="shared" si="0"/>
        <v>7791</v>
      </c>
      <c r="P24" s="173"/>
    </row>
    <row r="25" spans="2:16" x14ac:dyDescent="0.2">
      <c r="B25" s="162" t="s">
        <v>350</v>
      </c>
      <c r="C25" s="160">
        <v>205</v>
      </c>
      <c r="D25" s="160">
        <v>164</v>
      </c>
      <c r="E25" s="160">
        <f t="shared" si="1"/>
        <v>369</v>
      </c>
      <c r="F25" s="161">
        <f t="shared" si="2"/>
        <v>6.6104154350513245E-3</v>
      </c>
      <c r="G25" s="160">
        <v>426</v>
      </c>
      <c r="H25" s="160">
        <v>27</v>
      </c>
      <c r="I25" s="160">
        <f t="shared" si="3"/>
        <v>453</v>
      </c>
      <c r="J25" s="161">
        <f t="shared" si="4"/>
        <v>6.1281638505972591E-3</v>
      </c>
      <c r="K25" s="160">
        <f t="shared" si="0"/>
        <v>822</v>
      </c>
      <c r="P25" s="173"/>
    </row>
    <row r="26" spans="2:16" x14ac:dyDescent="0.2">
      <c r="B26" s="162" t="s">
        <v>351</v>
      </c>
      <c r="C26" s="160">
        <v>735</v>
      </c>
      <c r="D26" s="160">
        <v>346</v>
      </c>
      <c r="E26" s="160">
        <f t="shared" si="1"/>
        <v>1081</v>
      </c>
      <c r="F26" s="161">
        <f t="shared" si="2"/>
        <v>1.9365471775854966E-2</v>
      </c>
      <c r="G26" s="160">
        <v>1369</v>
      </c>
      <c r="H26" s="160">
        <v>83</v>
      </c>
      <c r="I26" s="160">
        <f t="shared" si="3"/>
        <v>1452</v>
      </c>
      <c r="J26" s="161">
        <f t="shared" si="4"/>
        <v>1.9642591415159429E-2</v>
      </c>
      <c r="K26" s="160">
        <f t="shared" si="0"/>
        <v>2533</v>
      </c>
      <c r="P26" s="173"/>
    </row>
    <row r="27" spans="2:16" x14ac:dyDescent="0.2">
      <c r="B27" s="162" t="s">
        <v>352</v>
      </c>
      <c r="C27" s="160">
        <v>631</v>
      </c>
      <c r="D27" s="160">
        <v>592</v>
      </c>
      <c r="E27" s="160">
        <f t="shared" si="1"/>
        <v>1223</v>
      </c>
      <c r="F27" s="161">
        <f t="shared" si="2"/>
        <v>2.1909317282026476E-2</v>
      </c>
      <c r="G27" s="160">
        <v>622</v>
      </c>
      <c r="H27" s="160">
        <v>96</v>
      </c>
      <c r="I27" s="160">
        <f t="shared" si="3"/>
        <v>718</v>
      </c>
      <c r="J27" s="161">
        <f t="shared" si="4"/>
        <v>9.7130720634190561E-3</v>
      </c>
      <c r="K27" s="160">
        <f t="shared" si="0"/>
        <v>1941</v>
      </c>
      <c r="P27" s="173"/>
    </row>
    <row r="28" spans="2:16" x14ac:dyDescent="0.2">
      <c r="B28" s="162" t="s">
        <v>353</v>
      </c>
      <c r="C28" s="160">
        <v>533</v>
      </c>
      <c r="D28" s="160">
        <v>434</v>
      </c>
      <c r="E28" s="160">
        <f t="shared" si="1"/>
        <v>967</v>
      </c>
      <c r="F28" s="161">
        <f t="shared" si="2"/>
        <v>1.7323229608928539E-2</v>
      </c>
      <c r="G28" s="160">
        <v>630</v>
      </c>
      <c r="H28" s="160">
        <v>66</v>
      </c>
      <c r="I28" s="160">
        <f t="shared" si="3"/>
        <v>696</v>
      </c>
      <c r="J28" s="161">
        <f t="shared" si="4"/>
        <v>9.4154570419772467E-3</v>
      </c>
      <c r="K28" s="160">
        <f t="shared" si="0"/>
        <v>1663</v>
      </c>
      <c r="P28" s="173"/>
    </row>
    <row r="29" spans="2:16" x14ac:dyDescent="0.2">
      <c r="B29" s="162" t="s">
        <v>354</v>
      </c>
      <c r="C29" s="160">
        <v>896</v>
      </c>
      <c r="D29" s="160">
        <v>606</v>
      </c>
      <c r="E29" s="160">
        <f t="shared" si="1"/>
        <v>1502</v>
      </c>
      <c r="F29" s="161">
        <f t="shared" si="2"/>
        <v>2.6907436269504308E-2</v>
      </c>
      <c r="G29" s="160">
        <v>1824</v>
      </c>
      <c r="H29" s="160">
        <v>118</v>
      </c>
      <c r="I29" s="160">
        <f t="shared" si="3"/>
        <v>1942</v>
      </c>
      <c r="J29" s="161">
        <f t="shared" si="4"/>
        <v>2.6271289619999728E-2</v>
      </c>
      <c r="K29" s="160">
        <f t="shared" si="0"/>
        <v>3444</v>
      </c>
      <c r="P29" s="173"/>
    </row>
    <row r="30" spans="2:16" x14ac:dyDescent="0.2">
      <c r="B30" s="162" t="s">
        <v>355</v>
      </c>
      <c r="C30" s="160">
        <v>524</v>
      </c>
      <c r="D30" s="160">
        <v>372</v>
      </c>
      <c r="E30" s="160">
        <f t="shared" si="1"/>
        <v>896</v>
      </c>
      <c r="F30" s="161">
        <f t="shared" si="2"/>
        <v>1.6051306855842783E-2</v>
      </c>
      <c r="G30" s="160">
        <v>573</v>
      </c>
      <c r="H30" s="160">
        <v>82</v>
      </c>
      <c r="I30" s="160">
        <f t="shared" si="3"/>
        <v>655</v>
      </c>
      <c r="J30" s="161">
        <f t="shared" si="4"/>
        <v>8.8608108656538734E-3</v>
      </c>
      <c r="K30" s="160">
        <f t="shared" si="0"/>
        <v>1551</v>
      </c>
      <c r="P30" s="173"/>
    </row>
    <row r="31" spans="2:16" x14ac:dyDescent="0.2">
      <c r="B31" s="162" t="s">
        <v>356</v>
      </c>
      <c r="C31" s="160">
        <v>1623</v>
      </c>
      <c r="D31" s="160">
        <v>1099</v>
      </c>
      <c r="E31" s="160">
        <f t="shared" si="1"/>
        <v>2722</v>
      </c>
      <c r="F31" s="161">
        <f t="shared" si="2"/>
        <v>4.8763010336611672E-2</v>
      </c>
      <c r="G31" s="160">
        <v>4689</v>
      </c>
      <c r="H31" s="160">
        <v>304</v>
      </c>
      <c r="I31" s="160">
        <f t="shared" si="3"/>
        <v>4993</v>
      </c>
      <c r="J31" s="161">
        <f t="shared" si="4"/>
        <v>6.754508191177068E-2</v>
      </c>
      <c r="K31" s="160">
        <f t="shared" si="0"/>
        <v>7715</v>
      </c>
      <c r="P31" s="173"/>
    </row>
    <row r="32" spans="2:16" x14ac:dyDescent="0.2">
      <c r="B32" s="162" t="s">
        <v>357</v>
      </c>
      <c r="C32" s="160">
        <v>822</v>
      </c>
      <c r="D32" s="160">
        <v>351</v>
      </c>
      <c r="E32" s="160">
        <f t="shared" si="1"/>
        <v>1173</v>
      </c>
      <c r="F32" s="161">
        <f t="shared" si="2"/>
        <v>2.1013597033374538E-2</v>
      </c>
      <c r="G32" s="160">
        <v>1835</v>
      </c>
      <c r="H32" s="160">
        <v>82</v>
      </c>
      <c r="I32" s="160">
        <f t="shared" si="3"/>
        <v>1917</v>
      </c>
      <c r="J32" s="161">
        <f t="shared" si="4"/>
        <v>2.5933090731997673E-2</v>
      </c>
      <c r="K32" s="160">
        <f t="shared" si="0"/>
        <v>3090</v>
      </c>
      <c r="P32" s="173"/>
    </row>
    <row r="33" spans="2:16" x14ac:dyDescent="0.2">
      <c r="B33" s="162" t="s">
        <v>358</v>
      </c>
      <c r="C33" s="160">
        <v>256</v>
      </c>
      <c r="D33" s="160">
        <v>233</v>
      </c>
      <c r="E33" s="160">
        <f t="shared" si="1"/>
        <v>489</v>
      </c>
      <c r="F33" s="161">
        <f t="shared" si="2"/>
        <v>8.7601440318159831E-3</v>
      </c>
      <c r="G33" s="160">
        <v>614</v>
      </c>
      <c r="H33" s="160">
        <v>29</v>
      </c>
      <c r="I33" s="160">
        <f t="shared" si="3"/>
        <v>643</v>
      </c>
      <c r="J33" s="161">
        <f t="shared" si="4"/>
        <v>8.6984753994128871E-3</v>
      </c>
      <c r="K33" s="160">
        <f t="shared" si="0"/>
        <v>1132</v>
      </c>
      <c r="P33" s="173"/>
    </row>
    <row r="34" spans="2:16" x14ac:dyDescent="0.2">
      <c r="B34" s="162" t="s">
        <v>359</v>
      </c>
      <c r="C34" s="160">
        <v>325</v>
      </c>
      <c r="D34" s="160">
        <v>261</v>
      </c>
      <c r="E34" s="160">
        <f t="shared" si="1"/>
        <v>586</v>
      </c>
      <c r="F34" s="161">
        <f t="shared" si="2"/>
        <v>1.049784131420075E-2</v>
      </c>
      <c r="G34" s="160">
        <v>619</v>
      </c>
      <c r="H34" s="160">
        <v>39</v>
      </c>
      <c r="I34" s="160">
        <f t="shared" si="3"/>
        <v>658</v>
      </c>
      <c r="J34" s="161">
        <f t="shared" si="4"/>
        <v>8.9013947322141209E-3</v>
      </c>
      <c r="K34" s="160">
        <f t="shared" si="0"/>
        <v>1244</v>
      </c>
      <c r="P34" s="173"/>
    </row>
    <row r="35" spans="2:16" x14ac:dyDescent="0.2">
      <c r="B35" s="162" t="s">
        <v>360</v>
      </c>
      <c r="C35" s="160">
        <v>399</v>
      </c>
      <c r="D35" s="160">
        <v>365</v>
      </c>
      <c r="E35" s="160">
        <f t="shared" si="1"/>
        <v>764</v>
      </c>
      <c r="F35" s="161">
        <f t="shared" si="2"/>
        <v>1.3686605399401659E-2</v>
      </c>
      <c r="G35" s="160">
        <v>521</v>
      </c>
      <c r="H35" s="160">
        <v>61</v>
      </c>
      <c r="I35" s="160">
        <f t="shared" si="3"/>
        <v>582</v>
      </c>
      <c r="J35" s="161">
        <f t="shared" si="4"/>
        <v>7.8732701126878694E-3</v>
      </c>
      <c r="K35" s="160">
        <f t="shared" si="0"/>
        <v>1346</v>
      </c>
      <c r="P35" s="173"/>
    </row>
    <row r="36" spans="2:16" x14ac:dyDescent="0.2">
      <c r="B36" s="162" t="s">
        <v>361</v>
      </c>
      <c r="C36" s="160">
        <v>333</v>
      </c>
      <c r="D36" s="160">
        <v>302</v>
      </c>
      <c r="E36" s="160">
        <f t="shared" si="1"/>
        <v>635</v>
      </c>
      <c r="F36" s="161">
        <f t="shared" si="2"/>
        <v>1.1375647157879651E-2</v>
      </c>
      <c r="G36" s="160">
        <v>864</v>
      </c>
      <c r="H36" s="160">
        <v>76</v>
      </c>
      <c r="I36" s="160">
        <f t="shared" si="3"/>
        <v>940</v>
      </c>
      <c r="J36" s="161">
        <f t="shared" si="4"/>
        <v>1.2716278188877316E-2</v>
      </c>
      <c r="K36" s="160">
        <f t="shared" si="0"/>
        <v>1575</v>
      </c>
      <c r="P36" s="173"/>
    </row>
    <row r="37" spans="2:16" x14ac:dyDescent="0.2">
      <c r="B37" s="162" t="s">
        <v>362</v>
      </c>
      <c r="C37" s="160">
        <v>1327</v>
      </c>
      <c r="D37" s="160">
        <v>888</v>
      </c>
      <c r="E37" s="160">
        <f t="shared" si="1"/>
        <v>2215</v>
      </c>
      <c r="F37" s="161">
        <f t="shared" si="2"/>
        <v>3.9680407015280986E-2</v>
      </c>
      <c r="G37" s="160">
        <v>3702</v>
      </c>
      <c r="H37" s="160">
        <v>190</v>
      </c>
      <c r="I37" s="160">
        <f t="shared" si="3"/>
        <v>3892</v>
      </c>
      <c r="J37" s="161">
        <f t="shared" si="4"/>
        <v>5.2650802884160117E-2</v>
      </c>
      <c r="K37" s="160">
        <f t="shared" si="0"/>
        <v>6107</v>
      </c>
      <c r="P37" s="173"/>
    </row>
    <row r="38" spans="2:16" x14ac:dyDescent="0.2">
      <c r="B38" s="162" t="s">
        <v>363</v>
      </c>
      <c r="C38" s="160">
        <v>1430</v>
      </c>
      <c r="D38" s="160">
        <v>991</v>
      </c>
      <c r="E38" s="160">
        <f t="shared" si="1"/>
        <v>2421</v>
      </c>
      <c r="F38" s="161">
        <f t="shared" si="2"/>
        <v>4.3370774439726985E-2</v>
      </c>
      <c r="G38" s="160">
        <v>2221</v>
      </c>
      <c r="H38" s="160">
        <v>164</v>
      </c>
      <c r="I38" s="160">
        <f t="shared" si="3"/>
        <v>2385</v>
      </c>
      <c r="J38" s="161">
        <f t="shared" si="4"/>
        <v>3.2264173915396169E-2</v>
      </c>
      <c r="K38" s="160">
        <f t="shared" si="0"/>
        <v>4806</v>
      </c>
      <c r="P38" s="173"/>
    </row>
    <row r="39" spans="2:16" x14ac:dyDescent="0.2">
      <c r="B39" s="162" t="s">
        <v>364</v>
      </c>
      <c r="C39" s="160">
        <v>723</v>
      </c>
      <c r="D39" s="160">
        <v>484</v>
      </c>
      <c r="E39" s="160">
        <f t="shared" si="1"/>
        <v>1207</v>
      </c>
      <c r="F39" s="161">
        <f t="shared" si="2"/>
        <v>2.1622686802457856E-2</v>
      </c>
      <c r="G39" s="160">
        <v>1692</v>
      </c>
      <c r="H39" s="160">
        <v>109</v>
      </c>
      <c r="I39" s="160">
        <f t="shared" si="3"/>
        <v>1801</v>
      </c>
      <c r="J39" s="161">
        <f t="shared" si="4"/>
        <v>2.4363847891668133E-2</v>
      </c>
      <c r="K39" s="160">
        <f t="shared" si="0"/>
        <v>3008</v>
      </c>
      <c r="P39" s="173"/>
    </row>
    <row r="40" spans="2:16" x14ac:dyDescent="0.2">
      <c r="B40" s="162" t="s">
        <v>365</v>
      </c>
      <c r="C40" s="160">
        <v>533</v>
      </c>
      <c r="D40" s="160">
        <v>609</v>
      </c>
      <c r="E40" s="160">
        <f t="shared" si="1"/>
        <v>1142</v>
      </c>
      <c r="F40" s="161">
        <f t="shared" si="2"/>
        <v>2.0458250479210332E-2</v>
      </c>
      <c r="G40" s="160">
        <v>895</v>
      </c>
      <c r="H40" s="160">
        <v>69</v>
      </c>
      <c r="I40" s="160">
        <f t="shared" si="3"/>
        <v>964</v>
      </c>
      <c r="J40" s="161">
        <f t="shared" si="4"/>
        <v>1.3040949121359289E-2</v>
      </c>
      <c r="K40" s="160">
        <f t="shared" si="0"/>
        <v>2106</v>
      </c>
      <c r="P40" s="173"/>
    </row>
    <row r="41" spans="2:16" x14ac:dyDescent="0.2">
      <c r="B41" s="162" t="s">
        <v>366</v>
      </c>
      <c r="C41" s="160">
        <v>444</v>
      </c>
      <c r="D41" s="160">
        <v>343</v>
      </c>
      <c r="E41" s="160">
        <f t="shared" si="1"/>
        <v>787</v>
      </c>
      <c r="F41" s="161">
        <f t="shared" si="2"/>
        <v>1.4098636713781552E-2</v>
      </c>
      <c r="G41" s="160">
        <v>491</v>
      </c>
      <c r="H41" s="160">
        <v>58</v>
      </c>
      <c r="I41" s="160">
        <f t="shared" si="3"/>
        <v>549</v>
      </c>
      <c r="J41" s="161">
        <f t="shared" si="4"/>
        <v>7.4268475805251552E-3</v>
      </c>
      <c r="K41" s="160">
        <f t="shared" si="0"/>
        <v>1336</v>
      </c>
      <c r="P41" s="173"/>
    </row>
    <row r="42" spans="2:16" x14ac:dyDescent="0.2">
      <c r="B42" s="162" t="s">
        <v>367</v>
      </c>
      <c r="C42" s="160">
        <v>852</v>
      </c>
      <c r="D42" s="160">
        <v>549</v>
      </c>
      <c r="E42" s="160">
        <f t="shared" si="1"/>
        <v>1401</v>
      </c>
      <c r="F42" s="161">
        <f t="shared" si="2"/>
        <v>2.5098081367227389E-2</v>
      </c>
      <c r="G42" s="160">
        <v>2027</v>
      </c>
      <c r="H42" s="160">
        <v>145</v>
      </c>
      <c r="I42" s="160">
        <f t="shared" si="3"/>
        <v>2172</v>
      </c>
      <c r="J42" s="161">
        <f t="shared" si="4"/>
        <v>2.9382719389618648E-2</v>
      </c>
      <c r="K42" s="160">
        <f t="shared" si="0"/>
        <v>3573</v>
      </c>
      <c r="P42" s="173"/>
    </row>
    <row r="43" spans="2:16" x14ac:dyDescent="0.2">
      <c r="B43" s="162" t="s">
        <v>66</v>
      </c>
      <c r="C43" s="160">
        <f t="shared" ref="C43:H43" si="5">SUM(C11:C42)</f>
        <v>33851</v>
      </c>
      <c r="D43" s="160">
        <f t="shared" si="5"/>
        <v>21970</v>
      </c>
      <c r="E43" s="162">
        <f t="shared" ref="E43" si="6">C43+D43</f>
        <v>55821</v>
      </c>
      <c r="F43" s="164">
        <f t="shared" ref="F43" si="7">E43/$E$43</f>
        <v>1</v>
      </c>
      <c r="G43" s="160">
        <f t="shared" si="5"/>
        <v>69096</v>
      </c>
      <c r="H43" s="160">
        <f t="shared" si="5"/>
        <v>4825</v>
      </c>
      <c r="I43" s="162">
        <f t="shared" ref="I43" si="8">G43+H43</f>
        <v>73921</v>
      </c>
      <c r="J43" s="164">
        <f t="shared" ref="J43" si="9">I43/$I$43</f>
        <v>1</v>
      </c>
      <c r="K43" s="162">
        <f t="shared" ref="K43:K44" si="10">E43+I43</f>
        <v>129742</v>
      </c>
      <c r="P43" s="173"/>
    </row>
    <row r="44" spans="2:16" ht="25.5" customHeight="1" x14ac:dyDescent="0.2">
      <c r="B44" s="174" t="s">
        <v>82</v>
      </c>
      <c r="C44" s="175">
        <f>+C43/$K$43</f>
        <v>0.26091011391839186</v>
      </c>
      <c r="D44" s="175">
        <f>+D43/$K$43</f>
        <v>0.16933606696366635</v>
      </c>
      <c r="E44" s="192">
        <f>C44+D44</f>
        <v>0.43024618088205824</v>
      </c>
      <c r="F44" s="175"/>
      <c r="G44" s="175">
        <f>+G43/$K$43</f>
        <v>0.53256462826224349</v>
      </c>
      <c r="H44" s="175">
        <f>+H43/$K$43</f>
        <v>3.7189190855698231E-2</v>
      </c>
      <c r="I44" s="176">
        <f>G44+H44</f>
        <v>0.56975381911794176</v>
      </c>
      <c r="J44" s="218"/>
      <c r="K44" s="176">
        <f t="shared" si="10"/>
        <v>1</v>
      </c>
    </row>
    <row r="45" spans="2:16" x14ac:dyDescent="0.2">
      <c r="B45" s="167"/>
      <c r="C45" s="180"/>
      <c r="D45" s="180"/>
      <c r="E45" s="180"/>
      <c r="F45" s="180"/>
      <c r="G45" s="180"/>
      <c r="H45" s="180"/>
      <c r="I45" s="180"/>
      <c r="J45" s="180"/>
      <c r="K45" s="180"/>
    </row>
    <row r="46" spans="2:16" ht="12.75" x14ac:dyDescent="0.2">
      <c r="B46" s="418" t="s">
        <v>110</v>
      </c>
      <c r="C46" s="418"/>
      <c r="D46" s="418"/>
      <c r="E46" s="418"/>
      <c r="F46" s="418"/>
      <c r="G46" s="418"/>
      <c r="H46" s="418"/>
      <c r="I46" s="418"/>
      <c r="J46" s="418"/>
      <c r="K46" s="418"/>
    </row>
    <row r="47" spans="2:16" ht="12.75" x14ac:dyDescent="0.2">
      <c r="B47" s="431" t="str">
        <f>'Solicitudes Regiones'!$B$6:$P$6</f>
        <v>Acumuladas de julio de 2008 a noviembre de 2018</v>
      </c>
      <c r="C47" s="431"/>
      <c r="D47" s="431"/>
      <c r="E47" s="431"/>
      <c r="F47" s="431"/>
      <c r="G47" s="431"/>
      <c r="H47" s="431"/>
      <c r="I47" s="431"/>
      <c r="J47" s="431"/>
      <c r="K47" s="431"/>
    </row>
    <row r="49" spans="2:12" ht="15" customHeight="1" x14ac:dyDescent="0.2">
      <c r="B49" s="446" t="s">
        <v>83</v>
      </c>
      <c r="C49" s="446"/>
      <c r="D49" s="446"/>
      <c r="E49" s="446"/>
      <c r="F49" s="446"/>
      <c r="G49" s="446"/>
      <c r="H49" s="446"/>
      <c r="I49" s="446"/>
      <c r="J49" s="446"/>
      <c r="K49" s="446"/>
      <c r="L49" s="181"/>
    </row>
    <row r="50" spans="2:12" ht="15" customHeight="1" x14ac:dyDescent="0.2">
      <c r="B50" s="446" t="s">
        <v>74</v>
      </c>
      <c r="C50" s="446" t="s">
        <v>2</v>
      </c>
      <c r="D50" s="446"/>
      <c r="E50" s="446"/>
      <c r="F50" s="446"/>
      <c r="G50" s="446"/>
      <c r="H50" s="446"/>
      <c r="I50" s="446"/>
      <c r="J50" s="446"/>
      <c r="K50" s="446"/>
    </row>
    <row r="51" spans="2:12" ht="24" x14ac:dyDescent="0.2">
      <c r="B51" s="446"/>
      <c r="C51" s="165" t="s">
        <v>75</v>
      </c>
      <c r="D51" s="165" t="s">
        <v>76</v>
      </c>
      <c r="E51" s="165" t="s">
        <v>77</v>
      </c>
      <c r="F51" s="165" t="s">
        <v>78</v>
      </c>
      <c r="G51" s="165" t="s">
        <v>8</v>
      </c>
      <c r="H51" s="165" t="s">
        <v>79</v>
      </c>
      <c r="I51" s="165" t="s">
        <v>80</v>
      </c>
      <c r="J51" s="165" t="s">
        <v>81</v>
      </c>
      <c r="K51" s="166" t="s">
        <v>46</v>
      </c>
    </row>
    <row r="52" spans="2:12" x14ac:dyDescent="0.2">
      <c r="B52" s="162" t="s">
        <v>336</v>
      </c>
      <c r="C52" s="160">
        <v>1392</v>
      </c>
      <c r="D52" s="160">
        <v>459</v>
      </c>
      <c r="E52" s="160">
        <f>C52+D52</f>
        <v>1851</v>
      </c>
      <c r="F52" s="161">
        <f>E52/$E$84</f>
        <v>4.4641134478101488E-2</v>
      </c>
      <c r="G52" s="160">
        <v>1464</v>
      </c>
      <c r="H52" s="160">
        <v>125</v>
      </c>
      <c r="I52" s="160">
        <f>H52+G52</f>
        <v>1589</v>
      </c>
      <c r="J52" s="161">
        <f>I52/$I$84</f>
        <v>2.5174670067649993E-2</v>
      </c>
      <c r="K52" s="160">
        <f t="shared" ref="K52:K83" si="11">E52+I52</f>
        <v>3440</v>
      </c>
    </row>
    <row r="53" spans="2:12" x14ac:dyDescent="0.2">
      <c r="B53" s="162" t="s">
        <v>337</v>
      </c>
      <c r="C53" s="160">
        <v>492</v>
      </c>
      <c r="D53" s="160">
        <v>104</v>
      </c>
      <c r="E53" s="160">
        <f t="shared" ref="E53:E83" si="12">C53+D53</f>
        <v>596</v>
      </c>
      <c r="F53" s="161">
        <f t="shared" ref="F53:F83" si="13">E53/$E$84</f>
        <v>1.4373914721203937E-2</v>
      </c>
      <c r="G53" s="160">
        <v>316</v>
      </c>
      <c r="H53" s="160">
        <v>20</v>
      </c>
      <c r="I53" s="160">
        <f t="shared" ref="I53:I83" si="14">H53+G53</f>
        <v>336</v>
      </c>
      <c r="J53" s="161">
        <f t="shared" ref="J53:J83" si="15">I53/$I$84</f>
        <v>5.3232782521903076E-3</v>
      </c>
      <c r="K53" s="160">
        <f t="shared" si="11"/>
        <v>932</v>
      </c>
    </row>
    <row r="54" spans="2:12" x14ac:dyDescent="0.2">
      <c r="B54" s="162" t="s">
        <v>338</v>
      </c>
      <c r="C54" s="160">
        <v>1041</v>
      </c>
      <c r="D54" s="160">
        <v>288</v>
      </c>
      <c r="E54" s="160">
        <f t="shared" si="12"/>
        <v>1329</v>
      </c>
      <c r="F54" s="161">
        <f t="shared" si="13"/>
        <v>3.2051900443758441E-2</v>
      </c>
      <c r="G54" s="160">
        <v>1795</v>
      </c>
      <c r="H54" s="160">
        <v>102</v>
      </c>
      <c r="I54" s="160">
        <f t="shared" si="14"/>
        <v>1897</v>
      </c>
      <c r="J54" s="161">
        <f t="shared" si="15"/>
        <v>3.0054341798824442E-2</v>
      </c>
      <c r="K54" s="160">
        <f t="shared" si="11"/>
        <v>3226</v>
      </c>
    </row>
    <row r="55" spans="2:12" x14ac:dyDescent="0.2">
      <c r="B55" s="162" t="s">
        <v>339</v>
      </c>
      <c r="C55" s="160">
        <v>856</v>
      </c>
      <c r="D55" s="160">
        <v>250</v>
      </c>
      <c r="E55" s="160">
        <f t="shared" si="12"/>
        <v>1106</v>
      </c>
      <c r="F55" s="161">
        <f t="shared" si="13"/>
        <v>2.6673741076596567E-2</v>
      </c>
      <c r="G55" s="160">
        <v>761</v>
      </c>
      <c r="H55" s="160">
        <v>63</v>
      </c>
      <c r="I55" s="160">
        <f t="shared" si="14"/>
        <v>824</v>
      </c>
      <c r="J55" s="161">
        <f t="shared" si="15"/>
        <v>1.3054706189895278E-2</v>
      </c>
      <c r="K55" s="160">
        <f t="shared" si="11"/>
        <v>1930</v>
      </c>
    </row>
    <row r="56" spans="2:12" x14ac:dyDescent="0.2">
      <c r="B56" s="162" t="s">
        <v>340</v>
      </c>
      <c r="C56" s="160">
        <v>1769</v>
      </c>
      <c r="D56" s="160">
        <v>501</v>
      </c>
      <c r="E56" s="160">
        <f t="shared" si="12"/>
        <v>2270</v>
      </c>
      <c r="F56" s="161">
        <f t="shared" si="13"/>
        <v>5.4746285934786802E-2</v>
      </c>
      <c r="G56" s="160">
        <v>3814</v>
      </c>
      <c r="H56" s="160">
        <v>230</v>
      </c>
      <c r="I56" s="160">
        <f t="shared" si="14"/>
        <v>4044</v>
      </c>
      <c r="J56" s="161">
        <f t="shared" si="15"/>
        <v>6.4069456106719061E-2</v>
      </c>
      <c r="K56" s="160">
        <f t="shared" si="11"/>
        <v>6314</v>
      </c>
    </row>
    <row r="57" spans="2:12" x14ac:dyDescent="0.2">
      <c r="B57" s="162" t="s">
        <v>341</v>
      </c>
      <c r="C57" s="160">
        <v>658</v>
      </c>
      <c r="D57" s="160">
        <v>263</v>
      </c>
      <c r="E57" s="160">
        <f t="shared" si="12"/>
        <v>921</v>
      </c>
      <c r="F57" s="161">
        <f t="shared" si="13"/>
        <v>2.2212039359444338E-2</v>
      </c>
      <c r="G57" s="160">
        <v>1684</v>
      </c>
      <c r="H57" s="160">
        <v>108</v>
      </c>
      <c r="I57" s="160">
        <f t="shared" si="14"/>
        <v>1792</v>
      </c>
      <c r="J57" s="161">
        <f t="shared" si="15"/>
        <v>2.839081734501497E-2</v>
      </c>
      <c r="K57" s="160">
        <f t="shared" si="11"/>
        <v>2713</v>
      </c>
    </row>
    <row r="58" spans="2:12" x14ac:dyDescent="0.2">
      <c r="B58" s="162" t="s">
        <v>342</v>
      </c>
      <c r="C58" s="160">
        <v>732</v>
      </c>
      <c r="D58" s="160">
        <v>283</v>
      </c>
      <c r="E58" s="160">
        <f t="shared" si="12"/>
        <v>1015</v>
      </c>
      <c r="F58" s="161">
        <f t="shared" si="13"/>
        <v>2.4479066177889253E-2</v>
      </c>
      <c r="G58" s="160">
        <v>1798</v>
      </c>
      <c r="H58" s="160">
        <v>95</v>
      </c>
      <c r="I58" s="160">
        <f t="shared" si="14"/>
        <v>1893</v>
      </c>
      <c r="J58" s="161">
        <f t="shared" si="15"/>
        <v>2.9990969438679321E-2</v>
      </c>
      <c r="K58" s="160">
        <f t="shared" si="11"/>
        <v>2908</v>
      </c>
    </row>
    <row r="59" spans="2:12" x14ac:dyDescent="0.2">
      <c r="B59" s="162" t="s">
        <v>343</v>
      </c>
      <c r="C59" s="160">
        <v>6532</v>
      </c>
      <c r="D59" s="160">
        <v>2155</v>
      </c>
      <c r="E59" s="160">
        <f t="shared" si="12"/>
        <v>8687</v>
      </c>
      <c r="F59" s="161">
        <f t="shared" si="13"/>
        <v>0.20950704225352113</v>
      </c>
      <c r="G59" s="160">
        <v>15843</v>
      </c>
      <c r="H59" s="160">
        <v>972</v>
      </c>
      <c r="I59" s="160">
        <f t="shared" si="14"/>
        <v>16815</v>
      </c>
      <c r="J59" s="161">
        <f t="shared" si="15"/>
        <v>0.26640155896005957</v>
      </c>
      <c r="K59" s="160">
        <f t="shared" si="11"/>
        <v>25502</v>
      </c>
    </row>
    <row r="60" spans="2:12" x14ac:dyDescent="0.2">
      <c r="B60" s="162" t="s">
        <v>344</v>
      </c>
      <c r="C60" s="160">
        <v>1033</v>
      </c>
      <c r="D60" s="160">
        <v>263</v>
      </c>
      <c r="E60" s="160">
        <f t="shared" si="12"/>
        <v>1296</v>
      </c>
      <c r="F60" s="161">
        <f t="shared" si="13"/>
        <v>3.1256029326644799E-2</v>
      </c>
      <c r="G60" s="160">
        <v>1414</v>
      </c>
      <c r="H60" s="160">
        <v>78</v>
      </c>
      <c r="I60" s="160">
        <f t="shared" si="14"/>
        <v>1492</v>
      </c>
      <c r="J60" s="161">
        <f t="shared" si="15"/>
        <v>2.363789033413077E-2</v>
      </c>
      <c r="K60" s="160">
        <f t="shared" si="11"/>
        <v>2788</v>
      </c>
    </row>
    <row r="61" spans="2:12" x14ac:dyDescent="0.2">
      <c r="B61" s="162" t="s">
        <v>345</v>
      </c>
      <c r="C61" s="160">
        <v>948</v>
      </c>
      <c r="D61" s="160">
        <v>280</v>
      </c>
      <c r="E61" s="160">
        <f t="shared" si="12"/>
        <v>1228</v>
      </c>
      <c r="F61" s="161">
        <f t="shared" si="13"/>
        <v>2.9616052479259115E-2</v>
      </c>
      <c r="G61" s="160">
        <v>1562</v>
      </c>
      <c r="H61" s="160">
        <v>104</v>
      </c>
      <c r="I61" s="160">
        <f t="shared" si="14"/>
        <v>1666</v>
      </c>
      <c r="J61" s="161">
        <f t="shared" si="15"/>
        <v>2.6394588000443607E-2</v>
      </c>
      <c r="K61" s="160">
        <f t="shared" si="11"/>
        <v>2894</v>
      </c>
    </row>
    <row r="62" spans="2:12" x14ac:dyDescent="0.2">
      <c r="B62" s="162" t="s">
        <v>346</v>
      </c>
      <c r="C62" s="160">
        <v>540</v>
      </c>
      <c r="D62" s="160">
        <v>233</v>
      </c>
      <c r="E62" s="160">
        <f t="shared" si="12"/>
        <v>773</v>
      </c>
      <c r="F62" s="161">
        <f t="shared" si="13"/>
        <v>1.8642677985722556E-2</v>
      </c>
      <c r="G62" s="160">
        <v>662</v>
      </c>
      <c r="H62" s="160">
        <v>70</v>
      </c>
      <c r="I62" s="160">
        <f t="shared" si="14"/>
        <v>732</v>
      </c>
      <c r="J62" s="161">
        <f t="shared" si="15"/>
        <v>1.1597141906557454E-2</v>
      </c>
      <c r="K62" s="160">
        <f t="shared" si="11"/>
        <v>1505</v>
      </c>
    </row>
    <row r="63" spans="2:12" x14ac:dyDescent="0.2">
      <c r="B63" s="162" t="s">
        <v>347</v>
      </c>
      <c r="C63" s="160">
        <v>1100</v>
      </c>
      <c r="D63" s="160">
        <v>355</v>
      </c>
      <c r="E63" s="160">
        <f t="shared" si="12"/>
        <v>1455</v>
      </c>
      <c r="F63" s="161">
        <f t="shared" si="13"/>
        <v>3.5090681072737794E-2</v>
      </c>
      <c r="G63" s="160">
        <v>2183</v>
      </c>
      <c r="H63" s="160">
        <v>148</v>
      </c>
      <c r="I63" s="160">
        <f t="shared" si="14"/>
        <v>2331</v>
      </c>
      <c r="J63" s="161">
        <f t="shared" si="15"/>
        <v>3.6930242874570259E-2</v>
      </c>
      <c r="K63" s="160">
        <f t="shared" si="11"/>
        <v>3786</v>
      </c>
    </row>
    <row r="64" spans="2:12" x14ac:dyDescent="0.2">
      <c r="B64" s="162" t="s">
        <v>348</v>
      </c>
      <c r="C64" s="160">
        <v>443</v>
      </c>
      <c r="D64" s="160">
        <v>100</v>
      </c>
      <c r="E64" s="160">
        <f t="shared" si="12"/>
        <v>543</v>
      </c>
      <c r="F64" s="161">
        <f t="shared" si="13"/>
        <v>1.309569747250627E-2</v>
      </c>
      <c r="G64" s="160">
        <v>355</v>
      </c>
      <c r="H64" s="160">
        <v>34</v>
      </c>
      <c r="I64" s="160">
        <f t="shared" si="14"/>
        <v>389</v>
      </c>
      <c r="J64" s="161">
        <f t="shared" si="15"/>
        <v>6.1629620241131829E-3</v>
      </c>
      <c r="K64" s="160">
        <f t="shared" si="11"/>
        <v>932</v>
      </c>
    </row>
    <row r="65" spans="2:11" x14ac:dyDescent="0.2">
      <c r="B65" s="162" t="s">
        <v>349</v>
      </c>
      <c r="C65" s="160">
        <v>2015</v>
      </c>
      <c r="D65" s="160">
        <v>765</v>
      </c>
      <c r="E65" s="160">
        <f t="shared" si="12"/>
        <v>2780</v>
      </c>
      <c r="F65" s="161">
        <f t="shared" si="13"/>
        <v>6.7046112290179427E-2</v>
      </c>
      <c r="G65" s="160">
        <v>3163</v>
      </c>
      <c r="H65" s="160">
        <v>318</v>
      </c>
      <c r="I65" s="160">
        <f t="shared" si="14"/>
        <v>3481</v>
      </c>
      <c r="J65" s="161">
        <f t="shared" si="15"/>
        <v>5.5149796416293036E-2</v>
      </c>
      <c r="K65" s="160">
        <f t="shared" si="11"/>
        <v>6261</v>
      </c>
    </row>
    <row r="66" spans="2:11" x14ac:dyDescent="0.2">
      <c r="B66" s="162" t="s">
        <v>350</v>
      </c>
      <c r="C66" s="160">
        <v>192</v>
      </c>
      <c r="D66" s="160">
        <v>68</v>
      </c>
      <c r="E66" s="160">
        <f t="shared" si="12"/>
        <v>260</v>
      </c>
      <c r="F66" s="161">
        <f t="shared" si="13"/>
        <v>6.2704997105923208E-3</v>
      </c>
      <c r="G66" s="160">
        <v>386</v>
      </c>
      <c r="H66" s="160">
        <v>22</v>
      </c>
      <c r="I66" s="160">
        <f t="shared" si="14"/>
        <v>408</v>
      </c>
      <c r="J66" s="161">
        <f t="shared" si="15"/>
        <v>6.463980734802516E-3</v>
      </c>
      <c r="K66" s="160">
        <f t="shared" si="11"/>
        <v>668</v>
      </c>
    </row>
    <row r="67" spans="2:11" x14ac:dyDescent="0.2">
      <c r="B67" s="162" t="s">
        <v>351</v>
      </c>
      <c r="C67" s="160">
        <v>662</v>
      </c>
      <c r="D67" s="160">
        <v>147</v>
      </c>
      <c r="E67" s="160">
        <f t="shared" si="12"/>
        <v>809</v>
      </c>
      <c r="F67" s="161">
        <f t="shared" si="13"/>
        <v>1.9510901022573798E-2</v>
      </c>
      <c r="G67" s="160">
        <v>1156</v>
      </c>
      <c r="H67" s="160">
        <v>62</v>
      </c>
      <c r="I67" s="160">
        <f t="shared" si="14"/>
        <v>1218</v>
      </c>
      <c r="J67" s="161">
        <f t="shared" si="15"/>
        <v>1.9296883664189864E-2</v>
      </c>
      <c r="K67" s="160">
        <f t="shared" si="11"/>
        <v>2027</v>
      </c>
    </row>
    <row r="68" spans="2:11" x14ac:dyDescent="0.2">
      <c r="B68" s="162" t="s">
        <v>352</v>
      </c>
      <c r="C68" s="160">
        <v>608</v>
      </c>
      <c r="D68" s="160">
        <v>251</v>
      </c>
      <c r="E68" s="160">
        <f t="shared" si="12"/>
        <v>859</v>
      </c>
      <c r="F68" s="161">
        <f t="shared" si="13"/>
        <v>2.0716766351533862E-2</v>
      </c>
      <c r="G68" s="160">
        <v>575</v>
      </c>
      <c r="H68" s="160">
        <v>84</v>
      </c>
      <c r="I68" s="160">
        <f t="shared" si="14"/>
        <v>659</v>
      </c>
      <c r="J68" s="161">
        <f t="shared" si="15"/>
        <v>1.0440596333908966E-2</v>
      </c>
      <c r="K68" s="160">
        <f t="shared" si="11"/>
        <v>1518</v>
      </c>
    </row>
    <row r="69" spans="2:11" x14ac:dyDescent="0.2">
      <c r="B69" s="162" t="s">
        <v>353</v>
      </c>
      <c r="C69" s="160">
        <v>499</v>
      </c>
      <c r="D69" s="160">
        <v>178</v>
      </c>
      <c r="E69" s="160">
        <f t="shared" si="12"/>
        <v>677</v>
      </c>
      <c r="F69" s="161">
        <f t="shared" si="13"/>
        <v>1.6327416554119237E-2</v>
      </c>
      <c r="G69" s="160">
        <v>560</v>
      </c>
      <c r="H69" s="160">
        <v>57</v>
      </c>
      <c r="I69" s="160">
        <f t="shared" si="14"/>
        <v>617</v>
      </c>
      <c r="J69" s="161">
        <f t="shared" si="15"/>
        <v>9.7751865523851775E-3</v>
      </c>
      <c r="K69" s="160">
        <f t="shared" si="11"/>
        <v>1294</v>
      </c>
    </row>
    <row r="70" spans="2:11" x14ac:dyDescent="0.2">
      <c r="B70" s="162" t="s">
        <v>354</v>
      </c>
      <c r="C70" s="160">
        <v>827</v>
      </c>
      <c r="D70" s="160">
        <v>302</v>
      </c>
      <c r="E70" s="160">
        <f t="shared" si="12"/>
        <v>1129</v>
      </c>
      <c r="F70" s="161">
        <f t="shared" si="13"/>
        <v>2.7228439127918194E-2</v>
      </c>
      <c r="G70" s="160">
        <v>1595</v>
      </c>
      <c r="H70" s="160">
        <v>108</v>
      </c>
      <c r="I70" s="160">
        <f t="shared" si="14"/>
        <v>1703</v>
      </c>
      <c r="J70" s="161">
        <f t="shared" si="15"/>
        <v>2.6980782331785993E-2</v>
      </c>
      <c r="K70" s="160">
        <f t="shared" si="11"/>
        <v>2832</v>
      </c>
    </row>
    <row r="71" spans="2:11" x14ac:dyDescent="0.2">
      <c r="B71" s="162" t="s">
        <v>355</v>
      </c>
      <c r="C71" s="160">
        <v>498</v>
      </c>
      <c r="D71" s="160">
        <v>162</v>
      </c>
      <c r="E71" s="160">
        <f t="shared" si="12"/>
        <v>660</v>
      </c>
      <c r="F71" s="161">
        <f t="shared" si="13"/>
        <v>1.5917422342272815E-2</v>
      </c>
      <c r="G71" s="160">
        <v>522</v>
      </c>
      <c r="H71" s="160">
        <v>66</v>
      </c>
      <c r="I71" s="160">
        <f t="shared" si="14"/>
        <v>588</v>
      </c>
      <c r="J71" s="161">
        <f t="shared" si="15"/>
        <v>9.3157369413330374E-3</v>
      </c>
      <c r="K71" s="160">
        <f t="shared" si="11"/>
        <v>1248</v>
      </c>
    </row>
    <row r="72" spans="2:11" x14ac:dyDescent="0.2">
      <c r="B72" s="162" t="s">
        <v>356</v>
      </c>
      <c r="C72" s="160">
        <v>1423</v>
      </c>
      <c r="D72" s="160">
        <v>517</v>
      </c>
      <c r="E72" s="160">
        <f t="shared" si="12"/>
        <v>1940</v>
      </c>
      <c r="F72" s="161">
        <f t="shared" si="13"/>
        <v>4.6787574763650398E-2</v>
      </c>
      <c r="G72" s="160">
        <v>3911</v>
      </c>
      <c r="H72" s="160">
        <v>251</v>
      </c>
      <c r="I72" s="160">
        <f t="shared" si="14"/>
        <v>4162</v>
      </c>
      <c r="J72" s="161">
        <f t="shared" si="15"/>
        <v>6.5938940731000178E-2</v>
      </c>
      <c r="K72" s="160">
        <f t="shared" si="11"/>
        <v>6102</v>
      </c>
    </row>
    <row r="73" spans="2:11" x14ac:dyDescent="0.2">
      <c r="B73" s="162" t="s">
        <v>357</v>
      </c>
      <c r="C73" s="160">
        <v>739</v>
      </c>
      <c r="D73" s="160">
        <v>184</v>
      </c>
      <c r="E73" s="160">
        <f t="shared" si="12"/>
        <v>923</v>
      </c>
      <c r="F73" s="161">
        <f t="shared" si="13"/>
        <v>2.2260273972602738E-2</v>
      </c>
      <c r="G73" s="160">
        <v>1608</v>
      </c>
      <c r="H73" s="160">
        <v>65</v>
      </c>
      <c r="I73" s="160">
        <f t="shared" si="14"/>
        <v>1673</v>
      </c>
      <c r="J73" s="161">
        <f t="shared" si="15"/>
        <v>2.6505489630697571E-2</v>
      </c>
      <c r="K73" s="160">
        <f t="shared" si="11"/>
        <v>2596</v>
      </c>
    </row>
    <row r="74" spans="2:11" x14ac:dyDescent="0.2">
      <c r="B74" s="162" t="s">
        <v>358</v>
      </c>
      <c r="C74" s="160">
        <v>247</v>
      </c>
      <c r="D74" s="160">
        <v>95</v>
      </c>
      <c r="E74" s="160">
        <f t="shared" si="12"/>
        <v>342</v>
      </c>
      <c r="F74" s="161">
        <f t="shared" si="13"/>
        <v>8.2481188500868226E-3</v>
      </c>
      <c r="G74" s="160">
        <v>548</v>
      </c>
      <c r="H74" s="160">
        <v>18</v>
      </c>
      <c r="I74" s="160">
        <f t="shared" si="14"/>
        <v>566</v>
      </c>
      <c r="J74" s="161">
        <f t="shared" si="15"/>
        <v>8.9671889605348627E-3</v>
      </c>
      <c r="K74" s="160">
        <f t="shared" si="11"/>
        <v>908</v>
      </c>
    </row>
    <row r="75" spans="2:11" x14ac:dyDescent="0.2">
      <c r="B75" s="162" t="s">
        <v>359</v>
      </c>
      <c r="C75" s="160">
        <v>306</v>
      </c>
      <c r="D75" s="160">
        <v>92</v>
      </c>
      <c r="E75" s="160">
        <f t="shared" si="12"/>
        <v>398</v>
      </c>
      <c r="F75" s="161">
        <f t="shared" si="13"/>
        <v>9.5986880185220912E-3</v>
      </c>
      <c r="G75" s="160">
        <v>551</v>
      </c>
      <c r="H75" s="160">
        <v>30</v>
      </c>
      <c r="I75" s="160">
        <f t="shared" si="14"/>
        <v>581</v>
      </c>
      <c r="J75" s="161">
        <f t="shared" si="15"/>
        <v>9.2048353110790737E-3</v>
      </c>
      <c r="K75" s="160">
        <f t="shared" si="11"/>
        <v>979</v>
      </c>
    </row>
    <row r="76" spans="2:11" x14ac:dyDescent="0.2">
      <c r="B76" s="162" t="s">
        <v>360</v>
      </c>
      <c r="C76" s="160">
        <v>384</v>
      </c>
      <c r="D76" s="160">
        <v>168</v>
      </c>
      <c r="E76" s="160">
        <f t="shared" si="12"/>
        <v>552</v>
      </c>
      <c r="F76" s="161">
        <f t="shared" si="13"/>
        <v>1.3312753231719082E-2</v>
      </c>
      <c r="G76" s="160">
        <v>481</v>
      </c>
      <c r="H76" s="160">
        <v>51</v>
      </c>
      <c r="I76" s="160">
        <f t="shared" si="14"/>
        <v>532</v>
      </c>
      <c r="J76" s="161">
        <f t="shared" si="15"/>
        <v>8.4285238993013194E-3</v>
      </c>
      <c r="K76" s="160">
        <f t="shared" si="11"/>
        <v>1084</v>
      </c>
    </row>
    <row r="77" spans="2:11" x14ac:dyDescent="0.2">
      <c r="B77" s="162" t="s">
        <v>361</v>
      </c>
      <c r="C77" s="160">
        <v>299</v>
      </c>
      <c r="D77" s="160">
        <v>123</v>
      </c>
      <c r="E77" s="160">
        <f t="shared" si="12"/>
        <v>422</v>
      </c>
      <c r="F77" s="161">
        <f t="shared" si="13"/>
        <v>1.0177503376422922E-2</v>
      </c>
      <c r="G77" s="160">
        <v>758</v>
      </c>
      <c r="H77" s="160">
        <v>61</v>
      </c>
      <c r="I77" s="160">
        <f t="shared" si="14"/>
        <v>819</v>
      </c>
      <c r="J77" s="161">
        <f t="shared" si="15"/>
        <v>1.2975490739713874E-2</v>
      </c>
      <c r="K77" s="160">
        <f t="shared" si="11"/>
        <v>1241</v>
      </c>
    </row>
    <row r="78" spans="2:11" x14ac:dyDescent="0.2">
      <c r="B78" s="162" t="s">
        <v>362</v>
      </c>
      <c r="C78" s="160">
        <v>1191</v>
      </c>
      <c r="D78" s="160">
        <v>430</v>
      </c>
      <c r="E78" s="160">
        <f t="shared" si="12"/>
        <v>1621</v>
      </c>
      <c r="F78" s="161">
        <f t="shared" si="13"/>
        <v>3.9094153964885199E-2</v>
      </c>
      <c r="G78" s="160">
        <v>3129</v>
      </c>
      <c r="H78" s="160">
        <v>151</v>
      </c>
      <c r="I78" s="160">
        <f t="shared" si="14"/>
        <v>3280</v>
      </c>
      <c r="J78" s="161">
        <f t="shared" si="15"/>
        <v>5.1965335319000619E-2</v>
      </c>
      <c r="K78" s="160">
        <f t="shared" si="11"/>
        <v>4901</v>
      </c>
    </row>
    <row r="79" spans="2:11" x14ac:dyDescent="0.2">
      <c r="B79" s="162" t="s">
        <v>363</v>
      </c>
      <c r="C79" s="160">
        <v>1363</v>
      </c>
      <c r="D79" s="160">
        <v>461</v>
      </c>
      <c r="E79" s="160">
        <f t="shared" si="12"/>
        <v>1824</v>
      </c>
      <c r="F79" s="161">
        <f t="shared" si="13"/>
        <v>4.3989967200463054E-2</v>
      </c>
      <c r="G79" s="160">
        <v>1973</v>
      </c>
      <c r="H79" s="160">
        <v>144</v>
      </c>
      <c r="I79" s="160">
        <f t="shared" si="14"/>
        <v>2117</v>
      </c>
      <c r="J79" s="161">
        <f t="shared" si="15"/>
        <v>3.3539821606806193E-2</v>
      </c>
      <c r="K79" s="160">
        <f t="shared" si="11"/>
        <v>3941</v>
      </c>
    </row>
    <row r="80" spans="2:11" x14ac:dyDescent="0.2">
      <c r="B80" s="162" t="s">
        <v>364</v>
      </c>
      <c r="C80" s="160">
        <v>630</v>
      </c>
      <c r="D80" s="160">
        <v>211</v>
      </c>
      <c r="E80" s="160">
        <f t="shared" si="12"/>
        <v>841</v>
      </c>
      <c r="F80" s="161">
        <f t="shared" si="13"/>
        <v>2.0282654833108239E-2</v>
      </c>
      <c r="G80" s="160">
        <v>1499</v>
      </c>
      <c r="H80" s="160">
        <v>93</v>
      </c>
      <c r="I80" s="160">
        <f t="shared" si="14"/>
        <v>1592</v>
      </c>
      <c r="J80" s="161">
        <f t="shared" si="15"/>
        <v>2.5222199337758835E-2</v>
      </c>
      <c r="K80" s="160">
        <f t="shared" si="11"/>
        <v>2433</v>
      </c>
    </row>
    <row r="81" spans="2:11" x14ac:dyDescent="0.2">
      <c r="B81" s="162" t="s">
        <v>365</v>
      </c>
      <c r="C81" s="160">
        <v>501</v>
      </c>
      <c r="D81" s="160">
        <v>223</v>
      </c>
      <c r="E81" s="160">
        <f t="shared" si="12"/>
        <v>724</v>
      </c>
      <c r="F81" s="161">
        <f t="shared" si="13"/>
        <v>1.7460929963341695E-2</v>
      </c>
      <c r="G81" s="160">
        <v>835</v>
      </c>
      <c r="H81" s="160">
        <v>62</v>
      </c>
      <c r="I81" s="160">
        <f t="shared" si="14"/>
        <v>897</v>
      </c>
      <c r="J81" s="161">
        <f t="shared" si="15"/>
        <v>1.4211251762543767E-2</v>
      </c>
      <c r="K81" s="160">
        <f t="shared" si="11"/>
        <v>1621</v>
      </c>
    </row>
    <row r="82" spans="2:11" x14ac:dyDescent="0.2">
      <c r="B82" s="162" t="s">
        <v>366</v>
      </c>
      <c r="C82" s="160">
        <v>423</v>
      </c>
      <c r="D82" s="160">
        <v>156</v>
      </c>
      <c r="E82" s="160">
        <f t="shared" si="12"/>
        <v>579</v>
      </c>
      <c r="F82" s="161">
        <f t="shared" si="13"/>
        <v>1.3963920509357516E-2</v>
      </c>
      <c r="G82" s="160">
        <v>442</v>
      </c>
      <c r="H82" s="160">
        <v>45</v>
      </c>
      <c r="I82" s="160">
        <f t="shared" si="14"/>
        <v>487</v>
      </c>
      <c r="J82" s="161">
        <f t="shared" si="15"/>
        <v>7.7155848476686889E-3</v>
      </c>
      <c r="K82" s="160">
        <f t="shared" si="11"/>
        <v>1066</v>
      </c>
    </row>
    <row r="83" spans="2:11" x14ac:dyDescent="0.2">
      <c r="B83" s="162" t="s">
        <v>367</v>
      </c>
      <c r="C83" s="160">
        <v>809</v>
      </c>
      <c r="D83" s="160">
        <v>245</v>
      </c>
      <c r="E83" s="160">
        <f t="shared" si="12"/>
        <v>1054</v>
      </c>
      <c r="F83" s="161">
        <f t="shared" si="13"/>
        <v>2.5419641134478102E-2</v>
      </c>
      <c r="G83" s="160">
        <v>1817</v>
      </c>
      <c r="H83" s="160">
        <v>122</v>
      </c>
      <c r="I83" s="160">
        <f t="shared" si="14"/>
        <v>1939</v>
      </c>
      <c r="J83" s="161">
        <f t="shared" si="15"/>
        <v>3.0719751580348231E-2</v>
      </c>
      <c r="K83" s="160">
        <f t="shared" si="11"/>
        <v>2993</v>
      </c>
    </row>
    <row r="84" spans="2:11" x14ac:dyDescent="0.2">
      <c r="B84" s="162" t="s">
        <v>66</v>
      </c>
      <c r="C84" s="160">
        <f t="shared" ref="C84:H84" si="16">SUM(C52:C83)</f>
        <v>31152</v>
      </c>
      <c r="D84" s="160">
        <f t="shared" si="16"/>
        <v>10312</v>
      </c>
      <c r="E84" s="162">
        <f t="shared" ref="E84" si="17">C84+D84</f>
        <v>41464</v>
      </c>
      <c r="F84" s="164">
        <f t="shared" ref="F84" si="18">E84/$E$84</f>
        <v>1</v>
      </c>
      <c r="G84" s="160">
        <f t="shared" si="16"/>
        <v>59160</v>
      </c>
      <c r="H84" s="160">
        <f t="shared" si="16"/>
        <v>3959</v>
      </c>
      <c r="I84" s="162">
        <f t="shared" ref="I84" si="19">H84+G84</f>
        <v>63119</v>
      </c>
      <c r="J84" s="164">
        <f t="shared" ref="J84" si="20">I84/$I$84</f>
        <v>1</v>
      </c>
      <c r="K84" s="162">
        <f t="shared" ref="K84:K85" si="21">E84+I84</f>
        <v>104583</v>
      </c>
    </row>
    <row r="85" spans="2:11" ht="24" x14ac:dyDescent="0.2">
      <c r="B85" s="174" t="s">
        <v>84</v>
      </c>
      <c r="C85" s="175">
        <f>+C84/$K$84</f>
        <v>0.29786867846590748</v>
      </c>
      <c r="D85" s="175">
        <f>+D84/$K$84</f>
        <v>9.8601111079238496E-2</v>
      </c>
      <c r="E85" s="176">
        <f>C85+D85</f>
        <v>0.396469789545146</v>
      </c>
      <c r="F85" s="176"/>
      <c r="G85" s="176">
        <f>+G84/$K$84</f>
        <v>0.56567510972146529</v>
      </c>
      <c r="H85" s="176">
        <f>+H84/$K$84</f>
        <v>3.785510073338879E-2</v>
      </c>
      <c r="I85" s="176">
        <f>G85+H85</f>
        <v>0.60353021045485411</v>
      </c>
      <c r="J85" s="176"/>
      <c r="K85" s="176">
        <f t="shared" si="21"/>
        <v>1</v>
      </c>
    </row>
    <row r="86" spans="2:11" x14ac:dyDescent="0.2">
      <c r="B86" s="167" t="s">
        <v>149</v>
      </c>
    </row>
    <row r="87" spans="2:11" x14ac:dyDescent="0.2">
      <c r="B87" s="167" t="s">
        <v>150</v>
      </c>
    </row>
  </sheetData>
  <mergeCells count="10">
    <mergeCell ref="B50:B51"/>
    <mergeCell ref="C50:K50"/>
    <mergeCell ref="B8:K8"/>
    <mergeCell ref="B9:B10"/>
    <mergeCell ref="C9:K9"/>
    <mergeCell ref="B6:K6"/>
    <mergeCell ref="B5:K5"/>
    <mergeCell ref="B47:K47"/>
    <mergeCell ref="B46:K46"/>
    <mergeCell ref="B49:K49"/>
  </mergeCells>
  <hyperlinks>
    <hyperlink ref="M5" location="'Índice Pensiones Solidarias'!A1" display="Volver Sistema de Pensiones Solidadias" xr:uid="{00000000-0004-0000-1100-000000000000}"/>
  </hyperlinks>
  <pageMargins left="0.74803149606299213" right="0.74803149606299213" top="0.98425196850393704" bottom="0.98425196850393704" header="0" footer="0"/>
  <pageSetup scale="77" fitToHeight="2" orientation="portrait" r:id="rId1"/>
  <headerFooter alignWithMargins="0"/>
  <rowBreaks count="1" manualBreakCount="1">
    <brk id="49" min="1" max="1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28">
    <pageSetUpPr fitToPage="1"/>
  </sheetPr>
  <dimension ref="A1:P47"/>
  <sheetViews>
    <sheetView showGridLines="0" zoomScaleNormal="100" workbookViewId="0"/>
  </sheetViews>
  <sheetFormatPr baseColWidth="10" defaultRowHeight="12" x14ac:dyDescent="0.2"/>
  <cols>
    <col min="1" max="1" width="6" style="168" customWidth="1"/>
    <col min="2" max="2" width="18.140625" style="168" customWidth="1"/>
    <col min="3" max="4" width="8.42578125" style="168" bestFit="1" customWidth="1"/>
    <col min="5" max="6" width="8.42578125" style="168" customWidth="1"/>
    <col min="7" max="7" width="9.140625" style="168" bestFit="1" customWidth="1"/>
    <col min="8" max="8" width="8.28515625" style="168" bestFit="1" customWidth="1"/>
    <col min="9" max="11" width="8.28515625" style="168" customWidth="1"/>
    <col min="12" max="12" width="8.42578125" style="168" customWidth="1"/>
    <col min="13" max="251" width="11.42578125" style="168"/>
    <col min="252" max="252" width="18.140625" style="168" customWidth="1"/>
    <col min="253" max="254" width="8.42578125" style="168" bestFit="1" customWidth="1"/>
    <col min="255" max="256" width="8.42578125" style="168" customWidth="1"/>
    <col min="257" max="257" width="9.140625" style="168" bestFit="1" customWidth="1"/>
    <col min="258" max="258" width="8.28515625" style="168" bestFit="1" customWidth="1"/>
    <col min="259" max="261" width="8.28515625" style="168" customWidth="1"/>
    <col min="262" max="267" width="0" style="168" hidden="1" customWidth="1"/>
    <col min="268" max="268" width="8.42578125" style="168" customWidth="1"/>
    <col min="269" max="507" width="11.42578125" style="168"/>
    <col min="508" max="508" width="18.140625" style="168" customWidth="1"/>
    <col min="509" max="510" width="8.42578125" style="168" bestFit="1" customWidth="1"/>
    <col min="511" max="512" width="8.42578125" style="168" customWidth="1"/>
    <col min="513" max="513" width="9.140625" style="168" bestFit="1" customWidth="1"/>
    <col min="514" max="514" width="8.28515625" style="168" bestFit="1" customWidth="1"/>
    <col min="515" max="517" width="8.28515625" style="168" customWidth="1"/>
    <col min="518" max="523" width="0" style="168" hidden="1" customWidth="1"/>
    <col min="524" max="524" width="8.42578125" style="168" customWidth="1"/>
    <col min="525" max="763" width="11.42578125" style="168"/>
    <col min="764" max="764" width="18.140625" style="168" customWidth="1"/>
    <col min="765" max="766" width="8.42578125" style="168" bestFit="1" customWidth="1"/>
    <col min="767" max="768" width="8.42578125" style="168" customWidth="1"/>
    <col min="769" max="769" width="9.140625" style="168" bestFit="1" customWidth="1"/>
    <col min="770" max="770" width="8.28515625" style="168" bestFit="1" customWidth="1"/>
    <col min="771" max="773" width="8.28515625" style="168" customWidth="1"/>
    <col min="774" max="779" width="0" style="168" hidden="1" customWidth="1"/>
    <col min="780" max="780" width="8.42578125" style="168" customWidth="1"/>
    <col min="781" max="1019" width="11.42578125" style="168"/>
    <col min="1020" max="1020" width="18.140625" style="168" customWidth="1"/>
    <col min="1021" max="1022" width="8.42578125" style="168" bestFit="1" customWidth="1"/>
    <col min="1023" max="1024" width="8.42578125" style="168" customWidth="1"/>
    <col min="1025" max="1025" width="9.140625" style="168" bestFit="1" customWidth="1"/>
    <col min="1026" max="1026" width="8.28515625" style="168" bestFit="1" customWidth="1"/>
    <col min="1027" max="1029" width="8.28515625" style="168" customWidth="1"/>
    <col min="1030" max="1035" width="0" style="168" hidden="1" customWidth="1"/>
    <col min="1036" max="1036" width="8.42578125" style="168" customWidth="1"/>
    <col min="1037" max="1275" width="11.42578125" style="168"/>
    <col min="1276" max="1276" width="18.140625" style="168" customWidth="1"/>
    <col min="1277" max="1278" width="8.42578125" style="168" bestFit="1" customWidth="1"/>
    <col min="1279" max="1280" width="8.42578125" style="168" customWidth="1"/>
    <col min="1281" max="1281" width="9.140625" style="168" bestFit="1" customWidth="1"/>
    <col min="1282" max="1282" width="8.28515625" style="168" bestFit="1" customWidth="1"/>
    <col min="1283" max="1285" width="8.28515625" style="168" customWidth="1"/>
    <col min="1286" max="1291" width="0" style="168" hidden="1" customWidth="1"/>
    <col min="1292" max="1292" width="8.42578125" style="168" customWidth="1"/>
    <col min="1293" max="1531" width="11.42578125" style="168"/>
    <col min="1532" max="1532" width="18.140625" style="168" customWidth="1"/>
    <col min="1533" max="1534" width="8.42578125" style="168" bestFit="1" customWidth="1"/>
    <col min="1535" max="1536" width="8.42578125" style="168" customWidth="1"/>
    <col min="1537" max="1537" width="9.140625" style="168" bestFit="1" customWidth="1"/>
    <col min="1538" max="1538" width="8.28515625" style="168" bestFit="1" customWidth="1"/>
    <col min="1539" max="1541" width="8.28515625" style="168" customWidth="1"/>
    <col min="1542" max="1547" width="0" style="168" hidden="1" customWidth="1"/>
    <col min="1548" max="1548" width="8.42578125" style="168" customWidth="1"/>
    <col min="1549" max="1787" width="11.42578125" style="168"/>
    <col min="1788" max="1788" width="18.140625" style="168" customWidth="1"/>
    <col min="1789" max="1790" width="8.42578125" style="168" bestFit="1" customWidth="1"/>
    <col min="1791" max="1792" width="8.42578125" style="168" customWidth="1"/>
    <col min="1793" max="1793" width="9.140625" style="168" bestFit="1" customWidth="1"/>
    <col min="1794" max="1794" width="8.28515625" style="168" bestFit="1" customWidth="1"/>
    <col min="1795" max="1797" width="8.28515625" style="168" customWidth="1"/>
    <col min="1798" max="1803" width="0" style="168" hidden="1" customWidth="1"/>
    <col min="1804" max="1804" width="8.42578125" style="168" customWidth="1"/>
    <col min="1805" max="2043" width="11.42578125" style="168"/>
    <col min="2044" max="2044" width="18.140625" style="168" customWidth="1"/>
    <col min="2045" max="2046" width="8.42578125" style="168" bestFit="1" customWidth="1"/>
    <col min="2047" max="2048" width="8.42578125" style="168" customWidth="1"/>
    <col min="2049" max="2049" width="9.140625" style="168" bestFit="1" customWidth="1"/>
    <col min="2050" max="2050" width="8.28515625" style="168" bestFit="1" customWidth="1"/>
    <col min="2051" max="2053" width="8.28515625" style="168" customWidth="1"/>
    <col min="2054" max="2059" width="0" style="168" hidden="1" customWidth="1"/>
    <col min="2060" max="2060" width="8.42578125" style="168" customWidth="1"/>
    <col min="2061" max="2299" width="11.42578125" style="168"/>
    <col min="2300" max="2300" width="18.140625" style="168" customWidth="1"/>
    <col min="2301" max="2302" width="8.42578125" style="168" bestFit="1" customWidth="1"/>
    <col min="2303" max="2304" width="8.42578125" style="168" customWidth="1"/>
    <col min="2305" max="2305" width="9.140625" style="168" bestFit="1" customWidth="1"/>
    <col min="2306" max="2306" width="8.28515625" style="168" bestFit="1" customWidth="1"/>
    <col min="2307" max="2309" width="8.28515625" style="168" customWidth="1"/>
    <col min="2310" max="2315" width="0" style="168" hidden="1" customWidth="1"/>
    <col min="2316" max="2316" width="8.42578125" style="168" customWidth="1"/>
    <col min="2317" max="2555" width="11.42578125" style="168"/>
    <col min="2556" max="2556" width="18.140625" style="168" customWidth="1"/>
    <col min="2557" max="2558" width="8.42578125" style="168" bestFit="1" customWidth="1"/>
    <col min="2559" max="2560" width="8.42578125" style="168" customWidth="1"/>
    <col min="2561" max="2561" width="9.140625" style="168" bestFit="1" customWidth="1"/>
    <col min="2562" max="2562" width="8.28515625" style="168" bestFit="1" customWidth="1"/>
    <col min="2563" max="2565" width="8.28515625" style="168" customWidth="1"/>
    <col min="2566" max="2571" width="0" style="168" hidden="1" customWidth="1"/>
    <col min="2572" max="2572" width="8.42578125" style="168" customWidth="1"/>
    <col min="2573" max="2811" width="11.42578125" style="168"/>
    <col min="2812" max="2812" width="18.140625" style="168" customWidth="1"/>
    <col min="2813" max="2814" width="8.42578125" style="168" bestFit="1" customWidth="1"/>
    <col min="2815" max="2816" width="8.42578125" style="168" customWidth="1"/>
    <col min="2817" max="2817" width="9.140625" style="168" bestFit="1" customWidth="1"/>
    <col min="2818" max="2818" width="8.28515625" style="168" bestFit="1" customWidth="1"/>
    <col min="2819" max="2821" width="8.28515625" style="168" customWidth="1"/>
    <col min="2822" max="2827" width="0" style="168" hidden="1" customWidth="1"/>
    <col min="2828" max="2828" width="8.42578125" style="168" customWidth="1"/>
    <col min="2829" max="3067" width="11.42578125" style="168"/>
    <col min="3068" max="3068" width="18.140625" style="168" customWidth="1"/>
    <col min="3069" max="3070" width="8.42578125" style="168" bestFit="1" customWidth="1"/>
    <col min="3071" max="3072" width="8.42578125" style="168" customWidth="1"/>
    <col min="3073" max="3073" width="9.140625" style="168" bestFit="1" customWidth="1"/>
    <col min="3074" max="3074" width="8.28515625" style="168" bestFit="1" customWidth="1"/>
    <col min="3075" max="3077" width="8.28515625" style="168" customWidth="1"/>
    <col min="3078" max="3083" width="0" style="168" hidden="1" customWidth="1"/>
    <col min="3084" max="3084" width="8.42578125" style="168" customWidth="1"/>
    <col min="3085" max="3323" width="11.42578125" style="168"/>
    <col min="3324" max="3324" width="18.140625" style="168" customWidth="1"/>
    <col min="3325" max="3326" width="8.42578125" style="168" bestFit="1" customWidth="1"/>
    <col min="3327" max="3328" width="8.42578125" style="168" customWidth="1"/>
    <col min="3329" max="3329" width="9.140625" style="168" bestFit="1" customWidth="1"/>
    <col min="3330" max="3330" width="8.28515625" style="168" bestFit="1" customWidth="1"/>
    <col min="3331" max="3333" width="8.28515625" style="168" customWidth="1"/>
    <col min="3334" max="3339" width="0" style="168" hidden="1" customWidth="1"/>
    <col min="3340" max="3340" width="8.42578125" style="168" customWidth="1"/>
    <col min="3341" max="3579" width="11.42578125" style="168"/>
    <col min="3580" max="3580" width="18.140625" style="168" customWidth="1"/>
    <col min="3581" max="3582" width="8.42578125" style="168" bestFit="1" customWidth="1"/>
    <col min="3583" max="3584" width="8.42578125" style="168" customWidth="1"/>
    <col min="3585" max="3585" width="9.140625" style="168" bestFit="1" customWidth="1"/>
    <col min="3586" max="3586" width="8.28515625" style="168" bestFit="1" customWidth="1"/>
    <col min="3587" max="3589" width="8.28515625" style="168" customWidth="1"/>
    <col min="3590" max="3595" width="0" style="168" hidden="1" customWidth="1"/>
    <col min="3596" max="3596" width="8.42578125" style="168" customWidth="1"/>
    <col min="3597" max="3835" width="11.42578125" style="168"/>
    <col min="3836" max="3836" width="18.140625" style="168" customWidth="1"/>
    <col min="3837" max="3838" width="8.42578125" style="168" bestFit="1" customWidth="1"/>
    <col min="3839" max="3840" width="8.42578125" style="168" customWidth="1"/>
    <col min="3841" max="3841" width="9.140625" style="168" bestFit="1" customWidth="1"/>
    <col min="3842" max="3842" width="8.28515625" style="168" bestFit="1" customWidth="1"/>
    <col min="3843" max="3845" width="8.28515625" style="168" customWidth="1"/>
    <col min="3846" max="3851" width="0" style="168" hidden="1" customWidth="1"/>
    <col min="3852" max="3852" width="8.42578125" style="168" customWidth="1"/>
    <col min="3853" max="4091" width="11.42578125" style="168"/>
    <col min="4092" max="4092" width="18.140625" style="168" customWidth="1"/>
    <col min="4093" max="4094" width="8.42578125" style="168" bestFit="1" customWidth="1"/>
    <col min="4095" max="4096" width="8.42578125" style="168" customWidth="1"/>
    <col min="4097" max="4097" width="9.140625" style="168" bestFit="1" customWidth="1"/>
    <col min="4098" max="4098" width="8.28515625" style="168" bestFit="1" customWidth="1"/>
    <col min="4099" max="4101" width="8.28515625" style="168" customWidth="1"/>
    <col min="4102" max="4107" width="0" style="168" hidden="1" customWidth="1"/>
    <col min="4108" max="4108" width="8.42578125" style="168" customWidth="1"/>
    <col min="4109" max="4347" width="11.42578125" style="168"/>
    <col min="4348" max="4348" width="18.140625" style="168" customWidth="1"/>
    <col min="4349" max="4350" width="8.42578125" style="168" bestFit="1" customWidth="1"/>
    <col min="4351" max="4352" width="8.42578125" style="168" customWidth="1"/>
    <col min="4353" max="4353" width="9.140625" style="168" bestFit="1" customWidth="1"/>
    <col min="4354" max="4354" width="8.28515625" style="168" bestFit="1" customWidth="1"/>
    <col min="4355" max="4357" width="8.28515625" style="168" customWidth="1"/>
    <col min="4358" max="4363" width="0" style="168" hidden="1" customWidth="1"/>
    <col min="4364" max="4364" width="8.42578125" style="168" customWidth="1"/>
    <col min="4365" max="4603" width="11.42578125" style="168"/>
    <col min="4604" max="4604" width="18.140625" style="168" customWidth="1"/>
    <col min="4605" max="4606" width="8.42578125" style="168" bestFit="1" customWidth="1"/>
    <col min="4607" max="4608" width="8.42578125" style="168" customWidth="1"/>
    <col min="4609" max="4609" width="9.140625" style="168" bestFit="1" customWidth="1"/>
    <col min="4610" max="4610" width="8.28515625" style="168" bestFit="1" customWidth="1"/>
    <col min="4611" max="4613" width="8.28515625" style="168" customWidth="1"/>
    <col min="4614" max="4619" width="0" style="168" hidden="1" customWidth="1"/>
    <col min="4620" max="4620" width="8.42578125" style="168" customWidth="1"/>
    <col min="4621" max="4859" width="11.42578125" style="168"/>
    <col min="4860" max="4860" width="18.140625" style="168" customWidth="1"/>
    <col min="4861" max="4862" width="8.42578125" style="168" bestFit="1" customWidth="1"/>
    <col min="4863" max="4864" width="8.42578125" style="168" customWidth="1"/>
    <col min="4865" max="4865" width="9.140625" style="168" bestFit="1" customWidth="1"/>
    <col min="4866" max="4866" width="8.28515625" style="168" bestFit="1" customWidth="1"/>
    <col min="4867" max="4869" width="8.28515625" style="168" customWidth="1"/>
    <col min="4870" max="4875" width="0" style="168" hidden="1" customWidth="1"/>
    <col min="4876" max="4876" width="8.42578125" style="168" customWidth="1"/>
    <col min="4877" max="5115" width="11.42578125" style="168"/>
    <col min="5116" max="5116" width="18.140625" style="168" customWidth="1"/>
    <col min="5117" max="5118" width="8.42578125" style="168" bestFit="1" customWidth="1"/>
    <col min="5119" max="5120" width="8.42578125" style="168" customWidth="1"/>
    <col min="5121" max="5121" width="9.140625" style="168" bestFit="1" customWidth="1"/>
    <col min="5122" max="5122" width="8.28515625" style="168" bestFit="1" customWidth="1"/>
    <col min="5123" max="5125" width="8.28515625" style="168" customWidth="1"/>
    <col min="5126" max="5131" width="0" style="168" hidden="1" customWidth="1"/>
    <col min="5132" max="5132" width="8.42578125" style="168" customWidth="1"/>
    <col min="5133" max="5371" width="11.42578125" style="168"/>
    <col min="5372" max="5372" width="18.140625" style="168" customWidth="1"/>
    <col min="5373" max="5374" width="8.42578125" style="168" bestFit="1" customWidth="1"/>
    <col min="5375" max="5376" width="8.42578125" style="168" customWidth="1"/>
    <col min="5377" max="5377" width="9.140625" style="168" bestFit="1" customWidth="1"/>
    <col min="5378" max="5378" width="8.28515625" style="168" bestFit="1" customWidth="1"/>
    <col min="5379" max="5381" width="8.28515625" style="168" customWidth="1"/>
    <col min="5382" max="5387" width="0" style="168" hidden="1" customWidth="1"/>
    <col min="5388" max="5388" width="8.42578125" style="168" customWidth="1"/>
    <col min="5389" max="5627" width="11.42578125" style="168"/>
    <col min="5628" max="5628" width="18.140625" style="168" customWidth="1"/>
    <col min="5629" max="5630" width="8.42578125" style="168" bestFit="1" customWidth="1"/>
    <col min="5631" max="5632" width="8.42578125" style="168" customWidth="1"/>
    <col min="5633" max="5633" width="9.140625" style="168" bestFit="1" customWidth="1"/>
    <col min="5634" max="5634" width="8.28515625" style="168" bestFit="1" customWidth="1"/>
    <col min="5635" max="5637" width="8.28515625" style="168" customWidth="1"/>
    <col min="5638" max="5643" width="0" style="168" hidden="1" customWidth="1"/>
    <col min="5644" max="5644" width="8.42578125" style="168" customWidth="1"/>
    <col min="5645" max="5883" width="11.42578125" style="168"/>
    <col min="5884" max="5884" width="18.140625" style="168" customWidth="1"/>
    <col min="5885" max="5886" width="8.42578125" style="168" bestFit="1" customWidth="1"/>
    <col min="5887" max="5888" width="8.42578125" style="168" customWidth="1"/>
    <col min="5889" max="5889" width="9.140625" style="168" bestFit="1" customWidth="1"/>
    <col min="5890" max="5890" width="8.28515625" style="168" bestFit="1" customWidth="1"/>
    <col min="5891" max="5893" width="8.28515625" style="168" customWidth="1"/>
    <col min="5894" max="5899" width="0" style="168" hidden="1" customWidth="1"/>
    <col min="5900" max="5900" width="8.42578125" style="168" customWidth="1"/>
    <col min="5901" max="6139" width="11.42578125" style="168"/>
    <col min="6140" max="6140" width="18.140625" style="168" customWidth="1"/>
    <col min="6141" max="6142" width="8.42578125" style="168" bestFit="1" customWidth="1"/>
    <col min="6143" max="6144" width="8.42578125" style="168" customWidth="1"/>
    <col min="6145" max="6145" width="9.140625" style="168" bestFit="1" customWidth="1"/>
    <col min="6146" max="6146" width="8.28515625" style="168" bestFit="1" customWidth="1"/>
    <col min="6147" max="6149" width="8.28515625" style="168" customWidth="1"/>
    <col min="6150" max="6155" width="0" style="168" hidden="1" customWidth="1"/>
    <col min="6156" max="6156" width="8.42578125" style="168" customWidth="1"/>
    <col min="6157" max="6395" width="11.42578125" style="168"/>
    <col min="6396" max="6396" width="18.140625" style="168" customWidth="1"/>
    <col min="6397" max="6398" width="8.42578125" style="168" bestFit="1" customWidth="1"/>
    <col min="6399" max="6400" width="8.42578125" style="168" customWidth="1"/>
    <col min="6401" max="6401" width="9.140625" style="168" bestFit="1" customWidth="1"/>
    <col min="6402" max="6402" width="8.28515625" style="168" bestFit="1" customWidth="1"/>
    <col min="6403" max="6405" width="8.28515625" style="168" customWidth="1"/>
    <col min="6406" max="6411" width="0" style="168" hidden="1" customWidth="1"/>
    <col min="6412" max="6412" width="8.42578125" style="168" customWidth="1"/>
    <col min="6413" max="6651" width="11.42578125" style="168"/>
    <col min="6652" max="6652" width="18.140625" style="168" customWidth="1"/>
    <col min="6653" max="6654" width="8.42578125" style="168" bestFit="1" customWidth="1"/>
    <col min="6655" max="6656" width="8.42578125" style="168" customWidth="1"/>
    <col min="6657" max="6657" width="9.140625" style="168" bestFit="1" customWidth="1"/>
    <col min="6658" max="6658" width="8.28515625" style="168" bestFit="1" customWidth="1"/>
    <col min="6659" max="6661" width="8.28515625" style="168" customWidth="1"/>
    <col min="6662" max="6667" width="0" style="168" hidden="1" customWidth="1"/>
    <col min="6668" max="6668" width="8.42578125" style="168" customWidth="1"/>
    <col min="6669" max="6907" width="11.42578125" style="168"/>
    <col min="6908" max="6908" width="18.140625" style="168" customWidth="1"/>
    <col min="6909" max="6910" width="8.42578125" style="168" bestFit="1" customWidth="1"/>
    <col min="6911" max="6912" width="8.42578125" style="168" customWidth="1"/>
    <col min="6913" max="6913" width="9.140625" style="168" bestFit="1" customWidth="1"/>
    <col min="6914" max="6914" width="8.28515625" style="168" bestFit="1" customWidth="1"/>
    <col min="6915" max="6917" width="8.28515625" style="168" customWidth="1"/>
    <col min="6918" max="6923" width="0" style="168" hidden="1" customWidth="1"/>
    <col min="6924" max="6924" width="8.42578125" style="168" customWidth="1"/>
    <col min="6925" max="7163" width="11.42578125" style="168"/>
    <col min="7164" max="7164" width="18.140625" style="168" customWidth="1"/>
    <col min="7165" max="7166" width="8.42578125" style="168" bestFit="1" customWidth="1"/>
    <col min="7167" max="7168" width="8.42578125" style="168" customWidth="1"/>
    <col min="7169" max="7169" width="9.140625" style="168" bestFit="1" customWidth="1"/>
    <col min="7170" max="7170" width="8.28515625" style="168" bestFit="1" customWidth="1"/>
    <col min="7171" max="7173" width="8.28515625" style="168" customWidth="1"/>
    <col min="7174" max="7179" width="0" style="168" hidden="1" customWidth="1"/>
    <col min="7180" max="7180" width="8.42578125" style="168" customWidth="1"/>
    <col min="7181" max="7419" width="11.42578125" style="168"/>
    <col min="7420" max="7420" width="18.140625" style="168" customWidth="1"/>
    <col min="7421" max="7422" width="8.42578125" style="168" bestFit="1" customWidth="1"/>
    <col min="7423" max="7424" width="8.42578125" style="168" customWidth="1"/>
    <col min="7425" max="7425" width="9.140625" style="168" bestFit="1" customWidth="1"/>
    <col min="7426" max="7426" width="8.28515625" style="168" bestFit="1" customWidth="1"/>
    <col min="7427" max="7429" width="8.28515625" style="168" customWidth="1"/>
    <col min="7430" max="7435" width="0" style="168" hidden="1" customWidth="1"/>
    <col min="7436" max="7436" width="8.42578125" style="168" customWidth="1"/>
    <col min="7437" max="7675" width="11.42578125" style="168"/>
    <col min="7676" max="7676" width="18.140625" style="168" customWidth="1"/>
    <col min="7677" max="7678" width="8.42578125" style="168" bestFit="1" customWidth="1"/>
    <col min="7679" max="7680" width="8.42578125" style="168" customWidth="1"/>
    <col min="7681" max="7681" width="9.140625" style="168" bestFit="1" customWidth="1"/>
    <col min="7682" max="7682" width="8.28515625" style="168" bestFit="1" customWidth="1"/>
    <col min="7683" max="7685" width="8.28515625" style="168" customWidth="1"/>
    <col min="7686" max="7691" width="0" style="168" hidden="1" customWidth="1"/>
    <col min="7692" max="7692" width="8.42578125" style="168" customWidth="1"/>
    <col min="7693" max="7931" width="11.42578125" style="168"/>
    <col min="7932" max="7932" width="18.140625" style="168" customWidth="1"/>
    <col min="7933" max="7934" width="8.42578125" style="168" bestFit="1" customWidth="1"/>
    <col min="7935" max="7936" width="8.42578125" style="168" customWidth="1"/>
    <col min="7937" max="7937" width="9.140625" style="168" bestFit="1" customWidth="1"/>
    <col min="7938" max="7938" width="8.28515625" style="168" bestFit="1" customWidth="1"/>
    <col min="7939" max="7941" width="8.28515625" style="168" customWidth="1"/>
    <col min="7942" max="7947" width="0" style="168" hidden="1" customWidth="1"/>
    <col min="7948" max="7948" width="8.42578125" style="168" customWidth="1"/>
    <col min="7949" max="8187" width="11.42578125" style="168"/>
    <col min="8188" max="8188" width="18.140625" style="168" customWidth="1"/>
    <col min="8189" max="8190" width="8.42578125" style="168" bestFit="1" customWidth="1"/>
    <col min="8191" max="8192" width="8.42578125" style="168" customWidth="1"/>
    <col min="8193" max="8193" width="9.140625" style="168" bestFit="1" customWidth="1"/>
    <col min="8194" max="8194" width="8.28515625" style="168" bestFit="1" customWidth="1"/>
    <col min="8195" max="8197" width="8.28515625" style="168" customWidth="1"/>
    <col min="8198" max="8203" width="0" style="168" hidden="1" customWidth="1"/>
    <col min="8204" max="8204" width="8.42578125" style="168" customWidth="1"/>
    <col min="8205" max="8443" width="11.42578125" style="168"/>
    <col min="8444" max="8444" width="18.140625" style="168" customWidth="1"/>
    <col min="8445" max="8446" width="8.42578125" style="168" bestFit="1" customWidth="1"/>
    <col min="8447" max="8448" width="8.42578125" style="168" customWidth="1"/>
    <col min="8449" max="8449" width="9.140625" style="168" bestFit="1" customWidth="1"/>
    <col min="8450" max="8450" width="8.28515625" style="168" bestFit="1" customWidth="1"/>
    <col min="8451" max="8453" width="8.28515625" style="168" customWidth="1"/>
    <col min="8454" max="8459" width="0" style="168" hidden="1" customWidth="1"/>
    <col min="8460" max="8460" width="8.42578125" style="168" customWidth="1"/>
    <col min="8461" max="8699" width="11.42578125" style="168"/>
    <col min="8700" max="8700" width="18.140625" style="168" customWidth="1"/>
    <col min="8701" max="8702" width="8.42578125" style="168" bestFit="1" customWidth="1"/>
    <col min="8703" max="8704" width="8.42578125" style="168" customWidth="1"/>
    <col min="8705" max="8705" width="9.140625" style="168" bestFit="1" customWidth="1"/>
    <col min="8706" max="8706" width="8.28515625" style="168" bestFit="1" customWidth="1"/>
    <col min="8707" max="8709" width="8.28515625" style="168" customWidth="1"/>
    <col min="8710" max="8715" width="0" style="168" hidden="1" customWidth="1"/>
    <col min="8716" max="8716" width="8.42578125" style="168" customWidth="1"/>
    <col min="8717" max="8955" width="11.42578125" style="168"/>
    <col min="8956" max="8956" width="18.140625" style="168" customWidth="1"/>
    <col min="8957" max="8958" width="8.42578125" style="168" bestFit="1" customWidth="1"/>
    <col min="8959" max="8960" width="8.42578125" style="168" customWidth="1"/>
    <col min="8961" max="8961" width="9.140625" style="168" bestFit="1" customWidth="1"/>
    <col min="8962" max="8962" width="8.28515625" style="168" bestFit="1" customWidth="1"/>
    <col min="8963" max="8965" width="8.28515625" style="168" customWidth="1"/>
    <col min="8966" max="8971" width="0" style="168" hidden="1" customWidth="1"/>
    <col min="8972" max="8972" width="8.42578125" style="168" customWidth="1"/>
    <col min="8973" max="9211" width="11.42578125" style="168"/>
    <col min="9212" max="9212" width="18.140625" style="168" customWidth="1"/>
    <col min="9213" max="9214" width="8.42578125" style="168" bestFit="1" customWidth="1"/>
    <col min="9215" max="9216" width="8.42578125" style="168" customWidth="1"/>
    <col min="9217" max="9217" width="9.140625" style="168" bestFit="1" customWidth="1"/>
    <col min="9218" max="9218" width="8.28515625" style="168" bestFit="1" customWidth="1"/>
    <col min="9219" max="9221" width="8.28515625" style="168" customWidth="1"/>
    <col min="9222" max="9227" width="0" style="168" hidden="1" customWidth="1"/>
    <col min="9228" max="9228" width="8.42578125" style="168" customWidth="1"/>
    <col min="9229" max="9467" width="11.42578125" style="168"/>
    <col min="9468" max="9468" width="18.140625" style="168" customWidth="1"/>
    <col min="9469" max="9470" width="8.42578125" style="168" bestFit="1" customWidth="1"/>
    <col min="9471" max="9472" width="8.42578125" style="168" customWidth="1"/>
    <col min="9473" max="9473" width="9.140625" style="168" bestFit="1" customWidth="1"/>
    <col min="9474" max="9474" width="8.28515625" style="168" bestFit="1" customWidth="1"/>
    <col min="9475" max="9477" width="8.28515625" style="168" customWidth="1"/>
    <col min="9478" max="9483" width="0" style="168" hidden="1" customWidth="1"/>
    <col min="9484" max="9484" width="8.42578125" style="168" customWidth="1"/>
    <col min="9485" max="9723" width="11.42578125" style="168"/>
    <col min="9724" max="9724" width="18.140625" style="168" customWidth="1"/>
    <col min="9725" max="9726" width="8.42578125" style="168" bestFit="1" customWidth="1"/>
    <col min="9727" max="9728" width="8.42578125" style="168" customWidth="1"/>
    <col min="9729" max="9729" width="9.140625" style="168" bestFit="1" customWidth="1"/>
    <col min="9730" max="9730" width="8.28515625" style="168" bestFit="1" customWidth="1"/>
    <col min="9731" max="9733" width="8.28515625" style="168" customWidth="1"/>
    <col min="9734" max="9739" width="0" style="168" hidden="1" customWidth="1"/>
    <col min="9740" max="9740" width="8.42578125" style="168" customWidth="1"/>
    <col min="9741" max="9979" width="11.42578125" style="168"/>
    <col min="9980" max="9980" width="18.140625" style="168" customWidth="1"/>
    <col min="9981" max="9982" width="8.42578125" style="168" bestFit="1" customWidth="1"/>
    <col min="9983" max="9984" width="8.42578125" style="168" customWidth="1"/>
    <col min="9985" max="9985" width="9.140625" style="168" bestFit="1" customWidth="1"/>
    <col min="9986" max="9986" width="8.28515625" style="168" bestFit="1" customWidth="1"/>
    <col min="9987" max="9989" width="8.28515625" style="168" customWidth="1"/>
    <col min="9990" max="9995" width="0" style="168" hidden="1" customWidth="1"/>
    <col min="9996" max="9996" width="8.42578125" style="168" customWidth="1"/>
    <col min="9997" max="10235" width="11.42578125" style="168"/>
    <col min="10236" max="10236" width="18.140625" style="168" customWidth="1"/>
    <col min="10237" max="10238" width="8.42578125" style="168" bestFit="1" customWidth="1"/>
    <col min="10239" max="10240" width="8.42578125" style="168" customWidth="1"/>
    <col min="10241" max="10241" width="9.140625" style="168" bestFit="1" customWidth="1"/>
    <col min="10242" max="10242" width="8.28515625" style="168" bestFit="1" customWidth="1"/>
    <col min="10243" max="10245" width="8.28515625" style="168" customWidth="1"/>
    <col min="10246" max="10251" width="0" style="168" hidden="1" customWidth="1"/>
    <col min="10252" max="10252" width="8.42578125" style="168" customWidth="1"/>
    <col min="10253" max="10491" width="11.42578125" style="168"/>
    <col min="10492" max="10492" width="18.140625" style="168" customWidth="1"/>
    <col min="10493" max="10494" width="8.42578125" style="168" bestFit="1" customWidth="1"/>
    <col min="10495" max="10496" width="8.42578125" style="168" customWidth="1"/>
    <col min="10497" max="10497" width="9.140625" style="168" bestFit="1" customWidth="1"/>
    <col min="10498" max="10498" width="8.28515625" style="168" bestFit="1" customWidth="1"/>
    <col min="10499" max="10501" width="8.28515625" style="168" customWidth="1"/>
    <col min="10502" max="10507" width="0" style="168" hidden="1" customWidth="1"/>
    <col min="10508" max="10508" width="8.42578125" style="168" customWidth="1"/>
    <col min="10509" max="10747" width="11.42578125" style="168"/>
    <col min="10748" max="10748" width="18.140625" style="168" customWidth="1"/>
    <col min="10749" max="10750" width="8.42578125" style="168" bestFit="1" customWidth="1"/>
    <col min="10751" max="10752" width="8.42578125" style="168" customWidth="1"/>
    <col min="10753" max="10753" width="9.140625" style="168" bestFit="1" customWidth="1"/>
    <col min="10754" max="10754" width="8.28515625" style="168" bestFit="1" customWidth="1"/>
    <col min="10755" max="10757" width="8.28515625" style="168" customWidth="1"/>
    <col min="10758" max="10763" width="0" style="168" hidden="1" customWidth="1"/>
    <col min="10764" max="10764" width="8.42578125" style="168" customWidth="1"/>
    <col min="10765" max="11003" width="11.42578125" style="168"/>
    <col min="11004" max="11004" width="18.140625" style="168" customWidth="1"/>
    <col min="11005" max="11006" width="8.42578125" style="168" bestFit="1" customWidth="1"/>
    <col min="11007" max="11008" width="8.42578125" style="168" customWidth="1"/>
    <col min="11009" max="11009" width="9.140625" style="168" bestFit="1" customWidth="1"/>
    <col min="11010" max="11010" width="8.28515625" style="168" bestFit="1" customWidth="1"/>
    <col min="11011" max="11013" width="8.28515625" style="168" customWidth="1"/>
    <col min="11014" max="11019" width="0" style="168" hidden="1" customWidth="1"/>
    <col min="11020" max="11020" width="8.42578125" style="168" customWidth="1"/>
    <col min="11021" max="11259" width="11.42578125" style="168"/>
    <col min="11260" max="11260" width="18.140625" style="168" customWidth="1"/>
    <col min="11261" max="11262" width="8.42578125" style="168" bestFit="1" customWidth="1"/>
    <col min="11263" max="11264" width="8.42578125" style="168" customWidth="1"/>
    <col min="11265" max="11265" width="9.140625" style="168" bestFit="1" customWidth="1"/>
    <col min="11266" max="11266" width="8.28515625" style="168" bestFit="1" customWidth="1"/>
    <col min="11267" max="11269" width="8.28515625" style="168" customWidth="1"/>
    <col min="11270" max="11275" width="0" style="168" hidden="1" customWidth="1"/>
    <col min="11276" max="11276" width="8.42578125" style="168" customWidth="1"/>
    <col min="11277" max="11515" width="11.42578125" style="168"/>
    <col min="11516" max="11516" width="18.140625" style="168" customWidth="1"/>
    <col min="11517" max="11518" width="8.42578125" style="168" bestFit="1" customWidth="1"/>
    <col min="11519" max="11520" width="8.42578125" style="168" customWidth="1"/>
    <col min="11521" max="11521" width="9.140625" style="168" bestFit="1" customWidth="1"/>
    <col min="11522" max="11522" width="8.28515625" style="168" bestFit="1" customWidth="1"/>
    <col min="11523" max="11525" width="8.28515625" style="168" customWidth="1"/>
    <col min="11526" max="11531" width="0" style="168" hidden="1" customWidth="1"/>
    <col min="11532" max="11532" width="8.42578125" style="168" customWidth="1"/>
    <col min="11533" max="11771" width="11.42578125" style="168"/>
    <col min="11772" max="11772" width="18.140625" style="168" customWidth="1"/>
    <col min="11773" max="11774" width="8.42578125" style="168" bestFit="1" customWidth="1"/>
    <col min="11775" max="11776" width="8.42578125" style="168" customWidth="1"/>
    <col min="11777" max="11777" width="9.140625" style="168" bestFit="1" customWidth="1"/>
    <col min="11778" max="11778" width="8.28515625" style="168" bestFit="1" customWidth="1"/>
    <col min="11779" max="11781" width="8.28515625" style="168" customWidth="1"/>
    <col min="11782" max="11787" width="0" style="168" hidden="1" customWidth="1"/>
    <col min="11788" max="11788" width="8.42578125" style="168" customWidth="1"/>
    <col min="11789" max="12027" width="11.42578125" style="168"/>
    <col min="12028" max="12028" width="18.140625" style="168" customWidth="1"/>
    <col min="12029" max="12030" width="8.42578125" style="168" bestFit="1" customWidth="1"/>
    <col min="12031" max="12032" width="8.42578125" style="168" customWidth="1"/>
    <col min="12033" max="12033" width="9.140625" style="168" bestFit="1" customWidth="1"/>
    <col min="12034" max="12034" width="8.28515625" style="168" bestFit="1" customWidth="1"/>
    <col min="12035" max="12037" width="8.28515625" style="168" customWidth="1"/>
    <col min="12038" max="12043" width="0" style="168" hidden="1" customWidth="1"/>
    <col min="12044" max="12044" width="8.42578125" style="168" customWidth="1"/>
    <col min="12045" max="12283" width="11.42578125" style="168"/>
    <col min="12284" max="12284" width="18.140625" style="168" customWidth="1"/>
    <col min="12285" max="12286" width="8.42578125" style="168" bestFit="1" customWidth="1"/>
    <col min="12287" max="12288" width="8.42578125" style="168" customWidth="1"/>
    <col min="12289" max="12289" width="9.140625" style="168" bestFit="1" customWidth="1"/>
    <col min="12290" max="12290" width="8.28515625" style="168" bestFit="1" customWidth="1"/>
    <col min="12291" max="12293" width="8.28515625" style="168" customWidth="1"/>
    <col min="12294" max="12299" width="0" style="168" hidden="1" customWidth="1"/>
    <col min="12300" max="12300" width="8.42578125" style="168" customWidth="1"/>
    <col min="12301" max="12539" width="11.42578125" style="168"/>
    <col min="12540" max="12540" width="18.140625" style="168" customWidth="1"/>
    <col min="12541" max="12542" width="8.42578125" style="168" bestFit="1" customWidth="1"/>
    <col min="12543" max="12544" width="8.42578125" style="168" customWidth="1"/>
    <col min="12545" max="12545" width="9.140625" style="168" bestFit="1" customWidth="1"/>
    <col min="12546" max="12546" width="8.28515625" style="168" bestFit="1" customWidth="1"/>
    <col min="12547" max="12549" width="8.28515625" style="168" customWidth="1"/>
    <col min="12550" max="12555" width="0" style="168" hidden="1" customWidth="1"/>
    <col min="12556" max="12556" width="8.42578125" style="168" customWidth="1"/>
    <col min="12557" max="12795" width="11.42578125" style="168"/>
    <col min="12796" max="12796" width="18.140625" style="168" customWidth="1"/>
    <col min="12797" max="12798" width="8.42578125" style="168" bestFit="1" customWidth="1"/>
    <col min="12799" max="12800" width="8.42578125" style="168" customWidth="1"/>
    <col min="12801" max="12801" width="9.140625" style="168" bestFit="1" customWidth="1"/>
    <col min="12802" max="12802" width="8.28515625" style="168" bestFit="1" customWidth="1"/>
    <col min="12803" max="12805" width="8.28515625" style="168" customWidth="1"/>
    <col min="12806" max="12811" width="0" style="168" hidden="1" customWidth="1"/>
    <col min="12812" max="12812" width="8.42578125" style="168" customWidth="1"/>
    <col min="12813" max="13051" width="11.42578125" style="168"/>
    <col min="13052" max="13052" width="18.140625" style="168" customWidth="1"/>
    <col min="13053" max="13054" width="8.42578125" style="168" bestFit="1" customWidth="1"/>
    <col min="13055" max="13056" width="8.42578125" style="168" customWidth="1"/>
    <col min="13057" max="13057" width="9.140625" style="168" bestFit="1" customWidth="1"/>
    <col min="13058" max="13058" width="8.28515625" style="168" bestFit="1" customWidth="1"/>
    <col min="13059" max="13061" width="8.28515625" style="168" customWidth="1"/>
    <col min="13062" max="13067" width="0" style="168" hidden="1" customWidth="1"/>
    <col min="13068" max="13068" width="8.42578125" style="168" customWidth="1"/>
    <col min="13069" max="13307" width="11.42578125" style="168"/>
    <col min="13308" max="13308" width="18.140625" style="168" customWidth="1"/>
    <col min="13309" max="13310" width="8.42578125" style="168" bestFit="1" customWidth="1"/>
    <col min="13311" max="13312" width="8.42578125" style="168" customWidth="1"/>
    <col min="13313" max="13313" width="9.140625" style="168" bestFit="1" customWidth="1"/>
    <col min="13314" max="13314" width="8.28515625" style="168" bestFit="1" customWidth="1"/>
    <col min="13315" max="13317" width="8.28515625" style="168" customWidth="1"/>
    <col min="13318" max="13323" width="0" style="168" hidden="1" customWidth="1"/>
    <col min="13324" max="13324" width="8.42578125" style="168" customWidth="1"/>
    <col min="13325" max="13563" width="11.42578125" style="168"/>
    <col min="13564" max="13564" width="18.140625" style="168" customWidth="1"/>
    <col min="13565" max="13566" width="8.42578125" style="168" bestFit="1" customWidth="1"/>
    <col min="13567" max="13568" width="8.42578125" style="168" customWidth="1"/>
    <col min="13569" max="13569" width="9.140625" style="168" bestFit="1" customWidth="1"/>
    <col min="13570" max="13570" width="8.28515625" style="168" bestFit="1" customWidth="1"/>
    <col min="13571" max="13573" width="8.28515625" style="168" customWidth="1"/>
    <col min="13574" max="13579" width="0" style="168" hidden="1" customWidth="1"/>
    <col min="13580" max="13580" width="8.42578125" style="168" customWidth="1"/>
    <col min="13581" max="13819" width="11.42578125" style="168"/>
    <col min="13820" max="13820" width="18.140625" style="168" customWidth="1"/>
    <col min="13821" max="13822" width="8.42578125" style="168" bestFit="1" customWidth="1"/>
    <col min="13823" max="13824" width="8.42578125" style="168" customWidth="1"/>
    <col min="13825" max="13825" width="9.140625" style="168" bestFit="1" customWidth="1"/>
    <col min="13826" max="13826" width="8.28515625" style="168" bestFit="1" customWidth="1"/>
    <col min="13827" max="13829" width="8.28515625" style="168" customWidth="1"/>
    <col min="13830" max="13835" width="0" style="168" hidden="1" customWidth="1"/>
    <col min="13836" max="13836" width="8.42578125" style="168" customWidth="1"/>
    <col min="13837" max="14075" width="11.42578125" style="168"/>
    <col min="14076" max="14076" width="18.140625" style="168" customWidth="1"/>
    <col min="14077" max="14078" width="8.42578125" style="168" bestFit="1" customWidth="1"/>
    <col min="14079" max="14080" width="8.42578125" style="168" customWidth="1"/>
    <col min="14081" max="14081" width="9.140625" style="168" bestFit="1" customWidth="1"/>
    <col min="14082" max="14082" width="8.28515625" style="168" bestFit="1" customWidth="1"/>
    <col min="14083" max="14085" width="8.28515625" style="168" customWidth="1"/>
    <col min="14086" max="14091" width="0" style="168" hidden="1" customWidth="1"/>
    <col min="14092" max="14092" width="8.42578125" style="168" customWidth="1"/>
    <col min="14093" max="14331" width="11.42578125" style="168"/>
    <col min="14332" max="14332" width="18.140625" style="168" customWidth="1"/>
    <col min="14333" max="14334" width="8.42578125" style="168" bestFit="1" customWidth="1"/>
    <col min="14335" max="14336" width="8.42578125" style="168" customWidth="1"/>
    <col min="14337" max="14337" width="9.140625" style="168" bestFit="1" customWidth="1"/>
    <col min="14338" max="14338" width="8.28515625" style="168" bestFit="1" customWidth="1"/>
    <col min="14339" max="14341" width="8.28515625" style="168" customWidth="1"/>
    <col min="14342" max="14347" width="0" style="168" hidden="1" customWidth="1"/>
    <col min="14348" max="14348" width="8.42578125" style="168" customWidth="1"/>
    <col min="14349" max="14587" width="11.42578125" style="168"/>
    <col min="14588" max="14588" width="18.140625" style="168" customWidth="1"/>
    <col min="14589" max="14590" width="8.42578125" style="168" bestFit="1" customWidth="1"/>
    <col min="14591" max="14592" width="8.42578125" style="168" customWidth="1"/>
    <col min="14593" max="14593" width="9.140625" style="168" bestFit="1" customWidth="1"/>
    <col min="14594" max="14594" width="8.28515625" style="168" bestFit="1" customWidth="1"/>
    <col min="14595" max="14597" width="8.28515625" style="168" customWidth="1"/>
    <col min="14598" max="14603" width="0" style="168" hidden="1" customWidth="1"/>
    <col min="14604" max="14604" width="8.42578125" style="168" customWidth="1"/>
    <col min="14605" max="14843" width="11.42578125" style="168"/>
    <col min="14844" max="14844" width="18.140625" style="168" customWidth="1"/>
    <col min="14845" max="14846" width="8.42578125" style="168" bestFit="1" customWidth="1"/>
    <col min="14847" max="14848" width="8.42578125" style="168" customWidth="1"/>
    <col min="14849" max="14849" width="9.140625" style="168" bestFit="1" customWidth="1"/>
    <col min="14850" max="14850" width="8.28515625" style="168" bestFit="1" customWidth="1"/>
    <col min="14851" max="14853" width="8.28515625" style="168" customWidth="1"/>
    <col min="14854" max="14859" width="0" style="168" hidden="1" customWidth="1"/>
    <col min="14860" max="14860" width="8.42578125" style="168" customWidth="1"/>
    <col min="14861" max="15099" width="11.42578125" style="168"/>
    <col min="15100" max="15100" width="18.140625" style="168" customWidth="1"/>
    <col min="15101" max="15102" width="8.42578125" style="168" bestFit="1" customWidth="1"/>
    <col min="15103" max="15104" width="8.42578125" style="168" customWidth="1"/>
    <col min="15105" max="15105" width="9.140625" style="168" bestFit="1" customWidth="1"/>
    <col min="15106" max="15106" width="8.28515625" style="168" bestFit="1" customWidth="1"/>
    <col min="15107" max="15109" width="8.28515625" style="168" customWidth="1"/>
    <col min="15110" max="15115" width="0" style="168" hidden="1" customWidth="1"/>
    <col min="15116" max="15116" width="8.42578125" style="168" customWidth="1"/>
    <col min="15117" max="15355" width="11.42578125" style="168"/>
    <col min="15356" max="15356" width="18.140625" style="168" customWidth="1"/>
    <col min="15357" max="15358" width="8.42578125" style="168" bestFit="1" customWidth="1"/>
    <col min="15359" max="15360" width="8.42578125" style="168" customWidth="1"/>
    <col min="15361" max="15361" width="9.140625" style="168" bestFit="1" customWidth="1"/>
    <col min="15362" max="15362" width="8.28515625" style="168" bestFit="1" customWidth="1"/>
    <col min="15363" max="15365" width="8.28515625" style="168" customWidth="1"/>
    <col min="15366" max="15371" width="0" style="168" hidden="1" customWidth="1"/>
    <col min="15372" max="15372" width="8.42578125" style="168" customWidth="1"/>
    <col min="15373" max="15611" width="11.42578125" style="168"/>
    <col min="15612" max="15612" width="18.140625" style="168" customWidth="1"/>
    <col min="15613" max="15614" width="8.42578125" style="168" bestFit="1" customWidth="1"/>
    <col min="15615" max="15616" width="8.42578125" style="168" customWidth="1"/>
    <col min="15617" max="15617" width="9.140625" style="168" bestFit="1" customWidth="1"/>
    <col min="15618" max="15618" width="8.28515625" style="168" bestFit="1" customWidth="1"/>
    <col min="15619" max="15621" width="8.28515625" style="168" customWidth="1"/>
    <col min="15622" max="15627" width="0" style="168" hidden="1" customWidth="1"/>
    <col min="15628" max="15628" width="8.42578125" style="168" customWidth="1"/>
    <col min="15629" max="15867" width="11.42578125" style="168"/>
    <col min="15868" max="15868" width="18.140625" style="168" customWidth="1"/>
    <col min="15869" max="15870" width="8.42578125" style="168" bestFit="1" customWidth="1"/>
    <col min="15871" max="15872" width="8.42578125" style="168" customWidth="1"/>
    <col min="15873" max="15873" width="9.140625" style="168" bestFit="1" customWidth="1"/>
    <col min="15874" max="15874" width="8.28515625" style="168" bestFit="1" customWidth="1"/>
    <col min="15875" max="15877" width="8.28515625" style="168" customWidth="1"/>
    <col min="15878" max="15883" width="0" style="168" hidden="1" customWidth="1"/>
    <col min="15884" max="15884" width="8.42578125" style="168" customWidth="1"/>
    <col min="15885" max="16123" width="11.42578125" style="168"/>
    <col min="16124" max="16124" width="18.140625" style="168" customWidth="1"/>
    <col min="16125" max="16126" width="8.42578125" style="168" bestFit="1" customWidth="1"/>
    <col min="16127" max="16128" width="8.42578125" style="168" customWidth="1"/>
    <col min="16129" max="16129" width="9.140625" style="168" bestFit="1" customWidth="1"/>
    <col min="16130" max="16130" width="8.28515625" style="168" bestFit="1" customWidth="1"/>
    <col min="16131" max="16133" width="8.28515625" style="168" customWidth="1"/>
    <col min="16134" max="16139" width="0" style="168" hidden="1" customWidth="1"/>
    <col min="16140" max="16140" width="8.42578125" style="168" customWidth="1"/>
    <col min="16141" max="16384" width="11.42578125" style="168"/>
  </cols>
  <sheetData>
    <row r="1" spans="1:16" s="169" customFormat="1" x14ac:dyDescent="0.2"/>
    <row r="2" spans="1:16" s="169" customFormat="1" x14ac:dyDescent="0.2">
      <c r="A2" s="196" t="s">
        <v>121</v>
      </c>
    </row>
    <row r="3" spans="1:16" s="169" customFormat="1" ht="15" x14ac:dyDescent="0.25">
      <c r="A3" s="196" t="s">
        <v>122</v>
      </c>
      <c r="J3" s="337"/>
    </row>
    <row r="4" spans="1:16" s="169" customFormat="1" x14ac:dyDescent="0.2"/>
    <row r="5" spans="1:16" s="169" customFormat="1" ht="12.75" x14ac:dyDescent="0.2">
      <c r="B5" s="418" t="s">
        <v>111</v>
      </c>
      <c r="C5" s="418"/>
      <c r="D5" s="418"/>
      <c r="E5" s="418"/>
      <c r="F5" s="418"/>
      <c r="G5" s="418"/>
      <c r="H5" s="418"/>
      <c r="I5" s="418"/>
      <c r="J5" s="418"/>
      <c r="K5" s="418"/>
      <c r="M5" s="367" t="s">
        <v>593</v>
      </c>
      <c r="O5" s="338"/>
    </row>
    <row r="6" spans="1:16" s="169" customFormat="1" ht="12.75" x14ac:dyDescent="0.2">
      <c r="B6" s="431" t="str">
        <f>'Solicitudes Regiones'!$B$6:$P$6</f>
        <v>Acumuladas de julio de 2008 a noviembre de 2018</v>
      </c>
      <c r="C6" s="431"/>
      <c r="D6" s="431"/>
      <c r="E6" s="431"/>
      <c r="F6" s="431"/>
      <c r="G6" s="431"/>
      <c r="H6" s="431"/>
      <c r="I6" s="431"/>
      <c r="J6" s="431"/>
      <c r="K6" s="431"/>
      <c r="L6" s="217"/>
    </row>
    <row r="7" spans="1:16" s="172" customFormat="1" x14ac:dyDescent="0.2">
      <c r="B7" s="170"/>
      <c r="C7" s="171"/>
      <c r="D7" s="171"/>
      <c r="E7" s="171"/>
      <c r="F7" s="171"/>
      <c r="G7" s="171"/>
      <c r="H7" s="171"/>
      <c r="I7" s="171"/>
      <c r="J7" s="171"/>
      <c r="K7" s="171"/>
      <c r="L7" s="171"/>
    </row>
    <row r="8" spans="1:16" ht="15" customHeight="1" x14ac:dyDescent="0.2">
      <c r="B8" s="447" t="s">
        <v>73</v>
      </c>
      <c r="C8" s="448"/>
      <c r="D8" s="448"/>
      <c r="E8" s="448"/>
      <c r="F8" s="448"/>
      <c r="G8" s="448"/>
      <c r="H8" s="448"/>
      <c r="I8" s="448"/>
      <c r="J8" s="448"/>
      <c r="K8" s="449"/>
      <c r="L8" s="187"/>
    </row>
    <row r="9" spans="1:16" ht="20.25" customHeight="1" x14ac:dyDescent="0.2">
      <c r="B9" s="446" t="s">
        <v>74</v>
      </c>
      <c r="C9" s="447" t="s">
        <v>2</v>
      </c>
      <c r="D9" s="448"/>
      <c r="E9" s="448"/>
      <c r="F9" s="448"/>
      <c r="G9" s="448"/>
      <c r="H9" s="448"/>
      <c r="I9" s="448"/>
      <c r="J9" s="448"/>
      <c r="K9" s="449"/>
    </row>
    <row r="10" spans="1:16" ht="24" x14ac:dyDescent="0.2">
      <c r="B10" s="446"/>
      <c r="C10" s="165" t="s">
        <v>75</v>
      </c>
      <c r="D10" s="165" t="s">
        <v>76</v>
      </c>
      <c r="E10" s="165" t="s">
        <v>77</v>
      </c>
      <c r="F10" s="165" t="s">
        <v>78</v>
      </c>
      <c r="G10" s="165" t="s">
        <v>8</v>
      </c>
      <c r="H10" s="165" t="s">
        <v>79</v>
      </c>
      <c r="I10" s="165" t="s">
        <v>80</v>
      </c>
      <c r="J10" s="165" t="s">
        <v>81</v>
      </c>
      <c r="K10" s="226" t="s">
        <v>46</v>
      </c>
    </row>
    <row r="11" spans="1:16" x14ac:dyDescent="0.2">
      <c r="B11" s="160" t="s">
        <v>368</v>
      </c>
      <c r="C11" s="160">
        <v>3796</v>
      </c>
      <c r="D11" s="160">
        <v>2389</v>
      </c>
      <c r="E11" s="160">
        <f>C11+D11</f>
        <v>6185</v>
      </c>
      <c r="F11" s="161">
        <f>E11/$E$23</f>
        <v>0.30427510208097602</v>
      </c>
      <c r="G11" s="160">
        <v>12597</v>
      </c>
      <c r="H11" s="160">
        <v>1010</v>
      </c>
      <c r="I11" s="160">
        <f>G11+H11</f>
        <v>13607</v>
      </c>
      <c r="J11" s="161">
        <f>I11/$I$23</f>
        <v>0.39524210648618818</v>
      </c>
      <c r="K11" s="160">
        <f t="shared" ref="K11:K22" si="0">E11+I11</f>
        <v>19792</v>
      </c>
      <c r="P11" s="173"/>
    </row>
    <row r="12" spans="1:16" x14ac:dyDescent="0.2">
      <c r="B12" s="160" t="s">
        <v>369</v>
      </c>
      <c r="C12" s="160">
        <v>158</v>
      </c>
      <c r="D12" s="160">
        <v>131</v>
      </c>
      <c r="E12" s="160">
        <f t="shared" ref="E12:E22" si="1">C12+D12</f>
        <v>289</v>
      </c>
      <c r="F12" s="161">
        <f t="shared" ref="F12:F22" si="2">E12/$E$23</f>
        <v>1.4217543169183845E-2</v>
      </c>
      <c r="G12" s="160">
        <v>477</v>
      </c>
      <c r="H12" s="160">
        <v>41</v>
      </c>
      <c r="I12" s="160">
        <f t="shared" ref="I12:I22" si="3">G12+H12</f>
        <v>518</v>
      </c>
      <c r="J12" s="161">
        <f t="shared" ref="J12:J22" si="4">I12/$I$23</f>
        <v>1.5046329915473321E-2</v>
      </c>
      <c r="K12" s="160">
        <f t="shared" si="0"/>
        <v>807</v>
      </c>
      <c r="P12" s="173"/>
    </row>
    <row r="13" spans="1:16" x14ac:dyDescent="0.2">
      <c r="B13" s="160" t="s">
        <v>370</v>
      </c>
      <c r="C13" s="160">
        <v>633</v>
      </c>
      <c r="D13" s="160">
        <v>455</v>
      </c>
      <c r="E13" s="160">
        <f t="shared" si="1"/>
        <v>1088</v>
      </c>
      <c r="F13" s="161">
        <f t="shared" si="2"/>
        <v>5.3524868401633292E-2</v>
      </c>
      <c r="G13" s="160">
        <v>1437</v>
      </c>
      <c r="H13" s="160">
        <v>163</v>
      </c>
      <c r="I13" s="160">
        <f t="shared" si="3"/>
        <v>1600</v>
      </c>
      <c r="J13" s="161">
        <f t="shared" si="4"/>
        <v>4.6475150318064311E-2</v>
      </c>
      <c r="K13" s="160">
        <f t="shared" si="0"/>
        <v>2688</v>
      </c>
      <c r="P13" s="173"/>
    </row>
    <row r="14" spans="1:16" x14ac:dyDescent="0.2">
      <c r="B14" s="160" t="s">
        <v>62</v>
      </c>
      <c r="C14" s="160">
        <v>676</v>
      </c>
      <c r="D14" s="160">
        <v>495</v>
      </c>
      <c r="E14" s="160">
        <f t="shared" si="1"/>
        <v>1171</v>
      </c>
      <c r="F14" s="161">
        <f t="shared" si="2"/>
        <v>5.7608107443302012E-2</v>
      </c>
      <c r="G14" s="160">
        <v>1688</v>
      </c>
      <c r="H14" s="160">
        <v>156</v>
      </c>
      <c r="I14" s="160">
        <f t="shared" si="3"/>
        <v>1844</v>
      </c>
      <c r="J14" s="161">
        <f t="shared" si="4"/>
        <v>5.3562610741569115E-2</v>
      </c>
      <c r="K14" s="160">
        <f t="shared" si="0"/>
        <v>3015</v>
      </c>
      <c r="P14" s="173"/>
    </row>
    <row r="15" spans="1:16" x14ac:dyDescent="0.2">
      <c r="B15" s="160" t="s">
        <v>371</v>
      </c>
      <c r="C15" s="160">
        <v>233</v>
      </c>
      <c r="D15" s="160">
        <v>211</v>
      </c>
      <c r="E15" s="160">
        <f t="shared" si="1"/>
        <v>444</v>
      </c>
      <c r="F15" s="161">
        <f t="shared" si="2"/>
        <v>2.1842869090372412E-2</v>
      </c>
      <c r="G15" s="160">
        <v>675</v>
      </c>
      <c r="H15" s="160">
        <v>67</v>
      </c>
      <c r="I15" s="160">
        <f t="shared" si="3"/>
        <v>742</v>
      </c>
      <c r="J15" s="161">
        <f t="shared" si="4"/>
        <v>2.1552850960002323E-2</v>
      </c>
      <c r="K15" s="160">
        <f t="shared" si="0"/>
        <v>1186</v>
      </c>
      <c r="P15" s="173"/>
    </row>
    <row r="16" spans="1:16" ht="24" x14ac:dyDescent="0.2">
      <c r="B16" s="160" t="s">
        <v>372</v>
      </c>
      <c r="C16" s="160">
        <v>685</v>
      </c>
      <c r="D16" s="160">
        <v>543</v>
      </c>
      <c r="E16" s="160">
        <f t="shared" si="1"/>
        <v>1228</v>
      </c>
      <c r="F16" s="161">
        <f t="shared" si="2"/>
        <v>6.0412259556255225E-2</v>
      </c>
      <c r="G16" s="160">
        <v>1474</v>
      </c>
      <c r="H16" s="160">
        <v>215</v>
      </c>
      <c r="I16" s="160">
        <f t="shared" si="3"/>
        <v>1689</v>
      </c>
      <c r="J16" s="161">
        <f t="shared" si="4"/>
        <v>4.9060330554506634E-2</v>
      </c>
      <c r="K16" s="160">
        <f t="shared" si="0"/>
        <v>2917</v>
      </c>
      <c r="P16" s="173"/>
    </row>
    <row r="17" spans="2:16" x14ac:dyDescent="0.2">
      <c r="B17" s="160" t="s">
        <v>373</v>
      </c>
      <c r="C17" s="160">
        <v>803</v>
      </c>
      <c r="D17" s="160">
        <v>686</v>
      </c>
      <c r="E17" s="160">
        <f t="shared" si="1"/>
        <v>1489</v>
      </c>
      <c r="F17" s="161">
        <f t="shared" si="2"/>
        <v>7.3252324494514687E-2</v>
      </c>
      <c r="G17" s="160">
        <v>2012</v>
      </c>
      <c r="H17" s="160">
        <v>192</v>
      </c>
      <c r="I17" s="160">
        <f t="shared" si="3"/>
        <v>2204</v>
      </c>
      <c r="J17" s="161">
        <f t="shared" si="4"/>
        <v>6.4019519563133592E-2</v>
      </c>
      <c r="K17" s="160">
        <f t="shared" si="0"/>
        <v>3693</v>
      </c>
      <c r="P17" s="173"/>
    </row>
    <row r="18" spans="2:16" x14ac:dyDescent="0.2">
      <c r="B18" s="160" t="s">
        <v>374</v>
      </c>
      <c r="C18" s="160">
        <v>1369</v>
      </c>
      <c r="D18" s="160">
        <v>960</v>
      </c>
      <c r="E18" s="160">
        <f t="shared" si="1"/>
        <v>2329</v>
      </c>
      <c r="F18" s="161">
        <f t="shared" si="2"/>
        <v>0.11457667142224627</v>
      </c>
      <c r="G18" s="160">
        <v>2301</v>
      </c>
      <c r="H18" s="160">
        <v>303</v>
      </c>
      <c r="I18" s="160">
        <f t="shared" si="3"/>
        <v>2604</v>
      </c>
      <c r="J18" s="161">
        <f t="shared" si="4"/>
        <v>7.5638307142649658E-2</v>
      </c>
      <c r="K18" s="160">
        <f t="shared" si="0"/>
        <v>4933</v>
      </c>
      <c r="P18" s="173"/>
    </row>
    <row r="19" spans="2:16" x14ac:dyDescent="0.2">
      <c r="B19" s="160" t="s">
        <v>375</v>
      </c>
      <c r="C19" s="160">
        <v>1379</v>
      </c>
      <c r="D19" s="160">
        <v>820</v>
      </c>
      <c r="E19" s="160">
        <f t="shared" si="1"/>
        <v>2199</v>
      </c>
      <c r="F19" s="161">
        <f t="shared" si="2"/>
        <v>0.10818123677866877</v>
      </c>
      <c r="G19" s="160">
        <v>4120</v>
      </c>
      <c r="H19" s="160">
        <v>377</v>
      </c>
      <c r="I19" s="160">
        <f t="shared" si="3"/>
        <v>4497</v>
      </c>
      <c r="J19" s="161">
        <f t="shared" si="4"/>
        <v>0.13062421936270951</v>
      </c>
      <c r="K19" s="160">
        <f t="shared" si="0"/>
        <v>6696</v>
      </c>
      <c r="P19" s="173"/>
    </row>
    <row r="20" spans="2:16" x14ac:dyDescent="0.2">
      <c r="B20" s="160" t="s">
        <v>376</v>
      </c>
      <c r="C20" s="160">
        <v>554</v>
      </c>
      <c r="D20" s="160">
        <v>359</v>
      </c>
      <c r="E20" s="160">
        <f t="shared" si="1"/>
        <v>913</v>
      </c>
      <c r="F20" s="161">
        <f t="shared" si="2"/>
        <v>4.491562945835588E-2</v>
      </c>
      <c r="G20" s="160">
        <v>932</v>
      </c>
      <c r="H20" s="160">
        <v>97</v>
      </c>
      <c r="I20" s="160">
        <f t="shared" si="3"/>
        <v>1029</v>
      </c>
      <c r="J20" s="161">
        <f t="shared" si="4"/>
        <v>2.9889331048305108E-2</v>
      </c>
      <c r="K20" s="160">
        <f t="shared" si="0"/>
        <v>1942</v>
      </c>
      <c r="P20" s="173"/>
    </row>
    <row r="21" spans="2:16" x14ac:dyDescent="0.2">
      <c r="B21" s="160" t="s">
        <v>377</v>
      </c>
      <c r="C21" s="160">
        <v>424</v>
      </c>
      <c r="D21" s="160">
        <v>312</v>
      </c>
      <c r="E21" s="160">
        <f t="shared" si="1"/>
        <v>736</v>
      </c>
      <c r="F21" s="161">
        <f t="shared" si="2"/>
        <v>3.6207999212869581E-2</v>
      </c>
      <c r="G21" s="160">
        <v>659</v>
      </c>
      <c r="H21" s="160">
        <v>90</v>
      </c>
      <c r="I21" s="160">
        <f t="shared" si="3"/>
        <v>749</v>
      </c>
      <c r="J21" s="161">
        <f t="shared" si="4"/>
        <v>2.1756179742643857E-2</v>
      </c>
      <c r="K21" s="160">
        <f t="shared" si="0"/>
        <v>1485</v>
      </c>
      <c r="P21" s="173"/>
    </row>
    <row r="22" spans="2:16" x14ac:dyDescent="0.2">
      <c r="B22" s="160" t="s">
        <v>378</v>
      </c>
      <c r="C22" s="160">
        <v>1408</v>
      </c>
      <c r="D22" s="160">
        <v>848</v>
      </c>
      <c r="E22" s="160">
        <f t="shared" si="1"/>
        <v>2256</v>
      </c>
      <c r="F22" s="161">
        <f t="shared" si="2"/>
        <v>0.11098538889162197</v>
      </c>
      <c r="G22" s="160">
        <v>3013</v>
      </c>
      <c r="H22" s="160">
        <v>331</v>
      </c>
      <c r="I22" s="160">
        <f t="shared" si="3"/>
        <v>3344</v>
      </c>
      <c r="J22" s="161">
        <f t="shared" si="4"/>
        <v>9.713306416475441E-2</v>
      </c>
      <c r="K22" s="160">
        <f t="shared" si="0"/>
        <v>5600</v>
      </c>
      <c r="P22" s="173"/>
    </row>
    <row r="23" spans="2:16" x14ac:dyDescent="0.2">
      <c r="B23" s="162" t="s">
        <v>66</v>
      </c>
      <c r="C23" s="160">
        <f t="shared" ref="C23:H23" si="5">SUM(C11:C22)</f>
        <v>12118</v>
      </c>
      <c r="D23" s="160">
        <f t="shared" si="5"/>
        <v>8209</v>
      </c>
      <c r="E23" s="162">
        <f t="shared" ref="E23" si="6">C23+D23</f>
        <v>20327</v>
      </c>
      <c r="F23" s="164">
        <f t="shared" ref="F23" si="7">E23/$E$23</f>
        <v>1</v>
      </c>
      <c r="G23" s="160">
        <f t="shared" si="5"/>
        <v>31385</v>
      </c>
      <c r="H23" s="160">
        <f t="shared" si="5"/>
        <v>3042</v>
      </c>
      <c r="I23" s="162">
        <f t="shared" ref="I23" si="8">G23+H23</f>
        <v>34427</v>
      </c>
      <c r="J23" s="164">
        <f t="shared" ref="J23" si="9">I23/$I$23</f>
        <v>1</v>
      </c>
      <c r="K23" s="162">
        <f t="shared" ref="K23:K24" si="10">E23+I23</f>
        <v>54754</v>
      </c>
      <c r="P23" s="173"/>
    </row>
    <row r="24" spans="2:16" ht="25.5" customHeight="1" x14ac:dyDescent="0.2">
      <c r="B24" s="174" t="s">
        <v>82</v>
      </c>
      <c r="C24" s="175">
        <f>+C23/$K$23</f>
        <v>0.22131716404280966</v>
      </c>
      <c r="D24" s="175">
        <f>+D23/$K$23</f>
        <v>0.14992511962596339</v>
      </c>
      <c r="E24" s="176">
        <f>C24+D24</f>
        <v>0.37124228366877304</v>
      </c>
      <c r="F24" s="176"/>
      <c r="G24" s="175">
        <f>+G23/$K$23</f>
        <v>0.57320013149724225</v>
      </c>
      <c r="H24" s="175">
        <f>+H23/$K$23</f>
        <v>5.5557584833984729E-2</v>
      </c>
      <c r="I24" s="176">
        <f>G24+H24</f>
        <v>0.62875771633122701</v>
      </c>
      <c r="J24" s="176"/>
      <c r="K24" s="176">
        <f t="shared" si="10"/>
        <v>1</v>
      </c>
    </row>
    <row r="25" spans="2:16" x14ac:dyDescent="0.2">
      <c r="B25" s="177"/>
      <c r="C25" s="178"/>
      <c r="D25" s="178"/>
      <c r="E25" s="179"/>
      <c r="F25" s="179"/>
      <c r="G25" s="178"/>
      <c r="H25" s="178"/>
      <c r="I25" s="179"/>
      <c r="J25" s="179"/>
      <c r="K25" s="179"/>
      <c r="L25" s="179"/>
    </row>
    <row r="26" spans="2:16" ht="12.75" x14ac:dyDescent="0.2">
      <c r="B26" s="418" t="s">
        <v>112</v>
      </c>
      <c r="C26" s="418"/>
      <c r="D26" s="418"/>
      <c r="E26" s="418"/>
      <c r="F26" s="418"/>
      <c r="G26" s="418"/>
      <c r="H26" s="418"/>
      <c r="I26" s="418"/>
      <c r="J26" s="418"/>
      <c r="K26" s="418"/>
      <c r="L26" s="179"/>
    </row>
    <row r="27" spans="2:16" ht="12.75" x14ac:dyDescent="0.2">
      <c r="B27" s="431" t="str">
        <f>'Solicitudes Regiones'!$B$6:$P$6</f>
        <v>Acumuladas de julio de 2008 a noviembre de 2018</v>
      </c>
      <c r="C27" s="431"/>
      <c r="D27" s="431"/>
      <c r="E27" s="431"/>
      <c r="F27" s="431"/>
      <c r="G27" s="431"/>
      <c r="H27" s="431"/>
      <c r="I27" s="431"/>
      <c r="J27" s="431"/>
      <c r="K27" s="431"/>
      <c r="L27" s="179"/>
    </row>
    <row r="28" spans="2:16" x14ac:dyDescent="0.2">
      <c r="B28" s="167"/>
      <c r="C28" s="180"/>
      <c r="D28" s="180"/>
      <c r="E28" s="180"/>
      <c r="F28" s="180"/>
      <c r="G28" s="180"/>
      <c r="H28" s="180"/>
      <c r="I28" s="180"/>
      <c r="J28" s="180"/>
      <c r="K28" s="180"/>
    </row>
    <row r="29" spans="2:16" ht="15" customHeight="1" x14ac:dyDescent="0.2">
      <c r="B29" s="446" t="s">
        <v>83</v>
      </c>
      <c r="C29" s="446"/>
      <c r="D29" s="446"/>
      <c r="E29" s="446"/>
      <c r="F29" s="446"/>
      <c r="G29" s="446"/>
      <c r="H29" s="446"/>
      <c r="I29" s="446"/>
      <c r="J29" s="446"/>
      <c r="K29" s="446"/>
      <c r="L29" s="181"/>
    </row>
    <row r="30" spans="2:16" ht="15" customHeight="1" x14ac:dyDescent="0.2">
      <c r="B30" s="446" t="s">
        <v>74</v>
      </c>
      <c r="C30" s="446" t="s">
        <v>2</v>
      </c>
      <c r="D30" s="446"/>
      <c r="E30" s="446"/>
      <c r="F30" s="446"/>
      <c r="G30" s="446"/>
      <c r="H30" s="446"/>
      <c r="I30" s="446"/>
      <c r="J30" s="446"/>
      <c r="K30" s="446"/>
    </row>
    <row r="31" spans="2:16" ht="24" x14ac:dyDescent="0.2">
      <c r="B31" s="446"/>
      <c r="C31" s="165" t="s">
        <v>75</v>
      </c>
      <c r="D31" s="165" t="s">
        <v>76</v>
      </c>
      <c r="E31" s="165" t="s">
        <v>77</v>
      </c>
      <c r="F31" s="165" t="s">
        <v>78</v>
      </c>
      <c r="G31" s="165" t="s">
        <v>8</v>
      </c>
      <c r="H31" s="165" t="s">
        <v>79</v>
      </c>
      <c r="I31" s="165" t="s">
        <v>80</v>
      </c>
      <c r="J31" s="165" t="s">
        <v>81</v>
      </c>
      <c r="K31" s="166" t="s">
        <v>46</v>
      </c>
    </row>
    <row r="32" spans="2:16" x14ac:dyDescent="0.2">
      <c r="B32" s="160" t="s">
        <v>368</v>
      </c>
      <c r="C32" s="160">
        <v>3474</v>
      </c>
      <c r="D32" s="160">
        <v>1795</v>
      </c>
      <c r="E32" s="160">
        <f>C32+D32</f>
        <v>5269</v>
      </c>
      <c r="F32" s="161">
        <f>E32/$E$44</f>
        <v>0.31322078230888123</v>
      </c>
      <c r="G32" s="160">
        <v>10692</v>
      </c>
      <c r="H32" s="160">
        <v>841</v>
      </c>
      <c r="I32" s="160">
        <f>G32+H32</f>
        <v>11533</v>
      </c>
      <c r="J32" s="161">
        <f>I32/$I$44</f>
        <v>0.39290702824242835</v>
      </c>
      <c r="K32" s="160">
        <f t="shared" ref="K32:K43" si="11">E32+I32</f>
        <v>16802</v>
      </c>
    </row>
    <row r="33" spans="2:11" x14ac:dyDescent="0.2">
      <c r="B33" s="160" t="s">
        <v>369</v>
      </c>
      <c r="C33" s="160">
        <v>146</v>
      </c>
      <c r="D33" s="160">
        <v>85</v>
      </c>
      <c r="E33" s="160">
        <f t="shared" ref="E33:E43" si="12">C33+D33</f>
        <v>231</v>
      </c>
      <c r="F33" s="161">
        <f t="shared" ref="F33:F43" si="13">E33/$E$44</f>
        <v>1.373201759600523E-2</v>
      </c>
      <c r="G33" s="160">
        <v>419</v>
      </c>
      <c r="H33" s="160">
        <v>33</v>
      </c>
      <c r="I33" s="160">
        <f t="shared" ref="I33:I43" si="14">G33+H33</f>
        <v>452</v>
      </c>
      <c r="J33" s="161">
        <f t="shared" ref="J33:J43" si="15">I33/$I$44</f>
        <v>1.5398766735938405E-2</v>
      </c>
      <c r="K33" s="160">
        <f t="shared" si="11"/>
        <v>683</v>
      </c>
    </row>
    <row r="34" spans="2:11" x14ac:dyDescent="0.2">
      <c r="B34" s="160" t="s">
        <v>370</v>
      </c>
      <c r="C34" s="160">
        <v>594</v>
      </c>
      <c r="D34" s="160">
        <v>273</v>
      </c>
      <c r="E34" s="160">
        <f t="shared" si="12"/>
        <v>867</v>
      </c>
      <c r="F34" s="161">
        <f t="shared" si="13"/>
        <v>5.153965045773392E-2</v>
      </c>
      <c r="G34" s="160">
        <v>1250</v>
      </c>
      <c r="H34" s="160">
        <v>138</v>
      </c>
      <c r="I34" s="160">
        <f t="shared" si="14"/>
        <v>1388</v>
      </c>
      <c r="J34" s="161">
        <f t="shared" si="15"/>
        <v>4.7286478383810851E-2</v>
      </c>
      <c r="K34" s="160">
        <f t="shared" si="11"/>
        <v>2255</v>
      </c>
    </row>
    <row r="35" spans="2:11" x14ac:dyDescent="0.2">
      <c r="B35" s="160" t="s">
        <v>62</v>
      </c>
      <c r="C35" s="160">
        <v>637</v>
      </c>
      <c r="D35" s="160">
        <v>345</v>
      </c>
      <c r="E35" s="160">
        <f t="shared" si="12"/>
        <v>982</v>
      </c>
      <c r="F35" s="161">
        <f t="shared" si="13"/>
        <v>5.8375936273927002E-2</v>
      </c>
      <c r="G35" s="160">
        <v>1508</v>
      </c>
      <c r="H35" s="160">
        <v>127</v>
      </c>
      <c r="I35" s="160">
        <f t="shared" si="14"/>
        <v>1635</v>
      </c>
      <c r="J35" s="161">
        <f t="shared" si="15"/>
        <v>5.5701291179777193E-2</v>
      </c>
      <c r="K35" s="160">
        <f t="shared" si="11"/>
        <v>2617</v>
      </c>
    </row>
    <row r="36" spans="2:11" x14ac:dyDescent="0.2">
      <c r="B36" s="160" t="s">
        <v>371</v>
      </c>
      <c r="C36" s="160">
        <v>207</v>
      </c>
      <c r="D36" s="160">
        <v>113</v>
      </c>
      <c r="E36" s="160">
        <f t="shared" si="12"/>
        <v>320</v>
      </c>
      <c r="F36" s="161">
        <f t="shared" si="13"/>
        <v>1.9022708358102484E-2</v>
      </c>
      <c r="G36" s="160">
        <v>605</v>
      </c>
      <c r="H36" s="160">
        <v>59</v>
      </c>
      <c r="I36" s="160">
        <f t="shared" si="14"/>
        <v>664</v>
      </c>
      <c r="J36" s="161">
        <f t="shared" si="15"/>
        <v>2.2621197151909515E-2</v>
      </c>
      <c r="K36" s="160">
        <f t="shared" si="11"/>
        <v>984</v>
      </c>
    </row>
    <row r="37" spans="2:11" ht="24" x14ac:dyDescent="0.2">
      <c r="B37" s="160" t="s">
        <v>372</v>
      </c>
      <c r="C37" s="160">
        <v>655</v>
      </c>
      <c r="D37" s="160">
        <v>351</v>
      </c>
      <c r="E37" s="160">
        <f t="shared" si="12"/>
        <v>1006</v>
      </c>
      <c r="F37" s="161">
        <f t="shared" si="13"/>
        <v>5.9802639400784688E-2</v>
      </c>
      <c r="G37" s="160">
        <v>1311</v>
      </c>
      <c r="H37" s="160">
        <v>181</v>
      </c>
      <c r="I37" s="160">
        <f t="shared" si="14"/>
        <v>1492</v>
      </c>
      <c r="J37" s="161">
        <f t="shared" si="15"/>
        <v>5.0829557455796683E-2</v>
      </c>
      <c r="K37" s="160">
        <f t="shared" si="11"/>
        <v>2498</v>
      </c>
    </row>
    <row r="38" spans="2:11" x14ac:dyDescent="0.2">
      <c r="B38" s="160" t="s">
        <v>373</v>
      </c>
      <c r="C38" s="160">
        <v>732</v>
      </c>
      <c r="D38" s="160">
        <v>424</v>
      </c>
      <c r="E38" s="160">
        <f t="shared" si="12"/>
        <v>1156</v>
      </c>
      <c r="F38" s="161">
        <f t="shared" si="13"/>
        <v>6.8719533943645231E-2</v>
      </c>
      <c r="G38" s="160">
        <v>1682</v>
      </c>
      <c r="H38" s="160">
        <v>157</v>
      </c>
      <c r="I38" s="160">
        <f t="shared" si="14"/>
        <v>1839</v>
      </c>
      <c r="J38" s="161">
        <f t="shared" si="15"/>
        <v>6.2651177051749399E-2</v>
      </c>
      <c r="K38" s="160">
        <f t="shared" si="11"/>
        <v>2995</v>
      </c>
    </row>
    <row r="39" spans="2:11" x14ac:dyDescent="0.2">
      <c r="B39" s="160" t="s">
        <v>374</v>
      </c>
      <c r="C39" s="160">
        <v>1275</v>
      </c>
      <c r="D39" s="160">
        <v>643</v>
      </c>
      <c r="E39" s="160">
        <f t="shared" si="12"/>
        <v>1918</v>
      </c>
      <c r="F39" s="161">
        <f t="shared" si="13"/>
        <v>0.11401735822137676</v>
      </c>
      <c r="G39" s="160">
        <v>1937</v>
      </c>
      <c r="H39" s="160">
        <v>254</v>
      </c>
      <c r="I39" s="160">
        <f t="shared" si="14"/>
        <v>2191</v>
      </c>
      <c r="J39" s="161">
        <f t="shared" si="15"/>
        <v>7.4643136987701433E-2</v>
      </c>
      <c r="K39" s="160">
        <f t="shared" si="11"/>
        <v>4109</v>
      </c>
    </row>
    <row r="40" spans="2:11" x14ac:dyDescent="0.2">
      <c r="B40" s="160" t="s">
        <v>375</v>
      </c>
      <c r="C40" s="160">
        <v>1259</v>
      </c>
      <c r="D40" s="160">
        <v>584</v>
      </c>
      <c r="E40" s="160">
        <f t="shared" si="12"/>
        <v>1843</v>
      </c>
      <c r="F40" s="161">
        <f t="shared" si="13"/>
        <v>0.10955891094994649</v>
      </c>
      <c r="G40" s="160">
        <v>3432</v>
      </c>
      <c r="H40" s="160">
        <v>325</v>
      </c>
      <c r="I40" s="160">
        <f t="shared" si="14"/>
        <v>3757</v>
      </c>
      <c r="J40" s="161">
        <f t="shared" si="15"/>
        <v>0.12799373147548804</v>
      </c>
      <c r="K40" s="160">
        <f t="shared" si="11"/>
        <v>5600</v>
      </c>
    </row>
    <row r="41" spans="2:11" x14ac:dyDescent="0.2">
      <c r="B41" s="160" t="s">
        <v>376</v>
      </c>
      <c r="C41" s="160">
        <v>504</v>
      </c>
      <c r="D41" s="160">
        <v>244</v>
      </c>
      <c r="E41" s="160">
        <f t="shared" si="12"/>
        <v>748</v>
      </c>
      <c r="F41" s="161">
        <f t="shared" si="13"/>
        <v>4.4465580787064557E-2</v>
      </c>
      <c r="G41" s="160">
        <v>795</v>
      </c>
      <c r="H41" s="160">
        <v>83</v>
      </c>
      <c r="I41" s="160">
        <f t="shared" si="14"/>
        <v>878</v>
      </c>
      <c r="J41" s="161">
        <f t="shared" si="15"/>
        <v>2.9911763703880354E-2</v>
      </c>
      <c r="K41" s="160">
        <f t="shared" si="11"/>
        <v>1626</v>
      </c>
    </row>
    <row r="42" spans="2:11" x14ac:dyDescent="0.2">
      <c r="B42" s="160" t="s">
        <v>377</v>
      </c>
      <c r="C42" s="160">
        <v>407</v>
      </c>
      <c r="D42" s="160">
        <v>201</v>
      </c>
      <c r="E42" s="160">
        <f t="shared" si="12"/>
        <v>608</v>
      </c>
      <c r="F42" s="161">
        <f t="shared" si="13"/>
        <v>3.6143145880394724E-2</v>
      </c>
      <c r="G42" s="160">
        <v>578</v>
      </c>
      <c r="H42" s="160">
        <v>80</v>
      </c>
      <c r="I42" s="160">
        <f t="shared" si="14"/>
        <v>658</v>
      </c>
      <c r="J42" s="161">
        <f t="shared" si="15"/>
        <v>2.2416788743910333E-2</v>
      </c>
      <c r="K42" s="160">
        <f t="shared" si="11"/>
        <v>1266</v>
      </c>
    </row>
    <row r="43" spans="2:11" x14ac:dyDescent="0.2">
      <c r="B43" s="160" t="s">
        <v>378</v>
      </c>
      <c r="C43" s="160">
        <v>1296</v>
      </c>
      <c r="D43" s="160">
        <v>578</v>
      </c>
      <c r="E43" s="160">
        <f t="shared" si="12"/>
        <v>1874</v>
      </c>
      <c r="F43" s="161">
        <f t="shared" si="13"/>
        <v>0.11140173582213768</v>
      </c>
      <c r="G43" s="160">
        <v>2583</v>
      </c>
      <c r="H43" s="160">
        <v>283</v>
      </c>
      <c r="I43" s="160">
        <f t="shared" si="14"/>
        <v>2866</v>
      </c>
      <c r="J43" s="161">
        <f t="shared" si="15"/>
        <v>9.7639082887609446E-2</v>
      </c>
      <c r="K43" s="160">
        <f t="shared" si="11"/>
        <v>4740</v>
      </c>
    </row>
    <row r="44" spans="2:11" x14ac:dyDescent="0.2">
      <c r="B44" s="162" t="s">
        <v>66</v>
      </c>
      <c r="C44" s="160">
        <f t="shared" ref="C44:H44" si="16">SUM(C32:C43)</f>
        <v>11186</v>
      </c>
      <c r="D44" s="160">
        <f t="shared" si="16"/>
        <v>5636</v>
      </c>
      <c r="E44" s="162">
        <f t="shared" ref="E44" si="17">C44+D44</f>
        <v>16822</v>
      </c>
      <c r="F44" s="164">
        <f t="shared" ref="F44" si="18">E44/$E$44</f>
        <v>1</v>
      </c>
      <c r="G44" s="160">
        <f t="shared" si="16"/>
        <v>26792</v>
      </c>
      <c r="H44" s="160">
        <f t="shared" si="16"/>
        <v>2561</v>
      </c>
      <c r="I44" s="162">
        <f t="shared" ref="I44" si="19">G44+H44</f>
        <v>29353</v>
      </c>
      <c r="J44" s="164">
        <f t="shared" ref="J44" si="20">I44/$I$44</f>
        <v>1</v>
      </c>
      <c r="K44" s="162">
        <f t="shared" ref="K44:K45" si="21">E44+I44</f>
        <v>46175</v>
      </c>
    </row>
    <row r="45" spans="2:11" ht="24" x14ac:dyDescent="0.2">
      <c r="B45" s="174" t="s">
        <v>84</v>
      </c>
      <c r="C45" s="175">
        <f>+C44/$K$44</f>
        <v>0.24225230102869519</v>
      </c>
      <c r="D45" s="175">
        <f>+D44/$K$44</f>
        <v>0.1220573903627504</v>
      </c>
      <c r="E45" s="176">
        <f>C45+D45</f>
        <v>0.36430969139144559</v>
      </c>
      <c r="F45" s="176"/>
      <c r="G45" s="175">
        <f>+G44/$K$44</f>
        <v>0.58022739577693561</v>
      </c>
      <c r="H45" s="175">
        <f>+H44/$K$44</f>
        <v>5.5462912831618839E-2</v>
      </c>
      <c r="I45" s="176">
        <f>G45+H45</f>
        <v>0.63569030860855447</v>
      </c>
      <c r="J45" s="176"/>
      <c r="K45" s="176">
        <f t="shared" si="21"/>
        <v>1</v>
      </c>
    </row>
    <row r="46" spans="2:11" x14ac:dyDescent="0.2">
      <c r="B46" s="167" t="s">
        <v>149</v>
      </c>
    </row>
    <row r="47" spans="2:11" x14ac:dyDescent="0.2">
      <c r="B47" s="167" t="s">
        <v>150</v>
      </c>
    </row>
  </sheetData>
  <mergeCells count="10">
    <mergeCell ref="B30:B31"/>
    <mergeCell ref="C30:K30"/>
    <mergeCell ref="B8:K8"/>
    <mergeCell ref="B9:B10"/>
    <mergeCell ref="C9:K9"/>
    <mergeCell ref="B6:K6"/>
    <mergeCell ref="B5:K5"/>
    <mergeCell ref="B27:K27"/>
    <mergeCell ref="B26:K26"/>
    <mergeCell ref="B29:K29"/>
  </mergeCells>
  <hyperlinks>
    <hyperlink ref="M5" location="'Índice Pensiones Solidarias'!A1" display="Volver Sistema de Pensiones Solidadias" xr:uid="{00000000-0004-0000-1200-000000000000}"/>
  </hyperlinks>
  <pageMargins left="0.74803149606299213" right="0.74803149606299213" top="0.98425196850393704" bottom="0.98425196850393704" header="0" footer="0"/>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9"/>
  <dimension ref="A1:P83"/>
  <sheetViews>
    <sheetView showGridLines="0" topLeftCell="A4" zoomScaleNormal="100" workbookViewId="0"/>
  </sheetViews>
  <sheetFormatPr baseColWidth="10" defaultRowHeight="12" x14ac:dyDescent="0.2"/>
  <cols>
    <col min="1" max="1" width="6" style="168" customWidth="1"/>
    <col min="2" max="2" width="18.140625" style="168" customWidth="1"/>
    <col min="3" max="3" width="7.85546875" style="168" bestFit="1" customWidth="1"/>
    <col min="4" max="4" width="7.28515625" style="168" bestFit="1" customWidth="1"/>
    <col min="5" max="6" width="7.28515625" style="168" customWidth="1"/>
    <col min="7" max="8" width="7.28515625" style="168" bestFit="1" customWidth="1"/>
    <col min="9" max="11" width="7.28515625" style="168" customWidth="1"/>
    <col min="12" max="12" width="7.85546875" style="168" customWidth="1"/>
    <col min="13" max="251" width="11.42578125" style="168"/>
    <col min="252" max="252" width="18.140625" style="168" customWidth="1"/>
    <col min="253" max="253" width="7.85546875" style="168" bestFit="1" customWidth="1"/>
    <col min="254" max="254" width="7.28515625" style="168" bestFit="1" customWidth="1"/>
    <col min="255" max="256" width="7.28515625" style="168" customWidth="1"/>
    <col min="257" max="258" width="7.28515625" style="168" bestFit="1" customWidth="1"/>
    <col min="259" max="261" width="7.28515625" style="168" customWidth="1"/>
    <col min="262" max="267" width="0" style="168" hidden="1" customWidth="1"/>
    <col min="268" max="268" width="7.85546875" style="168" customWidth="1"/>
    <col min="269" max="507" width="11.42578125" style="168"/>
    <col min="508" max="508" width="18.140625" style="168" customWidth="1"/>
    <col min="509" max="509" width="7.85546875" style="168" bestFit="1" customWidth="1"/>
    <col min="510" max="510" width="7.28515625" style="168" bestFit="1" customWidth="1"/>
    <col min="511" max="512" width="7.28515625" style="168" customWidth="1"/>
    <col min="513" max="514" width="7.28515625" style="168" bestFit="1" customWidth="1"/>
    <col min="515" max="517" width="7.28515625" style="168" customWidth="1"/>
    <col min="518" max="523" width="0" style="168" hidden="1" customWidth="1"/>
    <col min="524" max="524" width="7.85546875" style="168" customWidth="1"/>
    <col min="525" max="763" width="11.42578125" style="168"/>
    <col min="764" max="764" width="18.140625" style="168" customWidth="1"/>
    <col min="765" max="765" width="7.85546875" style="168" bestFit="1" customWidth="1"/>
    <col min="766" max="766" width="7.28515625" style="168" bestFit="1" customWidth="1"/>
    <col min="767" max="768" width="7.28515625" style="168" customWidth="1"/>
    <col min="769" max="770" width="7.28515625" style="168" bestFit="1" customWidth="1"/>
    <col min="771" max="773" width="7.28515625" style="168" customWidth="1"/>
    <col min="774" max="779" width="0" style="168" hidden="1" customWidth="1"/>
    <col min="780" max="780" width="7.85546875" style="168" customWidth="1"/>
    <col min="781" max="1019" width="11.42578125" style="168"/>
    <col min="1020" max="1020" width="18.140625" style="168" customWidth="1"/>
    <col min="1021" max="1021" width="7.85546875" style="168" bestFit="1" customWidth="1"/>
    <col min="1022" max="1022" width="7.28515625" style="168" bestFit="1" customWidth="1"/>
    <col min="1023" max="1024" width="7.28515625" style="168" customWidth="1"/>
    <col min="1025" max="1026" width="7.28515625" style="168" bestFit="1" customWidth="1"/>
    <col min="1027" max="1029" width="7.28515625" style="168" customWidth="1"/>
    <col min="1030" max="1035" width="0" style="168" hidden="1" customWidth="1"/>
    <col min="1036" max="1036" width="7.85546875" style="168" customWidth="1"/>
    <col min="1037" max="1275" width="11.42578125" style="168"/>
    <col min="1276" max="1276" width="18.140625" style="168" customWidth="1"/>
    <col min="1277" max="1277" width="7.85546875" style="168" bestFit="1" customWidth="1"/>
    <col min="1278" max="1278" width="7.28515625" style="168" bestFit="1" customWidth="1"/>
    <col min="1279" max="1280" width="7.28515625" style="168" customWidth="1"/>
    <col min="1281" max="1282" width="7.28515625" style="168" bestFit="1" customWidth="1"/>
    <col min="1283" max="1285" width="7.28515625" style="168" customWidth="1"/>
    <col min="1286" max="1291" width="0" style="168" hidden="1" customWidth="1"/>
    <col min="1292" max="1292" width="7.85546875" style="168" customWidth="1"/>
    <col min="1293" max="1531" width="11.42578125" style="168"/>
    <col min="1532" max="1532" width="18.140625" style="168" customWidth="1"/>
    <col min="1533" max="1533" width="7.85546875" style="168" bestFit="1" customWidth="1"/>
    <col min="1534" max="1534" width="7.28515625" style="168" bestFit="1" customWidth="1"/>
    <col min="1535" max="1536" width="7.28515625" style="168" customWidth="1"/>
    <col min="1537" max="1538" width="7.28515625" style="168" bestFit="1" customWidth="1"/>
    <col min="1539" max="1541" width="7.28515625" style="168" customWidth="1"/>
    <col min="1542" max="1547" width="0" style="168" hidden="1" customWidth="1"/>
    <col min="1548" max="1548" width="7.85546875" style="168" customWidth="1"/>
    <col min="1549" max="1787" width="11.42578125" style="168"/>
    <col min="1788" max="1788" width="18.140625" style="168" customWidth="1"/>
    <col min="1789" max="1789" width="7.85546875" style="168" bestFit="1" customWidth="1"/>
    <col min="1790" max="1790" width="7.28515625" style="168" bestFit="1" customWidth="1"/>
    <col min="1791" max="1792" width="7.28515625" style="168" customWidth="1"/>
    <col min="1793" max="1794" width="7.28515625" style="168" bestFit="1" customWidth="1"/>
    <col min="1795" max="1797" width="7.28515625" style="168" customWidth="1"/>
    <col min="1798" max="1803" width="0" style="168" hidden="1" customWidth="1"/>
    <col min="1804" max="1804" width="7.85546875" style="168" customWidth="1"/>
    <col min="1805" max="2043" width="11.42578125" style="168"/>
    <col min="2044" max="2044" width="18.140625" style="168" customWidth="1"/>
    <col min="2045" max="2045" width="7.85546875" style="168" bestFit="1" customWidth="1"/>
    <col min="2046" max="2046" width="7.28515625" style="168" bestFit="1" customWidth="1"/>
    <col min="2047" max="2048" width="7.28515625" style="168" customWidth="1"/>
    <col min="2049" max="2050" width="7.28515625" style="168" bestFit="1" customWidth="1"/>
    <col min="2051" max="2053" width="7.28515625" style="168" customWidth="1"/>
    <col min="2054" max="2059" width="0" style="168" hidden="1" customWidth="1"/>
    <col min="2060" max="2060" width="7.85546875" style="168" customWidth="1"/>
    <col min="2061" max="2299" width="11.42578125" style="168"/>
    <col min="2300" max="2300" width="18.140625" style="168" customWidth="1"/>
    <col min="2301" max="2301" width="7.85546875" style="168" bestFit="1" customWidth="1"/>
    <col min="2302" max="2302" width="7.28515625" style="168" bestFit="1" customWidth="1"/>
    <col min="2303" max="2304" width="7.28515625" style="168" customWidth="1"/>
    <col min="2305" max="2306" width="7.28515625" style="168" bestFit="1" customWidth="1"/>
    <col min="2307" max="2309" width="7.28515625" style="168" customWidth="1"/>
    <col min="2310" max="2315" width="0" style="168" hidden="1" customWidth="1"/>
    <col min="2316" max="2316" width="7.85546875" style="168" customWidth="1"/>
    <col min="2317" max="2555" width="11.42578125" style="168"/>
    <col min="2556" max="2556" width="18.140625" style="168" customWidth="1"/>
    <col min="2557" max="2557" width="7.85546875" style="168" bestFit="1" customWidth="1"/>
    <col min="2558" max="2558" width="7.28515625" style="168" bestFit="1" customWidth="1"/>
    <col min="2559" max="2560" width="7.28515625" style="168" customWidth="1"/>
    <col min="2561" max="2562" width="7.28515625" style="168" bestFit="1" customWidth="1"/>
    <col min="2563" max="2565" width="7.28515625" style="168" customWidth="1"/>
    <col min="2566" max="2571" width="0" style="168" hidden="1" customWidth="1"/>
    <col min="2572" max="2572" width="7.85546875" style="168" customWidth="1"/>
    <col min="2573" max="2811" width="11.42578125" style="168"/>
    <col min="2812" max="2812" width="18.140625" style="168" customWidth="1"/>
    <col min="2813" max="2813" width="7.85546875" style="168" bestFit="1" customWidth="1"/>
    <col min="2814" max="2814" width="7.28515625" style="168" bestFit="1" customWidth="1"/>
    <col min="2815" max="2816" width="7.28515625" style="168" customWidth="1"/>
    <col min="2817" max="2818" width="7.28515625" style="168" bestFit="1" customWidth="1"/>
    <col min="2819" max="2821" width="7.28515625" style="168" customWidth="1"/>
    <col min="2822" max="2827" width="0" style="168" hidden="1" customWidth="1"/>
    <col min="2828" max="2828" width="7.85546875" style="168" customWidth="1"/>
    <col min="2829" max="3067" width="11.42578125" style="168"/>
    <col min="3068" max="3068" width="18.140625" style="168" customWidth="1"/>
    <col min="3069" max="3069" width="7.85546875" style="168" bestFit="1" customWidth="1"/>
    <col min="3070" max="3070" width="7.28515625" style="168" bestFit="1" customWidth="1"/>
    <col min="3071" max="3072" width="7.28515625" style="168" customWidth="1"/>
    <col min="3073" max="3074" width="7.28515625" style="168" bestFit="1" customWidth="1"/>
    <col min="3075" max="3077" width="7.28515625" style="168" customWidth="1"/>
    <col min="3078" max="3083" width="0" style="168" hidden="1" customWidth="1"/>
    <col min="3084" max="3084" width="7.85546875" style="168" customWidth="1"/>
    <col min="3085" max="3323" width="11.42578125" style="168"/>
    <col min="3324" max="3324" width="18.140625" style="168" customWidth="1"/>
    <col min="3325" max="3325" width="7.85546875" style="168" bestFit="1" customWidth="1"/>
    <col min="3326" max="3326" width="7.28515625" style="168" bestFit="1" customWidth="1"/>
    <col min="3327" max="3328" width="7.28515625" style="168" customWidth="1"/>
    <col min="3329" max="3330" width="7.28515625" style="168" bestFit="1" customWidth="1"/>
    <col min="3331" max="3333" width="7.28515625" style="168" customWidth="1"/>
    <col min="3334" max="3339" width="0" style="168" hidden="1" customWidth="1"/>
    <col min="3340" max="3340" width="7.85546875" style="168" customWidth="1"/>
    <col min="3341" max="3579" width="11.42578125" style="168"/>
    <col min="3580" max="3580" width="18.140625" style="168" customWidth="1"/>
    <col min="3581" max="3581" width="7.85546875" style="168" bestFit="1" customWidth="1"/>
    <col min="3582" max="3582" width="7.28515625" style="168" bestFit="1" customWidth="1"/>
    <col min="3583" max="3584" width="7.28515625" style="168" customWidth="1"/>
    <col min="3585" max="3586" width="7.28515625" style="168" bestFit="1" customWidth="1"/>
    <col min="3587" max="3589" width="7.28515625" style="168" customWidth="1"/>
    <col min="3590" max="3595" width="0" style="168" hidden="1" customWidth="1"/>
    <col min="3596" max="3596" width="7.85546875" style="168" customWidth="1"/>
    <col min="3597" max="3835" width="11.42578125" style="168"/>
    <col min="3836" max="3836" width="18.140625" style="168" customWidth="1"/>
    <col min="3837" max="3837" width="7.85546875" style="168" bestFit="1" customWidth="1"/>
    <col min="3838" max="3838" width="7.28515625" style="168" bestFit="1" customWidth="1"/>
    <col min="3839" max="3840" width="7.28515625" style="168" customWidth="1"/>
    <col min="3841" max="3842" width="7.28515625" style="168" bestFit="1" customWidth="1"/>
    <col min="3843" max="3845" width="7.28515625" style="168" customWidth="1"/>
    <col min="3846" max="3851" width="0" style="168" hidden="1" customWidth="1"/>
    <col min="3852" max="3852" width="7.85546875" style="168" customWidth="1"/>
    <col min="3853" max="4091" width="11.42578125" style="168"/>
    <col min="4092" max="4092" width="18.140625" style="168" customWidth="1"/>
    <col min="4093" max="4093" width="7.85546875" style="168" bestFit="1" customWidth="1"/>
    <col min="4094" max="4094" width="7.28515625" style="168" bestFit="1" customWidth="1"/>
    <col min="4095" max="4096" width="7.28515625" style="168" customWidth="1"/>
    <col min="4097" max="4098" width="7.28515625" style="168" bestFit="1" customWidth="1"/>
    <col min="4099" max="4101" width="7.28515625" style="168" customWidth="1"/>
    <col min="4102" max="4107" width="0" style="168" hidden="1" customWidth="1"/>
    <col min="4108" max="4108" width="7.85546875" style="168" customWidth="1"/>
    <col min="4109" max="4347" width="11.42578125" style="168"/>
    <col min="4348" max="4348" width="18.140625" style="168" customWidth="1"/>
    <col min="4349" max="4349" width="7.85546875" style="168" bestFit="1" customWidth="1"/>
    <col min="4350" max="4350" width="7.28515625" style="168" bestFit="1" customWidth="1"/>
    <col min="4351" max="4352" width="7.28515625" style="168" customWidth="1"/>
    <col min="4353" max="4354" width="7.28515625" style="168" bestFit="1" customWidth="1"/>
    <col min="4355" max="4357" width="7.28515625" style="168" customWidth="1"/>
    <col min="4358" max="4363" width="0" style="168" hidden="1" customWidth="1"/>
    <col min="4364" max="4364" width="7.85546875" style="168" customWidth="1"/>
    <col min="4365" max="4603" width="11.42578125" style="168"/>
    <col min="4604" max="4604" width="18.140625" style="168" customWidth="1"/>
    <col min="4605" max="4605" width="7.85546875" style="168" bestFit="1" customWidth="1"/>
    <col min="4606" max="4606" width="7.28515625" style="168" bestFit="1" customWidth="1"/>
    <col min="4607" max="4608" width="7.28515625" style="168" customWidth="1"/>
    <col min="4609" max="4610" width="7.28515625" style="168" bestFit="1" customWidth="1"/>
    <col min="4611" max="4613" width="7.28515625" style="168" customWidth="1"/>
    <col min="4614" max="4619" width="0" style="168" hidden="1" customWidth="1"/>
    <col min="4620" max="4620" width="7.85546875" style="168" customWidth="1"/>
    <col min="4621" max="4859" width="11.42578125" style="168"/>
    <col min="4860" max="4860" width="18.140625" style="168" customWidth="1"/>
    <col min="4861" max="4861" width="7.85546875" style="168" bestFit="1" customWidth="1"/>
    <col min="4862" max="4862" width="7.28515625" style="168" bestFit="1" customWidth="1"/>
    <col min="4863" max="4864" width="7.28515625" style="168" customWidth="1"/>
    <col min="4865" max="4866" width="7.28515625" style="168" bestFit="1" customWidth="1"/>
    <col min="4867" max="4869" width="7.28515625" style="168" customWidth="1"/>
    <col min="4870" max="4875" width="0" style="168" hidden="1" customWidth="1"/>
    <col min="4876" max="4876" width="7.85546875" style="168" customWidth="1"/>
    <col min="4877" max="5115" width="11.42578125" style="168"/>
    <col min="5116" max="5116" width="18.140625" style="168" customWidth="1"/>
    <col min="5117" max="5117" width="7.85546875" style="168" bestFit="1" customWidth="1"/>
    <col min="5118" max="5118" width="7.28515625" style="168" bestFit="1" customWidth="1"/>
    <col min="5119" max="5120" width="7.28515625" style="168" customWidth="1"/>
    <col min="5121" max="5122" width="7.28515625" style="168" bestFit="1" customWidth="1"/>
    <col min="5123" max="5125" width="7.28515625" style="168" customWidth="1"/>
    <col min="5126" max="5131" width="0" style="168" hidden="1" customWidth="1"/>
    <col min="5132" max="5132" width="7.85546875" style="168" customWidth="1"/>
    <col min="5133" max="5371" width="11.42578125" style="168"/>
    <col min="5372" max="5372" width="18.140625" style="168" customWidth="1"/>
    <col min="5373" max="5373" width="7.85546875" style="168" bestFit="1" customWidth="1"/>
    <col min="5374" max="5374" width="7.28515625" style="168" bestFit="1" customWidth="1"/>
    <col min="5375" max="5376" width="7.28515625" style="168" customWidth="1"/>
    <col min="5377" max="5378" width="7.28515625" style="168" bestFit="1" customWidth="1"/>
    <col min="5379" max="5381" width="7.28515625" style="168" customWidth="1"/>
    <col min="5382" max="5387" width="0" style="168" hidden="1" customWidth="1"/>
    <col min="5388" max="5388" width="7.85546875" style="168" customWidth="1"/>
    <col min="5389" max="5627" width="11.42578125" style="168"/>
    <col min="5628" max="5628" width="18.140625" style="168" customWidth="1"/>
    <col min="5629" max="5629" width="7.85546875" style="168" bestFit="1" customWidth="1"/>
    <col min="5630" max="5630" width="7.28515625" style="168" bestFit="1" customWidth="1"/>
    <col min="5631" max="5632" width="7.28515625" style="168" customWidth="1"/>
    <col min="5633" max="5634" width="7.28515625" style="168" bestFit="1" customWidth="1"/>
    <col min="5635" max="5637" width="7.28515625" style="168" customWidth="1"/>
    <col min="5638" max="5643" width="0" style="168" hidden="1" customWidth="1"/>
    <col min="5644" max="5644" width="7.85546875" style="168" customWidth="1"/>
    <col min="5645" max="5883" width="11.42578125" style="168"/>
    <col min="5884" max="5884" width="18.140625" style="168" customWidth="1"/>
    <col min="5885" max="5885" width="7.85546875" style="168" bestFit="1" customWidth="1"/>
    <col min="5886" max="5886" width="7.28515625" style="168" bestFit="1" customWidth="1"/>
    <col min="5887" max="5888" width="7.28515625" style="168" customWidth="1"/>
    <col min="5889" max="5890" width="7.28515625" style="168" bestFit="1" customWidth="1"/>
    <col min="5891" max="5893" width="7.28515625" style="168" customWidth="1"/>
    <col min="5894" max="5899" width="0" style="168" hidden="1" customWidth="1"/>
    <col min="5900" max="5900" width="7.85546875" style="168" customWidth="1"/>
    <col min="5901" max="6139" width="11.42578125" style="168"/>
    <col min="6140" max="6140" width="18.140625" style="168" customWidth="1"/>
    <col min="6141" max="6141" width="7.85546875" style="168" bestFit="1" customWidth="1"/>
    <col min="6142" max="6142" width="7.28515625" style="168" bestFit="1" customWidth="1"/>
    <col min="6143" max="6144" width="7.28515625" style="168" customWidth="1"/>
    <col min="6145" max="6146" width="7.28515625" style="168" bestFit="1" customWidth="1"/>
    <col min="6147" max="6149" width="7.28515625" style="168" customWidth="1"/>
    <col min="6150" max="6155" width="0" style="168" hidden="1" customWidth="1"/>
    <col min="6156" max="6156" width="7.85546875" style="168" customWidth="1"/>
    <col min="6157" max="6395" width="11.42578125" style="168"/>
    <col min="6396" max="6396" width="18.140625" style="168" customWidth="1"/>
    <col min="6397" max="6397" width="7.85546875" style="168" bestFit="1" customWidth="1"/>
    <col min="6398" max="6398" width="7.28515625" style="168" bestFit="1" customWidth="1"/>
    <col min="6399" max="6400" width="7.28515625" style="168" customWidth="1"/>
    <col min="6401" max="6402" width="7.28515625" style="168" bestFit="1" customWidth="1"/>
    <col min="6403" max="6405" width="7.28515625" style="168" customWidth="1"/>
    <col min="6406" max="6411" width="0" style="168" hidden="1" customWidth="1"/>
    <col min="6412" max="6412" width="7.85546875" style="168" customWidth="1"/>
    <col min="6413" max="6651" width="11.42578125" style="168"/>
    <col min="6652" max="6652" width="18.140625" style="168" customWidth="1"/>
    <col min="6653" max="6653" width="7.85546875" style="168" bestFit="1" customWidth="1"/>
    <col min="6654" max="6654" width="7.28515625" style="168" bestFit="1" customWidth="1"/>
    <col min="6655" max="6656" width="7.28515625" style="168" customWidth="1"/>
    <col min="6657" max="6658" width="7.28515625" style="168" bestFit="1" customWidth="1"/>
    <col min="6659" max="6661" width="7.28515625" style="168" customWidth="1"/>
    <col min="6662" max="6667" width="0" style="168" hidden="1" customWidth="1"/>
    <col min="6668" max="6668" width="7.85546875" style="168" customWidth="1"/>
    <col min="6669" max="6907" width="11.42578125" style="168"/>
    <col min="6908" max="6908" width="18.140625" style="168" customWidth="1"/>
    <col min="6909" max="6909" width="7.85546875" style="168" bestFit="1" customWidth="1"/>
    <col min="6910" max="6910" width="7.28515625" style="168" bestFit="1" customWidth="1"/>
    <col min="6911" max="6912" width="7.28515625" style="168" customWidth="1"/>
    <col min="6913" max="6914" width="7.28515625" style="168" bestFit="1" customWidth="1"/>
    <col min="6915" max="6917" width="7.28515625" style="168" customWidth="1"/>
    <col min="6918" max="6923" width="0" style="168" hidden="1" customWidth="1"/>
    <col min="6924" max="6924" width="7.85546875" style="168" customWidth="1"/>
    <col min="6925" max="7163" width="11.42578125" style="168"/>
    <col min="7164" max="7164" width="18.140625" style="168" customWidth="1"/>
    <col min="7165" max="7165" width="7.85546875" style="168" bestFit="1" customWidth="1"/>
    <col min="7166" max="7166" width="7.28515625" style="168" bestFit="1" customWidth="1"/>
    <col min="7167" max="7168" width="7.28515625" style="168" customWidth="1"/>
    <col min="7169" max="7170" width="7.28515625" style="168" bestFit="1" customWidth="1"/>
    <col min="7171" max="7173" width="7.28515625" style="168" customWidth="1"/>
    <col min="7174" max="7179" width="0" style="168" hidden="1" customWidth="1"/>
    <col min="7180" max="7180" width="7.85546875" style="168" customWidth="1"/>
    <col min="7181" max="7419" width="11.42578125" style="168"/>
    <col min="7420" max="7420" width="18.140625" style="168" customWidth="1"/>
    <col min="7421" max="7421" width="7.85546875" style="168" bestFit="1" customWidth="1"/>
    <col min="7422" max="7422" width="7.28515625" style="168" bestFit="1" customWidth="1"/>
    <col min="7423" max="7424" width="7.28515625" style="168" customWidth="1"/>
    <col min="7425" max="7426" width="7.28515625" style="168" bestFit="1" customWidth="1"/>
    <col min="7427" max="7429" width="7.28515625" style="168" customWidth="1"/>
    <col min="7430" max="7435" width="0" style="168" hidden="1" customWidth="1"/>
    <col min="7436" max="7436" width="7.85546875" style="168" customWidth="1"/>
    <col min="7437" max="7675" width="11.42578125" style="168"/>
    <col min="7676" max="7676" width="18.140625" style="168" customWidth="1"/>
    <col min="7677" max="7677" width="7.85546875" style="168" bestFit="1" customWidth="1"/>
    <col min="7678" max="7678" width="7.28515625" style="168" bestFit="1" customWidth="1"/>
    <col min="7679" max="7680" width="7.28515625" style="168" customWidth="1"/>
    <col min="7681" max="7682" width="7.28515625" style="168" bestFit="1" customWidth="1"/>
    <col min="7683" max="7685" width="7.28515625" style="168" customWidth="1"/>
    <col min="7686" max="7691" width="0" style="168" hidden="1" customWidth="1"/>
    <col min="7692" max="7692" width="7.85546875" style="168" customWidth="1"/>
    <col min="7693" max="7931" width="11.42578125" style="168"/>
    <col min="7932" max="7932" width="18.140625" style="168" customWidth="1"/>
    <col min="7933" max="7933" width="7.85546875" style="168" bestFit="1" customWidth="1"/>
    <col min="7934" max="7934" width="7.28515625" style="168" bestFit="1" customWidth="1"/>
    <col min="7935" max="7936" width="7.28515625" style="168" customWidth="1"/>
    <col min="7937" max="7938" width="7.28515625" style="168" bestFit="1" customWidth="1"/>
    <col min="7939" max="7941" width="7.28515625" style="168" customWidth="1"/>
    <col min="7942" max="7947" width="0" style="168" hidden="1" customWidth="1"/>
    <col min="7948" max="7948" width="7.85546875" style="168" customWidth="1"/>
    <col min="7949" max="8187" width="11.42578125" style="168"/>
    <col min="8188" max="8188" width="18.140625" style="168" customWidth="1"/>
    <col min="8189" max="8189" width="7.85546875" style="168" bestFit="1" customWidth="1"/>
    <col min="8190" max="8190" width="7.28515625" style="168" bestFit="1" customWidth="1"/>
    <col min="8191" max="8192" width="7.28515625" style="168" customWidth="1"/>
    <col min="8193" max="8194" width="7.28515625" style="168" bestFit="1" customWidth="1"/>
    <col min="8195" max="8197" width="7.28515625" style="168" customWidth="1"/>
    <col min="8198" max="8203" width="0" style="168" hidden="1" customWidth="1"/>
    <col min="8204" max="8204" width="7.85546875" style="168" customWidth="1"/>
    <col min="8205" max="8443" width="11.42578125" style="168"/>
    <col min="8444" max="8444" width="18.140625" style="168" customWidth="1"/>
    <col min="8445" max="8445" width="7.85546875" style="168" bestFit="1" customWidth="1"/>
    <col min="8446" max="8446" width="7.28515625" style="168" bestFit="1" customWidth="1"/>
    <col min="8447" max="8448" width="7.28515625" style="168" customWidth="1"/>
    <col min="8449" max="8450" width="7.28515625" style="168" bestFit="1" customWidth="1"/>
    <col min="8451" max="8453" width="7.28515625" style="168" customWidth="1"/>
    <col min="8454" max="8459" width="0" style="168" hidden="1" customWidth="1"/>
    <col min="8460" max="8460" width="7.85546875" style="168" customWidth="1"/>
    <col min="8461" max="8699" width="11.42578125" style="168"/>
    <col min="8700" max="8700" width="18.140625" style="168" customWidth="1"/>
    <col min="8701" max="8701" width="7.85546875" style="168" bestFit="1" customWidth="1"/>
    <col min="8702" max="8702" width="7.28515625" style="168" bestFit="1" customWidth="1"/>
    <col min="8703" max="8704" width="7.28515625" style="168" customWidth="1"/>
    <col min="8705" max="8706" width="7.28515625" style="168" bestFit="1" customWidth="1"/>
    <col min="8707" max="8709" width="7.28515625" style="168" customWidth="1"/>
    <col min="8710" max="8715" width="0" style="168" hidden="1" customWidth="1"/>
    <col min="8716" max="8716" width="7.85546875" style="168" customWidth="1"/>
    <col min="8717" max="8955" width="11.42578125" style="168"/>
    <col min="8956" max="8956" width="18.140625" style="168" customWidth="1"/>
    <col min="8957" max="8957" width="7.85546875" style="168" bestFit="1" customWidth="1"/>
    <col min="8958" max="8958" width="7.28515625" style="168" bestFit="1" customWidth="1"/>
    <col min="8959" max="8960" width="7.28515625" style="168" customWidth="1"/>
    <col min="8961" max="8962" width="7.28515625" style="168" bestFit="1" customWidth="1"/>
    <col min="8963" max="8965" width="7.28515625" style="168" customWidth="1"/>
    <col min="8966" max="8971" width="0" style="168" hidden="1" customWidth="1"/>
    <col min="8972" max="8972" width="7.85546875" style="168" customWidth="1"/>
    <col min="8973" max="9211" width="11.42578125" style="168"/>
    <col min="9212" max="9212" width="18.140625" style="168" customWidth="1"/>
    <col min="9213" max="9213" width="7.85546875" style="168" bestFit="1" customWidth="1"/>
    <col min="9214" max="9214" width="7.28515625" style="168" bestFit="1" customWidth="1"/>
    <col min="9215" max="9216" width="7.28515625" style="168" customWidth="1"/>
    <col min="9217" max="9218" width="7.28515625" style="168" bestFit="1" customWidth="1"/>
    <col min="9219" max="9221" width="7.28515625" style="168" customWidth="1"/>
    <col min="9222" max="9227" width="0" style="168" hidden="1" customWidth="1"/>
    <col min="9228" max="9228" width="7.85546875" style="168" customWidth="1"/>
    <col min="9229" max="9467" width="11.42578125" style="168"/>
    <col min="9468" max="9468" width="18.140625" style="168" customWidth="1"/>
    <col min="9469" max="9469" width="7.85546875" style="168" bestFit="1" customWidth="1"/>
    <col min="9470" max="9470" width="7.28515625" style="168" bestFit="1" customWidth="1"/>
    <col min="9471" max="9472" width="7.28515625" style="168" customWidth="1"/>
    <col min="9473" max="9474" width="7.28515625" style="168" bestFit="1" customWidth="1"/>
    <col min="9475" max="9477" width="7.28515625" style="168" customWidth="1"/>
    <col min="9478" max="9483" width="0" style="168" hidden="1" customWidth="1"/>
    <col min="9484" max="9484" width="7.85546875" style="168" customWidth="1"/>
    <col min="9485" max="9723" width="11.42578125" style="168"/>
    <col min="9724" max="9724" width="18.140625" style="168" customWidth="1"/>
    <col min="9725" max="9725" width="7.85546875" style="168" bestFit="1" customWidth="1"/>
    <col min="9726" max="9726" width="7.28515625" style="168" bestFit="1" customWidth="1"/>
    <col min="9727" max="9728" width="7.28515625" style="168" customWidth="1"/>
    <col min="9729" max="9730" width="7.28515625" style="168" bestFit="1" customWidth="1"/>
    <col min="9731" max="9733" width="7.28515625" style="168" customWidth="1"/>
    <col min="9734" max="9739" width="0" style="168" hidden="1" customWidth="1"/>
    <col min="9740" max="9740" width="7.85546875" style="168" customWidth="1"/>
    <col min="9741" max="9979" width="11.42578125" style="168"/>
    <col min="9980" max="9980" width="18.140625" style="168" customWidth="1"/>
    <col min="9981" max="9981" width="7.85546875" style="168" bestFit="1" customWidth="1"/>
    <col min="9982" max="9982" width="7.28515625" style="168" bestFit="1" customWidth="1"/>
    <col min="9983" max="9984" width="7.28515625" style="168" customWidth="1"/>
    <col min="9985" max="9986" width="7.28515625" style="168" bestFit="1" customWidth="1"/>
    <col min="9987" max="9989" width="7.28515625" style="168" customWidth="1"/>
    <col min="9990" max="9995" width="0" style="168" hidden="1" customWidth="1"/>
    <col min="9996" max="9996" width="7.85546875" style="168" customWidth="1"/>
    <col min="9997" max="10235" width="11.42578125" style="168"/>
    <col min="10236" max="10236" width="18.140625" style="168" customWidth="1"/>
    <col min="10237" max="10237" width="7.85546875" style="168" bestFit="1" customWidth="1"/>
    <col min="10238" max="10238" width="7.28515625" style="168" bestFit="1" customWidth="1"/>
    <col min="10239" max="10240" width="7.28515625" style="168" customWidth="1"/>
    <col min="10241" max="10242" width="7.28515625" style="168" bestFit="1" customWidth="1"/>
    <col min="10243" max="10245" width="7.28515625" style="168" customWidth="1"/>
    <col min="10246" max="10251" width="0" style="168" hidden="1" customWidth="1"/>
    <col min="10252" max="10252" width="7.85546875" style="168" customWidth="1"/>
    <col min="10253" max="10491" width="11.42578125" style="168"/>
    <col min="10492" max="10492" width="18.140625" style="168" customWidth="1"/>
    <col min="10493" max="10493" width="7.85546875" style="168" bestFit="1" customWidth="1"/>
    <col min="10494" max="10494" width="7.28515625" style="168" bestFit="1" customWidth="1"/>
    <col min="10495" max="10496" width="7.28515625" style="168" customWidth="1"/>
    <col min="10497" max="10498" width="7.28515625" style="168" bestFit="1" customWidth="1"/>
    <col min="10499" max="10501" width="7.28515625" style="168" customWidth="1"/>
    <col min="10502" max="10507" width="0" style="168" hidden="1" customWidth="1"/>
    <col min="10508" max="10508" width="7.85546875" style="168" customWidth="1"/>
    <col min="10509" max="10747" width="11.42578125" style="168"/>
    <col min="10748" max="10748" width="18.140625" style="168" customWidth="1"/>
    <col min="10749" max="10749" width="7.85546875" style="168" bestFit="1" customWidth="1"/>
    <col min="10750" max="10750" width="7.28515625" style="168" bestFit="1" customWidth="1"/>
    <col min="10751" max="10752" width="7.28515625" style="168" customWidth="1"/>
    <col min="10753" max="10754" width="7.28515625" style="168" bestFit="1" customWidth="1"/>
    <col min="10755" max="10757" width="7.28515625" style="168" customWidth="1"/>
    <col min="10758" max="10763" width="0" style="168" hidden="1" customWidth="1"/>
    <col min="10764" max="10764" width="7.85546875" style="168" customWidth="1"/>
    <col min="10765" max="11003" width="11.42578125" style="168"/>
    <col min="11004" max="11004" width="18.140625" style="168" customWidth="1"/>
    <col min="11005" max="11005" width="7.85546875" style="168" bestFit="1" customWidth="1"/>
    <col min="11006" max="11006" width="7.28515625" style="168" bestFit="1" customWidth="1"/>
    <col min="11007" max="11008" width="7.28515625" style="168" customWidth="1"/>
    <col min="11009" max="11010" width="7.28515625" style="168" bestFit="1" customWidth="1"/>
    <col min="11011" max="11013" width="7.28515625" style="168" customWidth="1"/>
    <col min="11014" max="11019" width="0" style="168" hidden="1" customWidth="1"/>
    <col min="11020" max="11020" width="7.85546875" style="168" customWidth="1"/>
    <col min="11021" max="11259" width="11.42578125" style="168"/>
    <col min="11260" max="11260" width="18.140625" style="168" customWidth="1"/>
    <col min="11261" max="11261" width="7.85546875" style="168" bestFit="1" customWidth="1"/>
    <col min="11262" max="11262" width="7.28515625" style="168" bestFit="1" customWidth="1"/>
    <col min="11263" max="11264" width="7.28515625" style="168" customWidth="1"/>
    <col min="11265" max="11266" width="7.28515625" style="168" bestFit="1" customWidth="1"/>
    <col min="11267" max="11269" width="7.28515625" style="168" customWidth="1"/>
    <col min="11270" max="11275" width="0" style="168" hidden="1" customWidth="1"/>
    <col min="11276" max="11276" width="7.85546875" style="168" customWidth="1"/>
    <col min="11277" max="11515" width="11.42578125" style="168"/>
    <col min="11516" max="11516" width="18.140625" style="168" customWidth="1"/>
    <col min="11517" max="11517" width="7.85546875" style="168" bestFit="1" customWidth="1"/>
    <col min="11518" max="11518" width="7.28515625" style="168" bestFit="1" customWidth="1"/>
    <col min="11519" max="11520" width="7.28515625" style="168" customWidth="1"/>
    <col min="11521" max="11522" width="7.28515625" style="168" bestFit="1" customWidth="1"/>
    <col min="11523" max="11525" width="7.28515625" style="168" customWidth="1"/>
    <col min="11526" max="11531" width="0" style="168" hidden="1" customWidth="1"/>
    <col min="11532" max="11532" width="7.85546875" style="168" customWidth="1"/>
    <col min="11533" max="11771" width="11.42578125" style="168"/>
    <col min="11772" max="11772" width="18.140625" style="168" customWidth="1"/>
    <col min="11773" max="11773" width="7.85546875" style="168" bestFit="1" customWidth="1"/>
    <col min="11774" max="11774" width="7.28515625" style="168" bestFit="1" customWidth="1"/>
    <col min="11775" max="11776" width="7.28515625" style="168" customWidth="1"/>
    <col min="11777" max="11778" width="7.28515625" style="168" bestFit="1" customWidth="1"/>
    <col min="11779" max="11781" width="7.28515625" style="168" customWidth="1"/>
    <col min="11782" max="11787" width="0" style="168" hidden="1" customWidth="1"/>
    <col min="11788" max="11788" width="7.85546875" style="168" customWidth="1"/>
    <col min="11789" max="12027" width="11.42578125" style="168"/>
    <col min="12028" max="12028" width="18.140625" style="168" customWidth="1"/>
    <col min="12029" max="12029" width="7.85546875" style="168" bestFit="1" customWidth="1"/>
    <col min="12030" max="12030" width="7.28515625" style="168" bestFit="1" customWidth="1"/>
    <col min="12031" max="12032" width="7.28515625" style="168" customWidth="1"/>
    <col min="12033" max="12034" width="7.28515625" style="168" bestFit="1" customWidth="1"/>
    <col min="12035" max="12037" width="7.28515625" style="168" customWidth="1"/>
    <col min="12038" max="12043" width="0" style="168" hidden="1" customWidth="1"/>
    <col min="12044" max="12044" width="7.85546875" style="168" customWidth="1"/>
    <col min="12045" max="12283" width="11.42578125" style="168"/>
    <col min="12284" max="12284" width="18.140625" style="168" customWidth="1"/>
    <col min="12285" max="12285" width="7.85546875" style="168" bestFit="1" customWidth="1"/>
    <col min="12286" max="12286" width="7.28515625" style="168" bestFit="1" customWidth="1"/>
    <col min="12287" max="12288" width="7.28515625" style="168" customWidth="1"/>
    <col min="12289" max="12290" width="7.28515625" style="168" bestFit="1" customWidth="1"/>
    <col min="12291" max="12293" width="7.28515625" style="168" customWidth="1"/>
    <col min="12294" max="12299" width="0" style="168" hidden="1" customWidth="1"/>
    <col min="12300" max="12300" width="7.85546875" style="168" customWidth="1"/>
    <col min="12301" max="12539" width="11.42578125" style="168"/>
    <col min="12540" max="12540" width="18.140625" style="168" customWidth="1"/>
    <col min="12541" max="12541" width="7.85546875" style="168" bestFit="1" customWidth="1"/>
    <col min="12542" max="12542" width="7.28515625" style="168" bestFit="1" customWidth="1"/>
    <col min="12543" max="12544" width="7.28515625" style="168" customWidth="1"/>
    <col min="12545" max="12546" width="7.28515625" style="168" bestFit="1" customWidth="1"/>
    <col min="12547" max="12549" width="7.28515625" style="168" customWidth="1"/>
    <col min="12550" max="12555" width="0" style="168" hidden="1" customWidth="1"/>
    <col min="12556" max="12556" width="7.85546875" style="168" customWidth="1"/>
    <col min="12557" max="12795" width="11.42578125" style="168"/>
    <col min="12796" max="12796" width="18.140625" style="168" customWidth="1"/>
    <col min="12797" max="12797" width="7.85546875" style="168" bestFit="1" customWidth="1"/>
    <col min="12798" max="12798" width="7.28515625" style="168" bestFit="1" customWidth="1"/>
    <col min="12799" max="12800" width="7.28515625" style="168" customWidth="1"/>
    <col min="12801" max="12802" width="7.28515625" style="168" bestFit="1" customWidth="1"/>
    <col min="12803" max="12805" width="7.28515625" style="168" customWidth="1"/>
    <col min="12806" max="12811" width="0" style="168" hidden="1" customWidth="1"/>
    <col min="12812" max="12812" width="7.85546875" style="168" customWidth="1"/>
    <col min="12813" max="13051" width="11.42578125" style="168"/>
    <col min="13052" max="13052" width="18.140625" style="168" customWidth="1"/>
    <col min="13053" max="13053" width="7.85546875" style="168" bestFit="1" customWidth="1"/>
    <col min="13054" max="13054" width="7.28515625" style="168" bestFit="1" customWidth="1"/>
    <col min="13055" max="13056" width="7.28515625" style="168" customWidth="1"/>
    <col min="13057" max="13058" width="7.28515625" style="168" bestFit="1" customWidth="1"/>
    <col min="13059" max="13061" width="7.28515625" style="168" customWidth="1"/>
    <col min="13062" max="13067" width="0" style="168" hidden="1" customWidth="1"/>
    <col min="13068" max="13068" width="7.85546875" style="168" customWidth="1"/>
    <col min="13069" max="13307" width="11.42578125" style="168"/>
    <col min="13308" max="13308" width="18.140625" style="168" customWidth="1"/>
    <col min="13309" max="13309" width="7.85546875" style="168" bestFit="1" customWidth="1"/>
    <col min="13310" max="13310" width="7.28515625" style="168" bestFit="1" customWidth="1"/>
    <col min="13311" max="13312" width="7.28515625" style="168" customWidth="1"/>
    <col min="13313" max="13314" width="7.28515625" style="168" bestFit="1" customWidth="1"/>
    <col min="13315" max="13317" width="7.28515625" style="168" customWidth="1"/>
    <col min="13318" max="13323" width="0" style="168" hidden="1" customWidth="1"/>
    <col min="13324" max="13324" width="7.85546875" style="168" customWidth="1"/>
    <col min="13325" max="13563" width="11.42578125" style="168"/>
    <col min="13564" max="13564" width="18.140625" style="168" customWidth="1"/>
    <col min="13565" max="13565" width="7.85546875" style="168" bestFit="1" customWidth="1"/>
    <col min="13566" max="13566" width="7.28515625" style="168" bestFit="1" customWidth="1"/>
    <col min="13567" max="13568" width="7.28515625" style="168" customWidth="1"/>
    <col min="13569" max="13570" width="7.28515625" style="168" bestFit="1" customWidth="1"/>
    <col min="13571" max="13573" width="7.28515625" style="168" customWidth="1"/>
    <col min="13574" max="13579" width="0" style="168" hidden="1" customWidth="1"/>
    <col min="13580" max="13580" width="7.85546875" style="168" customWidth="1"/>
    <col min="13581" max="13819" width="11.42578125" style="168"/>
    <col min="13820" max="13820" width="18.140625" style="168" customWidth="1"/>
    <col min="13821" max="13821" width="7.85546875" style="168" bestFit="1" customWidth="1"/>
    <col min="13822" max="13822" width="7.28515625" style="168" bestFit="1" customWidth="1"/>
    <col min="13823" max="13824" width="7.28515625" style="168" customWidth="1"/>
    <col min="13825" max="13826" width="7.28515625" style="168" bestFit="1" customWidth="1"/>
    <col min="13827" max="13829" width="7.28515625" style="168" customWidth="1"/>
    <col min="13830" max="13835" width="0" style="168" hidden="1" customWidth="1"/>
    <col min="13836" max="13836" width="7.85546875" style="168" customWidth="1"/>
    <col min="13837" max="14075" width="11.42578125" style="168"/>
    <col min="14076" max="14076" width="18.140625" style="168" customWidth="1"/>
    <col min="14077" max="14077" width="7.85546875" style="168" bestFit="1" customWidth="1"/>
    <col min="14078" max="14078" width="7.28515625" style="168" bestFit="1" customWidth="1"/>
    <col min="14079" max="14080" width="7.28515625" style="168" customWidth="1"/>
    <col min="14081" max="14082" width="7.28515625" style="168" bestFit="1" customWidth="1"/>
    <col min="14083" max="14085" width="7.28515625" style="168" customWidth="1"/>
    <col min="14086" max="14091" width="0" style="168" hidden="1" customWidth="1"/>
    <col min="14092" max="14092" width="7.85546875" style="168" customWidth="1"/>
    <col min="14093" max="14331" width="11.42578125" style="168"/>
    <col min="14332" max="14332" width="18.140625" style="168" customWidth="1"/>
    <col min="14333" max="14333" width="7.85546875" style="168" bestFit="1" customWidth="1"/>
    <col min="14334" max="14334" width="7.28515625" style="168" bestFit="1" customWidth="1"/>
    <col min="14335" max="14336" width="7.28515625" style="168" customWidth="1"/>
    <col min="14337" max="14338" width="7.28515625" style="168" bestFit="1" customWidth="1"/>
    <col min="14339" max="14341" width="7.28515625" style="168" customWidth="1"/>
    <col min="14342" max="14347" width="0" style="168" hidden="1" customWidth="1"/>
    <col min="14348" max="14348" width="7.85546875" style="168" customWidth="1"/>
    <col min="14349" max="14587" width="11.42578125" style="168"/>
    <col min="14588" max="14588" width="18.140625" style="168" customWidth="1"/>
    <col min="14589" max="14589" width="7.85546875" style="168" bestFit="1" customWidth="1"/>
    <col min="14590" max="14590" width="7.28515625" style="168" bestFit="1" customWidth="1"/>
    <col min="14591" max="14592" width="7.28515625" style="168" customWidth="1"/>
    <col min="14593" max="14594" width="7.28515625" style="168" bestFit="1" customWidth="1"/>
    <col min="14595" max="14597" width="7.28515625" style="168" customWidth="1"/>
    <col min="14598" max="14603" width="0" style="168" hidden="1" customWidth="1"/>
    <col min="14604" max="14604" width="7.85546875" style="168" customWidth="1"/>
    <col min="14605" max="14843" width="11.42578125" style="168"/>
    <col min="14844" max="14844" width="18.140625" style="168" customWidth="1"/>
    <col min="14845" max="14845" width="7.85546875" style="168" bestFit="1" customWidth="1"/>
    <col min="14846" max="14846" width="7.28515625" style="168" bestFit="1" customWidth="1"/>
    <col min="14847" max="14848" width="7.28515625" style="168" customWidth="1"/>
    <col min="14849" max="14850" width="7.28515625" style="168" bestFit="1" customWidth="1"/>
    <col min="14851" max="14853" width="7.28515625" style="168" customWidth="1"/>
    <col min="14854" max="14859" width="0" style="168" hidden="1" customWidth="1"/>
    <col min="14860" max="14860" width="7.85546875" style="168" customWidth="1"/>
    <col min="14861" max="15099" width="11.42578125" style="168"/>
    <col min="15100" max="15100" width="18.140625" style="168" customWidth="1"/>
    <col min="15101" max="15101" width="7.85546875" style="168" bestFit="1" customWidth="1"/>
    <col min="15102" max="15102" width="7.28515625" style="168" bestFit="1" customWidth="1"/>
    <col min="15103" max="15104" width="7.28515625" style="168" customWidth="1"/>
    <col min="15105" max="15106" width="7.28515625" style="168" bestFit="1" customWidth="1"/>
    <col min="15107" max="15109" width="7.28515625" style="168" customWidth="1"/>
    <col min="15110" max="15115" width="0" style="168" hidden="1" customWidth="1"/>
    <col min="15116" max="15116" width="7.85546875" style="168" customWidth="1"/>
    <col min="15117" max="15355" width="11.42578125" style="168"/>
    <col min="15356" max="15356" width="18.140625" style="168" customWidth="1"/>
    <col min="15357" max="15357" width="7.85546875" style="168" bestFit="1" customWidth="1"/>
    <col min="15358" max="15358" width="7.28515625" style="168" bestFit="1" customWidth="1"/>
    <col min="15359" max="15360" width="7.28515625" style="168" customWidth="1"/>
    <col min="15361" max="15362" width="7.28515625" style="168" bestFit="1" customWidth="1"/>
    <col min="15363" max="15365" width="7.28515625" style="168" customWidth="1"/>
    <col min="15366" max="15371" width="0" style="168" hidden="1" customWidth="1"/>
    <col min="15372" max="15372" width="7.85546875" style="168" customWidth="1"/>
    <col min="15373" max="15611" width="11.42578125" style="168"/>
    <col min="15612" max="15612" width="18.140625" style="168" customWidth="1"/>
    <col min="15613" max="15613" width="7.85546875" style="168" bestFit="1" customWidth="1"/>
    <col min="15614" max="15614" width="7.28515625" style="168" bestFit="1" customWidth="1"/>
    <col min="15615" max="15616" width="7.28515625" style="168" customWidth="1"/>
    <col min="15617" max="15618" width="7.28515625" style="168" bestFit="1" customWidth="1"/>
    <col min="15619" max="15621" width="7.28515625" style="168" customWidth="1"/>
    <col min="15622" max="15627" width="0" style="168" hidden="1" customWidth="1"/>
    <col min="15628" max="15628" width="7.85546875" style="168" customWidth="1"/>
    <col min="15629" max="15867" width="11.42578125" style="168"/>
    <col min="15868" max="15868" width="18.140625" style="168" customWidth="1"/>
    <col min="15869" max="15869" width="7.85546875" style="168" bestFit="1" customWidth="1"/>
    <col min="15870" max="15870" width="7.28515625" style="168" bestFit="1" customWidth="1"/>
    <col min="15871" max="15872" width="7.28515625" style="168" customWidth="1"/>
    <col min="15873" max="15874" width="7.28515625" style="168" bestFit="1" customWidth="1"/>
    <col min="15875" max="15877" width="7.28515625" style="168" customWidth="1"/>
    <col min="15878" max="15883" width="0" style="168" hidden="1" customWidth="1"/>
    <col min="15884" max="15884" width="7.85546875" style="168" customWidth="1"/>
    <col min="15885" max="16123" width="11.42578125" style="168"/>
    <col min="16124" max="16124" width="18.140625" style="168" customWidth="1"/>
    <col min="16125" max="16125" width="7.85546875" style="168" bestFit="1" customWidth="1"/>
    <col min="16126" max="16126" width="7.28515625" style="168" bestFit="1" customWidth="1"/>
    <col min="16127" max="16128" width="7.28515625" style="168" customWidth="1"/>
    <col min="16129" max="16130" width="7.28515625" style="168" bestFit="1" customWidth="1"/>
    <col min="16131" max="16133" width="7.28515625" style="168" customWidth="1"/>
    <col min="16134" max="16139" width="0" style="168" hidden="1" customWidth="1"/>
    <col min="16140" max="16140" width="7.85546875" style="168" customWidth="1"/>
    <col min="16141" max="16384" width="11.42578125" style="168"/>
  </cols>
  <sheetData>
    <row r="1" spans="1:16" s="169" customFormat="1" x14ac:dyDescent="0.2"/>
    <row r="2" spans="1:16" s="169" customFormat="1" x14ac:dyDescent="0.2">
      <c r="A2" s="196" t="s">
        <v>121</v>
      </c>
    </row>
    <row r="3" spans="1:16" s="169" customFormat="1" ht="15" x14ac:dyDescent="0.25">
      <c r="A3" s="196" t="s">
        <v>122</v>
      </c>
      <c r="K3" s="337"/>
    </row>
    <row r="4" spans="1:16" s="169" customFormat="1" x14ac:dyDescent="0.2"/>
    <row r="5" spans="1:16" s="169" customFormat="1" ht="12.75" x14ac:dyDescent="0.2">
      <c r="B5" s="418" t="s">
        <v>113</v>
      </c>
      <c r="C5" s="418"/>
      <c r="D5" s="418"/>
      <c r="E5" s="418"/>
      <c r="F5" s="418"/>
      <c r="G5" s="418"/>
      <c r="H5" s="418"/>
      <c r="I5" s="418"/>
      <c r="J5" s="418"/>
      <c r="K5" s="418"/>
      <c r="M5" s="367" t="s">
        <v>593</v>
      </c>
      <c r="O5" s="338"/>
    </row>
    <row r="6" spans="1:16" s="169" customFormat="1" ht="12.75" x14ac:dyDescent="0.2">
      <c r="B6" s="431" t="str">
        <f>'Solicitudes Regiones'!$B$6:$P$6</f>
        <v>Acumuladas de julio de 2008 a noviembre de 2018</v>
      </c>
      <c r="C6" s="431"/>
      <c r="D6" s="431"/>
      <c r="E6" s="431"/>
      <c r="F6" s="431"/>
      <c r="G6" s="431"/>
      <c r="H6" s="431"/>
      <c r="I6" s="431"/>
      <c r="J6" s="431"/>
      <c r="K6" s="431"/>
      <c r="L6" s="210"/>
    </row>
    <row r="7" spans="1:16" s="172" customFormat="1" x14ac:dyDescent="0.2">
      <c r="B7" s="170"/>
      <c r="C7" s="171"/>
      <c r="D7" s="171"/>
      <c r="E7" s="171"/>
      <c r="F7" s="171"/>
      <c r="G7" s="171"/>
      <c r="H7" s="171"/>
      <c r="I7" s="171"/>
      <c r="J7" s="171"/>
      <c r="K7" s="171"/>
      <c r="L7" s="171"/>
    </row>
    <row r="8" spans="1:16" ht="15" customHeight="1" x14ac:dyDescent="0.2">
      <c r="B8" s="447" t="s">
        <v>73</v>
      </c>
      <c r="C8" s="448"/>
      <c r="D8" s="448"/>
      <c r="E8" s="448"/>
      <c r="F8" s="448"/>
      <c r="G8" s="448"/>
      <c r="H8" s="448"/>
      <c r="I8" s="448"/>
      <c r="J8" s="448"/>
      <c r="K8" s="449"/>
      <c r="L8" s="187"/>
    </row>
    <row r="9" spans="1:16" ht="20.25" customHeight="1" x14ac:dyDescent="0.2">
      <c r="B9" s="446" t="s">
        <v>74</v>
      </c>
      <c r="C9" s="447" t="s">
        <v>2</v>
      </c>
      <c r="D9" s="448"/>
      <c r="E9" s="448"/>
      <c r="F9" s="448"/>
      <c r="G9" s="448"/>
      <c r="H9" s="448"/>
      <c r="I9" s="448"/>
      <c r="J9" s="448"/>
      <c r="K9" s="449"/>
    </row>
    <row r="10" spans="1:16" ht="24" x14ac:dyDescent="0.2">
      <c r="B10" s="446"/>
      <c r="C10" s="226" t="s">
        <v>75</v>
      </c>
      <c r="D10" s="226" t="s">
        <v>76</v>
      </c>
      <c r="E10" s="226" t="s">
        <v>77</v>
      </c>
      <c r="F10" s="226" t="s">
        <v>78</v>
      </c>
      <c r="G10" s="226" t="s">
        <v>8</v>
      </c>
      <c r="H10" s="226" t="s">
        <v>79</v>
      </c>
      <c r="I10" s="226" t="s">
        <v>80</v>
      </c>
      <c r="J10" s="226" t="s">
        <v>81</v>
      </c>
      <c r="K10" s="226" t="s">
        <v>46</v>
      </c>
    </row>
    <row r="11" spans="1:16" x14ac:dyDescent="0.2">
      <c r="B11" s="160" t="s">
        <v>379</v>
      </c>
      <c r="C11" s="160">
        <v>1462</v>
      </c>
      <c r="D11" s="160">
        <v>755</v>
      </c>
      <c r="E11" s="160">
        <f>C11+D11</f>
        <v>2217</v>
      </c>
      <c r="F11" s="161">
        <f>E11/$E$41</f>
        <v>5.7146539502513208E-2</v>
      </c>
      <c r="G11" s="160">
        <v>1668</v>
      </c>
      <c r="H11" s="160">
        <v>157</v>
      </c>
      <c r="I11" s="160">
        <f>G11+H11</f>
        <v>1825</v>
      </c>
      <c r="J11" s="161">
        <f>I11/$I$41</f>
        <v>3.1026334132367692E-2</v>
      </c>
      <c r="K11" s="160">
        <f t="shared" ref="K11:K40" si="0">E11+I11</f>
        <v>4042</v>
      </c>
      <c r="P11" s="173"/>
    </row>
    <row r="12" spans="1:16" x14ac:dyDescent="0.2">
      <c r="B12" s="160" t="s">
        <v>380</v>
      </c>
      <c r="C12" s="160">
        <v>798</v>
      </c>
      <c r="D12" s="160">
        <v>425</v>
      </c>
      <c r="E12" s="160">
        <f t="shared" ref="E12:E40" si="1">C12+D12</f>
        <v>1223</v>
      </c>
      <c r="F12" s="161">
        <f t="shared" ref="F12:F40" si="2">E12/$E$41</f>
        <v>3.1524681015594795E-2</v>
      </c>
      <c r="G12" s="160">
        <v>2476</v>
      </c>
      <c r="H12" s="160">
        <v>124</v>
      </c>
      <c r="I12" s="160">
        <f t="shared" ref="I12:I40" si="3">G12+H12</f>
        <v>2600</v>
      </c>
      <c r="J12" s="161">
        <f t="shared" ref="J12:J40" si="4">I12/$I$41</f>
        <v>4.4201900681729314E-2</v>
      </c>
      <c r="K12" s="160">
        <f t="shared" si="0"/>
        <v>3823</v>
      </c>
      <c r="P12" s="173"/>
    </row>
    <row r="13" spans="1:16" x14ac:dyDescent="0.2">
      <c r="B13" s="160" t="s">
        <v>381</v>
      </c>
      <c r="C13" s="160">
        <v>619</v>
      </c>
      <c r="D13" s="160">
        <v>415</v>
      </c>
      <c r="E13" s="160">
        <f t="shared" si="1"/>
        <v>1034</v>
      </c>
      <c r="F13" s="161">
        <f t="shared" si="2"/>
        <v>2.6652919190617349E-2</v>
      </c>
      <c r="G13" s="160">
        <v>1122</v>
      </c>
      <c r="H13" s="160">
        <v>129</v>
      </c>
      <c r="I13" s="160">
        <f t="shared" si="3"/>
        <v>1251</v>
      </c>
      <c r="J13" s="161">
        <f t="shared" si="4"/>
        <v>2.1267914520324373E-2</v>
      </c>
      <c r="K13" s="160">
        <f t="shared" si="0"/>
        <v>2285</v>
      </c>
      <c r="P13" s="173"/>
    </row>
    <row r="14" spans="1:16" x14ac:dyDescent="0.2">
      <c r="B14" s="160" t="s">
        <v>382</v>
      </c>
      <c r="C14" s="160">
        <v>439</v>
      </c>
      <c r="D14" s="160">
        <v>293</v>
      </c>
      <c r="E14" s="160">
        <f t="shared" si="1"/>
        <v>732</v>
      </c>
      <c r="F14" s="161">
        <f t="shared" si="2"/>
        <v>1.8868410877690422E-2</v>
      </c>
      <c r="G14" s="160">
        <v>484</v>
      </c>
      <c r="H14" s="160">
        <v>48</v>
      </c>
      <c r="I14" s="160">
        <f t="shared" si="3"/>
        <v>532</v>
      </c>
      <c r="J14" s="161">
        <f t="shared" si="4"/>
        <v>9.0443889087230746E-3</v>
      </c>
      <c r="K14" s="160">
        <f t="shared" si="0"/>
        <v>1264</v>
      </c>
      <c r="P14" s="173"/>
    </row>
    <row r="15" spans="1:16" x14ac:dyDescent="0.2">
      <c r="B15" s="160" t="s">
        <v>383</v>
      </c>
      <c r="C15" s="160">
        <v>749</v>
      </c>
      <c r="D15" s="160">
        <v>502</v>
      </c>
      <c r="E15" s="160">
        <f t="shared" si="1"/>
        <v>1251</v>
      </c>
      <c r="F15" s="161">
        <f t="shared" si="2"/>
        <v>3.2246423508184047E-2</v>
      </c>
      <c r="G15" s="160">
        <v>2179</v>
      </c>
      <c r="H15" s="160">
        <v>178</v>
      </c>
      <c r="I15" s="160">
        <f t="shared" si="3"/>
        <v>2357</v>
      </c>
      <c r="J15" s="161">
        <f t="shared" si="4"/>
        <v>4.0070723041090765E-2</v>
      </c>
      <c r="K15" s="160">
        <f t="shared" si="0"/>
        <v>3608</v>
      </c>
      <c r="P15" s="173"/>
    </row>
    <row r="16" spans="1:16" x14ac:dyDescent="0.2">
      <c r="B16" s="160" t="s">
        <v>384</v>
      </c>
      <c r="C16" s="160">
        <v>509</v>
      </c>
      <c r="D16" s="160">
        <v>463</v>
      </c>
      <c r="E16" s="160">
        <f t="shared" si="1"/>
        <v>972</v>
      </c>
      <c r="F16" s="161">
        <f t="shared" si="2"/>
        <v>2.5054775099884005E-2</v>
      </c>
      <c r="G16" s="160">
        <v>1139</v>
      </c>
      <c r="H16" s="160">
        <v>158</v>
      </c>
      <c r="I16" s="160">
        <f t="shared" si="3"/>
        <v>1297</v>
      </c>
      <c r="J16" s="161">
        <f t="shared" si="4"/>
        <v>2.2049948147770355E-2</v>
      </c>
      <c r="K16" s="160">
        <f t="shared" si="0"/>
        <v>2269</v>
      </c>
      <c r="P16" s="173"/>
    </row>
    <row r="17" spans="2:16" x14ac:dyDescent="0.2">
      <c r="B17" s="160" t="s">
        <v>385</v>
      </c>
      <c r="C17" s="160">
        <v>103</v>
      </c>
      <c r="D17" s="160">
        <v>33</v>
      </c>
      <c r="E17" s="160">
        <f t="shared" si="1"/>
        <v>136</v>
      </c>
      <c r="F17" s="161">
        <f t="shared" si="2"/>
        <v>3.505606392576363E-3</v>
      </c>
      <c r="G17" s="160">
        <v>153</v>
      </c>
      <c r="H17" s="160">
        <v>4</v>
      </c>
      <c r="I17" s="160">
        <f t="shared" si="3"/>
        <v>157</v>
      </c>
      <c r="J17" s="161">
        <f t="shared" si="4"/>
        <v>2.6691147719351931E-3</v>
      </c>
      <c r="K17" s="160">
        <f t="shared" si="0"/>
        <v>293</v>
      </c>
      <c r="P17" s="173"/>
    </row>
    <row r="18" spans="2:16" x14ac:dyDescent="0.2">
      <c r="B18" s="160" t="s">
        <v>386</v>
      </c>
      <c r="C18" s="160">
        <v>5072</v>
      </c>
      <c r="D18" s="160">
        <v>2760</v>
      </c>
      <c r="E18" s="160">
        <f t="shared" si="1"/>
        <v>7832</v>
      </c>
      <c r="F18" s="161">
        <f t="shared" si="2"/>
        <v>0.20188168578425056</v>
      </c>
      <c r="G18" s="160">
        <v>12511</v>
      </c>
      <c r="H18" s="160">
        <v>1079</v>
      </c>
      <c r="I18" s="160">
        <f t="shared" si="3"/>
        <v>13590</v>
      </c>
      <c r="J18" s="161">
        <f t="shared" si="4"/>
        <v>0.23103993471719284</v>
      </c>
      <c r="K18" s="160">
        <f t="shared" si="0"/>
        <v>21422</v>
      </c>
      <c r="P18" s="173"/>
    </row>
    <row r="19" spans="2:16" x14ac:dyDescent="0.2">
      <c r="B19" s="160" t="s">
        <v>387</v>
      </c>
      <c r="C19" s="160">
        <v>220</v>
      </c>
      <c r="D19" s="160">
        <v>79</v>
      </c>
      <c r="E19" s="160">
        <f t="shared" si="1"/>
        <v>299</v>
      </c>
      <c r="F19" s="161">
        <f t="shared" si="2"/>
        <v>7.7071787601495035E-3</v>
      </c>
      <c r="G19" s="160">
        <v>205</v>
      </c>
      <c r="H19" s="160">
        <v>19</v>
      </c>
      <c r="I19" s="160">
        <f t="shared" si="3"/>
        <v>224</v>
      </c>
      <c r="J19" s="161">
        <f t="shared" si="4"/>
        <v>3.808163751041295E-3</v>
      </c>
      <c r="K19" s="160">
        <f t="shared" si="0"/>
        <v>523</v>
      </c>
      <c r="P19" s="173"/>
    </row>
    <row r="20" spans="2:16" x14ac:dyDescent="0.2">
      <c r="B20" s="160" t="s">
        <v>388</v>
      </c>
      <c r="C20" s="160">
        <v>938</v>
      </c>
      <c r="D20" s="160">
        <v>603</v>
      </c>
      <c r="E20" s="160">
        <f t="shared" si="1"/>
        <v>1541</v>
      </c>
      <c r="F20" s="161">
        <f t="shared" si="2"/>
        <v>3.9721613610001288E-2</v>
      </c>
      <c r="G20" s="160">
        <v>827</v>
      </c>
      <c r="H20" s="160">
        <v>83</v>
      </c>
      <c r="I20" s="160">
        <f t="shared" si="3"/>
        <v>910</v>
      </c>
      <c r="J20" s="161">
        <f t="shared" si="4"/>
        <v>1.547066523860526E-2</v>
      </c>
      <c r="K20" s="160">
        <f t="shared" si="0"/>
        <v>2451</v>
      </c>
      <c r="P20" s="173"/>
    </row>
    <row r="21" spans="2:16" x14ac:dyDescent="0.2">
      <c r="B21" s="160" t="s">
        <v>389</v>
      </c>
      <c r="C21" s="160">
        <v>1162</v>
      </c>
      <c r="D21" s="160">
        <v>722</v>
      </c>
      <c r="E21" s="160">
        <f t="shared" si="1"/>
        <v>1884</v>
      </c>
      <c r="F21" s="161">
        <f t="shared" si="2"/>
        <v>4.8562959144219618E-2</v>
      </c>
      <c r="G21" s="160">
        <v>3772</v>
      </c>
      <c r="H21" s="160">
        <v>243</v>
      </c>
      <c r="I21" s="160">
        <f t="shared" si="3"/>
        <v>4015</v>
      </c>
      <c r="J21" s="161">
        <f t="shared" si="4"/>
        <v>6.8257935091208921E-2</v>
      </c>
      <c r="K21" s="160">
        <f t="shared" si="0"/>
        <v>5899</v>
      </c>
      <c r="P21" s="173"/>
    </row>
    <row r="22" spans="2:16" x14ac:dyDescent="0.2">
      <c r="B22" s="160" t="s">
        <v>390</v>
      </c>
      <c r="C22" s="160">
        <v>193</v>
      </c>
      <c r="D22" s="160">
        <v>143</v>
      </c>
      <c r="E22" s="160">
        <f t="shared" si="1"/>
        <v>336</v>
      </c>
      <c r="F22" s="161">
        <f t="shared" si="2"/>
        <v>8.6609099110710151E-3</v>
      </c>
      <c r="G22" s="160">
        <v>267</v>
      </c>
      <c r="H22" s="160">
        <v>31</v>
      </c>
      <c r="I22" s="160">
        <f t="shared" si="3"/>
        <v>298</v>
      </c>
      <c r="J22" s="161">
        <f t="shared" si="4"/>
        <v>5.0662178473674371E-3</v>
      </c>
      <c r="K22" s="160">
        <f t="shared" si="0"/>
        <v>634</v>
      </c>
      <c r="P22" s="173"/>
    </row>
    <row r="23" spans="2:16" x14ac:dyDescent="0.2">
      <c r="B23" s="160" t="s">
        <v>391</v>
      </c>
      <c r="C23" s="160">
        <v>190</v>
      </c>
      <c r="D23" s="160">
        <v>115</v>
      </c>
      <c r="E23" s="160">
        <f t="shared" si="1"/>
        <v>305</v>
      </c>
      <c r="F23" s="161">
        <f t="shared" si="2"/>
        <v>7.8618378657043433E-3</v>
      </c>
      <c r="G23" s="160">
        <v>326</v>
      </c>
      <c r="H23" s="160">
        <v>26</v>
      </c>
      <c r="I23" s="160">
        <f t="shared" si="3"/>
        <v>352</v>
      </c>
      <c r="J23" s="161">
        <f t="shared" si="4"/>
        <v>5.9842573230648914E-3</v>
      </c>
      <c r="K23" s="160">
        <f t="shared" si="0"/>
        <v>657</v>
      </c>
      <c r="P23" s="173"/>
    </row>
    <row r="24" spans="2:16" x14ac:dyDescent="0.2">
      <c r="B24" s="160" t="s">
        <v>392</v>
      </c>
      <c r="C24" s="160">
        <v>402</v>
      </c>
      <c r="D24" s="160">
        <v>292</v>
      </c>
      <c r="E24" s="160">
        <f t="shared" si="1"/>
        <v>694</v>
      </c>
      <c r="F24" s="161">
        <f t="shared" si="2"/>
        <v>1.7888903209176441E-2</v>
      </c>
      <c r="G24" s="160">
        <v>845</v>
      </c>
      <c r="H24" s="160">
        <v>120</v>
      </c>
      <c r="I24" s="160">
        <f t="shared" si="3"/>
        <v>965</v>
      </c>
      <c r="J24" s="161">
        <f t="shared" si="4"/>
        <v>1.6405705445334151E-2</v>
      </c>
      <c r="K24" s="160">
        <f t="shared" si="0"/>
        <v>1659</v>
      </c>
      <c r="P24" s="173"/>
    </row>
    <row r="25" spans="2:16" ht="16.5" customHeight="1" x14ac:dyDescent="0.2">
      <c r="B25" s="160" t="s">
        <v>393</v>
      </c>
      <c r="C25" s="160">
        <v>497</v>
      </c>
      <c r="D25" s="160">
        <v>401</v>
      </c>
      <c r="E25" s="160">
        <f t="shared" si="1"/>
        <v>898</v>
      </c>
      <c r="F25" s="161">
        <f t="shared" si="2"/>
        <v>2.3147312798040984E-2</v>
      </c>
      <c r="G25" s="160">
        <v>392</v>
      </c>
      <c r="H25" s="160">
        <v>78</v>
      </c>
      <c r="I25" s="160">
        <f t="shared" si="3"/>
        <v>470</v>
      </c>
      <c r="J25" s="161">
        <f t="shared" si="4"/>
        <v>7.9903435847741445E-3</v>
      </c>
      <c r="K25" s="160">
        <f t="shared" si="0"/>
        <v>1368</v>
      </c>
      <c r="P25" s="173"/>
    </row>
    <row r="26" spans="2:16" x14ac:dyDescent="0.2">
      <c r="B26" s="160" t="s">
        <v>394</v>
      </c>
      <c r="C26" s="160">
        <v>138</v>
      </c>
      <c r="D26" s="160">
        <v>53</v>
      </c>
      <c r="E26" s="160">
        <f t="shared" si="1"/>
        <v>191</v>
      </c>
      <c r="F26" s="161">
        <f t="shared" si="2"/>
        <v>4.9233148601623916E-3</v>
      </c>
      <c r="G26" s="160">
        <v>158</v>
      </c>
      <c r="H26" s="160">
        <v>13</v>
      </c>
      <c r="I26" s="160">
        <f t="shared" si="3"/>
        <v>171</v>
      </c>
      <c r="J26" s="161">
        <f t="shared" si="4"/>
        <v>2.907125006375274E-3</v>
      </c>
      <c r="K26" s="160">
        <f t="shared" si="0"/>
        <v>362</v>
      </c>
      <c r="P26" s="173"/>
    </row>
    <row r="27" spans="2:16" x14ac:dyDescent="0.2">
      <c r="B27" s="160" t="s">
        <v>395</v>
      </c>
      <c r="C27" s="160">
        <v>304</v>
      </c>
      <c r="D27" s="160">
        <v>262</v>
      </c>
      <c r="E27" s="160">
        <f t="shared" si="1"/>
        <v>566</v>
      </c>
      <c r="F27" s="161">
        <f t="shared" si="2"/>
        <v>1.4589508957339863E-2</v>
      </c>
      <c r="G27" s="160">
        <v>391</v>
      </c>
      <c r="H27" s="160">
        <v>66</v>
      </c>
      <c r="I27" s="160">
        <f t="shared" si="3"/>
        <v>457</v>
      </c>
      <c r="J27" s="161">
        <f t="shared" si="4"/>
        <v>7.7693340813654987E-3</v>
      </c>
      <c r="K27" s="160">
        <f t="shared" si="0"/>
        <v>1023</v>
      </c>
      <c r="P27" s="173"/>
    </row>
    <row r="28" spans="2:16" x14ac:dyDescent="0.2">
      <c r="B28" s="160" t="s">
        <v>396</v>
      </c>
      <c r="C28" s="160">
        <v>4248</v>
      </c>
      <c r="D28" s="160">
        <v>2665</v>
      </c>
      <c r="E28" s="160">
        <f t="shared" si="1"/>
        <v>6913</v>
      </c>
      <c r="F28" s="161">
        <f t="shared" si="2"/>
        <v>0.17819306611676763</v>
      </c>
      <c r="G28" s="160">
        <v>12568</v>
      </c>
      <c r="H28" s="160">
        <v>1315</v>
      </c>
      <c r="I28" s="160">
        <f t="shared" si="3"/>
        <v>13883</v>
      </c>
      <c r="J28" s="161">
        <f t="shared" si="4"/>
        <v>0.23602114890940309</v>
      </c>
      <c r="K28" s="160">
        <f t="shared" si="0"/>
        <v>20796</v>
      </c>
      <c r="P28" s="173"/>
    </row>
    <row r="29" spans="2:16" x14ac:dyDescent="0.2">
      <c r="B29" s="160" t="s">
        <v>397</v>
      </c>
      <c r="C29" s="160">
        <v>433</v>
      </c>
      <c r="D29" s="160">
        <v>323</v>
      </c>
      <c r="E29" s="160">
        <f t="shared" si="1"/>
        <v>756</v>
      </c>
      <c r="F29" s="161">
        <f t="shared" si="2"/>
        <v>1.9487047299909781E-2</v>
      </c>
      <c r="G29" s="160">
        <v>865</v>
      </c>
      <c r="H29" s="160">
        <v>111</v>
      </c>
      <c r="I29" s="160">
        <f t="shared" si="3"/>
        <v>976</v>
      </c>
      <c r="J29" s="161">
        <f t="shared" si="4"/>
        <v>1.6592713486679928E-2</v>
      </c>
      <c r="K29" s="160">
        <f t="shared" si="0"/>
        <v>1732</v>
      </c>
      <c r="P29" s="173"/>
    </row>
    <row r="30" spans="2:16" x14ac:dyDescent="0.2">
      <c r="B30" s="160" t="s">
        <v>398</v>
      </c>
      <c r="C30" s="160">
        <v>264</v>
      </c>
      <c r="D30" s="160">
        <v>198</v>
      </c>
      <c r="E30" s="160">
        <f t="shared" si="1"/>
        <v>462</v>
      </c>
      <c r="F30" s="161">
        <f t="shared" si="2"/>
        <v>1.1908751127722645E-2</v>
      </c>
      <c r="G30" s="160">
        <v>562</v>
      </c>
      <c r="H30" s="160">
        <v>57</v>
      </c>
      <c r="I30" s="160">
        <f t="shared" si="3"/>
        <v>619</v>
      </c>
      <c r="J30" s="161">
        <f t="shared" si="4"/>
        <v>1.0523452508457863E-2</v>
      </c>
      <c r="K30" s="160">
        <f t="shared" si="0"/>
        <v>1081</v>
      </c>
      <c r="P30" s="173"/>
    </row>
    <row r="31" spans="2:16" x14ac:dyDescent="0.2">
      <c r="B31" s="160" t="s">
        <v>399</v>
      </c>
      <c r="C31" s="160">
        <v>546</v>
      </c>
      <c r="D31" s="160">
        <v>339</v>
      </c>
      <c r="E31" s="160">
        <f t="shared" si="1"/>
        <v>885</v>
      </c>
      <c r="F31" s="161">
        <f t="shared" si="2"/>
        <v>2.2812218069338832E-2</v>
      </c>
      <c r="G31" s="160">
        <v>1448</v>
      </c>
      <c r="H31" s="160">
        <v>86</v>
      </c>
      <c r="I31" s="160">
        <f t="shared" si="3"/>
        <v>1534</v>
      </c>
      <c r="J31" s="161">
        <f t="shared" si="4"/>
        <v>2.6079121402220296E-2</v>
      </c>
      <c r="K31" s="160">
        <f t="shared" si="0"/>
        <v>2419</v>
      </c>
      <c r="P31" s="173"/>
    </row>
    <row r="32" spans="2:16" x14ac:dyDescent="0.2">
      <c r="B32" s="160" t="s">
        <v>400</v>
      </c>
      <c r="C32" s="160">
        <v>597</v>
      </c>
      <c r="D32" s="160">
        <v>317</v>
      </c>
      <c r="E32" s="160">
        <f t="shared" si="1"/>
        <v>914</v>
      </c>
      <c r="F32" s="161">
        <f t="shared" si="2"/>
        <v>2.3559737079520558E-2</v>
      </c>
      <c r="G32" s="160">
        <v>893</v>
      </c>
      <c r="H32" s="160">
        <v>72</v>
      </c>
      <c r="I32" s="160">
        <f t="shared" si="3"/>
        <v>965</v>
      </c>
      <c r="J32" s="161">
        <f t="shared" si="4"/>
        <v>1.6405705445334151E-2</v>
      </c>
      <c r="K32" s="160">
        <f t="shared" si="0"/>
        <v>1879</v>
      </c>
      <c r="P32" s="173"/>
    </row>
    <row r="33" spans="2:16" x14ac:dyDescent="0.2">
      <c r="B33" s="160" t="s">
        <v>401</v>
      </c>
      <c r="C33" s="160">
        <v>473</v>
      </c>
      <c r="D33" s="160">
        <v>393</v>
      </c>
      <c r="E33" s="160">
        <f t="shared" si="1"/>
        <v>866</v>
      </c>
      <c r="F33" s="161">
        <f t="shared" si="2"/>
        <v>2.232246423508184E-2</v>
      </c>
      <c r="G33" s="160">
        <v>1516</v>
      </c>
      <c r="H33" s="160">
        <v>85</v>
      </c>
      <c r="I33" s="160">
        <f t="shared" si="3"/>
        <v>1601</v>
      </c>
      <c r="J33" s="161">
        <f t="shared" si="4"/>
        <v>2.7218170381326397E-2</v>
      </c>
      <c r="K33" s="160">
        <f t="shared" si="0"/>
        <v>2467</v>
      </c>
      <c r="P33" s="173"/>
    </row>
    <row r="34" spans="2:16" x14ac:dyDescent="0.2">
      <c r="B34" s="160" t="s">
        <v>402</v>
      </c>
      <c r="C34" s="160">
        <v>1007</v>
      </c>
      <c r="D34" s="160">
        <v>670</v>
      </c>
      <c r="E34" s="160">
        <f t="shared" si="1"/>
        <v>1677</v>
      </c>
      <c r="F34" s="161">
        <f t="shared" si="2"/>
        <v>4.322722000257765E-2</v>
      </c>
      <c r="G34" s="160">
        <v>1103</v>
      </c>
      <c r="H34" s="160">
        <v>87</v>
      </c>
      <c r="I34" s="160">
        <f t="shared" si="3"/>
        <v>1190</v>
      </c>
      <c r="J34" s="161">
        <f t="shared" si="4"/>
        <v>2.0230869927406879E-2</v>
      </c>
      <c r="K34" s="160">
        <f t="shared" si="0"/>
        <v>2867</v>
      </c>
      <c r="P34" s="173"/>
    </row>
    <row r="35" spans="2:16" x14ac:dyDescent="0.2">
      <c r="B35" s="160" t="s">
        <v>403</v>
      </c>
      <c r="C35" s="160">
        <v>1181</v>
      </c>
      <c r="D35" s="160">
        <v>769</v>
      </c>
      <c r="E35" s="160">
        <f t="shared" si="1"/>
        <v>1950</v>
      </c>
      <c r="F35" s="161">
        <f t="shared" si="2"/>
        <v>5.0264209305322848E-2</v>
      </c>
      <c r="G35" s="160">
        <v>3439</v>
      </c>
      <c r="H35" s="160">
        <v>234</v>
      </c>
      <c r="I35" s="160">
        <f t="shared" si="3"/>
        <v>3673</v>
      </c>
      <c r="J35" s="161">
        <f t="shared" si="4"/>
        <v>6.2443685078458371E-2</v>
      </c>
      <c r="K35" s="160">
        <f t="shared" si="0"/>
        <v>5623</v>
      </c>
      <c r="P35" s="173"/>
    </row>
    <row r="36" spans="2:16" x14ac:dyDescent="0.2">
      <c r="B36" s="160" t="s">
        <v>404</v>
      </c>
      <c r="C36" s="160">
        <v>421</v>
      </c>
      <c r="D36" s="160">
        <v>260</v>
      </c>
      <c r="E36" s="160">
        <f t="shared" si="1"/>
        <v>681</v>
      </c>
      <c r="F36" s="161">
        <f t="shared" si="2"/>
        <v>1.7553808480474289E-2</v>
      </c>
      <c r="G36" s="160">
        <v>1019</v>
      </c>
      <c r="H36" s="160">
        <v>67</v>
      </c>
      <c r="I36" s="160">
        <f t="shared" si="3"/>
        <v>1086</v>
      </c>
      <c r="J36" s="161">
        <f t="shared" si="4"/>
        <v>1.8462793900137706E-2</v>
      </c>
      <c r="K36" s="160">
        <f t="shared" si="0"/>
        <v>1767</v>
      </c>
      <c r="P36" s="173"/>
    </row>
    <row r="37" spans="2:16" x14ac:dyDescent="0.2">
      <c r="B37" s="160" t="s">
        <v>405</v>
      </c>
      <c r="C37" s="160">
        <v>423</v>
      </c>
      <c r="D37" s="160">
        <v>215</v>
      </c>
      <c r="E37" s="160">
        <f t="shared" si="1"/>
        <v>638</v>
      </c>
      <c r="F37" s="161">
        <f t="shared" si="2"/>
        <v>1.6445418223997938E-2</v>
      </c>
      <c r="G37" s="160">
        <v>719</v>
      </c>
      <c r="H37" s="160">
        <v>85</v>
      </c>
      <c r="I37" s="160">
        <f t="shared" si="3"/>
        <v>804</v>
      </c>
      <c r="J37" s="161">
        <f t="shared" si="4"/>
        <v>1.3668587749273219E-2</v>
      </c>
      <c r="K37" s="160">
        <f t="shared" si="0"/>
        <v>1442</v>
      </c>
      <c r="P37" s="173"/>
    </row>
    <row r="38" spans="2:16" x14ac:dyDescent="0.2">
      <c r="B38" s="160" t="s">
        <v>406</v>
      </c>
      <c r="C38" s="160">
        <v>145</v>
      </c>
      <c r="D38" s="160">
        <v>74</v>
      </c>
      <c r="E38" s="160">
        <f t="shared" si="1"/>
        <v>219</v>
      </c>
      <c r="F38" s="161">
        <f t="shared" si="2"/>
        <v>5.6450573527516432E-3</v>
      </c>
      <c r="G38" s="160">
        <v>316</v>
      </c>
      <c r="H38" s="160">
        <v>23</v>
      </c>
      <c r="I38" s="160">
        <f t="shared" si="3"/>
        <v>339</v>
      </c>
      <c r="J38" s="161">
        <f t="shared" si="4"/>
        <v>5.7632478196562456E-3</v>
      </c>
      <c r="K38" s="160">
        <f t="shared" si="0"/>
        <v>558</v>
      </c>
      <c r="P38" s="173"/>
    </row>
    <row r="39" spans="2:16" x14ac:dyDescent="0.2">
      <c r="B39" s="160" t="s">
        <v>407</v>
      </c>
      <c r="C39" s="160">
        <v>405</v>
      </c>
      <c r="D39" s="160">
        <v>208</v>
      </c>
      <c r="E39" s="160">
        <f t="shared" si="1"/>
        <v>613</v>
      </c>
      <c r="F39" s="161">
        <f t="shared" si="2"/>
        <v>1.5801005284186105E-2</v>
      </c>
      <c r="G39" s="160">
        <v>458</v>
      </c>
      <c r="H39" s="160">
        <v>40</v>
      </c>
      <c r="I39" s="160">
        <f t="shared" si="3"/>
        <v>498</v>
      </c>
      <c r="J39" s="161">
        <f t="shared" si="4"/>
        <v>8.4663640536543072E-3</v>
      </c>
      <c r="K39" s="160">
        <f t="shared" si="0"/>
        <v>1111</v>
      </c>
      <c r="P39" s="173"/>
    </row>
    <row r="40" spans="2:16" x14ac:dyDescent="0.2">
      <c r="B40" s="160" t="s">
        <v>408</v>
      </c>
      <c r="C40" s="160">
        <v>89</v>
      </c>
      <c r="D40" s="160">
        <v>21</v>
      </c>
      <c r="E40" s="160">
        <f t="shared" si="1"/>
        <v>110</v>
      </c>
      <c r="F40" s="161">
        <f t="shared" si="2"/>
        <v>2.8354169351720582E-3</v>
      </c>
      <c r="G40" s="160">
        <v>177</v>
      </c>
      <c r="H40" s="160">
        <v>5</v>
      </c>
      <c r="I40" s="160">
        <f t="shared" si="3"/>
        <v>182</v>
      </c>
      <c r="J40" s="161">
        <f t="shared" si="4"/>
        <v>3.0941330477210521E-3</v>
      </c>
      <c r="K40" s="160">
        <f t="shared" si="0"/>
        <v>292</v>
      </c>
      <c r="P40" s="173"/>
    </row>
    <row r="41" spans="2:16" x14ac:dyDescent="0.2">
      <c r="B41" s="162" t="s">
        <v>66</v>
      </c>
      <c r="C41" s="160">
        <f t="shared" ref="C41:H41" si="5">SUM(C11:C40)</f>
        <v>24027</v>
      </c>
      <c r="D41" s="160">
        <f t="shared" si="5"/>
        <v>14768</v>
      </c>
      <c r="E41" s="162">
        <f t="shared" ref="E41" si="6">C41+D41</f>
        <v>38795</v>
      </c>
      <c r="F41" s="164">
        <f t="shared" ref="F41" si="7">E41/$E$41</f>
        <v>1</v>
      </c>
      <c r="G41" s="160">
        <f t="shared" si="5"/>
        <v>53998</v>
      </c>
      <c r="H41" s="160">
        <f t="shared" si="5"/>
        <v>4823</v>
      </c>
      <c r="I41" s="162">
        <f t="shared" ref="I41" si="8">G41+H41</f>
        <v>58821</v>
      </c>
      <c r="J41" s="193">
        <f t="shared" ref="J41" si="9">I41/$I$41</f>
        <v>1</v>
      </c>
      <c r="K41" s="162">
        <f t="shared" ref="K41:K42" si="10">E41+I41</f>
        <v>97616</v>
      </c>
      <c r="P41" s="173"/>
    </row>
    <row r="42" spans="2:16" ht="25.5" customHeight="1" x14ac:dyDescent="0.2">
      <c r="B42" s="174" t="s">
        <v>82</v>
      </c>
      <c r="C42" s="175">
        <f>+C41/$K$41</f>
        <v>0.24613792820849043</v>
      </c>
      <c r="D42" s="175">
        <f>+D41/$K$41</f>
        <v>0.15128667431568596</v>
      </c>
      <c r="E42" s="176">
        <f>C42+D42</f>
        <v>0.39742460252417638</v>
      </c>
      <c r="F42" s="176"/>
      <c r="G42" s="175">
        <f>+G41/$K$41</f>
        <v>0.55316751352237337</v>
      </c>
      <c r="H42" s="175">
        <f>+H41/$K$41</f>
        <v>4.9407883953450256E-2</v>
      </c>
      <c r="I42" s="176">
        <f>G42+H42</f>
        <v>0.60257539747582367</v>
      </c>
      <c r="J42" s="176"/>
      <c r="K42" s="176">
        <f t="shared" si="10"/>
        <v>1</v>
      </c>
    </row>
    <row r="43" spans="2:16" x14ac:dyDescent="0.2">
      <c r="B43" s="167"/>
      <c r="C43" s="180"/>
      <c r="D43" s="180"/>
      <c r="E43" s="180"/>
      <c r="F43" s="180"/>
      <c r="G43" s="180"/>
      <c r="H43" s="180"/>
      <c r="I43" s="180"/>
      <c r="J43" s="180"/>
      <c r="K43" s="180"/>
    </row>
    <row r="44" spans="2:16" ht="12.75" x14ac:dyDescent="0.2">
      <c r="B44" s="418" t="s">
        <v>114</v>
      </c>
      <c r="C44" s="418"/>
      <c r="D44" s="418"/>
      <c r="E44" s="418"/>
      <c r="F44" s="418"/>
      <c r="G44" s="418"/>
      <c r="H44" s="418"/>
      <c r="I44" s="418"/>
      <c r="J44" s="418"/>
      <c r="K44" s="418"/>
    </row>
    <row r="45" spans="2:16" ht="12.75" x14ac:dyDescent="0.2">
      <c r="B45" s="431" t="str">
        <f>'Solicitudes Regiones'!$B$6:$P$6</f>
        <v>Acumuladas de julio de 2008 a noviembre de 2018</v>
      </c>
      <c r="C45" s="431"/>
      <c r="D45" s="431"/>
      <c r="E45" s="431"/>
      <c r="F45" s="431"/>
      <c r="G45" s="431"/>
      <c r="H45" s="431"/>
      <c r="I45" s="431"/>
      <c r="J45" s="431"/>
      <c r="K45" s="431"/>
    </row>
    <row r="47" spans="2:16" ht="15" customHeight="1" x14ac:dyDescent="0.2">
      <c r="B47" s="446" t="s">
        <v>83</v>
      </c>
      <c r="C47" s="446"/>
      <c r="D47" s="446"/>
      <c r="E47" s="446"/>
      <c r="F47" s="446"/>
      <c r="G47" s="446"/>
      <c r="H47" s="446"/>
      <c r="I47" s="446"/>
      <c r="J47" s="446"/>
      <c r="K47" s="446"/>
      <c r="L47" s="181"/>
    </row>
    <row r="48" spans="2:16" ht="15" customHeight="1" x14ac:dyDescent="0.2">
      <c r="B48" s="446" t="s">
        <v>74</v>
      </c>
      <c r="C48" s="446" t="s">
        <v>2</v>
      </c>
      <c r="D48" s="446"/>
      <c r="E48" s="446"/>
      <c r="F48" s="446"/>
      <c r="G48" s="446"/>
      <c r="H48" s="446"/>
      <c r="I48" s="446"/>
      <c r="J48" s="446"/>
      <c r="K48" s="446"/>
    </row>
    <row r="49" spans="2:11" ht="24" x14ac:dyDescent="0.2">
      <c r="B49" s="446"/>
      <c r="C49" s="166" t="s">
        <v>75</v>
      </c>
      <c r="D49" s="166" t="s">
        <v>76</v>
      </c>
      <c r="E49" s="166" t="s">
        <v>77</v>
      </c>
      <c r="F49" s="166" t="s">
        <v>78</v>
      </c>
      <c r="G49" s="166" t="s">
        <v>8</v>
      </c>
      <c r="H49" s="166" t="s">
        <v>79</v>
      </c>
      <c r="I49" s="166" t="s">
        <v>80</v>
      </c>
      <c r="J49" s="166" t="s">
        <v>81</v>
      </c>
      <c r="K49" s="166" t="s">
        <v>46</v>
      </c>
    </row>
    <row r="50" spans="2:11" x14ac:dyDescent="0.2">
      <c r="B50" s="160" t="s">
        <v>379</v>
      </c>
      <c r="C50" s="160">
        <v>1395</v>
      </c>
      <c r="D50" s="160">
        <v>368</v>
      </c>
      <c r="E50" s="160">
        <f>C50+D50</f>
        <v>1763</v>
      </c>
      <c r="F50" s="161">
        <f>E50/$E$80</f>
        <v>5.7348253204085618E-2</v>
      </c>
      <c r="G50" s="160">
        <v>1440</v>
      </c>
      <c r="H50" s="160">
        <v>135</v>
      </c>
      <c r="I50" s="160">
        <f>G50+H50</f>
        <v>1575</v>
      </c>
      <c r="J50" s="161">
        <f>I50/$I$80</f>
        <v>3.1144947597389758E-2</v>
      </c>
      <c r="K50" s="160">
        <f t="shared" ref="K50:K79" si="11">E50+I50</f>
        <v>3338</v>
      </c>
    </row>
    <row r="51" spans="2:11" x14ac:dyDescent="0.2">
      <c r="B51" s="160" t="s">
        <v>380</v>
      </c>
      <c r="C51" s="160">
        <v>712</v>
      </c>
      <c r="D51" s="160">
        <v>231</v>
      </c>
      <c r="E51" s="160">
        <f t="shared" ref="E51:E79" si="12">C51+D51</f>
        <v>943</v>
      </c>
      <c r="F51" s="161">
        <f t="shared" ref="F51:F79" si="13">E51/$E$80</f>
        <v>3.0674647062650447E-2</v>
      </c>
      <c r="G51" s="160">
        <v>2111</v>
      </c>
      <c r="H51" s="160">
        <v>103</v>
      </c>
      <c r="I51" s="160">
        <f t="shared" ref="I51:I79" si="14">G51+H51</f>
        <v>2214</v>
      </c>
      <c r="J51" s="161">
        <f t="shared" ref="J51:J79" si="15">I51/$I$80</f>
        <v>4.37808977654736E-2</v>
      </c>
      <c r="K51" s="160">
        <f t="shared" si="11"/>
        <v>3157</v>
      </c>
    </row>
    <row r="52" spans="2:11" x14ac:dyDescent="0.2">
      <c r="B52" s="160" t="s">
        <v>381</v>
      </c>
      <c r="C52" s="160">
        <v>578</v>
      </c>
      <c r="D52" s="160">
        <v>187</v>
      </c>
      <c r="E52" s="160">
        <f t="shared" si="12"/>
        <v>765</v>
      </c>
      <c r="F52" s="161">
        <f t="shared" si="13"/>
        <v>2.4884522802680373E-2</v>
      </c>
      <c r="G52" s="160">
        <v>996</v>
      </c>
      <c r="H52" s="160">
        <v>111</v>
      </c>
      <c r="I52" s="160">
        <f t="shared" si="14"/>
        <v>1107</v>
      </c>
      <c r="J52" s="161">
        <f t="shared" si="15"/>
        <v>2.18904488827368E-2</v>
      </c>
      <c r="K52" s="160">
        <f t="shared" si="11"/>
        <v>1872</v>
      </c>
    </row>
    <row r="53" spans="2:11" x14ac:dyDescent="0.2">
      <c r="B53" s="160" t="s">
        <v>382</v>
      </c>
      <c r="C53" s="160">
        <v>426</v>
      </c>
      <c r="D53" s="160">
        <v>117</v>
      </c>
      <c r="E53" s="160">
        <f t="shared" si="12"/>
        <v>543</v>
      </c>
      <c r="F53" s="161">
        <f t="shared" si="13"/>
        <v>1.7663131871706459E-2</v>
      </c>
      <c r="G53" s="160">
        <v>415</v>
      </c>
      <c r="H53" s="160">
        <v>41</v>
      </c>
      <c r="I53" s="160">
        <f t="shared" si="14"/>
        <v>456</v>
      </c>
      <c r="J53" s="161">
        <f t="shared" si="15"/>
        <v>9.0172038758157009E-3</v>
      </c>
      <c r="K53" s="160">
        <f t="shared" si="11"/>
        <v>999</v>
      </c>
    </row>
    <row r="54" spans="2:11" x14ac:dyDescent="0.2">
      <c r="B54" s="160" t="s">
        <v>383</v>
      </c>
      <c r="C54" s="160">
        <v>704</v>
      </c>
      <c r="D54" s="160">
        <v>348</v>
      </c>
      <c r="E54" s="160">
        <f t="shared" si="12"/>
        <v>1052</v>
      </c>
      <c r="F54" s="161">
        <f t="shared" si="13"/>
        <v>3.4220284952182684E-2</v>
      </c>
      <c r="G54" s="160">
        <v>1973</v>
      </c>
      <c r="H54" s="160">
        <v>147</v>
      </c>
      <c r="I54" s="160">
        <f t="shared" si="14"/>
        <v>2120</v>
      </c>
      <c r="J54" s="161">
        <f t="shared" si="15"/>
        <v>4.1922088194581771E-2</v>
      </c>
      <c r="K54" s="160">
        <f t="shared" si="11"/>
        <v>3172</v>
      </c>
    </row>
    <row r="55" spans="2:11" x14ac:dyDescent="0.2">
      <c r="B55" s="160" t="s">
        <v>384</v>
      </c>
      <c r="C55" s="160">
        <v>480</v>
      </c>
      <c r="D55" s="160">
        <v>294</v>
      </c>
      <c r="E55" s="160">
        <f t="shared" si="12"/>
        <v>774</v>
      </c>
      <c r="F55" s="161">
        <f t="shared" si="13"/>
        <v>2.517728189447661E-2</v>
      </c>
      <c r="G55" s="160">
        <v>1049</v>
      </c>
      <c r="H55" s="160">
        <v>136</v>
      </c>
      <c r="I55" s="160">
        <f t="shared" si="14"/>
        <v>1185</v>
      </c>
      <c r="J55" s="161">
        <f t="shared" si="15"/>
        <v>2.3432865335178958E-2</v>
      </c>
      <c r="K55" s="160">
        <f t="shared" si="11"/>
        <v>1959</v>
      </c>
    </row>
    <row r="56" spans="2:11" x14ac:dyDescent="0.2">
      <c r="B56" s="160" t="s">
        <v>385</v>
      </c>
      <c r="C56" s="160">
        <v>102</v>
      </c>
      <c r="D56" s="160">
        <v>15</v>
      </c>
      <c r="E56" s="160">
        <f t="shared" si="12"/>
        <v>117</v>
      </c>
      <c r="F56" s="161">
        <f t="shared" si="13"/>
        <v>3.8058681933511159E-3</v>
      </c>
      <c r="G56" s="160">
        <v>137</v>
      </c>
      <c r="H56" s="160">
        <v>4</v>
      </c>
      <c r="I56" s="160">
        <f t="shared" si="14"/>
        <v>141</v>
      </c>
      <c r="J56" s="161">
        <f t="shared" si="15"/>
        <v>2.7882143563377495E-3</v>
      </c>
      <c r="K56" s="160">
        <f t="shared" si="11"/>
        <v>258</v>
      </c>
    </row>
    <row r="57" spans="2:11" x14ac:dyDescent="0.2">
      <c r="B57" s="160" t="s">
        <v>386</v>
      </c>
      <c r="C57" s="160">
        <v>4636</v>
      </c>
      <c r="D57" s="160">
        <v>1601</v>
      </c>
      <c r="E57" s="160">
        <f t="shared" si="12"/>
        <v>6237</v>
      </c>
      <c r="F57" s="161">
        <f t="shared" si="13"/>
        <v>0.20288205061479408</v>
      </c>
      <c r="G57" s="160">
        <v>10546</v>
      </c>
      <c r="H57" s="160">
        <v>842</v>
      </c>
      <c r="I57" s="160">
        <f t="shared" si="14"/>
        <v>11388</v>
      </c>
      <c r="J57" s="161">
        <f t="shared" si="15"/>
        <v>0.22519280205655526</v>
      </c>
      <c r="K57" s="160">
        <f t="shared" si="11"/>
        <v>17625</v>
      </c>
    </row>
    <row r="58" spans="2:11" x14ac:dyDescent="0.2">
      <c r="B58" s="160" t="s">
        <v>387</v>
      </c>
      <c r="C58" s="160">
        <v>211</v>
      </c>
      <c r="D58" s="160">
        <v>45</v>
      </c>
      <c r="E58" s="160">
        <f t="shared" si="12"/>
        <v>256</v>
      </c>
      <c r="F58" s="161">
        <f t="shared" si="13"/>
        <v>8.32736972220415E-3</v>
      </c>
      <c r="G58" s="160">
        <v>182</v>
      </c>
      <c r="H58" s="160">
        <v>18</v>
      </c>
      <c r="I58" s="160">
        <f t="shared" si="14"/>
        <v>200</v>
      </c>
      <c r="J58" s="161">
        <f t="shared" si="15"/>
        <v>3.9549139806209213E-3</v>
      </c>
      <c r="K58" s="160">
        <f t="shared" si="11"/>
        <v>456</v>
      </c>
    </row>
    <row r="59" spans="2:11" x14ac:dyDescent="0.2">
      <c r="B59" s="160" t="s">
        <v>388</v>
      </c>
      <c r="C59" s="160">
        <v>901</v>
      </c>
      <c r="D59" s="160">
        <v>258</v>
      </c>
      <c r="E59" s="160">
        <f t="shared" si="12"/>
        <v>1159</v>
      </c>
      <c r="F59" s="161">
        <f t="shared" si="13"/>
        <v>3.7700865265760199E-2</v>
      </c>
      <c r="G59" s="160">
        <v>756</v>
      </c>
      <c r="H59" s="160">
        <v>67</v>
      </c>
      <c r="I59" s="160">
        <f t="shared" si="14"/>
        <v>823</v>
      </c>
      <c r="J59" s="161">
        <f t="shared" si="15"/>
        <v>1.6274471030255092E-2</v>
      </c>
      <c r="K59" s="160">
        <f t="shared" si="11"/>
        <v>1982</v>
      </c>
    </row>
    <row r="60" spans="2:11" x14ac:dyDescent="0.2">
      <c r="B60" s="160" t="s">
        <v>389</v>
      </c>
      <c r="C60" s="160">
        <v>1071</v>
      </c>
      <c r="D60" s="160">
        <v>353</v>
      </c>
      <c r="E60" s="160">
        <f t="shared" si="12"/>
        <v>1424</v>
      </c>
      <c r="F60" s="161">
        <f t="shared" si="13"/>
        <v>4.6320994079760591E-2</v>
      </c>
      <c r="G60" s="160">
        <v>3244</v>
      </c>
      <c r="H60" s="160">
        <v>186</v>
      </c>
      <c r="I60" s="160">
        <f t="shared" si="14"/>
        <v>3430</v>
      </c>
      <c r="J60" s="161">
        <f t="shared" si="15"/>
        <v>6.7826774767648798E-2</v>
      </c>
      <c r="K60" s="160">
        <f t="shared" si="11"/>
        <v>4854</v>
      </c>
    </row>
    <row r="61" spans="2:11" x14ac:dyDescent="0.2">
      <c r="B61" s="160" t="s">
        <v>390</v>
      </c>
      <c r="C61" s="160">
        <v>190</v>
      </c>
      <c r="D61" s="160">
        <v>54</v>
      </c>
      <c r="E61" s="160">
        <f t="shared" si="12"/>
        <v>244</v>
      </c>
      <c r="F61" s="161">
        <f t="shared" si="13"/>
        <v>7.9370242664758318E-3</v>
      </c>
      <c r="G61" s="160">
        <v>232</v>
      </c>
      <c r="H61" s="160">
        <v>26</v>
      </c>
      <c r="I61" s="160">
        <f t="shared" si="14"/>
        <v>258</v>
      </c>
      <c r="J61" s="161">
        <f t="shared" si="15"/>
        <v>5.1018390350009886E-3</v>
      </c>
      <c r="K61" s="160">
        <f t="shared" si="11"/>
        <v>502</v>
      </c>
    </row>
    <row r="62" spans="2:11" x14ac:dyDescent="0.2">
      <c r="B62" s="160" t="s">
        <v>391</v>
      </c>
      <c r="C62" s="160">
        <v>184</v>
      </c>
      <c r="D62" s="160">
        <v>62</v>
      </c>
      <c r="E62" s="160">
        <f t="shared" si="12"/>
        <v>246</v>
      </c>
      <c r="F62" s="161">
        <f t="shared" si="13"/>
        <v>8.0020818424305518E-3</v>
      </c>
      <c r="G62" s="160">
        <v>301</v>
      </c>
      <c r="H62" s="160">
        <v>22</v>
      </c>
      <c r="I62" s="160">
        <f t="shared" si="14"/>
        <v>323</v>
      </c>
      <c r="J62" s="161">
        <f t="shared" si="15"/>
        <v>6.3871860787027886E-3</v>
      </c>
      <c r="K62" s="160">
        <f t="shared" si="11"/>
        <v>569</v>
      </c>
    </row>
    <row r="63" spans="2:11" x14ac:dyDescent="0.2">
      <c r="B63" s="160" t="s">
        <v>392</v>
      </c>
      <c r="C63" s="160">
        <v>348</v>
      </c>
      <c r="D63" s="160">
        <v>203</v>
      </c>
      <c r="E63" s="160">
        <f t="shared" si="12"/>
        <v>551</v>
      </c>
      <c r="F63" s="161">
        <f t="shared" si="13"/>
        <v>1.7923362175525339E-2</v>
      </c>
      <c r="G63" s="160">
        <v>755</v>
      </c>
      <c r="H63" s="160">
        <v>89</v>
      </c>
      <c r="I63" s="160">
        <f t="shared" si="14"/>
        <v>844</v>
      </c>
      <c r="J63" s="161">
        <f t="shared" si="15"/>
        <v>1.6689736998220288E-2</v>
      </c>
      <c r="K63" s="160">
        <f t="shared" si="11"/>
        <v>1395</v>
      </c>
    </row>
    <row r="64" spans="2:11" ht="13.5" customHeight="1" x14ac:dyDescent="0.2">
      <c r="B64" s="160" t="s">
        <v>393</v>
      </c>
      <c r="C64" s="160">
        <v>480</v>
      </c>
      <c r="D64" s="160">
        <v>258</v>
      </c>
      <c r="E64" s="160">
        <f t="shared" si="12"/>
        <v>738</v>
      </c>
      <c r="F64" s="161">
        <f t="shared" si="13"/>
        <v>2.4006245527291654E-2</v>
      </c>
      <c r="G64" s="160">
        <v>353</v>
      </c>
      <c r="H64" s="160">
        <v>62</v>
      </c>
      <c r="I64" s="160">
        <f t="shared" si="14"/>
        <v>415</v>
      </c>
      <c r="J64" s="161">
        <f t="shared" si="15"/>
        <v>8.2064465097884121E-3</v>
      </c>
      <c r="K64" s="160">
        <f t="shared" si="11"/>
        <v>1153</v>
      </c>
    </row>
    <row r="65" spans="2:11" x14ac:dyDescent="0.2">
      <c r="B65" s="160" t="s">
        <v>394</v>
      </c>
      <c r="C65" s="160">
        <v>128</v>
      </c>
      <c r="D65" s="160">
        <v>32</v>
      </c>
      <c r="E65" s="160">
        <f t="shared" si="12"/>
        <v>160</v>
      </c>
      <c r="F65" s="161">
        <f t="shared" si="13"/>
        <v>5.204606076377594E-3</v>
      </c>
      <c r="G65" s="160">
        <v>145</v>
      </c>
      <c r="H65" s="160">
        <v>8</v>
      </c>
      <c r="I65" s="160">
        <f t="shared" si="14"/>
        <v>153</v>
      </c>
      <c r="J65" s="161">
        <f t="shared" si="15"/>
        <v>3.0255091951750051E-3</v>
      </c>
      <c r="K65" s="160">
        <f t="shared" si="11"/>
        <v>313</v>
      </c>
    </row>
    <row r="66" spans="2:11" x14ac:dyDescent="0.2">
      <c r="B66" s="160" t="s">
        <v>395</v>
      </c>
      <c r="C66" s="160">
        <v>296</v>
      </c>
      <c r="D66" s="160">
        <v>111</v>
      </c>
      <c r="E66" s="160">
        <f t="shared" si="12"/>
        <v>407</v>
      </c>
      <c r="F66" s="161">
        <f t="shared" si="13"/>
        <v>1.3239216706785505E-2</v>
      </c>
      <c r="G66" s="160">
        <v>347</v>
      </c>
      <c r="H66" s="160">
        <v>38</v>
      </c>
      <c r="I66" s="160">
        <f t="shared" si="14"/>
        <v>385</v>
      </c>
      <c r="J66" s="161">
        <f t="shared" si="15"/>
        <v>7.6132094126952739E-3</v>
      </c>
      <c r="K66" s="160">
        <f t="shared" si="11"/>
        <v>792</v>
      </c>
    </row>
    <row r="67" spans="2:11" x14ac:dyDescent="0.2">
      <c r="B67" s="160" t="s">
        <v>396</v>
      </c>
      <c r="C67" s="160">
        <v>3891</v>
      </c>
      <c r="D67" s="160">
        <v>2055</v>
      </c>
      <c r="E67" s="160">
        <f t="shared" si="12"/>
        <v>5946</v>
      </c>
      <c r="F67" s="161">
        <f t="shared" si="13"/>
        <v>0.19341617331338234</v>
      </c>
      <c r="G67" s="160">
        <v>10899</v>
      </c>
      <c r="H67" s="160">
        <v>1086</v>
      </c>
      <c r="I67" s="160">
        <f t="shared" si="14"/>
        <v>11985</v>
      </c>
      <c r="J67" s="161">
        <f t="shared" si="15"/>
        <v>0.23699822028870873</v>
      </c>
      <c r="K67" s="160">
        <f t="shared" si="11"/>
        <v>17931</v>
      </c>
    </row>
    <row r="68" spans="2:11" x14ac:dyDescent="0.2">
      <c r="B68" s="160" t="s">
        <v>397</v>
      </c>
      <c r="C68" s="160">
        <v>414</v>
      </c>
      <c r="D68" s="160">
        <v>216</v>
      </c>
      <c r="E68" s="160">
        <f t="shared" si="12"/>
        <v>630</v>
      </c>
      <c r="F68" s="161">
        <f t="shared" si="13"/>
        <v>2.0493136425736778E-2</v>
      </c>
      <c r="G68" s="160">
        <v>784</v>
      </c>
      <c r="H68" s="160">
        <v>93</v>
      </c>
      <c r="I68" s="160">
        <f t="shared" si="14"/>
        <v>877</v>
      </c>
      <c r="J68" s="161">
        <f t="shared" si="15"/>
        <v>1.7342297805022742E-2</v>
      </c>
      <c r="K68" s="160">
        <f t="shared" si="11"/>
        <v>1507</v>
      </c>
    </row>
    <row r="69" spans="2:11" x14ac:dyDescent="0.2">
      <c r="B69" s="160" t="s">
        <v>398</v>
      </c>
      <c r="C69" s="160">
        <v>235</v>
      </c>
      <c r="D69" s="160">
        <v>144</v>
      </c>
      <c r="E69" s="160">
        <f t="shared" si="12"/>
        <v>379</v>
      </c>
      <c r="F69" s="161">
        <f t="shared" si="13"/>
        <v>1.2328410643419427E-2</v>
      </c>
      <c r="G69" s="160">
        <v>494</v>
      </c>
      <c r="H69" s="160">
        <v>51</v>
      </c>
      <c r="I69" s="160">
        <f t="shared" si="14"/>
        <v>545</v>
      </c>
      <c r="J69" s="161">
        <f t="shared" si="15"/>
        <v>1.077714059719201E-2</v>
      </c>
      <c r="K69" s="160">
        <f t="shared" si="11"/>
        <v>924</v>
      </c>
    </row>
    <row r="70" spans="2:11" x14ac:dyDescent="0.2">
      <c r="B70" s="160" t="s">
        <v>399</v>
      </c>
      <c r="C70" s="160">
        <v>494</v>
      </c>
      <c r="D70" s="160">
        <v>167</v>
      </c>
      <c r="E70" s="160">
        <f t="shared" si="12"/>
        <v>661</v>
      </c>
      <c r="F70" s="161">
        <f t="shared" si="13"/>
        <v>2.1501528853034937E-2</v>
      </c>
      <c r="G70" s="160">
        <v>1275</v>
      </c>
      <c r="H70" s="160">
        <v>67</v>
      </c>
      <c r="I70" s="160">
        <f t="shared" si="14"/>
        <v>1342</v>
      </c>
      <c r="J70" s="161">
        <f t="shared" si="15"/>
        <v>2.6537472809966382E-2</v>
      </c>
      <c r="K70" s="160">
        <f t="shared" si="11"/>
        <v>2003</v>
      </c>
    </row>
    <row r="71" spans="2:11" x14ac:dyDescent="0.2">
      <c r="B71" s="160" t="s">
        <v>400</v>
      </c>
      <c r="C71" s="160">
        <v>542</v>
      </c>
      <c r="D71" s="160">
        <v>149</v>
      </c>
      <c r="E71" s="160">
        <f t="shared" si="12"/>
        <v>691</v>
      </c>
      <c r="F71" s="161">
        <f t="shared" si="13"/>
        <v>2.2477392492355735E-2</v>
      </c>
      <c r="G71" s="160">
        <v>793</v>
      </c>
      <c r="H71" s="160">
        <v>55</v>
      </c>
      <c r="I71" s="160">
        <f t="shared" si="14"/>
        <v>848</v>
      </c>
      <c r="J71" s="161">
        <f t="shared" si="15"/>
        <v>1.6768835277832708E-2</v>
      </c>
      <c r="K71" s="160">
        <f t="shared" si="11"/>
        <v>1539</v>
      </c>
    </row>
    <row r="72" spans="2:11" x14ac:dyDescent="0.2">
      <c r="B72" s="160" t="s">
        <v>401</v>
      </c>
      <c r="C72" s="160">
        <v>417</v>
      </c>
      <c r="D72" s="160">
        <v>160</v>
      </c>
      <c r="E72" s="160">
        <f t="shared" si="12"/>
        <v>577</v>
      </c>
      <c r="F72" s="161">
        <f t="shared" si="13"/>
        <v>1.8769110662936701E-2</v>
      </c>
      <c r="G72" s="160">
        <v>1293</v>
      </c>
      <c r="H72" s="160">
        <v>68</v>
      </c>
      <c r="I72" s="160">
        <f t="shared" si="14"/>
        <v>1361</v>
      </c>
      <c r="J72" s="161">
        <f t="shared" si="15"/>
        <v>2.6913189638125369E-2</v>
      </c>
      <c r="K72" s="160">
        <f t="shared" si="11"/>
        <v>1938</v>
      </c>
    </row>
    <row r="73" spans="2:11" x14ac:dyDescent="0.2">
      <c r="B73" s="160" t="s">
        <v>402</v>
      </c>
      <c r="C73" s="160">
        <v>935</v>
      </c>
      <c r="D73" s="160">
        <v>288</v>
      </c>
      <c r="E73" s="160">
        <f t="shared" si="12"/>
        <v>1223</v>
      </c>
      <c r="F73" s="161">
        <f t="shared" si="13"/>
        <v>3.9782707696311238E-2</v>
      </c>
      <c r="G73" s="160">
        <v>962</v>
      </c>
      <c r="H73" s="160">
        <v>76</v>
      </c>
      <c r="I73" s="160">
        <f t="shared" si="14"/>
        <v>1038</v>
      </c>
      <c r="J73" s="161">
        <f t="shared" si="15"/>
        <v>2.0526003559422582E-2</v>
      </c>
      <c r="K73" s="160">
        <f t="shared" si="11"/>
        <v>2261</v>
      </c>
    </row>
    <row r="74" spans="2:11" x14ac:dyDescent="0.2">
      <c r="B74" s="160" t="s">
        <v>403</v>
      </c>
      <c r="C74" s="160">
        <v>1065</v>
      </c>
      <c r="D74" s="160">
        <v>399</v>
      </c>
      <c r="E74" s="160">
        <f t="shared" si="12"/>
        <v>1464</v>
      </c>
      <c r="F74" s="161">
        <f t="shared" si="13"/>
        <v>4.7622145598854984E-2</v>
      </c>
      <c r="G74" s="160">
        <v>2812</v>
      </c>
      <c r="H74" s="160">
        <v>193</v>
      </c>
      <c r="I74" s="160">
        <f t="shared" si="14"/>
        <v>3005</v>
      </c>
      <c r="J74" s="161">
        <f t="shared" si="15"/>
        <v>5.9422582558829345E-2</v>
      </c>
      <c r="K74" s="160">
        <f t="shared" si="11"/>
        <v>4469</v>
      </c>
    </row>
    <row r="75" spans="2:11" x14ac:dyDescent="0.2">
      <c r="B75" s="160" t="s">
        <v>404</v>
      </c>
      <c r="C75" s="160">
        <v>400</v>
      </c>
      <c r="D75" s="160">
        <v>133</v>
      </c>
      <c r="E75" s="160">
        <f t="shared" si="12"/>
        <v>533</v>
      </c>
      <c r="F75" s="161">
        <f t="shared" si="13"/>
        <v>1.7337843991932861E-2</v>
      </c>
      <c r="G75" s="160">
        <v>920</v>
      </c>
      <c r="H75" s="160">
        <v>48</v>
      </c>
      <c r="I75" s="160">
        <f t="shared" si="14"/>
        <v>968</v>
      </c>
      <c r="J75" s="161">
        <f t="shared" si="15"/>
        <v>1.914178366620526E-2</v>
      </c>
      <c r="K75" s="160">
        <f t="shared" si="11"/>
        <v>1501</v>
      </c>
    </row>
    <row r="76" spans="2:11" x14ac:dyDescent="0.2">
      <c r="B76" s="160" t="s">
        <v>405</v>
      </c>
      <c r="C76" s="160">
        <v>407</v>
      </c>
      <c r="D76" s="160">
        <v>105</v>
      </c>
      <c r="E76" s="160">
        <f t="shared" si="12"/>
        <v>512</v>
      </c>
      <c r="F76" s="161">
        <f t="shared" si="13"/>
        <v>1.66547394444083E-2</v>
      </c>
      <c r="G76" s="160">
        <v>623</v>
      </c>
      <c r="H76" s="160">
        <v>69</v>
      </c>
      <c r="I76" s="160">
        <f t="shared" si="14"/>
        <v>692</v>
      </c>
      <c r="J76" s="161">
        <f t="shared" si="15"/>
        <v>1.3684002372948388E-2</v>
      </c>
      <c r="K76" s="160">
        <f t="shared" si="11"/>
        <v>1204</v>
      </c>
    </row>
    <row r="77" spans="2:11" x14ac:dyDescent="0.2">
      <c r="B77" s="160" t="s">
        <v>406</v>
      </c>
      <c r="C77" s="160">
        <v>137</v>
      </c>
      <c r="D77" s="160">
        <v>36</v>
      </c>
      <c r="E77" s="160">
        <f t="shared" si="12"/>
        <v>173</v>
      </c>
      <c r="F77" s="161">
        <f t="shared" si="13"/>
        <v>5.6274803200832739E-3</v>
      </c>
      <c r="G77" s="160">
        <v>278</v>
      </c>
      <c r="H77" s="160">
        <v>21</v>
      </c>
      <c r="I77" s="160">
        <f t="shared" si="14"/>
        <v>299</v>
      </c>
      <c r="J77" s="161">
        <f t="shared" si="15"/>
        <v>5.9125964010282774E-3</v>
      </c>
      <c r="K77" s="160">
        <f t="shared" si="11"/>
        <v>472</v>
      </c>
    </row>
    <row r="78" spans="2:11" x14ac:dyDescent="0.2">
      <c r="B78" s="160" t="s">
        <v>407</v>
      </c>
      <c r="C78" s="160">
        <v>395</v>
      </c>
      <c r="D78" s="160">
        <v>84</v>
      </c>
      <c r="E78" s="160">
        <f t="shared" si="12"/>
        <v>479</v>
      </c>
      <c r="F78" s="161">
        <f t="shared" si="13"/>
        <v>1.5581289441155423E-2</v>
      </c>
      <c r="G78" s="160">
        <v>411</v>
      </c>
      <c r="H78" s="160">
        <v>30</v>
      </c>
      <c r="I78" s="160">
        <f t="shared" si="14"/>
        <v>441</v>
      </c>
      <c r="J78" s="161">
        <f t="shared" si="15"/>
        <v>8.7205853272691314E-3</v>
      </c>
      <c r="K78" s="160">
        <f t="shared" si="11"/>
        <v>920</v>
      </c>
    </row>
    <row r="79" spans="2:11" x14ac:dyDescent="0.2">
      <c r="B79" s="160" t="s">
        <v>408</v>
      </c>
      <c r="C79" s="160">
        <v>84</v>
      </c>
      <c r="D79" s="160">
        <v>11</v>
      </c>
      <c r="E79" s="160">
        <f t="shared" si="12"/>
        <v>95</v>
      </c>
      <c r="F79" s="161">
        <f t="shared" si="13"/>
        <v>3.0902348578491965E-3</v>
      </c>
      <c r="G79" s="160">
        <v>147</v>
      </c>
      <c r="H79" s="160">
        <v>5</v>
      </c>
      <c r="I79" s="160">
        <f t="shared" si="14"/>
        <v>152</v>
      </c>
      <c r="J79" s="161">
        <f t="shared" si="15"/>
        <v>3.0057346252719002E-3</v>
      </c>
      <c r="K79" s="160">
        <f t="shared" si="11"/>
        <v>247</v>
      </c>
    </row>
    <row r="80" spans="2:11" x14ac:dyDescent="0.2">
      <c r="B80" s="162" t="s">
        <v>66</v>
      </c>
      <c r="C80" s="160">
        <f t="shared" ref="C80:H80" si="16">SUM(C50:C79)</f>
        <v>22258</v>
      </c>
      <c r="D80" s="160">
        <f t="shared" si="16"/>
        <v>8484</v>
      </c>
      <c r="E80" s="162">
        <f t="shared" ref="E80" si="17">C80+D80</f>
        <v>30742</v>
      </c>
      <c r="F80" s="164">
        <f t="shared" ref="F80" si="18">E80/$E$80</f>
        <v>1</v>
      </c>
      <c r="G80" s="160">
        <f t="shared" si="16"/>
        <v>46673</v>
      </c>
      <c r="H80" s="160">
        <f t="shared" si="16"/>
        <v>3897</v>
      </c>
      <c r="I80" s="162">
        <f t="shared" ref="I80" si="19">G80+H80</f>
        <v>50570</v>
      </c>
      <c r="J80" s="164">
        <f t="shared" ref="J80" si="20">I80/$I$80</f>
        <v>1</v>
      </c>
      <c r="K80" s="162">
        <f t="shared" ref="K80:K81" si="21">E80+I80</f>
        <v>81312</v>
      </c>
    </row>
    <row r="81" spans="2:11" ht="24" x14ac:dyDescent="0.2">
      <c r="B81" s="174" t="s">
        <v>84</v>
      </c>
      <c r="C81" s="175">
        <f>+C80/$K$80</f>
        <v>0.27373573396300671</v>
      </c>
      <c r="D81" s="175">
        <f>+D80/$K$80</f>
        <v>0.10433884297520661</v>
      </c>
      <c r="E81" s="176">
        <f>C81+D81</f>
        <v>0.37807457693821334</v>
      </c>
      <c r="F81" s="176"/>
      <c r="G81" s="175">
        <f>+G80/$K$80</f>
        <v>0.57399891774891776</v>
      </c>
      <c r="H81" s="175">
        <f>+H80/$K$80</f>
        <v>4.7926505312868947E-2</v>
      </c>
      <c r="I81" s="176">
        <f>G81+H81</f>
        <v>0.62192542306178666</v>
      </c>
      <c r="J81" s="176"/>
      <c r="K81" s="176">
        <f t="shared" si="21"/>
        <v>1</v>
      </c>
    </row>
    <row r="82" spans="2:11" x14ac:dyDescent="0.2">
      <c r="B82" s="167" t="s">
        <v>149</v>
      </c>
    </row>
    <row r="83" spans="2:11" x14ac:dyDescent="0.2">
      <c r="B83" s="167" t="s">
        <v>150</v>
      </c>
    </row>
  </sheetData>
  <mergeCells count="10">
    <mergeCell ref="B48:B49"/>
    <mergeCell ref="C48:K48"/>
    <mergeCell ref="B8:K8"/>
    <mergeCell ref="B9:B10"/>
    <mergeCell ref="C9:K9"/>
    <mergeCell ref="B6:K6"/>
    <mergeCell ref="B5:K5"/>
    <mergeCell ref="B45:K45"/>
    <mergeCell ref="B44:K44"/>
    <mergeCell ref="B47:K47"/>
  </mergeCells>
  <hyperlinks>
    <hyperlink ref="M5" location="'Índice Pensiones Solidarias'!A1" display="Volver Sistema de Pensiones Solidadias" xr:uid="{00000000-0004-0000-1300-000000000000}"/>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pageSetUpPr fitToPage="1"/>
  </sheetPr>
  <dimension ref="A1:P43"/>
  <sheetViews>
    <sheetView showGridLines="0" zoomScaleNormal="100" workbookViewId="0"/>
  </sheetViews>
  <sheetFormatPr baseColWidth="10" defaultRowHeight="12" x14ac:dyDescent="0.2"/>
  <cols>
    <col min="1" max="1" width="6" style="168" customWidth="1"/>
    <col min="2" max="2" width="18.140625" style="168" customWidth="1"/>
    <col min="3" max="3" width="8" style="168" bestFit="1" customWidth="1"/>
    <col min="4" max="4" width="7.42578125" style="168" bestFit="1" customWidth="1"/>
    <col min="5" max="6" width="7.42578125" style="168" customWidth="1"/>
    <col min="7" max="7" width="8.28515625" style="168" bestFit="1" customWidth="1"/>
    <col min="8" max="8" width="7.42578125" style="168" bestFit="1" customWidth="1"/>
    <col min="9" max="11" width="7.42578125" style="168" customWidth="1"/>
    <col min="12" max="12" width="7.85546875" style="168" customWidth="1"/>
    <col min="13" max="251" width="11.42578125" style="168"/>
    <col min="252" max="252" width="18.140625" style="168" customWidth="1"/>
    <col min="253" max="253" width="8" style="168" bestFit="1" customWidth="1"/>
    <col min="254" max="254" width="7.42578125" style="168" bestFit="1" customWidth="1"/>
    <col min="255" max="256" width="7.42578125" style="168" customWidth="1"/>
    <col min="257" max="257" width="8.28515625" style="168" bestFit="1" customWidth="1"/>
    <col min="258" max="258" width="7.42578125" style="168" bestFit="1" customWidth="1"/>
    <col min="259" max="261" width="7.42578125" style="168" customWidth="1"/>
    <col min="262" max="267" width="0" style="168" hidden="1" customWidth="1"/>
    <col min="268" max="268" width="7.85546875" style="168" customWidth="1"/>
    <col min="269" max="507" width="11.42578125" style="168"/>
    <col min="508" max="508" width="18.140625" style="168" customWidth="1"/>
    <col min="509" max="509" width="8" style="168" bestFit="1" customWidth="1"/>
    <col min="510" max="510" width="7.42578125" style="168" bestFit="1" customWidth="1"/>
    <col min="511" max="512" width="7.42578125" style="168" customWidth="1"/>
    <col min="513" max="513" width="8.28515625" style="168" bestFit="1" customWidth="1"/>
    <col min="514" max="514" width="7.42578125" style="168" bestFit="1" customWidth="1"/>
    <col min="515" max="517" width="7.42578125" style="168" customWidth="1"/>
    <col min="518" max="523" width="0" style="168" hidden="1" customWidth="1"/>
    <col min="524" max="524" width="7.85546875" style="168" customWidth="1"/>
    <col min="525" max="763" width="11.42578125" style="168"/>
    <col min="764" max="764" width="18.140625" style="168" customWidth="1"/>
    <col min="765" max="765" width="8" style="168" bestFit="1" customWidth="1"/>
    <col min="766" max="766" width="7.42578125" style="168" bestFit="1" customWidth="1"/>
    <col min="767" max="768" width="7.42578125" style="168" customWidth="1"/>
    <col min="769" max="769" width="8.28515625" style="168" bestFit="1" customWidth="1"/>
    <col min="770" max="770" width="7.42578125" style="168" bestFit="1" customWidth="1"/>
    <col min="771" max="773" width="7.42578125" style="168" customWidth="1"/>
    <col min="774" max="779" width="0" style="168" hidden="1" customWidth="1"/>
    <col min="780" max="780" width="7.85546875" style="168" customWidth="1"/>
    <col min="781" max="1019" width="11.42578125" style="168"/>
    <col min="1020" max="1020" width="18.140625" style="168" customWidth="1"/>
    <col min="1021" max="1021" width="8" style="168" bestFit="1" customWidth="1"/>
    <col min="1022" max="1022" width="7.42578125" style="168" bestFit="1" customWidth="1"/>
    <col min="1023" max="1024" width="7.42578125" style="168" customWidth="1"/>
    <col min="1025" max="1025" width="8.28515625" style="168" bestFit="1" customWidth="1"/>
    <col min="1026" max="1026" width="7.42578125" style="168" bestFit="1" customWidth="1"/>
    <col min="1027" max="1029" width="7.42578125" style="168" customWidth="1"/>
    <col min="1030" max="1035" width="0" style="168" hidden="1" customWidth="1"/>
    <col min="1036" max="1036" width="7.85546875" style="168" customWidth="1"/>
    <col min="1037" max="1275" width="11.42578125" style="168"/>
    <col min="1276" max="1276" width="18.140625" style="168" customWidth="1"/>
    <col min="1277" max="1277" width="8" style="168" bestFit="1" customWidth="1"/>
    <col min="1278" max="1278" width="7.42578125" style="168" bestFit="1" customWidth="1"/>
    <col min="1279" max="1280" width="7.42578125" style="168" customWidth="1"/>
    <col min="1281" max="1281" width="8.28515625" style="168" bestFit="1" customWidth="1"/>
    <col min="1282" max="1282" width="7.42578125" style="168" bestFit="1" customWidth="1"/>
    <col min="1283" max="1285" width="7.42578125" style="168" customWidth="1"/>
    <col min="1286" max="1291" width="0" style="168" hidden="1" customWidth="1"/>
    <col min="1292" max="1292" width="7.85546875" style="168" customWidth="1"/>
    <col min="1293" max="1531" width="11.42578125" style="168"/>
    <col min="1532" max="1532" width="18.140625" style="168" customWidth="1"/>
    <col min="1533" max="1533" width="8" style="168" bestFit="1" customWidth="1"/>
    <col min="1534" max="1534" width="7.42578125" style="168" bestFit="1" customWidth="1"/>
    <col min="1535" max="1536" width="7.42578125" style="168" customWidth="1"/>
    <col min="1537" max="1537" width="8.28515625" style="168" bestFit="1" customWidth="1"/>
    <col min="1538" max="1538" width="7.42578125" style="168" bestFit="1" customWidth="1"/>
    <col min="1539" max="1541" width="7.42578125" style="168" customWidth="1"/>
    <col min="1542" max="1547" width="0" style="168" hidden="1" customWidth="1"/>
    <col min="1548" max="1548" width="7.85546875" style="168" customWidth="1"/>
    <col min="1549" max="1787" width="11.42578125" style="168"/>
    <col min="1788" max="1788" width="18.140625" style="168" customWidth="1"/>
    <col min="1789" max="1789" width="8" style="168" bestFit="1" customWidth="1"/>
    <col min="1790" max="1790" width="7.42578125" style="168" bestFit="1" customWidth="1"/>
    <col min="1791" max="1792" width="7.42578125" style="168" customWidth="1"/>
    <col min="1793" max="1793" width="8.28515625" style="168" bestFit="1" customWidth="1"/>
    <col min="1794" max="1794" width="7.42578125" style="168" bestFit="1" customWidth="1"/>
    <col min="1795" max="1797" width="7.42578125" style="168" customWidth="1"/>
    <col min="1798" max="1803" width="0" style="168" hidden="1" customWidth="1"/>
    <col min="1804" max="1804" width="7.85546875" style="168" customWidth="1"/>
    <col min="1805" max="2043" width="11.42578125" style="168"/>
    <col min="2044" max="2044" width="18.140625" style="168" customWidth="1"/>
    <col min="2045" max="2045" width="8" style="168" bestFit="1" customWidth="1"/>
    <col min="2046" max="2046" width="7.42578125" style="168" bestFit="1" customWidth="1"/>
    <col min="2047" max="2048" width="7.42578125" style="168" customWidth="1"/>
    <col min="2049" max="2049" width="8.28515625" style="168" bestFit="1" customWidth="1"/>
    <col min="2050" max="2050" width="7.42578125" style="168" bestFit="1" customWidth="1"/>
    <col min="2051" max="2053" width="7.42578125" style="168" customWidth="1"/>
    <col min="2054" max="2059" width="0" style="168" hidden="1" customWidth="1"/>
    <col min="2060" max="2060" width="7.85546875" style="168" customWidth="1"/>
    <col min="2061" max="2299" width="11.42578125" style="168"/>
    <col min="2300" max="2300" width="18.140625" style="168" customWidth="1"/>
    <col min="2301" max="2301" width="8" style="168" bestFit="1" customWidth="1"/>
    <col min="2302" max="2302" width="7.42578125" style="168" bestFit="1" customWidth="1"/>
    <col min="2303" max="2304" width="7.42578125" style="168" customWidth="1"/>
    <col min="2305" max="2305" width="8.28515625" style="168" bestFit="1" customWidth="1"/>
    <col min="2306" max="2306" width="7.42578125" style="168" bestFit="1" customWidth="1"/>
    <col min="2307" max="2309" width="7.42578125" style="168" customWidth="1"/>
    <col min="2310" max="2315" width="0" style="168" hidden="1" customWidth="1"/>
    <col min="2316" max="2316" width="7.85546875" style="168" customWidth="1"/>
    <col min="2317" max="2555" width="11.42578125" style="168"/>
    <col min="2556" max="2556" width="18.140625" style="168" customWidth="1"/>
    <col min="2557" max="2557" width="8" style="168" bestFit="1" customWidth="1"/>
    <col min="2558" max="2558" width="7.42578125" style="168" bestFit="1" customWidth="1"/>
    <col min="2559" max="2560" width="7.42578125" style="168" customWidth="1"/>
    <col min="2561" max="2561" width="8.28515625" style="168" bestFit="1" customWidth="1"/>
    <col min="2562" max="2562" width="7.42578125" style="168" bestFit="1" customWidth="1"/>
    <col min="2563" max="2565" width="7.42578125" style="168" customWidth="1"/>
    <col min="2566" max="2571" width="0" style="168" hidden="1" customWidth="1"/>
    <col min="2572" max="2572" width="7.85546875" style="168" customWidth="1"/>
    <col min="2573" max="2811" width="11.42578125" style="168"/>
    <col min="2812" max="2812" width="18.140625" style="168" customWidth="1"/>
    <col min="2813" max="2813" width="8" style="168" bestFit="1" customWidth="1"/>
    <col min="2814" max="2814" width="7.42578125" style="168" bestFit="1" customWidth="1"/>
    <col min="2815" max="2816" width="7.42578125" style="168" customWidth="1"/>
    <col min="2817" max="2817" width="8.28515625" style="168" bestFit="1" customWidth="1"/>
    <col min="2818" max="2818" width="7.42578125" style="168" bestFit="1" customWidth="1"/>
    <col min="2819" max="2821" width="7.42578125" style="168" customWidth="1"/>
    <col min="2822" max="2827" width="0" style="168" hidden="1" customWidth="1"/>
    <col min="2828" max="2828" width="7.85546875" style="168" customWidth="1"/>
    <col min="2829" max="3067" width="11.42578125" style="168"/>
    <col min="3068" max="3068" width="18.140625" style="168" customWidth="1"/>
    <col min="3069" max="3069" width="8" style="168" bestFit="1" customWidth="1"/>
    <col min="3070" max="3070" width="7.42578125" style="168" bestFit="1" customWidth="1"/>
    <col min="3071" max="3072" width="7.42578125" style="168" customWidth="1"/>
    <col min="3073" max="3073" width="8.28515625" style="168" bestFit="1" customWidth="1"/>
    <col min="3074" max="3074" width="7.42578125" style="168" bestFit="1" customWidth="1"/>
    <col min="3075" max="3077" width="7.42578125" style="168" customWidth="1"/>
    <col min="3078" max="3083" width="0" style="168" hidden="1" customWidth="1"/>
    <col min="3084" max="3084" width="7.85546875" style="168" customWidth="1"/>
    <col min="3085" max="3323" width="11.42578125" style="168"/>
    <col min="3324" max="3324" width="18.140625" style="168" customWidth="1"/>
    <col min="3325" max="3325" width="8" style="168" bestFit="1" customWidth="1"/>
    <col min="3326" max="3326" width="7.42578125" style="168" bestFit="1" customWidth="1"/>
    <col min="3327" max="3328" width="7.42578125" style="168" customWidth="1"/>
    <col min="3329" max="3329" width="8.28515625" style="168" bestFit="1" customWidth="1"/>
    <col min="3330" max="3330" width="7.42578125" style="168" bestFit="1" customWidth="1"/>
    <col min="3331" max="3333" width="7.42578125" style="168" customWidth="1"/>
    <col min="3334" max="3339" width="0" style="168" hidden="1" customWidth="1"/>
    <col min="3340" max="3340" width="7.85546875" style="168" customWidth="1"/>
    <col min="3341" max="3579" width="11.42578125" style="168"/>
    <col min="3580" max="3580" width="18.140625" style="168" customWidth="1"/>
    <col min="3581" max="3581" width="8" style="168" bestFit="1" customWidth="1"/>
    <col min="3582" max="3582" width="7.42578125" style="168" bestFit="1" customWidth="1"/>
    <col min="3583" max="3584" width="7.42578125" style="168" customWidth="1"/>
    <col min="3585" max="3585" width="8.28515625" style="168" bestFit="1" customWidth="1"/>
    <col min="3586" max="3586" width="7.42578125" style="168" bestFit="1" customWidth="1"/>
    <col min="3587" max="3589" width="7.42578125" style="168" customWidth="1"/>
    <col min="3590" max="3595" width="0" style="168" hidden="1" customWidth="1"/>
    <col min="3596" max="3596" width="7.85546875" style="168" customWidth="1"/>
    <col min="3597" max="3835" width="11.42578125" style="168"/>
    <col min="3836" max="3836" width="18.140625" style="168" customWidth="1"/>
    <col min="3837" max="3837" width="8" style="168" bestFit="1" customWidth="1"/>
    <col min="3838" max="3838" width="7.42578125" style="168" bestFit="1" customWidth="1"/>
    <col min="3839" max="3840" width="7.42578125" style="168" customWidth="1"/>
    <col min="3841" max="3841" width="8.28515625" style="168" bestFit="1" customWidth="1"/>
    <col min="3842" max="3842" width="7.42578125" style="168" bestFit="1" customWidth="1"/>
    <col min="3843" max="3845" width="7.42578125" style="168" customWidth="1"/>
    <col min="3846" max="3851" width="0" style="168" hidden="1" customWidth="1"/>
    <col min="3852" max="3852" width="7.85546875" style="168" customWidth="1"/>
    <col min="3853" max="4091" width="11.42578125" style="168"/>
    <col min="4092" max="4092" width="18.140625" style="168" customWidth="1"/>
    <col min="4093" max="4093" width="8" style="168" bestFit="1" customWidth="1"/>
    <col min="4094" max="4094" width="7.42578125" style="168" bestFit="1" customWidth="1"/>
    <col min="4095" max="4096" width="7.42578125" style="168" customWidth="1"/>
    <col min="4097" max="4097" width="8.28515625" style="168" bestFit="1" customWidth="1"/>
    <col min="4098" max="4098" width="7.42578125" style="168" bestFit="1" customWidth="1"/>
    <col min="4099" max="4101" width="7.42578125" style="168" customWidth="1"/>
    <col min="4102" max="4107" width="0" style="168" hidden="1" customWidth="1"/>
    <col min="4108" max="4108" width="7.85546875" style="168" customWidth="1"/>
    <col min="4109" max="4347" width="11.42578125" style="168"/>
    <col min="4348" max="4348" width="18.140625" style="168" customWidth="1"/>
    <col min="4349" max="4349" width="8" style="168" bestFit="1" customWidth="1"/>
    <col min="4350" max="4350" width="7.42578125" style="168" bestFit="1" customWidth="1"/>
    <col min="4351" max="4352" width="7.42578125" style="168" customWidth="1"/>
    <col min="4353" max="4353" width="8.28515625" style="168" bestFit="1" customWidth="1"/>
    <col min="4354" max="4354" width="7.42578125" style="168" bestFit="1" customWidth="1"/>
    <col min="4355" max="4357" width="7.42578125" style="168" customWidth="1"/>
    <col min="4358" max="4363" width="0" style="168" hidden="1" customWidth="1"/>
    <col min="4364" max="4364" width="7.85546875" style="168" customWidth="1"/>
    <col min="4365" max="4603" width="11.42578125" style="168"/>
    <col min="4604" max="4604" width="18.140625" style="168" customWidth="1"/>
    <col min="4605" max="4605" width="8" style="168" bestFit="1" customWidth="1"/>
    <col min="4606" max="4606" width="7.42578125" style="168" bestFit="1" customWidth="1"/>
    <col min="4607" max="4608" width="7.42578125" style="168" customWidth="1"/>
    <col min="4609" max="4609" width="8.28515625" style="168" bestFit="1" customWidth="1"/>
    <col min="4610" max="4610" width="7.42578125" style="168" bestFit="1" customWidth="1"/>
    <col min="4611" max="4613" width="7.42578125" style="168" customWidth="1"/>
    <col min="4614" max="4619" width="0" style="168" hidden="1" customWidth="1"/>
    <col min="4620" max="4620" width="7.85546875" style="168" customWidth="1"/>
    <col min="4621" max="4859" width="11.42578125" style="168"/>
    <col min="4860" max="4860" width="18.140625" style="168" customWidth="1"/>
    <col min="4861" max="4861" width="8" style="168" bestFit="1" customWidth="1"/>
    <col min="4862" max="4862" width="7.42578125" style="168" bestFit="1" customWidth="1"/>
    <col min="4863" max="4864" width="7.42578125" style="168" customWidth="1"/>
    <col min="4865" max="4865" width="8.28515625" style="168" bestFit="1" customWidth="1"/>
    <col min="4866" max="4866" width="7.42578125" style="168" bestFit="1" customWidth="1"/>
    <col min="4867" max="4869" width="7.42578125" style="168" customWidth="1"/>
    <col min="4870" max="4875" width="0" style="168" hidden="1" customWidth="1"/>
    <col min="4876" max="4876" width="7.85546875" style="168" customWidth="1"/>
    <col min="4877" max="5115" width="11.42578125" style="168"/>
    <col min="5116" max="5116" width="18.140625" style="168" customWidth="1"/>
    <col min="5117" max="5117" width="8" style="168" bestFit="1" customWidth="1"/>
    <col min="5118" max="5118" width="7.42578125" style="168" bestFit="1" customWidth="1"/>
    <col min="5119" max="5120" width="7.42578125" style="168" customWidth="1"/>
    <col min="5121" max="5121" width="8.28515625" style="168" bestFit="1" customWidth="1"/>
    <col min="5122" max="5122" width="7.42578125" style="168" bestFit="1" customWidth="1"/>
    <col min="5123" max="5125" width="7.42578125" style="168" customWidth="1"/>
    <col min="5126" max="5131" width="0" style="168" hidden="1" customWidth="1"/>
    <col min="5132" max="5132" width="7.85546875" style="168" customWidth="1"/>
    <col min="5133" max="5371" width="11.42578125" style="168"/>
    <col min="5372" max="5372" width="18.140625" style="168" customWidth="1"/>
    <col min="5373" max="5373" width="8" style="168" bestFit="1" customWidth="1"/>
    <col min="5374" max="5374" width="7.42578125" style="168" bestFit="1" customWidth="1"/>
    <col min="5375" max="5376" width="7.42578125" style="168" customWidth="1"/>
    <col min="5377" max="5377" width="8.28515625" style="168" bestFit="1" customWidth="1"/>
    <col min="5378" max="5378" width="7.42578125" style="168" bestFit="1" customWidth="1"/>
    <col min="5379" max="5381" width="7.42578125" style="168" customWidth="1"/>
    <col min="5382" max="5387" width="0" style="168" hidden="1" customWidth="1"/>
    <col min="5388" max="5388" width="7.85546875" style="168" customWidth="1"/>
    <col min="5389" max="5627" width="11.42578125" style="168"/>
    <col min="5628" max="5628" width="18.140625" style="168" customWidth="1"/>
    <col min="5629" max="5629" width="8" style="168" bestFit="1" customWidth="1"/>
    <col min="5630" max="5630" width="7.42578125" style="168" bestFit="1" customWidth="1"/>
    <col min="5631" max="5632" width="7.42578125" style="168" customWidth="1"/>
    <col min="5633" max="5633" width="8.28515625" style="168" bestFit="1" customWidth="1"/>
    <col min="5634" max="5634" width="7.42578125" style="168" bestFit="1" customWidth="1"/>
    <col min="5635" max="5637" width="7.42578125" style="168" customWidth="1"/>
    <col min="5638" max="5643" width="0" style="168" hidden="1" customWidth="1"/>
    <col min="5644" max="5644" width="7.85546875" style="168" customWidth="1"/>
    <col min="5645" max="5883" width="11.42578125" style="168"/>
    <col min="5884" max="5884" width="18.140625" style="168" customWidth="1"/>
    <col min="5885" max="5885" width="8" style="168" bestFit="1" customWidth="1"/>
    <col min="5886" max="5886" width="7.42578125" style="168" bestFit="1" customWidth="1"/>
    <col min="5887" max="5888" width="7.42578125" style="168" customWidth="1"/>
    <col min="5889" max="5889" width="8.28515625" style="168" bestFit="1" customWidth="1"/>
    <col min="5890" max="5890" width="7.42578125" style="168" bestFit="1" customWidth="1"/>
    <col min="5891" max="5893" width="7.42578125" style="168" customWidth="1"/>
    <col min="5894" max="5899" width="0" style="168" hidden="1" customWidth="1"/>
    <col min="5900" max="5900" width="7.85546875" style="168" customWidth="1"/>
    <col min="5901" max="6139" width="11.42578125" style="168"/>
    <col min="6140" max="6140" width="18.140625" style="168" customWidth="1"/>
    <col min="6141" max="6141" width="8" style="168" bestFit="1" customWidth="1"/>
    <col min="6142" max="6142" width="7.42578125" style="168" bestFit="1" customWidth="1"/>
    <col min="6143" max="6144" width="7.42578125" style="168" customWidth="1"/>
    <col min="6145" max="6145" width="8.28515625" style="168" bestFit="1" customWidth="1"/>
    <col min="6146" max="6146" width="7.42578125" style="168" bestFit="1" customWidth="1"/>
    <col min="6147" max="6149" width="7.42578125" style="168" customWidth="1"/>
    <col min="6150" max="6155" width="0" style="168" hidden="1" customWidth="1"/>
    <col min="6156" max="6156" width="7.85546875" style="168" customWidth="1"/>
    <col min="6157" max="6395" width="11.42578125" style="168"/>
    <col min="6396" max="6396" width="18.140625" style="168" customWidth="1"/>
    <col min="6397" max="6397" width="8" style="168" bestFit="1" customWidth="1"/>
    <col min="6398" max="6398" width="7.42578125" style="168" bestFit="1" customWidth="1"/>
    <col min="6399" max="6400" width="7.42578125" style="168" customWidth="1"/>
    <col min="6401" max="6401" width="8.28515625" style="168" bestFit="1" customWidth="1"/>
    <col min="6402" max="6402" width="7.42578125" style="168" bestFit="1" customWidth="1"/>
    <col min="6403" max="6405" width="7.42578125" style="168" customWidth="1"/>
    <col min="6406" max="6411" width="0" style="168" hidden="1" customWidth="1"/>
    <col min="6412" max="6412" width="7.85546875" style="168" customWidth="1"/>
    <col min="6413" max="6651" width="11.42578125" style="168"/>
    <col min="6652" max="6652" width="18.140625" style="168" customWidth="1"/>
    <col min="6653" max="6653" width="8" style="168" bestFit="1" customWidth="1"/>
    <col min="6654" max="6654" width="7.42578125" style="168" bestFit="1" customWidth="1"/>
    <col min="6655" max="6656" width="7.42578125" style="168" customWidth="1"/>
    <col min="6657" max="6657" width="8.28515625" style="168" bestFit="1" customWidth="1"/>
    <col min="6658" max="6658" width="7.42578125" style="168" bestFit="1" customWidth="1"/>
    <col min="6659" max="6661" width="7.42578125" style="168" customWidth="1"/>
    <col min="6662" max="6667" width="0" style="168" hidden="1" customWidth="1"/>
    <col min="6668" max="6668" width="7.85546875" style="168" customWidth="1"/>
    <col min="6669" max="6907" width="11.42578125" style="168"/>
    <col min="6908" max="6908" width="18.140625" style="168" customWidth="1"/>
    <col min="6909" max="6909" width="8" style="168" bestFit="1" customWidth="1"/>
    <col min="6910" max="6910" width="7.42578125" style="168" bestFit="1" customWidth="1"/>
    <col min="6911" max="6912" width="7.42578125" style="168" customWidth="1"/>
    <col min="6913" max="6913" width="8.28515625" style="168" bestFit="1" customWidth="1"/>
    <col min="6914" max="6914" width="7.42578125" style="168" bestFit="1" customWidth="1"/>
    <col min="6915" max="6917" width="7.42578125" style="168" customWidth="1"/>
    <col min="6918" max="6923" width="0" style="168" hidden="1" customWidth="1"/>
    <col min="6924" max="6924" width="7.85546875" style="168" customWidth="1"/>
    <col min="6925" max="7163" width="11.42578125" style="168"/>
    <col min="7164" max="7164" width="18.140625" style="168" customWidth="1"/>
    <col min="7165" max="7165" width="8" style="168" bestFit="1" customWidth="1"/>
    <col min="7166" max="7166" width="7.42578125" style="168" bestFit="1" customWidth="1"/>
    <col min="7167" max="7168" width="7.42578125" style="168" customWidth="1"/>
    <col min="7169" max="7169" width="8.28515625" style="168" bestFit="1" customWidth="1"/>
    <col min="7170" max="7170" width="7.42578125" style="168" bestFit="1" customWidth="1"/>
    <col min="7171" max="7173" width="7.42578125" style="168" customWidth="1"/>
    <col min="7174" max="7179" width="0" style="168" hidden="1" customWidth="1"/>
    <col min="7180" max="7180" width="7.85546875" style="168" customWidth="1"/>
    <col min="7181" max="7419" width="11.42578125" style="168"/>
    <col min="7420" max="7420" width="18.140625" style="168" customWidth="1"/>
    <col min="7421" max="7421" width="8" style="168" bestFit="1" customWidth="1"/>
    <col min="7422" max="7422" width="7.42578125" style="168" bestFit="1" customWidth="1"/>
    <col min="7423" max="7424" width="7.42578125" style="168" customWidth="1"/>
    <col min="7425" max="7425" width="8.28515625" style="168" bestFit="1" customWidth="1"/>
    <col min="7426" max="7426" width="7.42578125" style="168" bestFit="1" customWidth="1"/>
    <col min="7427" max="7429" width="7.42578125" style="168" customWidth="1"/>
    <col min="7430" max="7435" width="0" style="168" hidden="1" customWidth="1"/>
    <col min="7436" max="7436" width="7.85546875" style="168" customWidth="1"/>
    <col min="7437" max="7675" width="11.42578125" style="168"/>
    <col min="7676" max="7676" width="18.140625" style="168" customWidth="1"/>
    <col min="7677" max="7677" width="8" style="168" bestFit="1" customWidth="1"/>
    <col min="7678" max="7678" width="7.42578125" style="168" bestFit="1" customWidth="1"/>
    <col min="7679" max="7680" width="7.42578125" style="168" customWidth="1"/>
    <col min="7681" max="7681" width="8.28515625" style="168" bestFit="1" customWidth="1"/>
    <col min="7682" max="7682" width="7.42578125" style="168" bestFit="1" customWidth="1"/>
    <col min="7683" max="7685" width="7.42578125" style="168" customWidth="1"/>
    <col min="7686" max="7691" width="0" style="168" hidden="1" customWidth="1"/>
    <col min="7692" max="7692" width="7.85546875" style="168" customWidth="1"/>
    <col min="7693" max="7931" width="11.42578125" style="168"/>
    <col min="7932" max="7932" width="18.140625" style="168" customWidth="1"/>
    <col min="7933" max="7933" width="8" style="168" bestFit="1" customWidth="1"/>
    <col min="7934" max="7934" width="7.42578125" style="168" bestFit="1" customWidth="1"/>
    <col min="7935" max="7936" width="7.42578125" style="168" customWidth="1"/>
    <col min="7937" max="7937" width="8.28515625" style="168" bestFit="1" customWidth="1"/>
    <col min="7938" max="7938" width="7.42578125" style="168" bestFit="1" customWidth="1"/>
    <col min="7939" max="7941" width="7.42578125" style="168" customWidth="1"/>
    <col min="7942" max="7947" width="0" style="168" hidden="1" customWidth="1"/>
    <col min="7948" max="7948" width="7.85546875" style="168" customWidth="1"/>
    <col min="7949" max="8187" width="11.42578125" style="168"/>
    <col min="8188" max="8188" width="18.140625" style="168" customWidth="1"/>
    <col min="8189" max="8189" width="8" style="168" bestFit="1" customWidth="1"/>
    <col min="8190" max="8190" width="7.42578125" style="168" bestFit="1" customWidth="1"/>
    <col min="8191" max="8192" width="7.42578125" style="168" customWidth="1"/>
    <col min="8193" max="8193" width="8.28515625" style="168" bestFit="1" customWidth="1"/>
    <col min="8194" max="8194" width="7.42578125" style="168" bestFit="1" customWidth="1"/>
    <col min="8195" max="8197" width="7.42578125" style="168" customWidth="1"/>
    <col min="8198" max="8203" width="0" style="168" hidden="1" customWidth="1"/>
    <col min="8204" max="8204" width="7.85546875" style="168" customWidth="1"/>
    <col min="8205" max="8443" width="11.42578125" style="168"/>
    <col min="8444" max="8444" width="18.140625" style="168" customWidth="1"/>
    <col min="8445" max="8445" width="8" style="168" bestFit="1" customWidth="1"/>
    <col min="8446" max="8446" width="7.42578125" style="168" bestFit="1" customWidth="1"/>
    <col min="8447" max="8448" width="7.42578125" style="168" customWidth="1"/>
    <col min="8449" max="8449" width="8.28515625" style="168" bestFit="1" customWidth="1"/>
    <col min="8450" max="8450" width="7.42578125" style="168" bestFit="1" customWidth="1"/>
    <col min="8451" max="8453" width="7.42578125" style="168" customWidth="1"/>
    <col min="8454" max="8459" width="0" style="168" hidden="1" customWidth="1"/>
    <col min="8460" max="8460" width="7.85546875" style="168" customWidth="1"/>
    <col min="8461" max="8699" width="11.42578125" style="168"/>
    <col min="8700" max="8700" width="18.140625" style="168" customWidth="1"/>
    <col min="8701" max="8701" width="8" style="168" bestFit="1" customWidth="1"/>
    <col min="8702" max="8702" width="7.42578125" style="168" bestFit="1" customWidth="1"/>
    <col min="8703" max="8704" width="7.42578125" style="168" customWidth="1"/>
    <col min="8705" max="8705" width="8.28515625" style="168" bestFit="1" customWidth="1"/>
    <col min="8706" max="8706" width="7.42578125" style="168" bestFit="1" customWidth="1"/>
    <col min="8707" max="8709" width="7.42578125" style="168" customWidth="1"/>
    <col min="8710" max="8715" width="0" style="168" hidden="1" customWidth="1"/>
    <col min="8716" max="8716" width="7.85546875" style="168" customWidth="1"/>
    <col min="8717" max="8955" width="11.42578125" style="168"/>
    <col min="8956" max="8956" width="18.140625" style="168" customWidth="1"/>
    <col min="8957" max="8957" width="8" style="168" bestFit="1" customWidth="1"/>
    <col min="8958" max="8958" width="7.42578125" style="168" bestFit="1" customWidth="1"/>
    <col min="8959" max="8960" width="7.42578125" style="168" customWidth="1"/>
    <col min="8961" max="8961" width="8.28515625" style="168" bestFit="1" customWidth="1"/>
    <col min="8962" max="8962" width="7.42578125" style="168" bestFit="1" customWidth="1"/>
    <col min="8963" max="8965" width="7.42578125" style="168" customWidth="1"/>
    <col min="8966" max="8971" width="0" style="168" hidden="1" customWidth="1"/>
    <col min="8972" max="8972" width="7.85546875" style="168" customWidth="1"/>
    <col min="8973" max="9211" width="11.42578125" style="168"/>
    <col min="9212" max="9212" width="18.140625" style="168" customWidth="1"/>
    <col min="9213" max="9213" width="8" style="168" bestFit="1" customWidth="1"/>
    <col min="9214" max="9214" width="7.42578125" style="168" bestFit="1" customWidth="1"/>
    <col min="9215" max="9216" width="7.42578125" style="168" customWidth="1"/>
    <col min="9217" max="9217" width="8.28515625" style="168" bestFit="1" customWidth="1"/>
    <col min="9218" max="9218" width="7.42578125" style="168" bestFit="1" customWidth="1"/>
    <col min="9219" max="9221" width="7.42578125" style="168" customWidth="1"/>
    <col min="9222" max="9227" width="0" style="168" hidden="1" customWidth="1"/>
    <col min="9228" max="9228" width="7.85546875" style="168" customWidth="1"/>
    <col min="9229" max="9467" width="11.42578125" style="168"/>
    <col min="9468" max="9468" width="18.140625" style="168" customWidth="1"/>
    <col min="9469" max="9469" width="8" style="168" bestFit="1" customWidth="1"/>
    <col min="9470" max="9470" width="7.42578125" style="168" bestFit="1" customWidth="1"/>
    <col min="9471" max="9472" width="7.42578125" style="168" customWidth="1"/>
    <col min="9473" max="9473" width="8.28515625" style="168" bestFit="1" customWidth="1"/>
    <col min="9474" max="9474" width="7.42578125" style="168" bestFit="1" customWidth="1"/>
    <col min="9475" max="9477" width="7.42578125" style="168" customWidth="1"/>
    <col min="9478" max="9483" width="0" style="168" hidden="1" customWidth="1"/>
    <col min="9484" max="9484" width="7.85546875" style="168" customWidth="1"/>
    <col min="9485" max="9723" width="11.42578125" style="168"/>
    <col min="9724" max="9724" width="18.140625" style="168" customWidth="1"/>
    <col min="9725" max="9725" width="8" style="168" bestFit="1" customWidth="1"/>
    <col min="9726" max="9726" width="7.42578125" style="168" bestFit="1" customWidth="1"/>
    <col min="9727" max="9728" width="7.42578125" style="168" customWidth="1"/>
    <col min="9729" max="9729" width="8.28515625" style="168" bestFit="1" customWidth="1"/>
    <col min="9730" max="9730" width="7.42578125" style="168" bestFit="1" customWidth="1"/>
    <col min="9731" max="9733" width="7.42578125" style="168" customWidth="1"/>
    <col min="9734" max="9739" width="0" style="168" hidden="1" customWidth="1"/>
    <col min="9740" max="9740" width="7.85546875" style="168" customWidth="1"/>
    <col min="9741" max="9979" width="11.42578125" style="168"/>
    <col min="9980" max="9980" width="18.140625" style="168" customWidth="1"/>
    <col min="9981" max="9981" width="8" style="168" bestFit="1" customWidth="1"/>
    <col min="9982" max="9982" width="7.42578125" style="168" bestFit="1" customWidth="1"/>
    <col min="9983" max="9984" width="7.42578125" style="168" customWidth="1"/>
    <col min="9985" max="9985" width="8.28515625" style="168" bestFit="1" customWidth="1"/>
    <col min="9986" max="9986" width="7.42578125" style="168" bestFit="1" customWidth="1"/>
    <col min="9987" max="9989" width="7.42578125" style="168" customWidth="1"/>
    <col min="9990" max="9995" width="0" style="168" hidden="1" customWidth="1"/>
    <col min="9996" max="9996" width="7.85546875" style="168" customWidth="1"/>
    <col min="9997" max="10235" width="11.42578125" style="168"/>
    <col min="10236" max="10236" width="18.140625" style="168" customWidth="1"/>
    <col min="10237" max="10237" width="8" style="168" bestFit="1" customWidth="1"/>
    <col min="10238" max="10238" width="7.42578125" style="168" bestFit="1" customWidth="1"/>
    <col min="10239" max="10240" width="7.42578125" style="168" customWidth="1"/>
    <col min="10241" max="10241" width="8.28515625" style="168" bestFit="1" customWidth="1"/>
    <col min="10242" max="10242" width="7.42578125" style="168" bestFit="1" customWidth="1"/>
    <col min="10243" max="10245" width="7.42578125" style="168" customWidth="1"/>
    <col min="10246" max="10251" width="0" style="168" hidden="1" customWidth="1"/>
    <col min="10252" max="10252" width="7.85546875" style="168" customWidth="1"/>
    <col min="10253" max="10491" width="11.42578125" style="168"/>
    <col min="10492" max="10492" width="18.140625" style="168" customWidth="1"/>
    <col min="10493" max="10493" width="8" style="168" bestFit="1" customWidth="1"/>
    <col min="10494" max="10494" width="7.42578125" style="168" bestFit="1" customWidth="1"/>
    <col min="10495" max="10496" width="7.42578125" style="168" customWidth="1"/>
    <col min="10497" max="10497" width="8.28515625" style="168" bestFit="1" customWidth="1"/>
    <col min="10498" max="10498" width="7.42578125" style="168" bestFit="1" customWidth="1"/>
    <col min="10499" max="10501" width="7.42578125" style="168" customWidth="1"/>
    <col min="10502" max="10507" width="0" style="168" hidden="1" customWidth="1"/>
    <col min="10508" max="10508" width="7.85546875" style="168" customWidth="1"/>
    <col min="10509" max="10747" width="11.42578125" style="168"/>
    <col min="10748" max="10748" width="18.140625" style="168" customWidth="1"/>
    <col min="10749" max="10749" width="8" style="168" bestFit="1" customWidth="1"/>
    <col min="10750" max="10750" width="7.42578125" style="168" bestFit="1" customWidth="1"/>
    <col min="10751" max="10752" width="7.42578125" style="168" customWidth="1"/>
    <col min="10753" max="10753" width="8.28515625" style="168" bestFit="1" customWidth="1"/>
    <col min="10754" max="10754" width="7.42578125" style="168" bestFit="1" customWidth="1"/>
    <col min="10755" max="10757" width="7.42578125" style="168" customWidth="1"/>
    <col min="10758" max="10763" width="0" style="168" hidden="1" customWidth="1"/>
    <col min="10764" max="10764" width="7.85546875" style="168" customWidth="1"/>
    <col min="10765" max="11003" width="11.42578125" style="168"/>
    <col min="11004" max="11004" width="18.140625" style="168" customWidth="1"/>
    <col min="11005" max="11005" width="8" style="168" bestFit="1" customWidth="1"/>
    <col min="11006" max="11006" width="7.42578125" style="168" bestFit="1" customWidth="1"/>
    <col min="11007" max="11008" width="7.42578125" style="168" customWidth="1"/>
    <col min="11009" max="11009" width="8.28515625" style="168" bestFit="1" customWidth="1"/>
    <col min="11010" max="11010" width="7.42578125" style="168" bestFit="1" customWidth="1"/>
    <col min="11011" max="11013" width="7.42578125" style="168" customWidth="1"/>
    <col min="11014" max="11019" width="0" style="168" hidden="1" customWidth="1"/>
    <col min="11020" max="11020" width="7.85546875" style="168" customWidth="1"/>
    <col min="11021" max="11259" width="11.42578125" style="168"/>
    <col min="11260" max="11260" width="18.140625" style="168" customWidth="1"/>
    <col min="11261" max="11261" width="8" style="168" bestFit="1" customWidth="1"/>
    <col min="11262" max="11262" width="7.42578125" style="168" bestFit="1" customWidth="1"/>
    <col min="11263" max="11264" width="7.42578125" style="168" customWidth="1"/>
    <col min="11265" max="11265" width="8.28515625" style="168" bestFit="1" customWidth="1"/>
    <col min="11266" max="11266" width="7.42578125" style="168" bestFit="1" customWidth="1"/>
    <col min="11267" max="11269" width="7.42578125" style="168" customWidth="1"/>
    <col min="11270" max="11275" width="0" style="168" hidden="1" customWidth="1"/>
    <col min="11276" max="11276" width="7.85546875" style="168" customWidth="1"/>
    <col min="11277" max="11515" width="11.42578125" style="168"/>
    <col min="11516" max="11516" width="18.140625" style="168" customWidth="1"/>
    <col min="11517" max="11517" width="8" style="168" bestFit="1" customWidth="1"/>
    <col min="11518" max="11518" width="7.42578125" style="168" bestFit="1" customWidth="1"/>
    <col min="11519" max="11520" width="7.42578125" style="168" customWidth="1"/>
    <col min="11521" max="11521" width="8.28515625" style="168" bestFit="1" customWidth="1"/>
    <col min="11522" max="11522" width="7.42578125" style="168" bestFit="1" customWidth="1"/>
    <col min="11523" max="11525" width="7.42578125" style="168" customWidth="1"/>
    <col min="11526" max="11531" width="0" style="168" hidden="1" customWidth="1"/>
    <col min="11532" max="11532" width="7.85546875" style="168" customWidth="1"/>
    <col min="11533" max="11771" width="11.42578125" style="168"/>
    <col min="11772" max="11772" width="18.140625" style="168" customWidth="1"/>
    <col min="11773" max="11773" width="8" style="168" bestFit="1" customWidth="1"/>
    <col min="11774" max="11774" width="7.42578125" style="168" bestFit="1" customWidth="1"/>
    <col min="11775" max="11776" width="7.42578125" style="168" customWidth="1"/>
    <col min="11777" max="11777" width="8.28515625" style="168" bestFit="1" customWidth="1"/>
    <col min="11778" max="11778" width="7.42578125" style="168" bestFit="1" customWidth="1"/>
    <col min="11779" max="11781" width="7.42578125" style="168" customWidth="1"/>
    <col min="11782" max="11787" width="0" style="168" hidden="1" customWidth="1"/>
    <col min="11788" max="11788" width="7.85546875" style="168" customWidth="1"/>
    <col min="11789" max="12027" width="11.42578125" style="168"/>
    <col min="12028" max="12028" width="18.140625" style="168" customWidth="1"/>
    <col min="12029" max="12029" width="8" style="168" bestFit="1" customWidth="1"/>
    <col min="12030" max="12030" width="7.42578125" style="168" bestFit="1" customWidth="1"/>
    <col min="12031" max="12032" width="7.42578125" style="168" customWidth="1"/>
    <col min="12033" max="12033" width="8.28515625" style="168" bestFit="1" customWidth="1"/>
    <col min="12034" max="12034" width="7.42578125" style="168" bestFit="1" customWidth="1"/>
    <col min="12035" max="12037" width="7.42578125" style="168" customWidth="1"/>
    <col min="12038" max="12043" width="0" style="168" hidden="1" customWidth="1"/>
    <col min="12044" max="12044" width="7.85546875" style="168" customWidth="1"/>
    <col min="12045" max="12283" width="11.42578125" style="168"/>
    <col min="12284" max="12284" width="18.140625" style="168" customWidth="1"/>
    <col min="12285" max="12285" width="8" style="168" bestFit="1" customWidth="1"/>
    <col min="12286" max="12286" width="7.42578125" style="168" bestFit="1" customWidth="1"/>
    <col min="12287" max="12288" width="7.42578125" style="168" customWidth="1"/>
    <col min="12289" max="12289" width="8.28515625" style="168" bestFit="1" customWidth="1"/>
    <col min="12290" max="12290" width="7.42578125" style="168" bestFit="1" customWidth="1"/>
    <col min="12291" max="12293" width="7.42578125" style="168" customWidth="1"/>
    <col min="12294" max="12299" width="0" style="168" hidden="1" customWidth="1"/>
    <col min="12300" max="12300" width="7.85546875" style="168" customWidth="1"/>
    <col min="12301" max="12539" width="11.42578125" style="168"/>
    <col min="12540" max="12540" width="18.140625" style="168" customWidth="1"/>
    <col min="12541" max="12541" width="8" style="168" bestFit="1" customWidth="1"/>
    <col min="12542" max="12542" width="7.42578125" style="168" bestFit="1" customWidth="1"/>
    <col min="12543" max="12544" width="7.42578125" style="168" customWidth="1"/>
    <col min="12545" max="12545" width="8.28515625" style="168" bestFit="1" customWidth="1"/>
    <col min="12546" max="12546" width="7.42578125" style="168" bestFit="1" customWidth="1"/>
    <col min="12547" max="12549" width="7.42578125" style="168" customWidth="1"/>
    <col min="12550" max="12555" width="0" style="168" hidden="1" customWidth="1"/>
    <col min="12556" max="12556" width="7.85546875" style="168" customWidth="1"/>
    <col min="12557" max="12795" width="11.42578125" style="168"/>
    <col min="12796" max="12796" width="18.140625" style="168" customWidth="1"/>
    <col min="12797" max="12797" width="8" style="168" bestFit="1" customWidth="1"/>
    <col min="12798" max="12798" width="7.42578125" style="168" bestFit="1" customWidth="1"/>
    <col min="12799" max="12800" width="7.42578125" style="168" customWidth="1"/>
    <col min="12801" max="12801" width="8.28515625" style="168" bestFit="1" customWidth="1"/>
    <col min="12802" max="12802" width="7.42578125" style="168" bestFit="1" customWidth="1"/>
    <col min="12803" max="12805" width="7.42578125" style="168" customWidth="1"/>
    <col min="12806" max="12811" width="0" style="168" hidden="1" customWidth="1"/>
    <col min="12812" max="12812" width="7.85546875" style="168" customWidth="1"/>
    <col min="12813" max="13051" width="11.42578125" style="168"/>
    <col min="13052" max="13052" width="18.140625" style="168" customWidth="1"/>
    <col min="13053" max="13053" width="8" style="168" bestFit="1" customWidth="1"/>
    <col min="13054" max="13054" width="7.42578125" style="168" bestFit="1" customWidth="1"/>
    <col min="13055" max="13056" width="7.42578125" style="168" customWidth="1"/>
    <col min="13057" max="13057" width="8.28515625" style="168" bestFit="1" customWidth="1"/>
    <col min="13058" max="13058" width="7.42578125" style="168" bestFit="1" customWidth="1"/>
    <col min="13059" max="13061" width="7.42578125" style="168" customWidth="1"/>
    <col min="13062" max="13067" width="0" style="168" hidden="1" customWidth="1"/>
    <col min="13068" max="13068" width="7.85546875" style="168" customWidth="1"/>
    <col min="13069" max="13307" width="11.42578125" style="168"/>
    <col min="13308" max="13308" width="18.140625" style="168" customWidth="1"/>
    <col min="13309" max="13309" width="8" style="168" bestFit="1" customWidth="1"/>
    <col min="13310" max="13310" width="7.42578125" style="168" bestFit="1" customWidth="1"/>
    <col min="13311" max="13312" width="7.42578125" style="168" customWidth="1"/>
    <col min="13313" max="13313" width="8.28515625" style="168" bestFit="1" customWidth="1"/>
    <col min="13314" max="13314" width="7.42578125" style="168" bestFit="1" customWidth="1"/>
    <col min="13315" max="13317" width="7.42578125" style="168" customWidth="1"/>
    <col min="13318" max="13323" width="0" style="168" hidden="1" customWidth="1"/>
    <col min="13324" max="13324" width="7.85546875" style="168" customWidth="1"/>
    <col min="13325" max="13563" width="11.42578125" style="168"/>
    <col min="13564" max="13564" width="18.140625" style="168" customWidth="1"/>
    <col min="13565" max="13565" width="8" style="168" bestFit="1" customWidth="1"/>
    <col min="13566" max="13566" width="7.42578125" style="168" bestFit="1" customWidth="1"/>
    <col min="13567" max="13568" width="7.42578125" style="168" customWidth="1"/>
    <col min="13569" max="13569" width="8.28515625" style="168" bestFit="1" customWidth="1"/>
    <col min="13570" max="13570" width="7.42578125" style="168" bestFit="1" customWidth="1"/>
    <col min="13571" max="13573" width="7.42578125" style="168" customWidth="1"/>
    <col min="13574" max="13579" width="0" style="168" hidden="1" customWidth="1"/>
    <col min="13580" max="13580" width="7.85546875" style="168" customWidth="1"/>
    <col min="13581" max="13819" width="11.42578125" style="168"/>
    <col min="13820" max="13820" width="18.140625" style="168" customWidth="1"/>
    <col min="13821" max="13821" width="8" style="168" bestFit="1" customWidth="1"/>
    <col min="13822" max="13822" width="7.42578125" style="168" bestFit="1" customWidth="1"/>
    <col min="13823" max="13824" width="7.42578125" style="168" customWidth="1"/>
    <col min="13825" max="13825" width="8.28515625" style="168" bestFit="1" customWidth="1"/>
    <col min="13826" max="13826" width="7.42578125" style="168" bestFit="1" customWidth="1"/>
    <col min="13827" max="13829" width="7.42578125" style="168" customWidth="1"/>
    <col min="13830" max="13835" width="0" style="168" hidden="1" customWidth="1"/>
    <col min="13836" max="13836" width="7.85546875" style="168" customWidth="1"/>
    <col min="13837" max="14075" width="11.42578125" style="168"/>
    <col min="14076" max="14076" width="18.140625" style="168" customWidth="1"/>
    <col min="14077" max="14077" width="8" style="168" bestFit="1" customWidth="1"/>
    <col min="14078" max="14078" width="7.42578125" style="168" bestFit="1" customWidth="1"/>
    <col min="14079" max="14080" width="7.42578125" style="168" customWidth="1"/>
    <col min="14081" max="14081" width="8.28515625" style="168" bestFit="1" customWidth="1"/>
    <col min="14082" max="14082" width="7.42578125" style="168" bestFit="1" customWidth="1"/>
    <col min="14083" max="14085" width="7.42578125" style="168" customWidth="1"/>
    <col min="14086" max="14091" width="0" style="168" hidden="1" customWidth="1"/>
    <col min="14092" max="14092" width="7.85546875" style="168" customWidth="1"/>
    <col min="14093" max="14331" width="11.42578125" style="168"/>
    <col min="14332" max="14332" width="18.140625" style="168" customWidth="1"/>
    <col min="14333" max="14333" width="8" style="168" bestFit="1" customWidth="1"/>
    <col min="14334" max="14334" width="7.42578125" style="168" bestFit="1" customWidth="1"/>
    <col min="14335" max="14336" width="7.42578125" style="168" customWidth="1"/>
    <col min="14337" max="14337" width="8.28515625" style="168" bestFit="1" customWidth="1"/>
    <col min="14338" max="14338" width="7.42578125" style="168" bestFit="1" customWidth="1"/>
    <col min="14339" max="14341" width="7.42578125" style="168" customWidth="1"/>
    <col min="14342" max="14347" width="0" style="168" hidden="1" customWidth="1"/>
    <col min="14348" max="14348" width="7.85546875" style="168" customWidth="1"/>
    <col min="14349" max="14587" width="11.42578125" style="168"/>
    <col min="14588" max="14588" width="18.140625" style="168" customWidth="1"/>
    <col min="14589" max="14589" width="8" style="168" bestFit="1" customWidth="1"/>
    <col min="14590" max="14590" width="7.42578125" style="168" bestFit="1" customWidth="1"/>
    <col min="14591" max="14592" width="7.42578125" style="168" customWidth="1"/>
    <col min="14593" max="14593" width="8.28515625" style="168" bestFit="1" customWidth="1"/>
    <col min="14594" max="14594" width="7.42578125" style="168" bestFit="1" customWidth="1"/>
    <col min="14595" max="14597" width="7.42578125" style="168" customWidth="1"/>
    <col min="14598" max="14603" width="0" style="168" hidden="1" customWidth="1"/>
    <col min="14604" max="14604" width="7.85546875" style="168" customWidth="1"/>
    <col min="14605" max="14843" width="11.42578125" style="168"/>
    <col min="14844" max="14844" width="18.140625" style="168" customWidth="1"/>
    <col min="14845" max="14845" width="8" style="168" bestFit="1" customWidth="1"/>
    <col min="14846" max="14846" width="7.42578125" style="168" bestFit="1" customWidth="1"/>
    <col min="14847" max="14848" width="7.42578125" style="168" customWidth="1"/>
    <col min="14849" max="14849" width="8.28515625" style="168" bestFit="1" customWidth="1"/>
    <col min="14850" max="14850" width="7.42578125" style="168" bestFit="1" customWidth="1"/>
    <col min="14851" max="14853" width="7.42578125" style="168" customWidth="1"/>
    <col min="14854" max="14859" width="0" style="168" hidden="1" customWidth="1"/>
    <col min="14860" max="14860" width="7.85546875" style="168" customWidth="1"/>
    <col min="14861" max="15099" width="11.42578125" style="168"/>
    <col min="15100" max="15100" width="18.140625" style="168" customWidth="1"/>
    <col min="15101" max="15101" width="8" style="168" bestFit="1" customWidth="1"/>
    <col min="15102" max="15102" width="7.42578125" style="168" bestFit="1" customWidth="1"/>
    <col min="15103" max="15104" width="7.42578125" style="168" customWidth="1"/>
    <col min="15105" max="15105" width="8.28515625" style="168" bestFit="1" customWidth="1"/>
    <col min="15106" max="15106" width="7.42578125" style="168" bestFit="1" customWidth="1"/>
    <col min="15107" max="15109" width="7.42578125" style="168" customWidth="1"/>
    <col min="15110" max="15115" width="0" style="168" hidden="1" customWidth="1"/>
    <col min="15116" max="15116" width="7.85546875" style="168" customWidth="1"/>
    <col min="15117" max="15355" width="11.42578125" style="168"/>
    <col min="15356" max="15356" width="18.140625" style="168" customWidth="1"/>
    <col min="15357" max="15357" width="8" style="168" bestFit="1" customWidth="1"/>
    <col min="15358" max="15358" width="7.42578125" style="168" bestFit="1" customWidth="1"/>
    <col min="15359" max="15360" width="7.42578125" style="168" customWidth="1"/>
    <col min="15361" max="15361" width="8.28515625" style="168" bestFit="1" customWidth="1"/>
    <col min="15362" max="15362" width="7.42578125" style="168" bestFit="1" customWidth="1"/>
    <col min="15363" max="15365" width="7.42578125" style="168" customWidth="1"/>
    <col min="15366" max="15371" width="0" style="168" hidden="1" customWidth="1"/>
    <col min="15372" max="15372" width="7.85546875" style="168" customWidth="1"/>
    <col min="15373" max="15611" width="11.42578125" style="168"/>
    <col min="15612" max="15612" width="18.140625" style="168" customWidth="1"/>
    <col min="15613" max="15613" width="8" style="168" bestFit="1" customWidth="1"/>
    <col min="15614" max="15614" width="7.42578125" style="168" bestFit="1" customWidth="1"/>
    <col min="15615" max="15616" width="7.42578125" style="168" customWidth="1"/>
    <col min="15617" max="15617" width="8.28515625" style="168" bestFit="1" customWidth="1"/>
    <col min="15618" max="15618" width="7.42578125" style="168" bestFit="1" customWidth="1"/>
    <col min="15619" max="15621" width="7.42578125" style="168" customWidth="1"/>
    <col min="15622" max="15627" width="0" style="168" hidden="1" customWidth="1"/>
    <col min="15628" max="15628" width="7.85546875" style="168" customWidth="1"/>
    <col min="15629" max="15867" width="11.42578125" style="168"/>
    <col min="15868" max="15868" width="18.140625" style="168" customWidth="1"/>
    <col min="15869" max="15869" width="8" style="168" bestFit="1" customWidth="1"/>
    <col min="15870" max="15870" width="7.42578125" style="168" bestFit="1" customWidth="1"/>
    <col min="15871" max="15872" width="7.42578125" style="168" customWidth="1"/>
    <col min="15873" max="15873" width="8.28515625" style="168" bestFit="1" customWidth="1"/>
    <col min="15874" max="15874" width="7.42578125" style="168" bestFit="1" customWidth="1"/>
    <col min="15875" max="15877" width="7.42578125" style="168" customWidth="1"/>
    <col min="15878" max="15883" width="0" style="168" hidden="1" customWidth="1"/>
    <col min="15884" max="15884" width="7.85546875" style="168" customWidth="1"/>
    <col min="15885" max="16123" width="11.42578125" style="168"/>
    <col min="16124" max="16124" width="18.140625" style="168" customWidth="1"/>
    <col min="16125" max="16125" width="8" style="168" bestFit="1" customWidth="1"/>
    <col min="16126" max="16126" width="7.42578125" style="168" bestFit="1" customWidth="1"/>
    <col min="16127" max="16128" width="7.42578125" style="168" customWidth="1"/>
    <col min="16129" max="16129" width="8.28515625" style="168" bestFit="1" customWidth="1"/>
    <col min="16130" max="16130" width="7.42578125" style="168" bestFit="1" customWidth="1"/>
    <col min="16131" max="16133" width="7.42578125" style="168" customWidth="1"/>
    <col min="16134" max="16139" width="0" style="168" hidden="1" customWidth="1"/>
    <col min="16140" max="16140" width="7.85546875" style="168" customWidth="1"/>
    <col min="16141" max="16384" width="11.42578125" style="168"/>
  </cols>
  <sheetData>
    <row r="1" spans="1:16" s="169" customFormat="1" x14ac:dyDescent="0.2">
      <c r="B1" s="182"/>
      <c r="C1" s="182"/>
      <c r="D1" s="182"/>
      <c r="E1" s="182"/>
      <c r="F1" s="182"/>
      <c r="G1" s="182"/>
      <c r="H1" s="182"/>
      <c r="I1" s="182"/>
      <c r="J1" s="182"/>
      <c r="K1" s="182"/>
      <c r="L1" s="182"/>
    </row>
    <row r="2" spans="1:16" s="169" customFormat="1" x14ac:dyDescent="0.2">
      <c r="A2" s="196" t="s">
        <v>121</v>
      </c>
      <c r="B2" s="182"/>
      <c r="C2" s="182"/>
      <c r="D2" s="182"/>
      <c r="E2" s="182"/>
      <c r="F2" s="182"/>
      <c r="G2" s="182"/>
      <c r="H2" s="182"/>
      <c r="I2" s="182"/>
      <c r="K2" s="182"/>
      <c r="L2" s="182"/>
    </row>
    <row r="3" spans="1:16" s="169" customFormat="1" ht="15" x14ac:dyDescent="0.25">
      <c r="A3" s="196" t="s">
        <v>122</v>
      </c>
      <c r="B3" s="182"/>
      <c r="C3" s="182"/>
      <c r="D3" s="182"/>
      <c r="E3" s="182"/>
      <c r="F3" s="182"/>
      <c r="G3" s="182"/>
      <c r="H3" s="182"/>
      <c r="I3" s="182"/>
      <c r="J3" s="182"/>
      <c r="K3" s="337"/>
      <c r="L3" s="182"/>
    </row>
    <row r="4" spans="1:16" s="169" customFormat="1" x14ac:dyDescent="0.2">
      <c r="B4" s="182"/>
      <c r="C4" s="182"/>
      <c r="D4" s="182"/>
      <c r="E4" s="182"/>
      <c r="F4" s="182"/>
      <c r="G4" s="182"/>
      <c r="H4" s="182"/>
      <c r="I4" s="182"/>
      <c r="J4" s="182"/>
      <c r="K4" s="182"/>
      <c r="L4" s="182"/>
    </row>
    <row r="5" spans="1:16" s="169" customFormat="1" ht="12.75" x14ac:dyDescent="0.2">
      <c r="B5" s="418" t="s">
        <v>116</v>
      </c>
      <c r="C5" s="418"/>
      <c r="D5" s="418"/>
      <c r="E5" s="418"/>
      <c r="F5" s="418"/>
      <c r="G5" s="418"/>
      <c r="H5" s="418"/>
      <c r="I5" s="418"/>
      <c r="J5" s="418"/>
      <c r="K5" s="418"/>
      <c r="M5" s="367" t="s">
        <v>593</v>
      </c>
      <c r="O5" s="338"/>
    </row>
    <row r="6" spans="1:16" s="169" customFormat="1" ht="12.75" x14ac:dyDescent="0.2">
      <c r="B6" s="431" t="str">
        <f>'Solicitudes Regiones'!$B$6:$P$6</f>
        <v>Acumuladas de julio de 2008 a noviembre de 2018</v>
      </c>
      <c r="C6" s="431"/>
      <c r="D6" s="431"/>
      <c r="E6" s="431"/>
      <c r="F6" s="431"/>
      <c r="G6" s="431"/>
      <c r="H6" s="431"/>
      <c r="I6" s="431"/>
      <c r="J6" s="431"/>
      <c r="K6" s="431"/>
      <c r="L6" s="210"/>
    </row>
    <row r="7" spans="1:16" x14ac:dyDescent="0.2">
      <c r="B7" s="170"/>
      <c r="C7" s="171"/>
      <c r="D7" s="171"/>
      <c r="E7" s="171"/>
      <c r="F7" s="171"/>
      <c r="G7" s="171"/>
      <c r="H7" s="171"/>
      <c r="I7" s="171"/>
      <c r="J7" s="171"/>
      <c r="K7" s="171"/>
      <c r="L7" s="171"/>
    </row>
    <row r="8" spans="1:16" ht="15" customHeight="1" x14ac:dyDescent="0.2">
      <c r="B8" s="447" t="s">
        <v>73</v>
      </c>
      <c r="C8" s="448"/>
      <c r="D8" s="448"/>
      <c r="E8" s="448"/>
      <c r="F8" s="448"/>
      <c r="G8" s="448"/>
      <c r="H8" s="448"/>
      <c r="I8" s="448"/>
      <c r="J8" s="448"/>
      <c r="K8" s="449"/>
      <c r="L8" s="187"/>
    </row>
    <row r="9" spans="1:16" ht="20.25" customHeight="1" x14ac:dyDescent="0.2">
      <c r="B9" s="446" t="s">
        <v>74</v>
      </c>
      <c r="C9" s="447" t="s">
        <v>2</v>
      </c>
      <c r="D9" s="448"/>
      <c r="E9" s="448"/>
      <c r="F9" s="448"/>
      <c r="G9" s="448"/>
      <c r="H9" s="448"/>
      <c r="I9" s="448"/>
      <c r="J9" s="448"/>
      <c r="K9" s="449"/>
    </row>
    <row r="10" spans="1:16" ht="24" x14ac:dyDescent="0.2">
      <c r="B10" s="446"/>
      <c r="C10" s="165" t="s">
        <v>75</v>
      </c>
      <c r="D10" s="165" t="s">
        <v>76</v>
      </c>
      <c r="E10" s="165" t="s">
        <v>77</v>
      </c>
      <c r="F10" s="165" t="s">
        <v>78</v>
      </c>
      <c r="G10" s="165" t="s">
        <v>8</v>
      </c>
      <c r="H10" s="165" t="s">
        <v>79</v>
      </c>
      <c r="I10" s="165" t="s">
        <v>80</v>
      </c>
      <c r="J10" s="165" t="s">
        <v>81</v>
      </c>
      <c r="K10" s="226" t="s">
        <v>46</v>
      </c>
    </row>
    <row r="11" spans="1:16" x14ac:dyDescent="0.2">
      <c r="B11" s="160" t="s">
        <v>409</v>
      </c>
      <c r="C11" s="160">
        <v>1150</v>
      </c>
      <c r="D11" s="160">
        <v>689</v>
      </c>
      <c r="E11" s="160">
        <f>D11+C11</f>
        <v>1839</v>
      </c>
      <c r="F11" s="161">
        <f>E11/$E$21</f>
        <v>0.523037542662116</v>
      </c>
      <c r="G11" s="160">
        <v>3523</v>
      </c>
      <c r="H11" s="160">
        <v>306</v>
      </c>
      <c r="I11" s="160">
        <f>G11+H11</f>
        <v>3829</v>
      </c>
      <c r="J11" s="161">
        <f>I11/$I$21</f>
        <v>0.56226138032305428</v>
      </c>
      <c r="K11" s="160">
        <f t="shared" ref="K11:K20" si="0">E11+I11</f>
        <v>5668</v>
      </c>
      <c r="P11" s="173"/>
    </row>
    <row r="12" spans="1:16" x14ac:dyDescent="0.2">
      <c r="B12" s="160" t="s">
        <v>410</v>
      </c>
      <c r="C12" s="160">
        <v>35</v>
      </c>
      <c r="D12" s="160">
        <v>8</v>
      </c>
      <c r="E12" s="160">
        <f t="shared" ref="E12:E20" si="1">D12+C12</f>
        <v>43</v>
      </c>
      <c r="F12" s="161">
        <f t="shared" ref="F12:F20" si="2">E12/$E$21</f>
        <v>1.2229806598407281E-2</v>
      </c>
      <c r="G12" s="160">
        <v>72</v>
      </c>
      <c r="H12" s="160">
        <v>1</v>
      </c>
      <c r="I12" s="160">
        <f t="shared" ref="I12:I20" si="3">G12+H12</f>
        <v>73</v>
      </c>
      <c r="J12" s="161">
        <f t="shared" ref="J12:J20" si="4">I12/$I$21</f>
        <v>1.0719530102790014E-2</v>
      </c>
      <c r="K12" s="160">
        <f t="shared" si="0"/>
        <v>116</v>
      </c>
      <c r="P12" s="173"/>
    </row>
    <row r="13" spans="1:16" x14ac:dyDescent="0.2">
      <c r="B13" s="160" t="s">
        <v>411</v>
      </c>
      <c r="C13" s="160">
        <v>455</v>
      </c>
      <c r="D13" s="160">
        <v>237</v>
      </c>
      <c r="E13" s="160">
        <f t="shared" si="1"/>
        <v>692</v>
      </c>
      <c r="F13" s="161">
        <f t="shared" si="2"/>
        <v>0.19681456200227532</v>
      </c>
      <c r="G13" s="160">
        <v>1527</v>
      </c>
      <c r="H13" s="160">
        <v>117</v>
      </c>
      <c r="I13" s="160">
        <f t="shared" si="3"/>
        <v>1644</v>
      </c>
      <c r="J13" s="161">
        <f t="shared" si="4"/>
        <v>0.24140969162995596</v>
      </c>
      <c r="K13" s="160">
        <f t="shared" si="0"/>
        <v>2336</v>
      </c>
      <c r="P13" s="173"/>
    </row>
    <row r="14" spans="1:16" x14ac:dyDescent="0.2">
      <c r="B14" s="160" t="s">
        <v>412</v>
      </c>
      <c r="C14" s="160">
        <v>97</v>
      </c>
      <c r="D14" s="160">
        <v>41</v>
      </c>
      <c r="E14" s="160">
        <f t="shared" si="1"/>
        <v>138</v>
      </c>
      <c r="F14" s="161">
        <f t="shared" si="2"/>
        <v>3.9249146757679182E-2</v>
      </c>
      <c r="G14" s="160">
        <v>304</v>
      </c>
      <c r="H14" s="160">
        <v>21</v>
      </c>
      <c r="I14" s="160">
        <f t="shared" si="3"/>
        <v>325</v>
      </c>
      <c r="J14" s="161">
        <f t="shared" si="4"/>
        <v>4.772393538913363E-2</v>
      </c>
      <c r="K14" s="160">
        <f t="shared" si="0"/>
        <v>463</v>
      </c>
      <c r="P14" s="173"/>
    </row>
    <row r="15" spans="1:16" x14ac:dyDescent="0.2">
      <c r="B15" s="160" t="s">
        <v>413</v>
      </c>
      <c r="C15" s="160">
        <v>35</v>
      </c>
      <c r="D15" s="160">
        <v>14</v>
      </c>
      <c r="E15" s="160">
        <f t="shared" si="1"/>
        <v>49</v>
      </c>
      <c r="F15" s="161">
        <f t="shared" si="2"/>
        <v>1.3936291240045506E-2</v>
      </c>
      <c r="G15" s="160">
        <v>56</v>
      </c>
      <c r="H15" s="160">
        <v>4</v>
      </c>
      <c r="I15" s="160">
        <f t="shared" si="3"/>
        <v>60</v>
      </c>
      <c r="J15" s="161">
        <f t="shared" si="4"/>
        <v>8.8105726872246704E-3</v>
      </c>
      <c r="K15" s="160">
        <f t="shared" si="0"/>
        <v>109</v>
      </c>
      <c r="P15" s="173"/>
    </row>
    <row r="16" spans="1:16" x14ac:dyDescent="0.2">
      <c r="B16" s="160" t="s">
        <v>414</v>
      </c>
      <c r="C16" s="160">
        <v>130</v>
      </c>
      <c r="D16" s="160">
        <v>44</v>
      </c>
      <c r="E16" s="160">
        <f t="shared" si="1"/>
        <v>174</v>
      </c>
      <c r="F16" s="161">
        <f t="shared" si="2"/>
        <v>4.9488054607508533E-2</v>
      </c>
      <c r="G16" s="160">
        <v>182</v>
      </c>
      <c r="H16" s="160">
        <v>10</v>
      </c>
      <c r="I16" s="160">
        <f t="shared" si="3"/>
        <v>192</v>
      </c>
      <c r="J16" s="161">
        <f t="shared" si="4"/>
        <v>2.8193832599118944E-2</v>
      </c>
      <c r="K16" s="160">
        <f t="shared" si="0"/>
        <v>366</v>
      </c>
      <c r="P16" s="173"/>
    </row>
    <row r="17" spans="2:16" x14ac:dyDescent="0.2">
      <c r="B17" s="160" t="s">
        <v>415</v>
      </c>
      <c r="C17" s="160">
        <v>4</v>
      </c>
      <c r="D17" s="160">
        <v>1</v>
      </c>
      <c r="E17" s="160">
        <f t="shared" si="1"/>
        <v>5</v>
      </c>
      <c r="F17" s="161">
        <f t="shared" si="2"/>
        <v>1.422070534698521E-3</v>
      </c>
      <c r="G17" s="160">
        <v>18</v>
      </c>
      <c r="H17" s="160">
        <v>0</v>
      </c>
      <c r="I17" s="160">
        <f t="shared" si="3"/>
        <v>18</v>
      </c>
      <c r="J17" s="161">
        <f t="shared" si="4"/>
        <v>2.6431718061674008E-3</v>
      </c>
      <c r="K17" s="160">
        <f t="shared" si="0"/>
        <v>23</v>
      </c>
      <c r="P17" s="173"/>
    </row>
    <row r="18" spans="2:16" x14ac:dyDescent="0.2">
      <c r="B18" s="160" t="s">
        <v>416</v>
      </c>
      <c r="C18" s="160">
        <v>9</v>
      </c>
      <c r="D18" s="160">
        <v>2</v>
      </c>
      <c r="E18" s="160">
        <f t="shared" si="1"/>
        <v>11</v>
      </c>
      <c r="F18" s="161">
        <f t="shared" si="2"/>
        <v>3.1285551763367463E-3</v>
      </c>
      <c r="G18" s="160">
        <v>21</v>
      </c>
      <c r="H18" s="160">
        <v>2</v>
      </c>
      <c r="I18" s="160">
        <f t="shared" si="3"/>
        <v>23</v>
      </c>
      <c r="J18" s="161">
        <f t="shared" si="4"/>
        <v>3.3773861967694566E-3</v>
      </c>
      <c r="K18" s="160">
        <f t="shared" si="0"/>
        <v>34</v>
      </c>
      <c r="P18" s="173"/>
    </row>
    <row r="19" spans="2:16" x14ac:dyDescent="0.2">
      <c r="B19" s="160" t="s">
        <v>417</v>
      </c>
      <c r="C19" s="160">
        <v>343</v>
      </c>
      <c r="D19" s="160">
        <v>102</v>
      </c>
      <c r="E19" s="160">
        <f t="shared" si="1"/>
        <v>445</v>
      </c>
      <c r="F19" s="161">
        <f t="shared" si="2"/>
        <v>0.12656427758816838</v>
      </c>
      <c r="G19" s="160">
        <v>401</v>
      </c>
      <c r="H19" s="160">
        <v>31</v>
      </c>
      <c r="I19" s="160">
        <f t="shared" si="3"/>
        <v>432</v>
      </c>
      <c r="J19" s="161">
        <f t="shared" si="4"/>
        <v>6.3436123348017626E-2</v>
      </c>
      <c r="K19" s="160">
        <f t="shared" si="0"/>
        <v>877</v>
      </c>
      <c r="P19" s="173"/>
    </row>
    <row r="20" spans="2:16" x14ac:dyDescent="0.2">
      <c r="B20" s="160" t="s">
        <v>418</v>
      </c>
      <c r="C20" s="160">
        <v>90</v>
      </c>
      <c r="D20" s="160">
        <v>30</v>
      </c>
      <c r="E20" s="160">
        <f t="shared" si="1"/>
        <v>120</v>
      </c>
      <c r="F20" s="161">
        <f t="shared" si="2"/>
        <v>3.4129692832764506E-2</v>
      </c>
      <c r="G20" s="160">
        <v>199</v>
      </c>
      <c r="H20" s="160">
        <v>15</v>
      </c>
      <c r="I20" s="160">
        <f t="shared" si="3"/>
        <v>214</v>
      </c>
      <c r="J20" s="161">
        <f t="shared" si="4"/>
        <v>3.1424375917767991E-2</v>
      </c>
      <c r="K20" s="160">
        <f t="shared" si="0"/>
        <v>334</v>
      </c>
      <c r="P20" s="173"/>
    </row>
    <row r="21" spans="2:16" x14ac:dyDescent="0.2">
      <c r="B21" s="162" t="s">
        <v>66</v>
      </c>
      <c r="C21" s="160">
        <f t="shared" ref="C21:H21" si="5">SUM(C11:C20)</f>
        <v>2348</v>
      </c>
      <c r="D21" s="160">
        <f t="shared" si="5"/>
        <v>1168</v>
      </c>
      <c r="E21" s="162">
        <f t="shared" ref="E21" si="6">D21+C21</f>
        <v>3516</v>
      </c>
      <c r="F21" s="164">
        <f t="shared" ref="F21" si="7">E21/$E$21</f>
        <v>1</v>
      </c>
      <c r="G21" s="160">
        <f t="shared" si="5"/>
        <v>6303</v>
      </c>
      <c r="H21" s="160">
        <f t="shared" si="5"/>
        <v>507</v>
      </c>
      <c r="I21" s="162">
        <f t="shared" ref="I21" si="8">G21+H21</f>
        <v>6810</v>
      </c>
      <c r="J21" s="164">
        <f t="shared" ref="J21" si="9">I21/$I$21</f>
        <v>1</v>
      </c>
      <c r="K21" s="162">
        <f t="shared" ref="K21:K22" si="10">E21+I21</f>
        <v>10326</v>
      </c>
      <c r="P21" s="173"/>
    </row>
    <row r="22" spans="2:16" ht="25.5" customHeight="1" x14ac:dyDescent="0.2">
      <c r="B22" s="174" t="s">
        <v>82</v>
      </c>
      <c r="C22" s="175">
        <f>+C21/$K$21</f>
        <v>0.22738717799728839</v>
      </c>
      <c r="D22" s="175">
        <f>+D21/$K$21</f>
        <v>0.11311253147394926</v>
      </c>
      <c r="E22" s="216">
        <f>C22+D22</f>
        <v>0.34049970947123764</v>
      </c>
      <c r="F22" s="176"/>
      <c r="G22" s="175">
        <f>+G21/$K$21</f>
        <v>0.61040092969203952</v>
      </c>
      <c r="H22" s="175">
        <f>+H21/$K$21</f>
        <v>4.9099360836722838E-2</v>
      </c>
      <c r="I22" s="176">
        <f>G22+H22</f>
        <v>0.65950029052876236</v>
      </c>
      <c r="J22" s="176"/>
      <c r="K22" s="176">
        <f t="shared" si="10"/>
        <v>1</v>
      </c>
    </row>
    <row r="23" spans="2:16" x14ac:dyDescent="0.2">
      <c r="B23" s="167"/>
      <c r="C23" s="180"/>
      <c r="D23" s="180"/>
      <c r="E23" s="180"/>
      <c r="F23" s="180"/>
      <c r="G23" s="180"/>
      <c r="H23" s="180"/>
      <c r="I23" s="180"/>
      <c r="J23" s="180"/>
      <c r="K23" s="180"/>
    </row>
    <row r="24" spans="2:16" ht="12.75" x14ac:dyDescent="0.2">
      <c r="B24" s="418" t="s">
        <v>117</v>
      </c>
      <c r="C24" s="418"/>
      <c r="D24" s="418"/>
      <c r="E24" s="418"/>
      <c r="F24" s="418"/>
      <c r="G24" s="418"/>
      <c r="H24" s="418"/>
      <c r="I24" s="418"/>
      <c r="J24" s="418"/>
      <c r="K24" s="418"/>
    </row>
    <row r="25" spans="2:16" ht="12.75" x14ac:dyDescent="0.2">
      <c r="B25" s="431" t="str">
        <f>'Solicitudes Regiones'!$B$6:$P$6</f>
        <v>Acumuladas de julio de 2008 a noviembre de 2018</v>
      </c>
      <c r="C25" s="431"/>
      <c r="D25" s="431"/>
      <c r="E25" s="431"/>
      <c r="F25" s="431"/>
      <c r="G25" s="431"/>
      <c r="H25" s="431"/>
      <c r="I25" s="431"/>
      <c r="J25" s="431"/>
      <c r="K25" s="431"/>
    </row>
    <row r="26" spans="2:16" x14ac:dyDescent="0.2">
      <c r="B26" s="167"/>
      <c r="C26" s="180"/>
      <c r="D26" s="180"/>
      <c r="E26" s="180"/>
      <c r="F26" s="180"/>
      <c r="G26" s="180"/>
      <c r="H26" s="180"/>
      <c r="I26" s="180"/>
      <c r="J26" s="180"/>
      <c r="K26" s="180"/>
    </row>
    <row r="27" spans="2:16" ht="15" customHeight="1" x14ac:dyDescent="0.2">
      <c r="B27" s="446" t="s">
        <v>83</v>
      </c>
      <c r="C27" s="446"/>
      <c r="D27" s="446"/>
      <c r="E27" s="446"/>
      <c r="F27" s="446"/>
      <c r="G27" s="446"/>
      <c r="H27" s="446"/>
      <c r="I27" s="446"/>
      <c r="J27" s="446"/>
      <c r="K27" s="446"/>
      <c r="L27" s="181"/>
    </row>
    <row r="28" spans="2:16" ht="15" customHeight="1" x14ac:dyDescent="0.2">
      <c r="B28" s="446" t="s">
        <v>74</v>
      </c>
      <c r="C28" s="446" t="s">
        <v>2</v>
      </c>
      <c r="D28" s="446"/>
      <c r="E28" s="446"/>
      <c r="F28" s="446"/>
      <c r="G28" s="446"/>
      <c r="H28" s="446"/>
      <c r="I28" s="446"/>
      <c r="J28" s="446"/>
      <c r="K28" s="166" t="s">
        <v>115</v>
      </c>
    </row>
    <row r="29" spans="2:16" ht="24" x14ac:dyDescent="0.2">
      <c r="B29" s="446"/>
      <c r="C29" s="166" t="s">
        <v>75</v>
      </c>
      <c r="D29" s="166" t="s">
        <v>76</v>
      </c>
      <c r="E29" s="166" t="s">
        <v>77</v>
      </c>
      <c r="F29" s="166" t="s">
        <v>78</v>
      </c>
      <c r="G29" s="166" t="s">
        <v>8</v>
      </c>
      <c r="H29" s="166" t="s">
        <v>79</v>
      </c>
      <c r="I29" s="166" t="s">
        <v>80</v>
      </c>
      <c r="J29" s="166" t="s">
        <v>81</v>
      </c>
      <c r="K29" s="166" t="s">
        <v>46</v>
      </c>
    </row>
    <row r="30" spans="2:16" x14ac:dyDescent="0.2">
      <c r="B30" s="160" t="s">
        <v>409</v>
      </c>
      <c r="C30" s="160">
        <v>983</v>
      </c>
      <c r="D30" s="160">
        <v>312</v>
      </c>
      <c r="E30" s="160">
        <f>C30+D30</f>
        <v>1295</v>
      </c>
      <c r="F30" s="161">
        <f>E30/$E$40</f>
        <v>0.48501872659176032</v>
      </c>
      <c r="G30" s="160">
        <v>2818</v>
      </c>
      <c r="H30" s="160">
        <v>238</v>
      </c>
      <c r="I30" s="160">
        <f>G30+H30</f>
        <v>3056</v>
      </c>
      <c r="J30" s="161">
        <f>I30/$I$40</f>
        <v>0.55776601569629491</v>
      </c>
      <c r="K30" s="160">
        <f t="shared" ref="K30:K39" si="11">E30+I30</f>
        <v>4351</v>
      </c>
    </row>
    <row r="31" spans="2:16" x14ac:dyDescent="0.2">
      <c r="B31" s="160" t="s">
        <v>410</v>
      </c>
      <c r="C31" s="160">
        <v>34</v>
      </c>
      <c r="D31" s="160">
        <v>3</v>
      </c>
      <c r="E31" s="160">
        <f t="shared" ref="E31:E39" si="12">C31+D31</f>
        <v>37</v>
      </c>
      <c r="F31" s="161">
        <f t="shared" ref="F31:F39" si="13">E31/$E$40</f>
        <v>1.3857677902621723E-2</v>
      </c>
      <c r="G31" s="160">
        <v>62</v>
      </c>
      <c r="H31" s="160">
        <v>1</v>
      </c>
      <c r="I31" s="160">
        <f t="shared" ref="I31:I39" si="14">G31+H31</f>
        <v>63</v>
      </c>
      <c r="J31" s="161">
        <f t="shared" ref="J31:J39" si="15">I31/$I$40</f>
        <v>1.1498448622011315E-2</v>
      </c>
      <c r="K31" s="160">
        <f t="shared" si="11"/>
        <v>100</v>
      </c>
    </row>
    <row r="32" spans="2:16" x14ac:dyDescent="0.2">
      <c r="B32" s="160" t="s">
        <v>411</v>
      </c>
      <c r="C32" s="160">
        <v>422</v>
      </c>
      <c r="D32" s="160">
        <v>134</v>
      </c>
      <c r="E32" s="160">
        <f t="shared" si="12"/>
        <v>556</v>
      </c>
      <c r="F32" s="161">
        <f t="shared" si="13"/>
        <v>0.20823970037453182</v>
      </c>
      <c r="G32" s="160">
        <v>1234</v>
      </c>
      <c r="H32" s="160">
        <v>90</v>
      </c>
      <c r="I32" s="160">
        <f t="shared" si="14"/>
        <v>1324</v>
      </c>
      <c r="J32" s="161">
        <f t="shared" si="15"/>
        <v>0.24164993611972987</v>
      </c>
      <c r="K32" s="160">
        <f t="shared" si="11"/>
        <v>1880</v>
      </c>
    </row>
    <row r="33" spans="2:11" x14ac:dyDescent="0.2">
      <c r="B33" s="160" t="s">
        <v>412</v>
      </c>
      <c r="C33" s="160">
        <v>91</v>
      </c>
      <c r="D33" s="160">
        <v>19</v>
      </c>
      <c r="E33" s="160">
        <f t="shared" si="12"/>
        <v>110</v>
      </c>
      <c r="F33" s="161">
        <f t="shared" si="13"/>
        <v>4.1198501872659173E-2</v>
      </c>
      <c r="G33" s="160">
        <v>235</v>
      </c>
      <c r="H33" s="160">
        <v>14</v>
      </c>
      <c r="I33" s="160">
        <f t="shared" si="14"/>
        <v>249</v>
      </c>
      <c r="J33" s="161">
        <f t="shared" si="15"/>
        <v>4.5446249315568538E-2</v>
      </c>
      <c r="K33" s="160">
        <f t="shared" si="11"/>
        <v>359</v>
      </c>
    </row>
    <row r="34" spans="2:11" x14ac:dyDescent="0.2">
      <c r="B34" s="160" t="s">
        <v>413</v>
      </c>
      <c r="C34" s="160">
        <v>35</v>
      </c>
      <c r="D34" s="160">
        <v>6</v>
      </c>
      <c r="E34" s="160">
        <f t="shared" si="12"/>
        <v>41</v>
      </c>
      <c r="F34" s="161">
        <f t="shared" si="13"/>
        <v>1.5355805243445693E-2</v>
      </c>
      <c r="G34" s="160">
        <v>50</v>
      </c>
      <c r="H34" s="160">
        <v>4</v>
      </c>
      <c r="I34" s="160">
        <f t="shared" si="14"/>
        <v>54</v>
      </c>
      <c r="J34" s="161">
        <f t="shared" si="15"/>
        <v>9.8558131045811282E-3</v>
      </c>
      <c r="K34" s="160">
        <f t="shared" si="11"/>
        <v>95</v>
      </c>
    </row>
    <row r="35" spans="2:11" x14ac:dyDescent="0.2">
      <c r="B35" s="160" t="s">
        <v>414</v>
      </c>
      <c r="C35" s="160">
        <v>119</v>
      </c>
      <c r="D35" s="160">
        <v>22</v>
      </c>
      <c r="E35" s="160">
        <f t="shared" si="12"/>
        <v>141</v>
      </c>
      <c r="F35" s="161">
        <f t="shared" si="13"/>
        <v>5.2808988764044947E-2</v>
      </c>
      <c r="G35" s="160">
        <v>154</v>
      </c>
      <c r="H35" s="160">
        <v>4</v>
      </c>
      <c r="I35" s="160">
        <f t="shared" si="14"/>
        <v>158</v>
      </c>
      <c r="J35" s="161">
        <f t="shared" si="15"/>
        <v>2.8837379083774411E-2</v>
      </c>
      <c r="K35" s="160">
        <f t="shared" si="11"/>
        <v>299</v>
      </c>
    </row>
    <row r="36" spans="2:11" x14ac:dyDescent="0.2">
      <c r="B36" s="160" t="s">
        <v>415</v>
      </c>
      <c r="C36" s="160">
        <v>4</v>
      </c>
      <c r="D36" s="160">
        <v>0</v>
      </c>
      <c r="E36" s="160">
        <f t="shared" si="12"/>
        <v>4</v>
      </c>
      <c r="F36" s="161">
        <f t="shared" si="13"/>
        <v>1.4981273408239701E-3</v>
      </c>
      <c r="G36" s="160">
        <v>17</v>
      </c>
      <c r="H36" s="160">
        <v>0</v>
      </c>
      <c r="I36" s="160">
        <f t="shared" si="14"/>
        <v>17</v>
      </c>
      <c r="J36" s="161">
        <f t="shared" si="15"/>
        <v>3.1027559773681331E-3</v>
      </c>
      <c r="K36" s="160">
        <f t="shared" si="11"/>
        <v>21</v>
      </c>
    </row>
    <row r="37" spans="2:11" x14ac:dyDescent="0.2">
      <c r="B37" s="160" t="s">
        <v>416</v>
      </c>
      <c r="C37" s="160">
        <v>9</v>
      </c>
      <c r="D37" s="160">
        <v>1</v>
      </c>
      <c r="E37" s="160">
        <f t="shared" si="12"/>
        <v>10</v>
      </c>
      <c r="F37" s="161">
        <f t="shared" si="13"/>
        <v>3.7453183520599251E-3</v>
      </c>
      <c r="G37" s="160">
        <v>16</v>
      </c>
      <c r="H37" s="160">
        <v>2</v>
      </c>
      <c r="I37" s="160">
        <f t="shared" si="14"/>
        <v>18</v>
      </c>
      <c r="J37" s="161">
        <f t="shared" si="15"/>
        <v>3.2852710348603761E-3</v>
      </c>
      <c r="K37" s="160">
        <f t="shared" si="11"/>
        <v>28</v>
      </c>
    </row>
    <row r="38" spans="2:11" x14ac:dyDescent="0.2">
      <c r="B38" s="160" t="s">
        <v>417</v>
      </c>
      <c r="C38" s="160">
        <v>321</v>
      </c>
      <c r="D38" s="160">
        <v>58</v>
      </c>
      <c r="E38" s="160">
        <f t="shared" si="12"/>
        <v>379</v>
      </c>
      <c r="F38" s="161">
        <f t="shared" si="13"/>
        <v>0.14194756554307117</v>
      </c>
      <c r="G38" s="160">
        <v>344</v>
      </c>
      <c r="H38" s="160">
        <v>21</v>
      </c>
      <c r="I38" s="160">
        <f t="shared" si="14"/>
        <v>365</v>
      </c>
      <c r="J38" s="161">
        <f t="shared" si="15"/>
        <v>6.6617995984668735E-2</v>
      </c>
      <c r="K38" s="160">
        <f t="shared" si="11"/>
        <v>744</v>
      </c>
    </row>
    <row r="39" spans="2:11" x14ac:dyDescent="0.2">
      <c r="B39" s="160" t="s">
        <v>418</v>
      </c>
      <c r="C39" s="160">
        <v>79</v>
      </c>
      <c r="D39" s="160">
        <v>18</v>
      </c>
      <c r="E39" s="160">
        <f t="shared" si="12"/>
        <v>97</v>
      </c>
      <c r="F39" s="161">
        <f t="shared" si="13"/>
        <v>3.6329588014981276E-2</v>
      </c>
      <c r="G39" s="160">
        <v>162</v>
      </c>
      <c r="H39" s="160">
        <v>13</v>
      </c>
      <c r="I39" s="160">
        <f t="shared" si="14"/>
        <v>175</v>
      </c>
      <c r="J39" s="161">
        <f t="shared" si="15"/>
        <v>3.1940135061142544E-2</v>
      </c>
      <c r="K39" s="160">
        <f t="shared" si="11"/>
        <v>272</v>
      </c>
    </row>
    <row r="40" spans="2:11" x14ac:dyDescent="0.2">
      <c r="B40" s="162" t="s">
        <v>66</v>
      </c>
      <c r="C40" s="160">
        <f t="shared" ref="C40:H40" si="16">SUM(C30:C39)</f>
        <v>2097</v>
      </c>
      <c r="D40" s="160">
        <f t="shared" si="16"/>
        <v>573</v>
      </c>
      <c r="E40" s="162">
        <f t="shared" ref="E40" si="17">C40+D40</f>
        <v>2670</v>
      </c>
      <c r="F40" s="164">
        <f t="shared" ref="F40" si="18">E40/$E$40</f>
        <v>1</v>
      </c>
      <c r="G40" s="160">
        <f t="shared" si="16"/>
        <v>5092</v>
      </c>
      <c r="H40" s="160">
        <f t="shared" si="16"/>
        <v>387</v>
      </c>
      <c r="I40" s="162">
        <f t="shared" ref="I40" si="19">G40+H40</f>
        <v>5479</v>
      </c>
      <c r="J40" s="164">
        <f t="shared" ref="J40" si="20">I40/$I$40</f>
        <v>1</v>
      </c>
      <c r="K40" s="162">
        <f t="shared" ref="K40:K41" si="21">E40+I40</f>
        <v>8149</v>
      </c>
    </row>
    <row r="41" spans="2:11" ht="24" x14ac:dyDescent="0.2">
      <c r="B41" s="174" t="s">
        <v>84</v>
      </c>
      <c r="C41" s="175">
        <f>+C40/$K$40</f>
        <v>0.25733218799852742</v>
      </c>
      <c r="D41" s="175">
        <f>+D40/$K$40</f>
        <v>7.0315376119769291E-2</v>
      </c>
      <c r="E41" s="176">
        <f>C41+D41</f>
        <v>0.32764756411829671</v>
      </c>
      <c r="F41" s="175"/>
      <c r="G41" s="175">
        <f>+G40/$K$40</f>
        <v>0.62486194625107372</v>
      </c>
      <c r="H41" s="175">
        <f>+H40/$K$40</f>
        <v>4.7490489630629525E-2</v>
      </c>
      <c r="I41" s="176">
        <f>G41+H41</f>
        <v>0.67235243588170324</v>
      </c>
      <c r="J41" s="176"/>
      <c r="K41" s="176">
        <f t="shared" si="21"/>
        <v>1</v>
      </c>
    </row>
    <row r="42" spans="2:11" x14ac:dyDescent="0.2">
      <c r="B42" s="167" t="s">
        <v>149</v>
      </c>
    </row>
    <row r="43" spans="2:11" x14ac:dyDescent="0.2">
      <c r="B43" s="167" t="s">
        <v>150</v>
      </c>
    </row>
  </sheetData>
  <mergeCells count="10">
    <mergeCell ref="B28:B29"/>
    <mergeCell ref="C28:J28"/>
    <mergeCell ref="B8:K8"/>
    <mergeCell ref="B9:B10"/>
    <mergeCell ref="C9:K9"/>
    <mergeCell ref="B6:K6"/>
    <mergeCell ref="B5:K5"/>
    <mergeCell ref="B25:K25"/>
    <mergeCell ref="B24:K24"/>
    <mergeCell ref="B27:K27"/>
  </mergeCells>
  <hyperlinks>
    <hyperlink ref="M5" location="'Índice Pensiones Solidarias'!A1" display="Volver Sistema de Pensiones Solidadias" xr:uid="{00000000-0004-0000-1400-000000000000}"/>
  </hyperlinks>
  <pageMargins left="0.74803149606299213" right="0.74803149606299213" top="0.98425196850393704" bottom="0.98425196850393704" header="0" footer="0"/>
  <pageSetup scale="81"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31">
    <pageSetUpPr fitToPage="1"/>
  </sheetPr>
  <dimension ref="A1:P45"/>
  <sheetViews>
    <sheetView showGridLines="0" zoomScaleNormal="100" workbookViewId="0"/>
  </sheetViews>
  <sheetFormatPr baseColWidth="10" defaultRowHeight="12" x14ac:dyDescent="0.2"/>
  <cols>
    <col min="1" max="1" width="6" style="168" customWidth="1"/>
    <col min="2" max="2" width="18.140625" style="168" customWidth="1"/>
    <col min="3" max="3" width="8.42578125" style="168" bestFit="1" customWidth="1"/>
    <col min="4" max="4" width="8" style="168" bestFit="1" customWidth="1"/>
    <col min="5" max="6" width="8" style="168" customWidth="1"/>
    <col min="7" max="7" width="8.28515625" style="168" bestFit="1" customWidth="1"/>
    <col min="8" max="8" width="8" style="168" bestFit="1" customWidth="1"/>
    <col min="9" max="11" width="8" style="168" customWidth="1"/>
    <col min="12" max="12" width="7.85546875" style="168" customWidth="1"/>
    <col min="13" max="251" width="11.42578125" style="168"/>
    <col min="252" max="252" width="18.140625" style="168" customWidth="1"/>
    <col min="253" max="253" width="8.42578125" style="168" bestFit="1" customWidth="1"/>
    <col min="254" max="254" width="8" style="168" bestFit="1" customWidth="1"/>
    <col min="255" max="256" width="8" style="168" customWidth="1"/>
    <col min="257" max="257" width="8.28515625" style="168" bestFit="1" customWidth="1"/>
    <col min="258" max="258" width="8" style="168" bestFit="1" customWidth="1"/>
    <col min="259" max="261" width="8" style="168" customWidth="1"/>
    <col min="262" max="267" width="0" style="168" hidden="1" customWidth="1"/>
    <col min="268" max="268" width="7.85546875" style="168" customWidth="1"/>
    <col min="269" max="507" width="11.42578125" style="168"/>
    <col min="508" max="508" width="18.140625" style="168" customWidth="1"/>
    <col min="509" max="509" width="8.42578125" style="168" bestFit="1" customWidth="1"/>
    <col min="510" max="510" width="8" style="168" bestFit="1" customWidth="1"/>
    <col min="511" max="512" width="8" style="168" customWidth="1"/>
    <col min="513" max="513" width="8.28515625" style="168" bestFit="1" customWidth="1"/>
    <col min="514" max="514" width="8" style="168" bestFit="1" customWidth="1"/>
    <col min="515" max="517" width="8" style="168" customWidth="1"/>
    <col min="518" max="523" width="0" style="168" hidden="1" customWidth="1"/>
    <col min="524" max="524" width="7.85546875" style="168" customWidth="1"/>
    <col min="525" max="763" width="11.42578125" style="168"/>
    <col min="764" max="764" width="18.140625" style="168" customWidth="1"/>
    <col min="765" max="765" width="8.42578125" style="168" bestFit="1" customWidth="1"/>
    <col min="766" max="766" width="8" style="168" bestFit="1" customWidth="1"/>
    <col min="767" max="768" width="8" style="168" customWidth="1"/>
    <col min="769" max="769" width="8.28515625" style="168" bestFit="1" customWidth="1"/>
    <col min="770" max="770" width="8" style="168" bestFit="1" customWidth="1"/>
    <col min="771" max="773" width="8" style="168" customWidth="1"/>
    <col min="774" max="779" width="0" style="168" hidden="1" customWidth="1"/>
    <col min="780" max="780" width="7.85546875" style="168" customWidth="1"/>
    <col min="781" max="1019" width="11.42578125" style="168"/>
    <col min="1020" max="1020" width="18.140625" style="168" customWidth="1"/>
    <col min="1021" max="1021" width="8.42578125" style="168" bestFit="1" customWidth="1"/>
    <col min="1022" max="1022" width="8" style="168" bestFit="1" customWidth="1"/>
    <col min="1023" max="1024" width="8" style="168" customWidth="1"/>
    <col min="1025" max="1025" width="8.28515625" style="168" bestFit="1" customWidth="1"/>
    <col min="1026" max="1026" width="8" style="168" bestFit="1" customWidth="1"/>
    <col min="1027" max="1029" width="8" style="168" customWidth="1"/>
    <col min="1030" max="1035" width="0" style="168" hidden="1" customWidth="1"/>
    <col min="1036" max="1036" width="7.85546875" style="168" customWidth="1"/>
    <col min="1037" max="1275" width="11.42578125" style="168"/>
    <col min="1276" max="1276" width="18.140625" style="168" customWidth="1"/>
    <col min="1277" max="1277" width="8.42578125" style="168" bestFit="1" customWidth="1"/>
    <col min="1278" max="1278" width="8" style="168" bestFit="1" customWidth="1"/>
    <col min="1279" max="1280" width="8" style="168" customWidth="1"/>
    <col min="1281" max="1281" width="8.28515625" style="168" bestFit="1" customWidth="1"/>
    <col min="1282" max="1282" width="8" style="168" bestFit="1" customWidth="1"/>
    <col min="1283" max="1285" width="8" style="168" customWidth="1"/>
    <col min="1286" max="1291" width="0" style="168" hidden="1" customWidth="1"/>
    <col min="1292" max="1292" width="7.85546875" style="168" customWidth="1"/>
    <col min="1293" max="1531" width="11.42578125" style="168"/>
    <col min="1532" max="1532" width="18.140625" style="168" customWidth="1"/>
    <col min="1533" max="1533" width="8.42578125" style="168" bestFit="1" customWidth="1"/>
    <col min="1534" max="1534" width="8" style="168" bestFit="1" customWidth="1"/>
    <col min="1535" max="1536" width="8" style="168" customWidth="1"/>
    <col min="1537" max="1537" width="8.28515625" style="168" bestFit="1" customWidth="1"/>
    <col min="1538" max="1538" width="8" style="168" bestFit="1" customWidth="1"/>
    <col min="1539" max="1541" width="8" style="168" customWidth="1"/>
    <col min="1542" max="1547" width="0" style="168" hidden="1" customWidth="1"/>
    <col min="1548" max="1548" width="7.85546875" style="168" customWidth="1"/>
    <col min="1549" max="1787" width="11.42578125" style="168"/>
    <col min="1788" max="1788" width="18.140625" style="168" customWidth="1"/>
    <col min="1789" max="1789" width="8.42578125" style="168" bestFit="1" customWidth="1"/>
    <col min="1790" max="1790" width="8" style="168" bestFit="1" customWidth="1"/>
    <col min="1791" max="1792" width="8" style="168" customWidth="1"/>
    <col min="1793" max="1793" width="8.28515625" style="168" bestFit="1" customWidth="1"/>
    <col min="1794" max="1794" width="8" style="168" bestFit="1" customWidth="1"/>
    <col min="1795" max="1797" width="8" style="168" customWidth="1"/>
    <col min="1798" max="1803" width="0" style="168" hidden="1" customWidth="1"/>
    <col min="1804" max="1804" width="7.85546875" style="168" customWidth="1"/>
    <col min="1805" max="2043" width="11.42578125" style="168"/>
    <col min="2044" max="2044" width="18.140625" style="168" customWidth="1"/>
    <col min="2045" max="2045" width="8.42578125" style="168" bestFit="1" customWidth="1"/>
    <col min="2046" max="2046" width="8" style="168" bestFit="1" customWidth="1"/>
    <col min="2047" max="2048" width="8" style="168" customWidth="1"/>
    <col min="2049" max="2049" width="8.28515625" style="168" bestFit="1" customWidth="1"/>
    <col min="2050" max="2050" width="8" style="168" bestFit="1" customWidth="1"/>
    <col min="2051" max="2053" width="8" style="168" customWidth="1"/>
    <col min="2054" max="2059" width="0" style="168" hidden="1" customWidth="1"/>
    <col min="2060" max="2060" width="7.85546875" style="168" customWidth="1"/>
    <col min="2061" max="2299" width="11.42578125" style="168"/>
    <col min="2300" max="2300" width="18.140625" style="168" customWidth="1"/>
    <col min="2301" max="2301" width="8.42578125" style="168" bestFit="1" customWidth="1"/>
    <col min="2302" max="2302" width="8" style="168" bestFit="1" customWidth="1"/>
    <col min="2303" max="2304" width="8" style="168" customWidth="1"/>
    <col min="2305" max="2305" width="8.28515625" style="168" bestFit="1" customWidth="1"/>
    <col min="2306" max="2306" width="8" style="168" bestFit="1" customWidth="1"/>
    <col min="2307" max="2309" width="8" style="168" customWidth="1"/>
    <col min="2310" max="2315" width="0" style="168" hidden="1" customWidth="1"/>
    <col min="2316" max="2316" width="7.85546875" style="168" customWidth="1"/>
    <col min="2317" max="2555" width="11.42578125" style="168"/>
    <col min="2556" max="2556" width="18.140625" style="168" customWidth="1"/>
    <col min="2557" max="2557" width="8.42578125" style="168" bestFit="1" customWidth="1"/>
    <col min="2558" max="2558" width="8" style="168" bestFit="1" customWidth="1"/>
    <col min="2559" max="2560" width="8" style="168" customWidth="1"/>
    <col min="2561" max="2561" width="8.28515625" style="168" bestFit="1" customWidth="1"/>
    <col min="2562" max="2562" width="8" style="168" bestFit="1" customWidth="1"/>
    <col min="2563" max="2565" width="8" style="168" customWidth="1"/>
    <col min="2566" max="2571" width="0" style="168" hidden="1" customWidth="1"/>
    <col min="2572" max="2572" width="7.85546875" style="168" customWidth="1"/>
    <col min="2573" max="2811" width="11.42578125" style="168"/>
    <col min="2812" max="2812" width="18.140625" style="168" customWidth="1"/>
    <col min="2813" max="2813" width="8.42578125" style="168" bestFit="1" customWidth="1"/>
    <col min="2814" max="2814" width="8" style="168" bestFit="1" customWidth="1"/>
    <col min="2815" max="2816" width="8" style="168" customWidth="1"/>
    <col min="2817" max="2817" width="8.28515625" style="168" bestFit="1" customWidth="1"/>
    <col min="2818" max="2818" width="8" style="168" bestFit="1" customWidth="1"/>
    <col min="2819" max="2821" width="8" style="168" customWidth="1"/>
    <col min="2822" max="2827" width="0" style="168" hidden="1" customWidth="1"/>
    <col min="2828" max="2828" width="7.85546875" style="168" customWidth="1"/>
    <col min="2829" max="3067" width="11.42578125" style="168"/>
    <col min="3068" max="3068" width="18.140625" style="168" customWidth="1"/>
    <col min="3069" max="3069" width="8.42578125" style="168" bestFit="1" customWidth="1"/>
    <col min="3070" max="3070" width="8" style="168" bestFit="1" customWidth="1"/>
    <col min="3071" max="3072" width="8" style="168" customWidth="1"/>
    <col min="3073" max="3073" width="8.28515625" style="168" bestFit="1" customWidth="1"/>
    <col min="3074" max="3074" width="8" style="168" bestFit="1" customWidth="1"/>
    <col min="3075" max="3077" width="8" style="168" customWidth="1"/>
    <col min="3078" max="3083" width="0" style="168" hidden="1" customWidth="1"/>
    <col min="3084" max="3084" width="7.85546875" style="168" customWidth="1"/>
    <col min="3085" max="3323" width="11.42578125" style="168"/>
    <col min="3324" max="3324" width="18.140625" style="168" customWidth="1"/>
    <col min="3325" max="3325" width="8.42578125" style="168" bestFit="1" customWidth="1"/>
    <col min="3326" max="3326" width="8" style="168" bestFit="1" customWidth="1"/>
    <col min="3327" max="3328" width="8" style="168" customWidth="1"/>
    <col min="3329" max="3329" width="8.28515625" style="168" bestFit="1" customWidth="1"/>
    <col min="3330" max="3330" width="8" style="168" bestFit="1" customWidth="1"/>
    <col min="3331" max="3333" width="8" style="168" customWidth="1"/>
    <col min="3334" max="3339" width="0" style="168" hidden="1" customWidth="1"/>
    <col min="3340" max="3340" width="7.85546875" style="168" customWidth="1"/>
    <col min="3341" max="3579" width="11.42578125" style="168"/>
    <col min="3580" max="3580" width="18.140625" style="168" customWidth="1"/>
    <col min="3581" max="3581" width="8.42578125" style="168" bestFit="1" customWidth="1"/>
    <col min="3582" max="3582" width="8" style="168" bestFit="1" customWidth="1"/>
    <col min="3583" max="3584" width="8" style="168" customWidth="1"/>
    <col min="3585" max="3585" width="8.28515625" style="168" bestFit="1" customWidth="1"/>
    <col min="3586" max="3586" width="8" style="168" bestFit="1" customWidth="1"/>
    <col min="3587" max="3589" width="8" style="168" customWidth="1"/>
    <col min="3590" max="3595" width="0" style="168" hidden="1" customWidth="1"/>
    <col min="3596" max="3596" width="7.85546875" style="168" customWidth="1"/>
    <col min="3597" max="3835" width="11.42578125" style="168"/>
    <col min="3836" max="3836" width="18.140625" style="168" customWidth="1"/>
    <col min="3837" max="3837" width="8.42578125" style="168" bestFit="1" customWidth="1"/>
    <col min="3838" max="3838" width="8" style="168" bestFit="1" customWidth="1"/>
    <col min="3839" max="3840" width="8" style="168" customWidth="1"/>
    <col min="3841" max="3841" width="8.28515625" style="168" bestFit="1" customWidth="1"/>
    <col min="3842" max="3842" width="8" style="168" bestFit="1" customWidth="1"/>
    <col min="3843" max="3845" width="8" style="168" customWidth="1"/>
    <col min="3846" max="3851" width="0" style="168" hidden="1" customWidth="1"/>
    <col min="3852" max="3852" width="7.85546875" style="168" customWidth="1"/>
    <col min="3853" max="4091" width="11.42578125" style="168"/>
    <col min="4092" max="4092" width="18.140625" style="168" customWidth="1"/>
    <col min="4093" max="4093" width="8.42578125" style="168" bestFit="1" customWidth="1"/>
    <col min="4094" max="4094" width="8" style="168" bestFit="1" customWidth="1"/>
    <col min="4095" max="4096" width="8" style="168" customWidth="1"/>
    <col min="4097" max="4097" width="8.28515625" style="168" bestFit="1" customWidth="1"/>
    <col min="4098" max="4098" width="8" style="168" bestFit="1" customWidth="1"/>
    <col min="4099" max="4101" width="8" style="168" customWidth="1"/>
    <col min="4102" max="4107" width="0" style="168" hidden="1" customWidth="1"/>
    <col min="4108" max="4108" width="7.85546875" style="168" customWidth="1"/>
    <col min="4109" max="4347" width="11.42578125" style="168"/>
    <col min="4348" max="4348" width="18.140625" style="168" customWidth="1"/>
    <col min="4349" max="4349" width="8.42578125" style="168" bestFit="1" customWidth="1"/>
    <col min="4350" max="4350" width="8" style="168" bestFit="1" customWidth="1"/>
    <col min="4351" max="4352" width="8" style="168" customWidth="1"/>
    <col min="4353" max="4353" width="8.28515625" style="168" bestFit="1" customWidth="1"/>
    <col min="4354" max="4354" width="8" style="168" bestFit="1" customWidth="1"/>
    <col min="4355" max="4357" width="8" style="168" customWidth="1"/>
    <col min="4358" max="4363" width="0" style="168" hidden="1" customWidth="1"/>
    <col min="4364" max="4364" width="7.85546875" style="168" customWidth="1"/>
    <col min="4365" max="4603" width="11.42578125" style="168"/>
    <col min="4604" max="4604" width="18.140625" style="168" customWidth="1"/>
    <col min="4605" max="4605" width="8.42578125" style="168" bestFit="1" customWidth="1"/>
    <col min="4606" max="4606" width="8" style="168" bestFit="1" customWidth="1"/>
    <col min="4607" max="4608" width="8" style="168" customWidth="1"/>
    <col min="4609" max="4609" width="8.28515625" style="168" bestFit="1" customWidth="1"/>
    <col min="4610" max="4610" width="8" style="168" bestFit="1" customWidth="1"/>
    <col min="4611" max="4613" width="8" style="168" customWidth="1"/>
    <col min="4614" max="4619" width="0" style="168" hidden="1" customWidth="1"/>
    <col min="4620" max="4620" width="7.85546875" style="168" customWidth="1"/>
    <col min="4621" max="4859" width="11.42578125" style="168"/>
    <col min="4860" max="4860" width="18.140625" style="168" customWidth="1"/>
    <col min="4861" max="4861" width="8.42578125" style="168" bestFit="1" customWidth="1"/>
    <col min="4862" max="4862" width="8" style="168" bestFit="1" customWidth="1"/>
    <col min="4863" max="4864" width="8" style="168" customWidth="1"/>
    <col min="4865" max="4865" width="8.28515625" style="168" bestFit="1" customWidth="1"/>
    <col min="4866" max="4866" width="8" style="168" bestFit="1" customWidth="1"/>
    <col min="4867" max="4869" width="8" style="168" customWidth="1"/>
    <col min="4870" max="4875" width="0" style="168" hidden="1" customWidth="1"/>
    <col min="4876" max="4876" width="7.85546875" style="168" customWidth="1"/>
    <col min="4877" max="5115" width="11.42578125" style="168"/>
    <col min="5116" max="5116" width="18.140625" style="168" customWidth="1"/>
    <col min="5117" max="5117" width="8.42578125" style="168" bestFit="1" customWidth="1"/>
    <col min="5118" max="5118" width="8" style="168" bestFit="1" customWidth="1"/>
    <col min="5119" max="5120" width="8" style="168" customWidth="1"/>
    <col min="5121" max="5121" width="8.28515625" style="168" bestFit="1" customWidth="1"/>
    <col min="5122" max="5122" width="8" style="168" bestFit="1" customWidth="1"/>
    <col min="5123" max="5125" width="8" style="168" customWidth="1"/>
    <col min="5126" max="5131" width="0" style="168" hidden="1" customWidth="1"/>
    <col min="5132" max="5132" width="7.85546875" style="168" customWidth="1"/>
    <col min="5133" max="5371" width="11.42578125" style="168"/>
    <col min="5372" max="5372" width="18.140625" style="168" customWidth="1"/>
    <col min="5373" max="5373" width="8.42578125" style="168" bestFit="1" customWidth="1"/>
    <col min="5374" max="5374" width="8" style="168" bestFit="1" customWidth="1"/>
    <col min="5375" max="5376" width="8" style="168" customWidth="1"/>
    <col min="5377" max="5377" width="8.28515625" style="168" bestFit="1" customWidth="1"/>
    <col min="5378" max="5378" width="8" style="168" bestFit="1" customWidth="1"/>
    <col min="5379" max="5381" width="8" style="168" customWidth="1"/>
    <col min="5382" max="5387" width="0" style="168" hidden="1" customWidth="1"/>
    <col min="5388" max="5388" width="7.85546875" style="168" customWidth="1"/>
    <col min="5389" max="5627" width="11.42578125" style="168"/>
    <col min="5628" max="5628" width="18.140625" style="168" customWidth="1"/>
    <col min="5629" max="5629" width="8.42578125" style="168" bestFit="1" customWidth="1"/>
    <col min="5630" max="5630" width="8" style="168" bestFit="1" customWidth="1"/>
    <col min="5631" max="5632" width="8" style="168" customWidth="1"/>
    <col min="5633" max="5633" width="8.28515625" style="168" bestFit="1" customWidth="1"/>
    <col min="5634" max="5634" width="8" style="168" bestFit="1" customWidth="1"/>
    <col min="5635" max="5637" width="8" style="168" customWidth="1"/>
    <col min="5638" max="5643" width="0" style="168" hidden="1" customWidth="1"/>
    <col min="5644" max="5644" width="7.85546875" style="168" customWidth="1"/>
    <col min="5645" max="5883" width="11.42578125" style="168"/>
    <col min="5884" max="5884" width="18.140625" style="168" customWidth="1"/>
    <col min="5885" max="5885" width="8.42578125" style="168" bestFit="1" customWidth="1"/>
    <col min="5886" max="5886" width="8" style="168" bestFit="1" customWidth="1"/>
    <col min="5887" max="5888" width="8" style="168" customWidth="1"/>
    <col min="5889" max="5889" width="8.28515625" style="168" bestFit="1" customWidth="1"/>
    <col min="5890" max="5890" width="8" style="168" bestFit="1" customWidth="1"/>
    <col min="5891" max="5893" width="8" style="168" customWidth="1"/>
    <col min="5894" max="5899" width="0" style="168" hidden="1" customWidth="1"/>
    <col min="5900" max="5900" width="7.85546875" style="168" customWidth="1"/>
    <col min="5901" max="6139" width="11.42578125" style="168"/>
    <col min="6140" max="6140" width="18.140625" style="168" customWidth="1"/>
    <col min="6141" max="6141" width="8.42578125" style="168" bestFit="1" customWidth="1"/>
    <col min="6142" max="6142" width="8" style="168" bestFit="1" customWidth="1"/>
    <col min="6143" max="6144" width="8" style="168" customWidth="1"/>
    <col min="6145" max="6145" width="8.28515625" style="168" bestFit="1" customWidth="1"/>
    <col min="6146" max="6146" width="8" style="168" bestFit="1" customWidth="1"/>
    <col min="6147" max="6149" width="8" style="168" customWidth="1"/>
    <col min="6150" max="6155" width="0" style="168" hidden="1" customWidth="1"/>
    <col min="6156" max="6156" width="7.85546875" style="168" customWidth="1"/>
    <col min="6157" max="6395" width="11.42578125" style="168"/>
    <col min="6396" max="6396" width="18.140625" style="168" customWidth="1"/>
    <col min="6397" max="6397" width="8.42578125" style="168" bestFit="1" customWidth="1"/>
    <col min="6398" max="6398" width="8" style="168" bestFit="1" customWidth="1"/>
    <col min="6399" max="6400" width="8" style="168" customWidth="1"/>
    <col min="6401" max="6401" width="8.28515625" style="168" bestFit="1" customWidth="1"/>
    <col min="6402" max="6402" width="8" style="168" bestFit="1" customWidth="1"/>
    <col min="6403" max="6405" width="8" style="168" customWidth="1"/>
    <col min="6406" max="6411" width="0" style="168" hidden="1" customWidth="1"/>
    <col min="6412" max="6412" width="7.85546875" style="168" customWidth="1"/>
    <col min="6413" max="6651" width="11.42578125" style="168"/>
    <col min="6652" max="6652" width="18.140625" style="168" customWidth="1"/>
    <col min="6653" max="6653" width="8.42578125" style="168" bestFit="1" customWidth="1"/>
    <col min="6654" max="6654" width="8" style="168" bestFit="1" customWidth="1"/>
    <col min="6655" max="6656" width="8" style="168" customWidth="1"/>
    <col min="6657" max="6657" width="8.28515625" style="168" bestFit="1" customWidth="1"/>
    <col min="6658" max="6658" width="8" style="168" bestFit="1" customWidth="1"/>
    <col min="6659" max="6661" width="8" style="168" customWidth="1"/>
    <col min="6662" max="6667" width="0" style="168" hidden="1" customWidth="1"/>
    <col min="6668" max="6668" width="7.85546875" style="168" customWidth="1"/>
    <col min="6669" max="6907" width="11.42578125" style="168"/>
    <col min="6908" max="6908" width="18.140625" style="168" customWidth="1"/>
    <col min="6909" max="6909" width="8.42578125" style="168" bestFit="1" customWidth="1"/>
    <col min="6910" max="6910" width="8" style="168" bestFit="1" customWidth="1"/>
    <col min="6911" max="6912" width="8" style="168" customWidth="1"/>
    <col min="6913" max="6913" width="8.28515625" style="168" bestFit="1" customWidth="1"/>
    <col min="6914" max="6914" width="8" style="168" bestFit="1" customWidth="1"/>
    <col min="6915" max="6917" width="8" style="168" customWidth="1"/>
    <col min="6918" max="6923" width="0" style="168" hidden="1" customWidth="1"/>
    <col min="6924" max="6924" width="7.85546875" style="168" customWidth="1"/>
    <col min="6925" max="7163" width="11.42578125" style="168"/>
    <col min="7164" max="7164" width="18.140625" style="168" customWidth="1"/>
    <col min="7165" max="7165" width="8.42578125" style="168" bestFit="1" customWidth="1"/>
    <col min="7166" max="7166" width="8" style="168" bestFit="1" customWidth="1"/>
    <col min="7167" max="7168" width="8" style="168" customWidth="1"/>
    <col min="7169" max="7169" width="8.28515625" style="168" bestFit="1" customWidth="1"/>
    <col min="7170" max="7170" width="8" style="168" bestFit="1" customWidth="1"/>
    <col min="7171" max="7173" width="8" style="168" customWidth="1"/>
    <col min="7174" max="7179" width="0" style="168" hidden="1" customWidth="1"/>
    <col min="7180" max="7180" width="7.85546875" style="168" customWidth="1"/>
    <col min="7181" max="7419" width="11.42578125" style="168"/>
    <col min="7420" max="7420" width="18.140625" style="168" customWidth="1"/>
    <col min="7421" max="7421" width="8.42578125" style="168" bestFit="1" customWidth="1"/>
    <col min="7422" max="7422" width="8" style="168" bestFit="1" customWidth="1"/>
    <col min="7423" max="7424" width="8" style="168" customWidth="1"/>
    <col min="7425" max="7425" width="8.28515625" style="168" bestFit="1" customWidth="1"/>
    <col min="7426" max="7426" width="8" style="168" bestFit="1" customWidth="1"/>
    <col min="7427" max="7429" width="8" style="168" customWidth="1"/>
    <col min="7430" max="7435" width="0" style="168" hidden="1" customWidth="1"/>
    <col min="7436" max="7436" width="7.85546875" style="168" customWidth="1"/>
    <col min="7437" max="7675" width="11.42578125" style="168"/>
    <col min="7676" max="7676" width="18.140625" style="168" customWidth="1"/>
    <col min="7677" max="7677" width="8.42578125" style="168" bestFit="1" customWidth="1"/>
    <col min="7678" max="7678" width="8" style="168" bestFit="1" customWidth="1"/>
    <col min="7679" max="7680" width="8" style="168" customWidth="1"/>
    <col min="7681" max="7681" width="8.28515625" style="168" bestFit="1" customWidth="1"/>
    <col min="7682" max="7682" width="8" style="168" bestFit="1" customWidth="1"/>
    <col min="7683" max="7685" width="8" style="168" customWidth="1"/>
    <col min="7686" max="7691" width="0" style="168" hidden="1" customWidth="1"/>
    <col min="7692" max="7692" width="7.85546875" style="168" customWidth="1"/>
    <col min="7693" max="7931" width="11.42578125" style="168"/>
    <col min="7932" max="7932" width="18.140625" style="168" customWidth="1"/>
    <col min="7933" max="7933" width="8.42578125" style="168" bestFit="1" customWidth="1"/>
    <col min="7934" max="7934" width="8" style="168" bestFit="1" customWidth="1"/>
    <col min="7935" max="7936" width="8" style="168" customWidth="1"/>
    <col min="7937" max="7937" width="8.28515625" style="168" bestFit="1" customWidth="1"/>
    <col min="7938" max="7938" width="8" style="168" bestFit="1" customWidth="1"/>
    <col min="7939" max="7941" width="8" style="168" customWidth="1"/>
    <col min="7942" max="7947" width="0" style="168" hidden="1" customWidth="1"/>
    <col min="7948" max="7948" width="7.85546875" style="168" customWidth="1"/>
    <col min="7949" max="8187" width="11.42578125" style="168"/>
    <col min="8188" max="8188" width="18.140625" style="168" customWidth="1"/>
    <col min="8189" max="8189" width="8.42578125" style="168" bestFit="1" customWidth="1"/>
    <col min="8190" max="8190" width="8" style="168" bestFit="1" customWidth="1"/>
    <col min="8191" max="8192" width="8" style="168" customWidth="1"/>
    <col min="8193" max="8193" width="8.28515625" style="168" bestFit="1" customWidth="1"/>
    <col min="8194" max="8194" width="8" style="168" bestFit="1" customWidth="1"/>
    <col min="8195" max="8197" width="8" style="168" customWidth="1"/>
    <col min="8198" max="8203" width="0" style="168" hidden="1" customWidth="1"/>
    <col min="8204" max="8204" width="7.85546875" style="168" customWidth="1"/>
    <col min="8205" max="8443" width="11.42578125" style="168"/>
    <col min="8444" max="8444" width="18.140625" style="168" customWidth="1"/>
    <col min="8445" max="8445" width="8.42578125" style="168" bestFit="1" customWidth="1"/>
    <col min="8446" max="8446" width="8" style="168" bestFit="1" customWidth="1"/>
    <col min="8447" max="8448" width="8" style="168" customWidth="1"/>
    <col min="8449" max="8449" width="8.28515625" style="168" bestFit="1" customWidth="1"/>
    <col min="8450" max="8450" width="8" style="168" bestFit="1" customWidth="1"/>
    <col min="8451" max="8453" width="8" style="168" customWidth="1"/>
    <col min="8454" max="8459" width="0" style="168" hidden="1" customWidth="1"/>
    <col min="8460" max="8460" width="7.85546875" style="168" customWidth="1"/>
    <col min="8461" max="8699" width="11.42578125" style="168"/>
    <col min="8700" max="8700" width="18.140625" style="168" customWidth="1"/>
    <col min="8701" max="8701" width="8.42578125" style="168" bestFit="1" customWidth="1"/>
    <col min="8702" max="8702" width="8" style="168" bestFit="1" customWidth="1"/>
    <col min="8703" max="8704" width="8" style="168" customWidth="1"/>
    <col min="8705" max="8705" width="8.28515625" style="168" bestFit="1" customWidth="1"/>
    <col min="8706" max="8706" width="8" style="168" bestFit="1" customWidth="1"/>
    <col min="8707" max="8709" width="8" style="168" customWidth="1"/>
    <col min="8710" max="8715" width="0" style="168" hidden="1" customWidth="1"/>
    <col min="8716" max="8716" width="7.85546875" style="168" customWidth="1"/>
    <col min="8717" max="8955" width="11.42578125" style="168"/>
    <col min="8956" max="8956" width="18.140625" style="168" customWidth="1"/>
    <col min="8957" max="8957" width="8.42578125" style="168" bestFit="1" customWidth="1"/>
    <col min="8958" max="8958" width="8" style="168" bestFit="1" customWidth="1"/>
    <col min="8959" max="8960" width="8" style="168" customWidth="1"/>
    <col min="8961" max="8961" width="8.28515625" style="168" bestFit="1" customWidth="1"/>
    <col min="8962" max="8962" width="8" style="168" bestFit="1" customWidth="1"/>
    <col min="8963" max="8965" width="8" style="168" customWidth="1"/>
    <col min="8966" max="8971" width="0" style="168" hidden="1" customWidth="1"/>
    <col min="8972" max="8972" width="7.85546875" style="168" customWidth="1"/>
    <col min="8973" max="9211" width="11.42578125" style="168"/>
    <col min="9212" max="9212" width="18.140625" style="168" customWidth="1"/>
    <col min="9213" max="9213" width="8.42578125" style="168" bestFit="1" customWidth="1"/>
    <col min="9214" max="9214" width="8" style="168" bestFit="1" customWidth="1"/>
    <col min="9215" max="9216" width="8" style="168" customWidth="1"/>
    <col min="9217" max="9217" width="8.28515625" style="168" bestFit="1" customWidth="1"/>
    <col min="9218" max="9218" width="8" style="168" bestFit="1" customWidth="1"/>
    <col min="9219" max="9221" width="8" style="168" customWidth="1"/>
    <col min="9222" max="9227" width="0" style="168" hidden="1" customWidth="1"/>
    <col min="9228" max="9228" width="7.85546875" style="168" customWidth="1"/>
    <col min="9229" max="9467" width="11.42578125" style="168"/>
    <col min="9468" max="9468" width="18.140625" style="168" customWidth="1"/>
    <col min="9469" max="9469" width="8.42578125" style="168" bestFit="1" customWidth="1"/>
    <col min="9470" max="9470" width="8" style="168" bestFit="1" customWidth="1"/>
    <col min="9471" max="9472" width="8" style="168" customWidth="1"/>
    <col min="9473" max="9473" width="8.28515625" style="168" bestFit="1" customWidth="1"/>
    <col min="9474" max="9474" width="8" style="168" bestFit="1" customWidth="1"/>
    <col min="9475" max="9477" width="8" style="168" customWidth="1"/>
    <col min="9478" max="9483" width="0" style="168" hidden="1" customWidth="1"/>
    <col min="9484" max="9484" width="7.85546875" style="168" customWidth="1"/>
    <col min="9485" max="9723" width="11.42578125" style="168"/>
    <col min="9724" max="9724" width="18.140625" style="168" customWidth="1"/>
    <col min="9725" max="9725" width="8.42578125" style="168" bestFit="1" customWidth="1"/>
    <col min="9726" max="9726" width="8" style="168" bestFit="1" customWidth="1"/>
    <col min="9727" max="9728" width="8" style="168" customWidth="1"/>
    <col min="9729" max="9729" width="8.28515625" style="168" bestFit="1" customWidth="1"/>
    <col min="9730" max="9730" width="8" style="168" bestFit="1" customWidth="1"/>
    <col min="9731" max="9733" width="8" style="168" customWidth="1"/>
    <col min="9734" max="9739" width="0" style="168" hidden="1" customWidth="1"/>
    <col min="9740" max="9740" width="7.85546875" style="168" customWidth="1"/>
    <col min="9741" max="9979" width="11.42578125" style="168"/>
    <col min="9980" max="9980" width="18.140625" style="168" customWidth="1"/>
    <col min="9981" max="9981" width="8.42578125" style="168" bestFit="1" customWidth="1"/>
    <col min="9982" max="9982" width="8" style="168" bestFit="1" customWidth="1"/>
    <col min="9983" max="9984" width="8" style="168" customWidth="1"/>
    <col min="9985" max="9985" width="8.28515625" style="168" bestFit="1" customWidth="1"/>
    <col min="9986" max="9986" width="8" style="168" bestFit="1" customWidth="1"/>
    <col min="9987" max="9989" width="8" style="168" customWidth="1"/>
    <col min="9990" max="9995" width="0" style="168" hidden="1" customWidth="1"/>
    <col min="9996" max="9996" width="7.85546875" style="168" customWidth="1"/>
    <col min="9997" max="10235" width="11.42578125" style="168"/>
    <col min="10236" max="10236" width="18.140625" style="168" customWidth="1"/>
    <col min="10237" max="10237" width="8.42578125" style="168" bestFit="1" customWidth="1"/>
    <col min="10238" max="10238" width="8" style="168" bestFit="1" customWidth="1"/>
    <col min="10239" max="10240" width="8" style="168" customWidth="1"/>
    <col min="10241" max="10241" width="8.28515625" style="168" bestFit="1" customWidth="1"/>
    <col min="10242" max="10242" width="8" style="168" bestFit="1" customWidth="1"/>
    <col min="10243" max="10245" width="8" style="168" customWidth="1"/>
    <col min="10246" max="10251" width="0" style="168" hidden="1" customWidth="1"/>
    <col min="10252" max="10252" width="7.85546875" style="168" customWidth="1"/>
    <col min="10253" max="10491" width="11.42578125" style="168"/>
    <col min="10492" max="10492" width="18.140625" style="168" customWidth="1"/>
    <col min="10493" max="10493" width="8.42578125" style="168" bestFit="1" customWidth="1"/>
    <col min="10494" max="10494" width="8" style="168" bestFit="1" customWidth="1"/>
    <col min="10495" max="10496" width="8" style="168" customWidth="1"/>
    <col min="10497" max="10497" width="8.28515625" style="168" bestFit="1" customWidth="1"/>
    <col min="10498" max="10498" width="8" style="168" bestFit="1" customWidth="1"/>
    <col min="10499" max="10501" width="8" style="168" customWidth="1"/>
    <col min="10502" max="10507" width="0" style="168" hidden="1" customWidth="1"/>
    <col min="10508" max="10508" width="7.85546875" style="168" customWidth="1"/>
    <col min="10509" max="10747" width="11.42578125" style="168"/>
    <col min="10748" max="10748" width="18.140625" style="168" customWidth="1"/>
    <col min="10749" max="10749" width="8.42578125" style="168" bestFit="1" customWidth="1"/>
    <col min="10750" max="10750" width="8" style="168" bestFit="1" customWidth="1"/>
    <col min="10751" max="10752" width="8" style="168" customWidth="1"/>
    <col min="10753" max="10753" width="8.28515625" style="168" bestFit="1" customWidth="1"/>
    <col min="10754" max="10754" width="8" style="168" bestFit="1" customWidth="1"/>
    <col min="10755" max="10757" width="8" style="168" customWidth="1"/>
    <col min="10758" max="10763" width="0" style="168" hidden="1" customWidth="1"/>
    <col min="10764" max="10764" width="7.85546875" style="168" customWidth="1"/>
    <col min="10765" max="11003" width="11.42578125" style="168"/>
    <col min="11004" max="11004" width="18.140625" style="168" customWidth="1"/>
    <col min="11005" max="11005" width="8.42578125" style="168" bestFit="1" customWidth="1"/>
    <col min="11006" max="11006" width="8" style="168" bestFit="1" customWidth="1"/>
    <col min="11007" max="11008" width="8" style="168" customWidth="1"/>
    <col min="11009" max="11009" width="8.28515625" style="168" bestFit="1" customWidth="1"/>
    <col min="11010" max="11010" width="8" style="168" bestFit="1" customWidth="1"/>
    <col min="11011" max="11013" width="8" style="168" customWidth="1"/>
    <col min="11014" max="11019" width="0" style="168" hidden="1" customWidth="1"/>
    <col min="11020" max="11020" width="7.85546875" style="168" customWidth="1"/>
    <col min="11021" max="11259" width="11.42578125" style="168"/>
    <col min="11260" max="11260" width="18.140625" style="168" customWidth="1"/>
    <col min="11261" max="11261" width="8.42578125" style="168" bestFit="1" customWidth="1"/>
    <col min="11262" max="11262" width="8" style="168" bestFit="1" customWidth="1"/>
    <col min="11263" max="11264" width="8" style="168" customWidth="1"/>
    <col min="11265" max="11265" width="8.28515625" style="168" bestFit="1" customWidth="1"/>
    <col min="11266" max="11266" width="8" style="168" bestFit="1" customWidth="1"/>
    <col min="11267" max="11269" width="8" style="168" customWidth="1"/>
    <col min="11270" max="11275" width="0" style="168" hidden="1" customWidth="1"/>
    <col min="11276" max="11276" width="7.85546875" style="168" customWidth="1"/>
    <col min="11277" max="11515" width="11.42578125" style="168"/>
    <col min="11516" max="11516" width="18.140625" style="168" customWidth="1"/>
    <col min="11517" max="11517" width="8.42578125" style="168" bestFit="1" customWidth="1"/>
    <col min="11518" max="11518" width="8" style="168" bestFit="1" customWidth="1"/>
    <col min="11519" max="11520" width="8" style="168" customWidth="1"/>
    <col min="11521" max="11521" width="8.28515625" style="168" bestFit="1" customWidth="1"/>
    <col min="11522" max="11522" width="8" style="168" bestFit="1" customWidth="1"/>
    <col min="11523" max="11525" width="8" style="168" customWidth="1"/>
    <col min="11526" max="11531" width="0" style="168" hidden="1" customWidth="1"/>
    <col min="11532" max="11532" width="7.85546875" style="168" customWidth="1"/>
    <col min="11533" max="11771" width="11.42578125" style="168"/>
    <col min="11772" max="11772" width="18.140625" style="168" customWidth="1"/>
    <col min="11773" max="11773" width="8.42578125" style="168" bestFit="1" customWidth="1"/>
    <col min="11774" max="11774" width="8" style="168" bestFit="1" customWidth="1"/>
    <col min="11775" max="11776" width="8" style="168" customWidth="1"/>
    <col min="11777" max="11777" width="8.28515625" style="168" bestFit="1" customWidth="1"/>
    <col min="11778" max="11778" width="8" style="168" bestFit="1" customWidth="1"/>
    <col min="11779" max="11781" width="8" style="168" customWidth="1"/>
    <col min="11782" max="11787" width="0" style="168" hidden="1" customWidth="1"/>
    <col min="11788" max="11788" width="7.85546875" style="168" customWidth="1"/>
    <col min="11789" max="12027" width="11.42578125" style="168"/>
    <col min="12028" max="12028" width="18.140625" style="168" customWidth="1"/>
    <col min="12029" max="12029" width="8.42578125" style="168" bestFit="1" customWidth="1"/>
    <col min="12030" max="12030" width="8" style="168" bestFit="1" customWidth="1"/>
    <col min="12031" max="12032" width="8" style="168" customWidth="1"/>
    <col min="12033" max="12033" width="8.28515625" style="168" bestFit="1" customWidth="1"/>
    <col min="12034" max="12034" width="8" style="168" bestFit="1" customWidth="1"/>
    <col min="12035" max="12037" width="8" style="168" customWidth="1"/>
    <col min="12038" max="12043" width="0" style="168" hidden="1" customWidth="1"/>
    <col min="12044" max="12044" width="7.85546875" style="168" customWidth="1"/>
    <col min="12045" max="12283" width="11.42578125" style="168"/>
    <col min="12284" max="12284" width="18.140625" style="168" customWidth="1"/>
    <col min="12285" max="12285" width="8.42578125" style="168" bestFit="1" customWidth="1"/>
    <col min="12286" max="12286" width="8" style="168" bestFit="1" customWidth="1"/>
    <col min="12287" max="12288" width="8" style="168" customWidth="1"/>
    <col min="12289" max="12289" width="8.28515625" style="168" bestFit="1" customWidth="1"/>
    <col min="12290" max="12290" width="8" style="168" bestFit="1" customWidth="1"/>
    <col min="12291" max="12293" width="8" style="168" customWidth="1"/>
    <col min="12294" max="12299" width="0" style="168" hidden="1" customWidth="1"/>
    <col min="12300" max="12300" width="7.85546875" style="168" customWidth="1"/>
    <col min="12301" max="12539" width="11.42578125" style="168"/>
    <col min="12540" max="12540" width="18.140625" style="168" customWidth="1"/>
    <col min="12541" max="12541" width="8.42578125" style="168" bestFit="1" customWidth="1"/>
    <col min="12542" max="12542" width="8" style="168" bestFit="1" customWidth="1"/>
    <col min="12543" max="12544" width="8" style="168" customWidth="1"/>
    <col min="12545" max="12545" width="8.28515625" style="168" bestFit="1" customWidth="1"/>
    <col min="12546" max="12546" width="8" style="168" bestFit="1" customWidth="1"/>
    <col min="12547" max="12549" width="8" style="168" customWidth="1"/>
    <col min="12550" max="12555" width="0" style="168" hidden="1" customWidth="1"/>
    <col min="12556" max="12556" width="7.85546875" style="168" customWidth="1"/>
    <col min="12557" max="12795" width="11.42578125" style="168"/>
    <col min="12796" max="12796" width="18.140625" style="168" customWidth="1"/>
    <col min="12797" max="12797" width="8.42578125" style="168" bestFit="1" customWidth="1"/>
    <col min="12798" max="12798" width="8" style="168" bestFit="1" customWidth="1"/>
    <col min="12799" max="12800" width="8" style="168" customWidth="1"/>
    <col min="12801" max="12801" width="8.28515625" style="168" bestFit="1" customWidth="1"/>
    <col min="12802" max="12802" width="8" style="168" bestFit="1" customWidth="1"/>
    <col min="12803" max="12805" width="8" style="168" customWidth="1"/>
    <col min="12806" max="12811" width="0" style="168" hidden="1" customWidth="1"/>
    <col min="12812" max="12812" width="7.85546875" style="168" customWidth="1"/>
    <col min="12813" max="13051" width="11.42578125" style="168"/>
    <col min="13052" max="13052" width="18.140625" style="168" customWidth="1"/>
    <col min="13053" max="13053" width="8.42578125" style="168" bestFit="1" customWidth="1"/>
    <col min="13054" max="13054" width="8" style="168" bestFit="1" customWidth="1"/>
    <col min="13055" max="13056" width="8" style="168" customWidth="1"/>
    <col min="13057" max="13057" width="8.28515625" style="168" bestFit="1" customWidth="1"/>
    <col min="13058" max="13058" width="8" style="168" bestFit="1" customWidth="1"/>
    <col min="13059" max="13061" width="8" style="168" customWidth="1"/>
    <col min="13062" max="13067" width="0" style="168" hidden="1" customWidth="1"/>
    <col min="13068" max="13068" width="7.85546875" style="168" customWidth="1"/>
    <col min="13069" max="13307" width="11.42578125" style="168"/>
    <col min="13308" max="13308" width="18.140625" style="168" customWidth="1"/>
    <col min="13309" max="13309" width="8.42578125" style="168" bestFit="1" customWidth="1"/>
    <col min="13310" max="13310" width="8" style="168" bestFit="1" customWidth="1"/>
    <col min="13311" max="13312" width="8" style="168" customWidth="1"/>
    <col min="13313" max="13313" width="8.28515625" style="168" bestFit="1" customWidth="1"/>
    <col min="13314" max="13314" width="8" style="168" bestFit="1" customWidth="1"/>
    <col min="13315" max="13317" width="8" style="168" customWidth="1"/>
    <col min="13318" max="13323" width="0" style="168" hidden="1" customWidth="1"/>
    <col min="13324" max="13324" width="7.85546875" style="168" customWidth="1"/>
    <col min="13325" max="13563" width="11.42578125" style="168"/>
    <col min="13564" max="13564" width="18.140625" style="168" customWidth="1"/>
    <col min="13565" max="13565" width="8.42578125" style="168" bestFit="1" customWidth="1"/>
    <col min="13566" max="13566" width="8" style="168" bestFit="1" customWidth="1"/>
    <col min="13567" max="13568" width="8" style="168" customWidth="1"/>
    <col min="13569" max="13569" width="8.28515625" style="168" bestFit="1" customWidth="1"/>
    <col min="13570" max="13570" width="8" style="168" bestFit="1" customWidth="1"/>
    <col min="13571" max="13573" width="8" style="168" customWidth="1"/>
    <col min="13574" max="13579" width="0" style="168" hidden="1" customWidth="1"/>
    <col min="13580" max="13580" width="7.85546875" style="168" customWidth="1"/>
    <col min="13581" max="13819" width="11.42578125" style="168"/>
    <col min="13820" max="13820" width="18.140625" style="168" customWidth="1"/>
    <col min="13821" max="13821" width="8.42578125" style="168" bestFit="1" customWidth="1"/>
    <col min="13822" max="13822" width="8" style="168" bestFit="1" customWidth="1"/>
    <col min="13823" max="13824" width="8" style="168" customWidth="1"/>
    <col min="13825" max="13825" width="8.28515625" style="168" bestFit="1" customWidth="1"/>
    <col min="13826" max="13826" width="8" style="168" bestFit="1" customWidth="1"/>
    <col min="13827" max="13829" width="8" style="168" customWidth="1"/>
    <col min="13830" max="13835" width="0" style="168" hidden="1" customWidth="1"/>
    <col min="13836" max="13836" width="7.85546875" style="168" customWidth="1"/>
    <col min="13837" max="14075" width="11.42578125" style="168"/>
    <col min="14076" max="14076" width="18.140625" style="168" customWidth="1"/>
    <col min="14077" max="14077" width="8.42578125" style="168" bestFit="1" customWidth="1"/>
    <col min="14078" max="14078" width="8" style="168" bestFit="1" customWidth="1"/>
    <col min="14079" max="14080" width="8" style="168" customWidth="1"/>
    <col min="14081" max="14081" width="8.28515625" style="168" bestFit="1" customWidth="1"/>
    <col min="14082" max="14082" width="8" style="168" bestFit="1" customWidth="1"/>
    <col min="14083" max="14085" width="8" style="168" customWidth="1"/>
    <col min="14086" max="14091" width="0" style="168" hidden="1" customWidth="1"/>
    <col min="14092" max="14092" width="7.85546875" style="168" customWidth="1"/>
    <col min="14093" max="14331" width="11.42578125" style="168"/>
    <col min="14332" max="14332" width="18.140625" style="168" customWidth="1"/>
    <col min="14333" max="14333" width="8.42578125" style="168" bestFit="1" customWidth="1"/>
    <col min="14334" max="14334" width="8" style="168" bestFit="1" customWidth="1"/>
    <col min="14335" max="14336" width="8" style="168" customWidth="1"/>
    <col min="14337" max="14337" width="8.28515625" style="168" bestFit="1" customWidth="1"/>
    <col min="14338" max="14338" width="8" style="168" bestFit="1" customWidth="1"/>
    <col min="14339" max="14341" width="8" style="168" customWidth="1"/>
    <col min="14342" max="14347" width="0" style="168" hidden="1" customWidth="1"/>
    <col min="14348" max="14348" width="7.85546875" style="168" customWidth="1"/>
    <col min="14349" max="14587" width="11.42578125" style="168"/>
    <col min="14588" max="14588" width="18.140625" style="168" customWidth="1"/>
    <col min="14589" max="14589" width="8.42578125" style="168" bestFit="1" customWidth="1"/>
    <col min="14590" max="14590" width="8" style="168" bestFit="1" customWidth="1"/>
    <col min="14591" max="14592" width="8" style="168" customWidth="1"/>
    <col min="14593" max="14593" width="8.28515625" style="168" bestFit="1" customWidth="1"/>
    <col min="14594" max="14594" width="8" style="168" bestFit="1" customWidth="1"/>
    <col min="14595" max="14597" width="8" style="168" customWidth="1"/>
    <col min="14598" max="14603" width="0" style="168" hidden="1" customWidth="1"/>
    <col min="14604" max="14604" width="7.85546875" style="168" customWidth="1"/>
    <col min="14605" max="14843" width="11.42578125" style="168"/>
    <col min="14844" max="14844" width="18.140625" style="168" customWidth="1"/>
    <col min="14845" max="14845" width="8.42578125" style="168" bestFit="1" customWidth="1"/>
    <col min="14846" max="14846" width="8" style="168" bestFit="1" customWidth="1"/>
    <col min="14847" max="14848" width="8" style="168" customWidth="1"/>
    <col min="14849" max="14849" width="8.28515625" style="168" bestFit="1" customWidth="1"/>
    <col min="14850" max="14850" width="8" style="168" bestFit="1" customWidth="1"/>
    <col min="14851" max="14853" width="8" style="168" customWidth="1"/>
    <col min="14854" max="14859" width="0" style="168" hidden="1" customWidth="1"/>
    <col min="14860" max="14860" width="7.85546875" style="168" customWidth="1"/>
    <col min="14861" max="15099" width="11.42578125" style="168"/>
    <col min="15100" max="15100" width="18.140625" style="168" customWidth="1"/>
    <col min="15101" max="15101" width="8.42578125" style="168" bestFit="1" customWidth="1"/>
    <col min="15102" max="15102" width="8" style="168" bestFit="1" customWidth="1"/>
    <col min="15103" max="15104" width="8" style="168" customWidth="1"/>
    <col min="15105" max="15105" width="8.28515625" style="168" bestFit="1" customWidth="1"/>
    <col min="15106" max="15106" width="8" style="168" bestFit="1" customWidth="1"/>
    <col min="15107" max="15109" width="8" style="168" customWidth="1"/>
    <col min="15110" max="15115" width="0" style="168" hidden="1" customWidth="1"/>
    <col min="15116" max="15116" width="7.85546875" style="168" customWidth="1"/>
    <col min="15117" max="15355" width="11.42578125" style="168"/>
    <col min="15356" max="15356" width="18.140625" style="168" customWidth="1"/>
    <col min="15357" max="15357" width="8.42578125" style="168" bestFit="1" customWidth="1"/>
    <col min="15358" max="15358" width="8" style="168" bestFit="1" customWidth="1"/>
    <col min="15359" max="15360" width="8" style="168" customWidth="1"/>
    <col min="15361" max="15361" width="8.28515625" style="168" bestFit="1" customWidth="1"/>
    <col min="15362" max="15362" width="8" style="168" bestFit="1" customWidth="1"/>
    <col min="15363" max="15365" width="8" style="168" customWidth="1"/>
    <col min="15366" max="15371" width="0" style="168" hidden="1" customWidth="1"/>
    <col min="15372" max="15372" width="7.85546875" style="168" customWidth="1"/>
    <col min="15373" max="15611" width="11.42578125" style="168"/>
    <col min="15612" max="15612" width="18.140625" style="168" customWidth="1"/>
    <col min="15613" max="15613" width="8.42578125" style="168" bestFit="1" customWidth="1"/>
    <col min="15614" max="15614" width="8" style="168" bestFit="1" customWidth="1"/>
    <col min="15615" max="15616" width="8" style="168" customWidth="1"/>
    <col min="15617" max="15617" width="8.28515625" style="168" bestFit="1" customWidth="1"/>
    <col min="15618" max="15618" width="8" style="168" bestFit="1" customWidth="1"/>
    <col min="15619" max="15621" width="8" style="168" customWidth="1"/>
    <col min="15622" max="15627" width="0" style="168" hidden="1" customWidth="1"/>
    <col min="15628" max="15628" width="7.85546875" style="168" customWidth="1"/>
    <col min="15629" max="15867" width="11.42578125" style="168"/>
    <col min="15868" max="15868" width="18.140625" style="168" customWidth="1"/>
    <col min="15869" max="15869" width="8.42578125" style="168" bestFit="1" customWidth="1"/>
    <col min="15870" max="15870" width="8" style="168" bestFit="1" customWidth="1"/>
    <col min="15871" max="15872" width="8" style="168" customWidth="1"/>
    <col min="15873" max="15873" width="8.28515625" style="168" bestFit="1" customWidth="1"/>
    <col min="15874" max="15874" width="8" style="168" bestFit="1" customWidth="1"/>
    <col min="15875" max="15877" width="8" style="168" customWidth="1"/>
    <col min="15878" max="15883" width="0" style="168" hidden="1" customWidth="1"/>
    <col min="15884" max="15884" width="7.85546875" style="168" customWidth="1"/>
    <col min="15885" max="16123" width="11.42578125" style="168"/>
    <col min="16124" max="16124" width="18.140625" style="168" customWidth="1"/>
    <col min="16125" max="16125" width="8.42578125" style="168" bestFit="1" customWidth="1"/>
    <col min="16126" max="16126" width="8" style="168" bestFit="1" customWidth="1"/>
    <col min="16127" max="16128" width="8" style="168" customWidth="1"/>
    <col min="16129" max="16129" width="8.28515625" style="168" bestFit="1" customWidth="1"/>
    <col min="16130" max="16130" width="8" style="168" bestFit="1" customWidth="1"/>
    <col min="16131" max="16133" width="8" style="168" customWidth="1"/>
    <col min="16134" max="16139" width="0" style="168" hidden="1" customWidth="1"/>
    <col min="16140" max="16140" width="7.85546875" style="168" customWidth="1"/>
    <col min="16141" max="16384" width="11.42578125" style="168"/>
  </cols>
  <sheetData>
    <row r="1" spans="1:16" s="169" customFormat="1" x14ac:dyDescent="0.2">
      <c r="B1" s="182"/>
      <c r="C1" s="182"/>
      <c r="D1" s="182"/>
      <c r="E1" s="182"/>
      <c r="F1" s="182"/>
      <c r="G1" s="182"/>
      <c r="H1" s="182"/>
      <c r="I1" s="182"/>
      <c r="J1" s="182"/>
      <c r="K1" s="182"/>
      <c r="L1" s="182"/>
    </row>
    <row r="2" spans="1:16" s="169" customFormat="1" x14ac:dyDescent="0.2">
      <c r="A2" s="196" t="s">
        <v>121</v>
      </c>
      <c r="B2" s="182"/>
      <c r="C2" s="182"/>
      <c r="D2" s="182"/>
      <c r="E2" s="182"/>
      <c r="F2" s="182"/>
      <c r="G2" s="182"/>
      <c r="H2" s="182"/>
      <c r="I2" s="182"/>
      <c r="K2" s="182"/>
      <c r="L2" s="182"/>
    </row>
    <row r="3" spans="1:16" s="169" customFormat="1" ht="15" x14ac:dyDescent="0.25">
      <c r="A3" s="196" t="s">
        <v>122</v>
      </c>
      <c r="B3" s="182"/>
      <c r="C3" s="182"/>
      <c r="D3" s="182"/>
      <c r="E3" s="182"/>
      <c r="F3" s="182"/>
      <c r="G3" s="182"/>
      <c r="H3" s="182"/>
      <c r="I3" s="182"/>
      <c r="J3" s="182"/>
      <c r="K3" s="337"/>
      <c r="L3" s="182"/>
    </row>
    <row r="4" spans="1:16" s="169" customFormat="1" x14ac:dyDescent="0.2">
      <c r="B4" s="182"/>
      <c r="C4" s="182"/>
      <c r="D4" s="182"/>
      <c r="E4" s="182"/>
      <c r="F4" s="182"/>
      <c r="G4" s="182"/>
      <c r="H4" s="182"/>
      <c r="I4" s="182"/>
      <c r="J4" s="182"/>
      <c r="K4" s="182"/>
      <c r="L4" s="182"/>
    </row>
    <row r="5" spans="1:16" s="169" customFormat="1" ht="12.75" x14ac:dyDescent="0.2">
      <c r="B5" s="418" t="s">
        <v>118</v>
      </c>
      <c r="C5" s="418"/>
      <c r="D5" s="418"/>
      <c r="E5" s="418"/>
      <c r="F5" s="418"/>
      <c r="G5" s="418"/>
      <c r="H5" s="418"/>
      <c r="I5" s="418"/>
      <c r="J5" s="418"/>
      <c r="K5" s="418"/>
      <c r="M5" s="367" t="s">
        <v>593</v>
      </c>
      <c r="O5" s="338"/>
    </row>
    <row r="6" spans="1:16" s="169" customFormat="1" ht="12.75" x14ac:dyDescent="0.2">
      <c r="B6" s="431" t="str">
        <f>'Solicitudes Regiones'!$B$6:$P$6</f>
        <v>Acumuladas de julio de 2008 a noviembre de 2018</v>
      </c>
      <c r="C6" s="431"/>
      <c r="D6" s="431"/>
      <c r="E6" s="431"/>
      <c r="F6" s="431"/>
      <c r="G6" s="431"/>
      <c r="H6" s="431"/>
      <c r="I6" s="431"/>
      <c r="J6" s="431"/>
      <c r="K6" s="431"/>
      <c r="L6" s="210"/>
    </row>
    <row r="7" spans="1:16" s="172" customFormat="1" x14ac:dyDescent="0.2">
      <c r="B7" s="170"/>
      <c r="C7" s="171"/>
      <c r="D7" s="171"/>
      <c r="E7" s="171"/>
      <c r="F7" s="171"/>
      <c r="G7" s="171"/>
      <c r="H7" s="171"/>
      <c r="I7" s="171"/>
      <c r="J7" s="171"/>
      <c r="K7" s="171"/>
      <c r="L7" s="171"/>
    </row>
    <row r="8" spans="1:16" ht="15" customHeight="1" x14ac:dyDescent="0.2">
      <c r="B8" s="447" t="s">
        <v>73</v>
      </c>
      <c r="C8" s="448"/>
      <c r="D8" s="448"/>
      <c r="E8" s="448"/>
      <c r="F8" s="448"/>
      <c r="G8" s="448"/>
      <c r="H8" s="448"/>
      <c r="I8" s="448"/>
      <c r="J8" s="448"/>
      <c r="K8" s="449"/>
      <c r="L8" s="187"/>
    </row>
    <row r="9" spans="1:16" ht="20.25" customHeight="1" x14ac:dyDescent="0.2">
      <c r="B9" s="446" t="s">
        <v>74</v>
      </c>
      <c r="C9" s="447" t="s">
        <v>2</v>
      </c>
      <c r="D9" s="448"/>
      <c r="E9" s="448"/>
      <c r="F9" s="448"/>
      <c r="G9" s="448"/>
      <c r="H9" s="448"/>
      <c r="I9" s="448"/>
      <c r="J9" s="448"/>
      <c r="K9" s="449"/>
    </row>
    <row r="10" spans="1:16" ht="24" x14ac:dyDescent="0.2">
      <c r="B10" s="446"/>
      <c r="C10" s="165" t="s">
        <v>75</v>
      </c>
      <c r="D10" s="165" t="s">
        <v>76</v>
      </c>
      <c r="E10" s="165" t="s">
        <v>77</v>
      </c>
      <c r="F10" s="165" t="s">
        <v>78</v>
      </c>
      <c r="G10" s="165" t="s">
        <v>8</v>
      </c>
      <c r="H10" s="165" t="s">
        <v>79</v>
      </c>
      <c r="I10" s="165" t="s">
        <v>80</v>
      </c>
      <c r="J10" s="165" t="s">
        <v>81</v>
      </c>
      <c r="K10" s="226" t="s">
        <v>46</v>
      </c>
    </row>
    <row r="11" spans="1:16" x14ac:dyDescent="0.2">
      <c r="B11" s="160" t="s">
        <v>419</v>
      </c>
      <c r="C11" s="160">
        <v>2816</v>
      </c>
      <c r="D11" s="160">
        <v>1102</v>
      </c>
      <c r="E11" s="160">
        <f>C11+D11</f>
        <v>3918</v>
      </c>
      <c r="F11" s="161">
        <f>E11/$E$22</f>
        <v>0.72488436632747455</v>
      </c>
      <c r="G11" s="160">
        <v>9973</v>
      </c>
      <c r="H11" s="160">
        <v>485</v>
      </c>
      <c r="I11" s="160">
        <f>G11+H11</f>
        <v>10458</v>
      </c>
      <c r="J11" s="161">
        <f>I11/$I$22</f>
        <v>0.7946808510638298</v>
      </c>
      <c r="K11" s="160">
        <f t="shared" ref="K11:K21" si="0">E11+I11</f>
        <v>14376</v>
      </c>
      <c r="P11" s="215"/>
    </row>
    <row r="12" spans="1:16" x14ac:dyDescent="0.2">
      <c r="B12" s="160" t="s">
        <v>420</v>
      </c>
      <c r="C12" s="160">
        <v>2</v>
      </c>
      <c r="D12" s="160">
        <v>0</v>
      </c>
      <c r="E12" s="160">
        <f t="shared" ref="E12:E21" si="1">C12+D12</f>
        <v>2</v>
      </c>
      <c r="F12" s="161"/>
      <c r="G12" s="160">
        <v>6</v>
      </c>
      <c r="H12" s="160">
        <v>0</v>
      </c>
      <c r="I12" s="160">
        <f t="shared" ref="I12:I21" si="2">G12+H12</f>
        <v>6</v>
      </c>
      <c r="J12" s="161"/>
      <c r="K12" s="160">
        <f t="shared" si="0"/>
        <v>8</v>
      </c>
      <c r="P12" s="215"/>
    </row>
    <row r="13" spans="1:16" x14ac:dyDescent="0.2">
      <c r="B13" s="160" t="s">
        <v>421</v>
      </c>
      <c r="C13" s="160">
        <v>1</v>
      </c>
      <c r="D13" s="160">
        <v>0</v>
      </c>
      <c r="E13" s="160">
        <f t="shared" si="1"/>
        <v>1</v>
      </c>
      <c r="F13" s="161">
        <f t="shared" ref="F13:F20" si="3">E13/$E$22</f>
        <v>1.8501387604070305E-4</v>
      </c>
      <c r="G13" s="160">
        <v>3</v>
      </c>
      <c r="H13" s="160">
        <v>0</v>
      </c>
      <c r="I13" s="160">
        <f t="shared" si="2"/>
        <v>3</v>
      </c>
      <c r="J13" s="161">
        <f t="shared" ref="J13:J20" si="4">I13/$I$22</f>
        <v>2.2796352583586625E-4</v>
      </c>
      <c r="K13" s="160">
        <f t="shared" si="0"/>
        <v>4</v>
      </c>
      <c r="P13" s="215"/>
    </row>
    <row r="14" spans="1:16" x14ac:dyDescent="0.2">
      <c r="B14" s="160" t="s">
        <v>422</v>
      </c>
      <c r="C14" s="160">
        <v>4</v>
      </c>
      <c r="D14" s="160">
        <v>0</v>
      </c>
      <c r="E14" s="160">
        <f t="shared" si="1"/>
        <v>4</v>
      </c>
      <c r="F14" s="161">
        <f t="shared" si="3"/>
        <v>7.4005550416281218E-4</v>
      </c>
      <c r="G14" s="160">
        <v>12</v>
      </c>
      <c r="H14" s="160">
        <v>0</v>
      </c>
      <c r="I14" s="160">
        <f t="shared" si="2"/>
        <v>12</v>
      </c>
      <c r="J14" s="161">
        <f t="shared" si="4"/>
        <v>9.11854103343465E-4</v>
      </c>
      <c r="K14" s="160">
        <f t="shared" si="0"/>
        <v>16</v>
      </c>
      <c r="P14" s="215"/>
    </row>
    <row r="15" spans="1:16" x14ac:dyDescent="0.2">
      <c r="B15" s="160" t="s">
        <v>423</v>
      </c>
      <c r="C15" s="160">
        <v>9</v>
      </c>
      <c r="D15" s="160">
        <v>6</v>
      </c>
      <c r="E15" s="160">
        <f t="shared" si="1"/>
        <v>15</v>
      </c>
      <c r="F15" s="161"/>
      <c r="G15" s="160">
        <v>56</v>
      </c>
      <c r="H15" s="160">
        <v>4</v>
      </c>
      <c r="I15" s="160">
        <f t="shared" si="2"/>
        <v>60</v>
      </c>
      <c r="J15" s="161"/>
      <c r="K15" s="160">
        <f t="shared" si="0"/>
        <v>75</v>
      </c>
      <c r="P15" s="215"/>
    </row>
    <row r="16" spans="1:16" x14ac:dyDescent="0.2">
      <c r="B16" s="160" t="s">
        <v>424</v>
      </c>
      <c r="C16" s="160">
        <v>0</v>
      </c>
      <c r="D16" s="160">
        <v>0</v>
      </c>
      <c r="E16" s="160">
        <f t="shared" si="1"/>
        <v>0</v>
      </c>
      <c r="F16" s="161">
        <f t="shared" si="3"/>
        <v>0</v>
      </c>
      <c r="G16" s="160">
        <v>2</v>
      </c>
      <c r="H16" s="160">
        <v>0</v>
      </c>
      <c r="I16" s="160">
        <f t="shared" si="2"/>
        <v>2</v>
      </c>
      <c r="J16" s="161">
        <f t="shared" si="4"/>
        <v>1.5197568389057752E-4</v>
      </c>
      <c r="K16" s="160">
        <f t="shared" si="0"/>
        <v>2</v>
      </c>
      <c r="P16" s="215"/>
    </row>
    <row r="17" spans="2:16" x14ac:dyDescent="0.2">
      <c r="B17" s="160" t="s">
        <v>425</v>
      </c>
      <c r="C17" s="160">
        <v>131</v>
      </c>
      <c r="D17" s="160">
        <v>46</v>
      </c>
      <c r="E17" s="160">
        <f t="shared" si="1"/>
        <v>177</v>
      </c>
      <c r="F17" s="161">
        <f t="shared" si="3"/>
        <v>3.2747456059204441E-2</v>
      </c>
      <c r="G17" s="160">
        <v>474</v>
      </c>
      <c r="H17" s="160">
        <v>30</v>
      </c>
      <c r="I17" s="160">
        <f t="shared" si="2"/>
        <v>504</v>
      </c>
      <c r="J17" s="161">
        <f t="shared" si="4"/>
        <v>3.8297872340425532E-2</v>
      </c>
      <c r="K17" s="160">
        <f t="shared" si="0"/>
        <v>681</v>
      </c>
      <c r="P17" s="215"/>
    </row>
    <row r="18" spans="2:16" x14ac:dyDescent="0.2">
      <c r="B18" s="160" t="s">
        <v>426</v>
      </c>
      <c r="C18" s="160">
        <v>7</v>
      </c>
      <c r="D18" s="160">
        <v>2</v>
      </c>
      <c r="E18" s="160">
        <f t="shared" si="1"/>
        <v>9</v>
      </c>
      <c r="F18" s="161">
        <f t="shared" si="3"/>
        <v>1.6651248843663274E-3</v>
      </c>
      <c r="G18" s="160">
        <v>33</v>
      </c>
      <c r="H18" s="160">
        <v>2</v>
      </c>
      <c r="I18" s="160">
        <f t="shared" si="2"/>
        <v>35</v>
      </c>
      <c r="J18" s="161">
        <f t="shared" si="4"/>
        <v>2.6595744680851063E-3</v>
      </c>
      <c r="K18" s="160">
        <f t="shared" si="0"/>
        <v>44</v>
      </c>
      <c r="P18" s="215"/>
    </row>
    <row r="19" spans="2:16" x14ac:dyDescent="0.2">
      <c r="B19" s="160" t="s">
        <v>427</v>
      </c>
      <c r="C19" s="160">
        <v>1</v>
      </c>
      <c r="D19" s="160">
        <v>0</v>
      </c>
      <c r="E19" s="160">
        <f t="shared" si="1"/>
        <v>1</v>
      </c>
      <c r="F19" s="161">
        <f t="shared" si="3"/>
        <v>1.8501387604070305E-4</v>
      </c>
      <c r="G19" s="160">
        <v>0</v>
      </c>
      <c r="H19" s="160">
        <v>0</v>
      </c>
      <c r="I19" s="160">
        <f t="shared" si="2"/>
        <v>0</v>
      </c>
      <c r="J19" s="161">
        <f t="shared" si="4"/>
        <v>0</v>
      </c>
      <c r="K19" s="160">
        <f t="shared" si="0"/>
        <v>1</v>
      </c>
      <c r="P19" s="215"/>
    </row>
    <row r="20" spans="2:16" x14ac:dyDescent="0.2">
      <c r="B20" s="160" t="s">
        <v>428</v>
      </c>
      <c r="C20" s="160">
        <v>938</v>
      </c>
      <c r="D20" s="160">
        <v>338</v>
      </c>
      <c r="E20" s="160">
        <f t="shared" si="1"/>
        <v>1276</v>
      </c>
      <c r="F20" s="161">
        <f t="shared" si="3"/>
        <v>0.23607770582793711</v>
      </c>
      <c r="G20" s="160">
        <v>1982</v>
      </c>
      <c r="H20" s="160">
        <v>96</v>
      </c>
      <c r="I20" s="160">
        <f t="shared" si="2"/>
        <v>2078</v>
      </c>
      <c r="J20" s="161">
        <f t="shared" si="4"/>
        <v>0.15790273556231002</v>
      </c>
      <c r="K20" s="160">
        <f t="shared" si="0"/>
        <v>3354</v>
      </c>
      <c r="P20" s="215"/>
    </row>
    <row r="21" spans="2:16" x14ac:dyDescent="0.2">
      <c r="B21" s="160" t="s">
        <v>429</v>
      </c>
      <c r="C21" s="160">
        <v>2</v>
      </c>
      <c r="D21" s="160">
        <v>0</v>
      </c>
      <c r="E21" s="160">
        <f t="shared" si="1"/>
        <v>2</v>
      </c>
      <c r="F21" s="161"/>
      <c r="G21" s="160">
        <v>2</v>
      </c>
      <c r="H21" s="160">
        <v>0</v>
      </c>
      <c r="I21" s="160">
        <f t="shared" si="2"/>
        <v>2</v>
      </c>
      <c r="J21" s="161"/>
      <c r="K21" s="160">
        <f t="shared" si="0"/>
        <v>4</v>
      </c>
      <c r="P21" s="215"/>
    </row>
    <row r="22" spans="2:16" x14ac:dyDescent="0.2">
      <c r="B22" s="162" t="s">
        <v>66</v>
      </c>
      <c r="C22" s="160">
        <f t="shared" ref="C22:H22" si="5">SUM(C11:C21)</f>
        <v>3911</v>
      </c>
      <c r="D22" s="160">
        <f t="shared" si="5"/>
        <v>1494</v>
      </c>
      <c r="E22" s="162">
        <f t="shared" ref="E22:E23" si="6">C22+D22</f>
        <v>5405</v>
      </c>
      <c r="F22" s="164">
        <f t="shared" ref="F22" si="7">E22/$E$22</f>
        <v>1</v>
      </c>
      <c r="G22" s="160">
        <f t="shared" si="5"/>
        <v>12543</v>
      </c>
      <c r="H22" s="160">
        <f t="shared" si="5"/>
        <v>617</v>
      </c>
      <c r="I22" s="162">
        <f t="shared" ref="I22" si="8">G22+H22</f>
        <v>13160</v>
      </c>
      <c r="J22" s="164">
        <f t="shared" ref="J22" si="9">I22/$I$22</f>
        <v>1</v>
      </c>
      <c r="K22" s="162">
        <f t="shared" ref="K22:K23" si="10">E22+I22</f>
        <v>18565</v>
      </c>
    </row>
    <row r="23" spans="2:16" ht="25.5" customHeight="1" x14ac:dyDescent="0.2">
      <c r="B23" s="174" t="s">
        <v>82</v>
      </c>
      <c r="C23" s="175">
        <f>+C22/$K$22</f>
        <v>0.21066523027201722</v>
      </c>
      <c r="D23" s="175">
        <f>+D22/$K$22</f>
        <v>8.0474010234311874E-2</v>
      </c>
      <c r="E23" s="176">
        <f t="shared" si="6"/>
        <v>0.29113924050632911</v>
      </c>
      <c r="F23" s="176"/>
      <c r="G23" s="175">
        <f>+G22/$K$22</f>
        <v>0.67562617829248584</v>
      </c>
      <c r="H23" s="175">
        <f>+H22/$K$22</f>
        <v>3.3234581201185026E-2</v>
      </c>
      <c r="I23" s="176">
        <f>G23+H23</f>
        <v>0.70886075949367089</v>
      </c>
      <c r="J23" s="176"/>
      <c r="K23" s="176">
        <f t="shared" si="10"/>
        <v>1</v>
      </c>
    </row>
    <row r="24" spans="2:16" x14ac:dyDescent="0.2">
      <c r="B24" s="167"/>
      <c r="C24" s="180"/>
      <c r="D24" s="180"/>
      <c r="E24" s="180"/>
      <c r="F24" s="180"/>
      <c r="G24" s="180"/>
      <c r="H24" s="180"/>
      <c r="I24" s="180"/>
      <c r="J24" s="180"/>
      <c r="K24" s="180"/>
    </row>
    <row r="25" spans="2:16" ht="12.75" x14ac:dyDescent="0.2">
      <c r="B25" s="418" t="s">
        <v>119</v>
      </c>
      <c r="C25" s="418"/>
      <c r="D25" s="418"/>
      <c r="E25" s="418"/>
      <c r="F25" s="418"/>
      <c r="G25" s="418"/>
      <c r="H25" s="418"/>
      <c r="I25" s="418"/>
      <c r="J25" s="418"/>
      <c r="K25" s="418"/>
    </row>
    <row r="26" spans="2:16" ht="12.75" x14ac:dyDescent="0.2">
      <c r="B26" s="431" t="str">
        <f>'Solicitudes Regiones'!$B$6:$P$6</f>
        <v>Acumuladas de julio de 2008 a noviembre de 2018</v>
      </c>
      <c r="C26" s="431"/>
      <c r="D26" s="431"/>
      <c r="E26" s="431"/>
      <c r="F26" s="431"/>
      <c r="G26" s="431"/>
      <c r="H26" s="431"/>
      <c r="I26" s="431"/>
      <c r="J26" s="431"/>
      <c r="K26" s="431"/>
    </row>
    <row r="28" spans="2:16" ht="15" customHeight="1" x14ac:dyDescent="0.2">
      <c r="B28" s="447" t="s">
        <v>83</v>
      </c>
      <c r="C28" s="448"/>
      <c r="D28" s="448"/>
      <c r="E28" s="448"/>
      <c r="F28" s="448"/>
      <c r="G28" s="448"/>
      <c r="H28" s="448"/>
      <c r="I28" s="448"/>
      <c r="J28" s="448"/>
      <c r="K28" s="449"/>
      <c r="L28" s="181"/>
    </row>
    <row r="29" spans="2:16" ht="15" customHeight="1" x14ac:dyDescent="0.2">
      <c r="B29" s="446" t="s">
        <v>74</v>
      </c>
      <c r="C29" s="446" t="s">
        <v>2</v>
      </c>
      <c r="D29" s="446"/>
      <c r="E29" s="446"/>
      <c r="F29" s="446"/>
      <c r="G29" s="446"/>
      <c r="H29" s="446"/>
      <c r="I29" s="446"/>
      <c r="J29" s="446"/>
      <c r="K29" s="446"/>
    </row>
    <row r="30" spans="2:16" ht="24" x14ac:dyDescent="0.2">
      <c r="B30" s="446"/>
      <c r="C30" s="165" t="s">
        <v>75</v>
      </c>
      <c r="D30" s="165" t="s">
        <v>76</v>
      </c>
      <c r="E30" s="165" t="s">
        <v>77</v>
      </c>
      <c r="F30" s="165" t="s">
        <v>78</v>
      </c>
      <c r="G30" s="165" t="s">
        <v>8</v>
      </c>
      <c r="H30" s="165" t="s">
        <v>79</v>
      </c>
      <c r="I30" s="165" t="s">
        <v>80</v>
      </c>
      <c r="J30" s="165" t="s">
        <v>81</v>
      </c>
      <c r="K30" s="166" t="s">
        <v>46</v>
      </c>
    </row>
    <row r="31" spans="2:16" x14ac:dyDescent="0.2">
      <c r="B31" s="160" t="s">
        <v>419</v>
      </c>
      <c r="C31" s="160">
        <v>2497</v>
      </c>
      <c r="D31" s="160">
        <v>755</v>
      </c>
      <c r="E31" s="160">
        <f>C31+D31</f>
        <v>3252</v>
      </c>
      <c r="F31" s="161">
        <f>E31/$E$42</f>
        <v>0.72314876584389598</v>
      </c>
      <c r="G31" s="160">
        <v>7850</v>
      </c>
      <c r="H31" s="160">
        <v>386</v>
      </c>
      <c r="I31" s="160">
        <f>G31+H31</f>
        <v>8236</v>
      </c>
      <c r="J31" s="161">
        <f>I31/$I$42</f>
        <v>0.78926689027311936</v>
      </c>
      <c r="K31" s="160">
        <f t="shared" ref="K31:K41" si="11">E31+I31</f>
        <v>11488</v>
      </c>
    </row>
    <row r="32" spans="2:16" x14ac:dyDescent="0.2">
      <c r="B32" s="160" t="s">
        <v>420</v>
      </c>
      <c r="C32" s="160">
        <v>2</v>
      </c>
      <c r="D32" s="160">
        <v>0</v>
      </c>
      <c r="E32" s="160">
        <f t="shared" ref="E32:E41" si="12">C32+D32</f>
        <v>2</v>
      </c>
      <c r="F32" s="161"/>
      <c r="G32" s="160">
        <v>5</v>
      </c>
      <c r="H32" s="160">
        <v>0</v>
      </c>
      <c r="I32" s="160">
        <f t="shared" ref="I32:I41" si="13">G32+H32</f>
        <v>5</v>
      </c>
      <c r="J32" s="161"/>
      <c r="K32" s="160">
        <f t="shared" si="11"/>
        <v>7</v>
      </c>
    </row>
    <row r="33" spans="2:11" x14ac:dyDescent="0.2">
      <c r="B33" s="160" t="s">
        <v>421</v>
      </c>
      <c r="C33" s="160">
        <v>1</v>
      </c>
      <c r="D33" s="160">
        <v>0</v>
      </c>
      <c r="E33" s="160">
        <f t="shared" si="12"/>
        <v>1</v>
      </c>
      <c r="F33" s="161">
        <f t="shared" ref="F33:F40" si="14">E33/$E$42</f>
        <v>2.2237046920169001E-4</v>
      </c>
      <c r="G33" s="160">
        <v>3</v>
      </c>
      <c r="H33" s="160">
        <v>0</v>
      </c>
      <c r="I33" s="160">
        <f t="shared" si="13"/>
        <v>3</v>
      </c>
      <c r="J33" s="161">
        <f t="shared" ref="J33:J40" si="15">I33/$I$42</f>
        <v>2.8749401054144706E-4</v>
      </c>
      <c r="K33" s="160">
        <f t="shared" si="11"/>
        <v>4</v>
      </c>
    </row>
    <row r="34" spans="2:11" x14ac:dyDescent="0.2">
      <c r="B34" s="160" t="s">
        <v>422</v>
      </c>
      <c r="C34" s="160">
        <v>3</v>
      </c>
      <c r="D34" s="160">
        <v>0</v>
      </c>
      <c r="E34" s="160">
        <f t="shared" si="12"/>
        <v>3</v>
      </c>
      <c r="F34" s="161">
        <f t="shared" si="14"/>
        <v>6.6711140760506999E-4</v>
      </c>
      <c r="G34" s="160">
        <v>10</v>
      </c>
      <c r="H34" s="160">
        <v>0</v>
      </c>
      <c r="I34" s="160">
        <f t="shared" si="13"/>
        <v>10</v>
      </c>
      <c r="J34" s="161">
        <f t="shared" si="15"/>
        <v>9.5831336847149022E-4</v>
      </c>
      <c r="K34" s="160">
        <f t="shared" si="11"/>
        <v>13</v>
      </c>
    </row>
    <row r="35" spans="2:11" x14ac:dyDescent="0.2">
      <c r="B35" s="160" t="s">
        <v>423</v>
      </c>
      <c r="C35" s="160">
        <v>9</v>
      </c>
      <c r="D35" s="160">
        <v>5</v>
      </c>
      <c r="E35" s="160">
        <f t="shared" si="12"/>
        <v>14</v>
      </c>
      <c r="F35" s="161"/>
      <c r="G35" s="160">
        <v>41</v>
      </c>
      <c r="H35" s="160">
        <v>2</v>
      </c>
      <c r="I35" s="160">
        <f t="shared" si="13"/>
        <v>43</v>
      </c>
      <c r="J35" s="161"/>
      <c r="K35" s="160">
        <f t="shared" si="11"/>
        <v>57</v>
      </c>
    </row>
    <row r="36" spans="2:11" x14ac:dyDescent="0.2">
      <c r="B36" s="160" t="s">
        <v>424</v>
      </c>
      <c r="C36" s="160">
        <v>0</v>
      </c>
      <c r="D36" s="160">
        <v>0</v>
      </c>
      <c r="E36" s="160">
        <f t="shared" si="12"/>
        <v>0</v>
      </c>
      <c r="F36" s="161">
        <f t="shared" si="14"/>
        <v>0</v>
      </c>
      <c r="G36" s="160">
        <v>2</v>
      </c>
      <c r="H36" s="160">
        <v>0</v>
      </c>
      <c r="I36" s="160">
        <f t="shared" si="13"/>
        <v>2</v>
      </c>
      <c r="J36" s="161">
        <f t="shared" si="15"/>
        <v>1.9166267369429804E-4</v>
      </c>
      <c r="K36" s="160">
        <f t="shared" si="11"/>
        <v>2</v>
      </c>
    </row>
    <row r="37" spans="2:11" x14ac:dyDescent="0.2">
      <c r="B37" s="160" t="s">
        <v>425</v>
      </c>
      <c r="C37" s="160">
        <v>115</v>
      </c>
      <c r="D37" s="160">
        <v>29</v>
      </c>
      <c r="E37" s="160">
        <f t="shared" si="12"/>
        <v>144</v>
      </c>
      <c r="F37" s="161">
        <f t="shared" si="14"/>
        <v>3.2021347565043365E-2</v>
      </c>
      <c r="G37" s="160">
        <v>389</v>
      </c>
      <c r="H37" s="160">
        <v>23</v>
      </c>
      <c r="I37" s="160">
        <f t="shared" si="13"/>
        <v>412</v>
      </c>
      <c r="J37" s="161">
        <f t="shared" si="15"/>
        <v>3.9482510781025396E-2</v>
      </c>
      <c r="K37" s="160">
        <f t="shared" si="11"/>
        <v>556</v>
      </c>
    </row>
    <row r="38" spans="2:11" x14ac:dyDescent="0.2">
      <c r="B38" s="160" t="s">
        <v>426</v>
      </c>
      <c r="C38" s="160">
        <v>2</v>
      </c>
      <c r="D38" s="160">
        <v>2</v>
      </c>
      <c r="E38" s="160">
        <f t="shared" si="12"/>
        <v>4</v>
      </c>
      <c r="F38" s="161">
        <f t="shared" si="14"/>
        <v>8.8948187680676003E-4</v>
      </c>
      <c r="G38" s="160">
        <v>26</v>
      </c>
      <c r="H38" s="160">
        <v>1</v>
      </c>
      <c r="I38" s="160">
        <f t="shared" si="13"/>
        <v>27</v>
      </c>
      <c r="J38" s="161">
        <f t="shared" si="15"/>
        <v>2.5874460948730237E-3</v>
      </c>
      <c r="K38" s="160">
        <f t="shared" si="11"/>
        <v>31</v>
      </c>
    </row>
    <row r="39" spans="2:11" x14ac:dyDescent="0.2">
      <c r="B39" s="160" t="s">
        <v>427</v>
      </c>
      <c r="C39" s="160">
        <v>1</v>
      </c>
      <c r="D39" s="160">
        <v>0</v>
      </c>
      <c r="E39" s="160">
        <f t="shared" si="12"/>
        <v>1</v>
      </c>
      <c r="F39" s="161">
        <f t="shared" si="14"/>
        <v>2.2237046920169001E-4</v>
      </c>
      <c r="G39" s="160">
        <v>0</v>
      </c>
      <c r="H39" s="160">
        <v>0</v>
      </c>
      <c r="I39" s="160">
        <f t="shared" si="13"/>
        <v>0</v>
      </c>
      <c r="J39" s="161">
        <f t="shared" si="15"/>
        <v>0</v>
      </c>
      <c r="K39" s="160">
        <f t="shared" si="11"/>
        <v>1</v>
      </c>
    </row>
    <row r="40" spans="2:11" x14ac:dyDescent="0.2">
      <c r="B40" s="160" t="s">
        <v>428</v>
      </c>
      <c r="C40" s="160">
        <v>859</v>
      </c>
      <c r="D40" s="160">
        <v>216</v>
      </c>
      <c r="E40" s="160">
        <f t="shared" si="12"/>
        <v>1075</v>
      </c>
      <c r="F40" s="161">
        <f t="shared" si="14"/>
        <v>0.23904825439181676</v>
      </c>
      <c r="G40" s="160">
        <v>1624</v>
      </c>
      <c r="H40" s="160">
        <v>72</v>
      </c>
      <c r="I40" s="160">
        <f t="shared" si="13"/>
        <v>1696</v>
      </c>
      <c r="J40" s="161">
        <f t="shared" si="15"/>
        <v>0.16252994729276474</v>
      </c>
      <c r="K40" s="160">
        <f t="shared" si="11"/>
        <v>2771</v>
      </c>
    </row>
    <row r="41" spans="2:11" x14ac:dyDescent="0.2">
      <c r="B41" s="160" t="s">
        <v>429</v>
      </c>
      <c r="C41" s="160">
        <v>1</v>
      </c>
      <c r="D41" s="160">
        <v>0</v>
      </c>
      <c r="E41" s="160">
        <f t="shared" si="12"/>
        <v>1</v>
      </c>
      <c r="F41" s="161"/>
      <c r="G41" s="160">
        <v>1</v>
      </c>
      <c r="H41" s="160">
        <v>0</v>
      </c>
      <c r="I41" s="160">
        <f t="shared" si="13"/>
        <v>1</v>
      </c>
      <c r="J41" s="161"/>
      <c r="K41" s="160">
        <f t="shared" si="11"/>
        <v>2</v>
      </c>
    </row>
    <row r="42" spans="2:11" x14ac:dyDescent="0.2">
      <c r="B42" s="162" t="s">
        <v>66</v>
      </c>
      <c r="C42" s="160">
        <f t="shared" ref="C42:H42" si="16">SUM(C31:C41)</f>
        <v>3490</v>
      </c>
      <c r="D42" s="160">
        <f t="shared" si="16"/>
        <v>1007</v>
      </c>
      <c r="E42" s="162">
        <f t="shared" ref="E42" si="17">C42+D42</f>
        <v>4497</v>
      </c>
      <c r="F42" s="164">
        <f t="shared" ref="F42" si="18">E42/$E$42</f>
        <v>1</v>
      </c>
      <c r="G42" s="160">
        <f t="shared" si="16"/>
        <v>9951</v>
      </c>
      <c r="H42" s="160">
        <f t="shared" si="16"/>
        <v>484</v>
      </c>
      <c r="I42" s="162">
        <f t="shared" ref="I42" si="19">G42+H42</f>
        <v>10435</v>
      </c>
      <c r="J42" s="164">
        <f t="shared" ref="J42" si="20">I42/$I$42</f>
        <v>1</v>
      </c>
      <c r="K42" s="162">
        <f t="shared" ref="K42:K43" si="21">E42+I42</f>
        <v>14932</v>
      </c>
    </row>
    <row r="43" spans="2:11" ht="24" x14ac:dyDescent="0.2">
      <c r="B43" s="174" t="s">
        <v>84</v>
      </c>
      <c r="C43" s="175">
        <f>+C42/$K$42</f>
        <v>0.23372622555585321</v>
      </c>
      <c r="D43" s="175">
        <f>+D42/$K$42</f>
        <v>6.7439057058665958E-2</v>
      </c>
      <c r="E43" s="176">
        <f>C43+D43</f>
        <v>0.30116528261451914</v>
      </c>
      <c r="F43" s="176"/>
      <c r="G43" s="175">
        <f>+G42/$K$42</f>
        <v>0.66642110902759177</v>
      </c>
      <c r="H43" s="175">
        <f>+H42/$K$42</f>
        <v>3.2413608357889097E-2</v>
      </c>
      <c r="I43" s="176">
        <f>G43+H43</f>
        <v>0.69883471738548086</v>
      </c>
      <c r="J43" s="176"/>
      <c r="K43" s="176">
        <f t="shared" si="21"/>
        <v>1</v>
      </c>
    </row>
    <row r="44" spans="2:11" x14ac:dyDescent="0.2">
      <c r="B44" s="167" t="s">
        <v>149</v>
      </c>
    </row>
    <row r="45" spans="2:11" x14ac:dyDescent="0.2">
      <c r="B45" s="167" t="s">
        <v>150</v>
      </c>
    </row>
  </sheetData>
  <mergeCells count="10">
    <mergeCell ref="B29:B30"/>
    <mergeCell ref="C29:K29"/>
    <mergeCell ref="B8:K8"/>
    <mergeCell ref="B9:B10"/>
    <mergeCell ref="C9:K9"/>
    <mergeCell ref="B6:K6"/>
    <mergeCell ref="B5:K5"/>
    <mergeCell ref="B25:K25"/>
    <mergeCell ref="B26:K26"/>
    <mergeCell ref="B28:K28"/>
  </mergeCells>
  <hyperlinks>
    <hyperlink ref="M5" location="'Índice Pensiones Solidarias'!A1" display="Volver Sistema de Pensiones Solidadias" xr:uid="{00000000-0004-0000-1500-000000000000}"/>
  </hyperlinks>
  <pageMargins left="0.74803149606299213" right="0.74803149606299213" top="0.98425196850393704" bottom="0.98425196850393704" header="0" footer="0"/>
  <pageSetup scale="9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32"/>
  <dimension ref="A1:P127"/>
  <sheetViews>
    <sheetView showGridLines="0" topLeftCell="A28" zoomScaleNormal="100" workbookViewId="0">
      <selection activeCell="B68" sqref="B68"/>
    </sheetView>
  </sheetViews>
  <sheetFormatPr baseColWidth="10" defaultRowHeight="12" x14ac:dyDescent="0.2"/>
  <cols>
    <col min="1" max="1" width="6" style="168" customWidth="1"/>
    <col min="2" max="2" width="18.140625" style="168" customWidth="1"/>
    <col min="3" max="3" width="8.42578125" style="168" customWidth="1"/>
    <col min="4" max="4" width="7.42578125" style="168" bestFit="1" customWidth="1"/>
    <col min="5" max="6" width="7.42578125" style="168" customWidth="1"/>
    <col min="7" max="7" width="8" style="168" bestFit="1" customWidth="1"/>
    <col min="8" max="8" width="7.42578125" style="168" bestFit="1" customWidth="1"/>
    <col min="9" max="11" width="7.42578125" style="168" customWidth="1"/>
    <col min="12" max="12" width="7.85546875" style="168" customWidth="1"/>
    <col min="13" max="251" width="11.42578125" style="168"/>
    <col min="252" max="252" width="18.140625" style="168" customWidth="1"/>
    <col min="253" max="253" width="8" style="168" bestFit="1" customWidth="1"/>
    <col min="254" max="254" width="7.42578125" style="168" bestFit="1" customWidth="1"/>
    <col min="255" max="256" width="7.42578125" style="168" customWidth="1"/>
    <col min="257" max="257" width="8" style="168" bestFit="1" customWidth="1"/>
    <col min="258" max="258" width="7.42578125" style="168" bestFit="1" customWidth="1"/>
    <col min="259" max="261" width="7.42578125" style="168" customWidth="1"/>
    <col min="262" max="267" width="0" style="168" hidden="1" customWidth="1"/>
    <col min="268" max="268" width="7.85546875" style="168" customWidth="1"/>
    <col min="269" max="507" width="11.42578125" style="168"/>
    <col min="508" max="508" width="18.140625" style="168" customWidth="1"/>
    <col min="509" max="509" width="8" style="168" bestFit="1" customWidth="1"/>
    <col min="510" max="510" width="7.42578125" style="168" bestFit="1" customWidth="1"/>
    <col min="511" max="512" width="7.42578125" style="168" customWidth="1"/>
    <col min="513" max="513" width="8" style="168" bestFit="1" customWidth="1"/>
    <col min="514" max="514" width="7.42578125" style="168" bestFit="1" customWidth="1"/>
    <col min="515" max="517" width="7.42578125" style="168" customWidth="1"/>
    <col min="518" max="523" width="0" style="168" hidden="1" customWidth="1"/>
    <col min="524" max="524" width="7.85546875" style="168" customWidth="1"/>
    <col min="525" max="763" width="11.42578125" style="168"/>
    <col min="764" max="764" width="18.140625" style="168" customWidth="1"/>
    <col min="765" max="765" width="8" style="168" bestFit="1" customWidth="1"/>
    <col min="766" max="766" width="7.42578125" style="168" bestFit="1" customWidth="1"/>
    <col min="767" max="768" width="7.42578125" style="168" customWidth="1"/>
    <col min="769" max="769" width="8" style="168" bestFit="1" customWidth="1"/>
    <col min="770" max="770" width="7.42578125" style="168" bestFit="1" customWidth="1"/>
    <col min="771" max="773" width="7.42578125" style="168" customWidth="1"/>
    <col min="774" max="779" width="0" style="168" hidden="1" customWidth="1"/>
    <col min="780" max="780" width="7.85546875" style="168" customWidth="1"/>
    <col min="781" max="1019" width="11.42578125" style="168"/>
    <col min="1020" max="1020" width="18.140625" style="168" customWidth="1"/>
    <col min="1021" max="1021" width="8" style="168" bestFit="1" customWidth="1"/>
    <col min="1022" max="1022" width="7.42578125" style="168" bestFit="1" customWidth="1"/>
    <col min="1023" max="1024" width="7.42578125" style="168" customWidth="1"/>
    <col min="1025" max="1025" width="8" style="168" bestFit="1" customWidth="1"/>
    <col min="1026" max="1026" width="7.42578125" style="168" bestFit="1" customWidth="1"/>
    <col min="1027" max="1029" width="7.42578125" style="168" customWidth="1"/>
    <col min="1030" max="1035" width="0" style="168" hidden="1" customWidth="1"/>
    <col min="1036" max="1036" width="7.85546875" style="168" customWidth="1"/>
    <col min="1037" max="1275" width="11.42578125" style="168"/>
    <col min="1276" max="1276" width="18.140625" style="168" customWidth="1"/>
    <col min="1277" max="1277" width="8" style="168" bestFit="1" customWidth="1"/>
    <col min="1278" max="1278" width="7.42578125" style="168" bestFit="1" customWidth="1"/>
    <col min="1279" max="1280" width="7.42578125" style="168" customWidth="1"/>
    <col min="1281" max="1281" width="8" style="168" bestFit="1" customWidth="1"/>
    <col min="1282" max="1282" width="7.42578125" style="168" bestFit="1" customWidth="1"/>
    <col min="1283" max="1285" width="7.42578125" style="168" customWidth="1"/>
    <col min="1286" max="1291" width="0" style="168" hidden="1" customWidth="1"/>
    <col min="1292" max="1292" width="7.85546875" style="168" customWidth="1"/>
    <col min="1293" max="1531" width="11.42578125" style="168"/>
    <col min="1532" max="1532" width="18.140625" style="168" customWidth="1"/>
    <col min="1533" max="1533" width="8" style="168" bestFit="1" customWidth="1"/>
    <col min="1534" max="1534" width="7.42578125" style="168" bestFit="1" customWidth="1"/>
    <col min="1535" max="1536" width="7.42578125" style="168" customWidth="1"/>
    <col min="1537" max="1537" width="8" style="168" bestFit="1" customWidth="1"/>
    <col min="1538" max="1538" width="7.42578125" style="168" bestFit="1" customWidth="1"/>
    <col min="1539" max="1541" width="7.42578125" style="168" customWidth="1"/>
    <col min="1542" max="1547" width="0" style="168" hidden="1" customWidth="1"/>
    <col min="1548" max="1548" width="7.85546875" style="168" customWidth="1"/>
    <col min="1549" max="1787" width="11.42578125" style="168"/>
    <col min="1788" max="1788" width="18.140625" style="168" customWidth="1"/>
    <col min="1789" max="1789" width="8" style="168" bestFit="1" customWidth="1"/>
    <col min="1790" max="1790" width="7.42578125" style="168" bestFit="1" customWidth="1"/>
    <col min="1791" max="1792" width="7.42578125" style="168" customWidth="1"/>
    <col min="1793" max="1793" width="8" style="168" bestFit="1" customWidth="1"/>
    <col min="1794" max="1794" width="7.42578125" style="168" bestFit="1" customWidth="1"/>
    <col min="1795" max="1797" width="7.42578125" style="168" customWidth="1"/>
    <col min="1798" max="1803" width="0" style="168" hidden="1" customWidth="1"/>
    <col min="1804" max="1804" width="7.85546875" style="168" customWidth="1"/>
    <col min="1805" max="2043" width="11.42578125" style="168"/>
    <col min="2044" max="2044" width="18.140625" style="168" customWidth="1"/>
    <col min="2045" max="2045" width="8" style="168" bestFit="1" customWidth="1"/>
    <col min="2046" max="2046" width="7.42578125" style="168" bestFit="1" customWidth="1"/>
    <col min="2047" max="2048" width="7.42578125" style="168" customWidth="1"/>
    <col min="2049" max="2049" width="8" style="168" bestFit="1" customWidth="1"/>
    <col min="2050" max="2050" width="7.42578125" style="168" bestFit="1" customWidth="1"/>
    <col min="2051" max="2053" width="7.42578125" style="168" customWidth="1"/>
    <col min="2054" max="2059" width="0" style="168" hidden="1" customWidth="1"/>
    <col min="2060" max="2060" width="7.85546875" style="168" customWidth="1"/>
    <col min="2061" max="2299" width="11.42578125" style="168"/>
    <col min="2300" max="2300" width="18.140625" style="168" customWidth="1"/>
    <col min="2301" max="2301" width="8" style="168" bestFit="1" customWidth="1"/>
    <col min="2302" max="2302" width="7.42578125" style="168" bestFit="1" customWidth="1"/>
    <col min="2303" max="2304" width="7.42578125" style="168" customWidth="1"/>
    <col min="2305" max="2305" width="8" style="168" bestFit="1" customWidth="1"/>
    <col min="2306" max="2306" width="7.42578125" style="168" bestFit="1" customWidth="1"/>
    <col min="2307" max="2309" width="7.42578125" style="168" customWidth="1"/>
    <col min="2310" max="2315" width="0" style="168" hidden="1" customWidth="1"/>
    <col min="2316" max="2316" width="7.85546875" style="168" customWidth="1"/>
    <col min="2317" max="2555" width="11.42578125" style="168"/>
    <col min="2556" max="2556" width="18.140625" style="168" customWidth="1"/>
    <col min="2557" max="2557" width="8" style="168" bestFit="1" customWidth="1"/>
    <col min="2558" max="2558" width="7.42578125" style="168" bestFit="1" customWidth="1"/>
    <col min="2559" max="2560" width="7.42578125" style="168" customWidth="1"/>
    <col min="2561" max="2561" width="8" style="168" bestFit="1" customWidth="1"/>
    <col min="2562" max="2562" width="7.42578125" style="168" bestFit="1" customWidth="1"/>
    <col min="2563" max="2565" width="7.42578125" style="168" customWidth="1"/>
    <col min="2566" max="2571" width="0" style="168" hidden="1" customWidth="1"/>
    <col min="2572" max="2572" width="7.85546875" style="168" customWidth="1"/>
    <col min="2573" max="2811" width="11.42578125" style="168"/>
    <col min="2812" max="2812" width="18.140625" style="168" customWidth="1"/>
    <col min="2813" max="2813" width="8" style="168" bestFit="1" customWidth="1"/>
    <col min="2814" max="2814" width="7.42578125" style="168" bestFit="1" customWidth="1"/>
    <col min="2815" max="2816" width="7.42578125" style="168" customWidth="1"/>
    <col min="2817" max="2817" width="8" style="168" bestFit="1" customWidth="1"/>
    <col min="2818" max="2818" width="7.42578125" style="168" bestFit="1" customWidth="1"/>
    <col min="2819" max="2821" width="7.42578125" style="168" customWidth="1"/>
    <col min="2822" max="2827" width="0" style="168" hidden="1" customWidth="1"/>
    <col min="2828" max="2828" width="7.85546875" style="168" customWidth="1"/>
    <col min="2829" max="3067" width="11.42578125" style="168"/>
    <col min="3068" max="3068" width="18.140625" style="168" customWidth="1"/>
    <col min="3069" max="3069" width="8" style="168" bestFit="1" customWidth="1"/>
    <col min="3070" max="3070" width="7.42578125" style="168" bestFit="1" customWidth="1"/>
    <col min="3071" max="3072" width="7.42578125" style="168" customWidth="1"/>
    <col min="3073" max="3073" width="8" style="168" bestFit="1" customWidth="1"/>
    <col min="3074" max="3074" width="7.42578125" style="168" bestFit="1" customWidth="1"/>
    <col min="3075" max="3077" width="7.42578125" style="168" customWidth="1"/>
    <col min="3078" max="3083" width="0" style="168" hidden="1" customWidth="1"/>
    <col min="3084" max="3084" width="7.85546875" style="168" customWidth="1"/>
    <col min="3085" max="3323" width="11.42578125" style="168"/>
    <col min="3324" max="3324" width="18.140625" style="168" customWidth="1"/>
    <col min="3325" max="3325" width="8" style="168" bestFit="1" customWidth="1"/>
    <col min="3326" max="3326" width="7.42578125" style="168" bestFit="1" customWidth="1"/>
    <col min="3327" max="3328" width="7.42578125" style="168" customWidth="1"/>
    <col min="3329" max="3329" width="8" style="168" bestFit="1" customWidth="1"/>
    <col min="3330" max="3330" width="7.42578125" style="168" bestFit="1" customWidth="1"/>
    <col min="3331" max="3333" width="7.42578125" style="168" customWidth="1"/>
    <col min="3334" max="3339" width="0" style="168" hidden="1" customWidth="1"/>
    <col min="3340" max="3340" width="7.85546875" style="168" customWidth="1"/>
    <col min="3341" max="3579" width="11.42578125" style="168"/>
    <col min="3580" max="3580" width="18.140625" style="168" customWidth="1"/>
    <col min="3581" max="3581" width="8" style="168" bestFit="1" customWidth="1"/>
    <col min="3582" max="3582" width="7.42578125" style="168" bestFit="1" customWidth="1"/>
    <col min="3583" max="3584" width="7.42578125" style="168" customWidth="1"/>
    <col min="3585" max="3585" width="8" style="168" bestFit="1" customWidth="1"/>
    <col min="3586" max="3586" width="7.42578125" style="168" bestFit="1" customWidth="1"/>
    <col min="3587" max="3589" width="7.42578125" style="168" customWidth="1"/>
    <col min="3590" max="3595" width="0" style="168" hidden="1" customWidth="1"/>
    <col min="3596" max="3596" width="7.85546875" style="168" customWidth="1"/>
    <col min="3597" max="3835" width="11.42578125" style="168"/>
    <col min="3836" max="3836" width="18.140625" style="168" customWidth="1"/>
    <col min="3837" max="3837" width="8" style="168" bestFit="1" customWidth="1"/>
    <col min="3838" max="3838" width="7.42578125" style="168" bestFit="1" customWidth="1"/>
    <col min="3839" max="3840" width="7.42578125" style="168" customWidth="1"/>
    <col min="3841" max="3841" width="8" style="168" bestFit="1" customWidth="1"/>
    <col min="3842" max="3842" width="7.42578125" style="168" bestFit="1" customWidth="1"/>
    <col min="3843" max="3845" width="7.42578125" style="168" customWidth="1"/>
    <col min="3846" max="3851" width="0" style="168" hidden="1" customWidth="1"/>
    <col min="3852" max="3852" width="7.85546875" style="168" customWidth="1"/>
    <col min="3853" max="4091" width="11.42578125" style="168"/>
    <col min="4092" max="4092" width="18.140625" style="168" customWidth="1"/>
    <col min="4093" max="4093" width="8" style="168" bestFit="1" customWidth="1"/>
    <col min="4094" max="4094" width="7.42578125" style="168" bestFit="1" customWidth="1"/>
    <col min="4095" max="4096" width="7.42578125" style="168" customWidth="1"/>
    <col min="4097" max="4097" width="8" style="168" bestFit="1" customWidth="1"/>
    <col min="4098" max="4098" width="7.42578125" style="168" bestFit="1" customWidth="1"/>
    <col min="4099" max="4101" width="7.42578125" style="168" customWidth="1"/>
    <col min="4102" max="4107" width="0" style="168" hidden="1" customWidth="1"/>
    <col min="4108" max="4108" width="7.85546875" style="168" customWidth="1"/>
    <col min="4109" max="4347" width="11.42578125" style="168"/>
    <col min="4348" max="4348" width="18.140625" style="168" customWidth="1"/>
    <col min="4349" max="4349" width="8" style="168" bestFit="1" customWidth="1"/>
    <col min="4350" max="4350" width="7.42578125" style="168" bestFit="1" customWidth="1"/>
    <col min="4351" max="4352" width="7.42578125" style="168" customWidth="1"/>
    <col min="4353" max="4353" width="8" style="168" bestFit="1" customWidth="1"/>
    <col min="4354" max="4354" width="7.42578125" style="168" bestFit="1" customWidth="1"/>
    <col min="4355" max="4357" width="7.42578125" style="168" customWidth="1"/>
    <col min="4358" max="4363" width="0" style="168" hidden="1" customWidth="1"/>
    <col min="4364" max="4364" width="7.85546875" style="168" customWidth="1"/>
    <col min="4365" max="4603" width="11.42578125" style="168"/>
    <col min="4604" max="4604" width="18.140625" style="168" customWidth="1"/>
    <col min="4605" max="4605" width="8" style="168" bestFit="1" customWidth="1"/>
    <col min="4606" max="4606" width="7.42578125" style="168" bestFit="1" customWidth="1"/>
    <col min="4607" max="4608" width="7.42578125" style="168" customWidth="1"/>
    <col min="4609" max="4609" width="8" style="168" bestFit="1" customWidth="1"/>
    <col min="4610" max="4610" width="7.42578125" style="168" bestFit="1" customWidth="1"/>
    <col min="4611" max="4613" width="7.42578125" style="168" customWidth="1"/>
    <col min="4614" max="4619" width="0" style="168" hidden="1" customWidth="1"/>
    <col min="4620" max="4620" width="7.85546875" style="168" customWidth="1"/>
    <col min="4621" max="4859" width="11.42578125" style="168"/>
    <col min="4860" max="4860" width="18.140625" style="168" customWidth="1"/>
    <col min="4861" max="4861" width="8" style="168" bestFit="1" customWidth="1"/>
    <col min="4862" max="4862" width="7.42578125" style="168" bestFit="1" customWidth="1"/>
    <col min="4863" max="4864" width="7.42578125" style="168" customWidth="1"/>
    <col min="4865" max="4865" width="8" style="168" bestFit="1" customWidth="1"/>
    <col min="4866" max="4866" width="7.42578125" style="168" bestFit="1" customWidth="1"/>
    <col min="4867" max="4869" width="7.42578125" style="168" customWidth="1"/>
    <col min="4870" max="4875" width="0" style="168" hidden="1" customWidth="1"/>
    <col min="4876" max="4876" width="7.85546875" style="168" customWidth="1"/>
    <col min="4877" max="5115" width="11.42578125" style="168"/>
    <col min="5116" max="5116" width="18.140625" style="168" customWidth="1"/>
    <col min="5117" max="5117" width="8" style="168" bestFit="1" customWidth="1"/>
    <col min="5118" max="5118" width="7.42578125" style="168" bestFit="1" customWidth="1"/>
    <col min="5119" max="5120" width="7.42578125" style="168" customWidth="1"/>
    <col min="5121" max="5121" width="8" style="168" bestFit="1" customWidth="1"/>
    <col min="5122" max="5122" width="7.42578125" style="168" bestFit="1" customWidth="1"/>
    <col min="5123" max="5125" width="7.42578125" style="168" customWidth="1"/>
    <col min="5126" max="5131" width="0" style="168" hidden="1" customWidth="1"/>
    <col min="5132" max="5132" width="7.85546875" style="168" customWidth="1"/>
    <col min="5133" max="5371" width="11.42578125" style="168"/>
    <col min="5372" max="5372" width="18.140625" style="168" customWidth="1"/>
    <col min="5373" max="5373" width="8" style="168" bestFit="1" customWidth="1"/>
    <col min="5374" max="5374" width="7.42578125" style="168" bestFit="1" customWidth="1"/>
    <col min="5375" max="5376" width="7.42578125" style="168" customWidth="1"/>
    <col min="5377" max="5377" width="8" style="168" bestFit="1" customWidth="1"/>
    <col min="5378" max="5378" width="7.42578125" style="168" bestFit="1" customWidth="1"/>
    <col min="5379" max="5381" width="7.42578125" style="168" customWidth="1"/>
    <col min="5382" max="5387" width="0" style="168" hidden="1" customWidth="1"/>
    <col min="5388" max="5388" width="7.85546875" style="168" customWidth="1"/>
    <col min="5389" max="5627" width="11.42578125" style="168"/>
    <col min="5628" max="5628" width="18.140625" style="168" customWidth="1"/>
    <col min="5629" max="5629" width="8" style="168" bestFit="1" customWidth="1"/>
    <col min="5630" max="5630" width="7.42578125" style="168" bestFit="1" customWidth="1"/>
    <col min="5631" max="5632" width="7.42578125" style="168" customWidth="1"/>
    <col min="5633" max="5633" width="8" style="168" bestFit="1" customWidth="1"/>
    <col min="5634" max="5634" width="7.42578125" style="168" bestFit="1" customWidth="1"/>
    <col min="5635" max="5637" width="7.42578125" style="168" customWidth="1"/>
    <col min="5638" max="5643" width="0" style="168" hidden="1" customWidth="1"/>
    <col min="5644" max="5644" width="7.85546875" style="168" customWidth="1"/>
    <col min="5645" max="5883" width="11.42578125" style="168"/>
    <col min="5884" max="5884" width="18.140625" style="168" customWidth="1"/>
    <col min="5885" max="5885" width="8" style="168" bestFit="1" customWidth="1"/>
    <col min="5886" max="5886" width="7.42578125" style="168" bestFit="1" customWidth="1"/>
    <col min="5887" max="5888" width="7.42578125" style="168" customWidth="1"/>
    <col min="5889" max="5889" width="8" style="168" bestFit="1" customWidth="1"/>
    <col min="5890" max="5890" width="7.42578125" style="168" bestFit="1" customWidth="1"/>
    <col min="5891" max="5893" width="7.42578125" style="168" customWidth="1"/>
    <col min="5894" max="5899" width="0" style="168" hidden="1" customWidth="1"/>
    <col min="5900" max="5900" width="7.85546875" style="168" customWidth="1"/>
    <col min="5901" max="6139" width="11.42578125" style="168"/>
    <col min="6140" max="6140" width="18.140625" style="168" customWidth="1"/>
    <col min="6141" max="6141" width="8" style="168" bestFit="1" customWidth="1"/>
    <col min="6142" max="6142" width="7.42578125" style="168" bestFit="1" customWidth="1"/>
    <col min="6143" max="6144" width="7.42578125" style="168" customWidth="1"/>
    <col min="6145" max="6145" width="8" style="168" bestFit="1" customWidth="1"/>
    <col min="6146" max="6146" width="7.42578125" style="168" bestFit="1" customWidth="1"/>
    <col min="6147" max="6149" width="7.42578125" style="168" customWidth="1"/>
    <col min="6150" max="6155" width="0" style="168" hidden="1" customWidth="1"/>
    <col min="6156" max="6156" width="7.85546875" style="168" customWidth="1"/>
    <col min="6157" max="6395" width="11.42578125" style="168"/>
    <col min="6396" max="6396" width="18.140625" style="168" customWidth="1"/>
    <col min="6397" max="6397" width="8" style="168" bestFit="1" customWidth="1"/>
    <col min="6398" max="6398" width="7.42578125" style="168" bestFit="1" customWidth="1"/>
    <col min="6399" max="6400" width="7.42578125" style="168" customWidth="1"/>
    <col min="6401" max="6401" width="8" style="168" bestFit="1" customWidth="1"/>
    <col min="6402" max="6402" width="7.42578125" style="168" bestFit="1" customWidth="1"/>
    <col min="6403" max="6405" width="7.42578125" style="168" customWidth="1"/>
    <col min="6406" max="6411" width="0" style="168" hidden="1" customWidth="1"/>
    <col min="6412" max="6412" width="7.85546875" style="168" customWidth="1"/>
    <col min="6413" max="6651" width="11.42578125" style="168"/>
    <col min="6652" max="6652" width="18.140625" style="168" customWidth="1"/>
    <col min="6653" max="6653" width="8" style="168" bestFit="1" customWidth="1"/>
    <col min="6654" max="6654" width="7.42578125" style="168" bestFit="1" customWidth="1"/>
    <col min="6655" max="6656" width="7.42578125" style="168" customWidth="1"/>
    <col min="6657" max="6657" width="8" style="168" bestFit="1" customWidth="1"/>
    <col min="6658" max="6658" width="7.42578125" style="168" bestFit="1" customWidth="1"/>
    <col min="6659" max="6661" width="7.42578125" style="168" customWidth="1"/>
    <col min="6662" max="6667" width="0" style="168" hidden="1" customWidth="1"/>
    <col min="6668" max="6668" width="7.85546875" style="168" customWidth="1"/>
    <col min="6669" max="6907" width="11.42578125" style="168"/>
    <col min="6908" max="6908" width="18.140625" style="168" customWidth="1"/>
    <col min="6909" max="6909" width="8" style="168" bestFit="1" customWidth="1"/>
    <col min="6910" max="6910" width="7.42578125" style="168" bestFit="1" customWidth="1"/>
    <col min="6911" max="6912" width="7.42578125" style="168" customWidth="1"/>
    <col min="6913" max="6913" width="8" style="168" bestFit="1" customWidth="1"/>
    <col min="6914" max="6914" width="7.42578125" style="168" bestFit="1" customWidth="1"/>
    <col min="6915" max="6917" width="7.42578125" style="168" customWidth="1"/>
    <col min="6918" max="6923" width="0" style="168" hidden="1" customWidth="1"/>
    <col min="6924" max="6924" width="7.85546875" style="168" customWidth="1"/>
    <col min="6925" max="7163" width="11.42578125" style="168"/>
    <col min="7164" max="7164" width="18.140625" style="168" customWidth="1"/>
    <col min="7165" max="7165" width="8" style="168" bestFit="1" customWidth="1"/>
    <col min="7166" max="7166" width="7.42578125" style="168" bestFit="1" customWidth="1"/>
    <col min="7167" max="7168" width="7.42578125" style="168" customWidth="1"/>
    <col min="7169" max="7169" width="8" style="168" bestFit="1" customWidth="1"/>
    <col min="7170" max="7170" width="7.42578125" style="168" bestFit="1" customWidth="1"/>
    <col min="7171" max="7173" width="7.42578125" style="168" customWidth="1"/>
    <col min="7174" max="7179" width="0" style="168" hidden="1" customWidth="1"/>
    <col min="7180" max="7180" width="7.85546875" style="168" customWidth="1"/>
    <col min="7181" max="7419" width="11.42578125" style="168"/>
    <col min="7420" max="7420" width="18.140625" style="168" customWidth="1"/>
    <col min="7421" max="7421" width="8" style="168" bestFit="1" customWidth="1"/>
    <col min="7422" max="7422" width="7.42578125" style="168" bestFit="1" customWidth="1"/>
    <col min="7423" max="7424" width="7.42578125" style="168" customWidth="1"/>
    <col min="7425" max="7425" width="8" style="168" bestFit="1" customWidth="1"/>
    <col min="7426" max="7426" width="7.42578125" style="168" bestFit="1" customWidth="1"/>
    <col min="7427" max="7429" width="7.42578125" style="168" customWidth="1"/>
    <col min="7430" max="7435" width="0" style="168" hidden="1" customWidth="1"/>
    <col min="7436" max="7436" width="7.85546875" style="168" customWidth="1"/>
    <col min="7437" max="7675" width="11.42578125" style="168"/>
    <col min="7676" max="7676" width="18.140625" style="168" customWidth="1"/>
    <col min="7677" max="7677" width="8" style="168" bestFit="1" customWidth="1"/>
    <col min="7678" max="7678" width="7.42578125" style="168" bestFit="1" customWidth="1"/>
    <col min="7679" max="7680" width="7.42578125" style="168" customWidth="1"/>
    <col min="7681" max="7681" width="8" style="168" bestFit="1" customWidth="1"/>
    <col min="7682" max="7682" width="7.42578125" style="168" bestFit="1" customWidth="1"/>
    <col min="7683" max="7685" width="7.42578125" style="168" customWidth="1"/>
    <col min="7686" max="7691" width="0" style="168" hidden="1" customWidth="1"/>
    <col min="7692" max="7692" width="7.85546875" style="168" customWidth="1"/>
    <col min="7693" max="7931" width="11.42578125" style="168"/>
    <col min="7932" max="7932" width="18.140625" style="168" customWidth="1"/>
    <col min="7933" max="7933" width="8" style="168" bestFit="1" customWidth="1"/>
    <col min="7934" max="7934" width="7.42578125" style="168" bestFit="1" customWidth="1"/>
    <col min="7935" max="7936" width="7.42578125" style="168" customWidth="1"/>
    <col min="7937" max="7937" width="8" style="168" bestFit="1" customWidth="1"/>
    <col min="7938" max="7938" width="7.42578125" style="168" bestFit="1" customWidth="1"/>
    <col min="7939" max="7941" width="7.42578125" style="168" customWidth="1"/>
    <col min="7942" max="7947" width="0" style="168" hidden="1" customWidth="1"/>
    <col min="7948" max="7948" width="7.85546875" style="168" customWidth="1"/>
    <col min="7949" max="8187" width="11.42578125" style="168"/>
    <col min="8188" max="8188" width="18.140625" style="168" customWidth="1"/>
    <col min="8189" max="8189" width="8" style="168" bestFit="1" customWidth="1"/>
    <col min="8190" max="8190" width="7.42578125" style="168" bestFit="1" customWidth="1"/>
    <col min="8191" max="8192" width="7.42578125" style="168" customWidth="1"/>
    <col min="8193" max="8193" width="8" style="168" bestFit="1" customWidth="1"/>
    <col min="8194" max="8194" width="7.42578125" style="168" bestFit="1" customWidth="1"/>
    <col min="8195" max="8197" width="7.42578125" style="168" customWidth="1"/>
    <col min="8198" max="8203" width="0" style="168" hidden="1" customWidth="1"/>
    <col min="8204" max="8204" width="7.85546875" style="168" customWidth="1"/>
    <col min="8205" max="8443" width="11.42578125" style="168"/>
    <col min="8444" max="8444" width="18.140625" style="168" customWidth="1"/>
    <col min="8445" max="8445" width="8" style="168" bestFit="1" customWidth="1"/>
    <col min="8446" max="8446" width="7.42578125" style="168" bestFit="1" customWidth="1"/>
    <col min="8447" max="8448" width="7.42578125" style="168" customWidth="1"/>
    <col min="8449" max="8449" width="8" style="168" bestFit="1" customWidth="1"/>
    <col min="8450" max="8450" width="7.42578125" style="168" bestFit="1" customWidth="1"/>
    <col min="8451" max="8453" width="7.42578125" style="168" customWidth="1"/>
    <col min="8454" max="8459" width="0" style="168" hidden="1" customWidth="1"/>
    <col min="8460" max="8460" width="7.85546875" style="168" customWidth="1"/>
    <col min="8461" max="8699" width="11.42578125" style="168"/>
    <col min="8700" max="8700" width="18.140625" style="168" customWidth="1"/>
    <col min="8701" max="8701" width="8" style="168" bestFit="1" customWidth="1"/>
    <col min="8702" max="8702" width="7.42578125" style="168" bestFit="1" customWidth="1"/>
    <col min="8703" max="8704" width="7.42578125" style="168" customWidth="1"/>
    <col min="8705" max="8705" width="8" style="168" bestFit="1" customWidth="1"/>
    <col min="8706" max="8706" width="7.42578125" style="168" bestFit="1" customWidth="1"/>
    <col min="8707" max="8709" width="7.42578125" style="168" customWidth="1"/>
    <col min="8710" max="8715" width="0" style="168" hidden="1" customWidth="1"/>
    <col min="8716" max="8716" width="7.85546875" style="168" customWidth="1"/>
    <col min="8717" max="8955" width="11.42578125" style="168"/>
    <col min="8956" max="8956" width="18.140625" style="168" customWidth="1"/>
    <col min="8957" max="8957" width="8" style="168" bestFit="1" customWidth="1"/>
    <col min="8958" max="8958" width="7.42578125" style="168" bestFit="1" customWidth="1"/>
    <col min="8959" max="8960" width="7.42578125" style="168" customWidth="1"/>
    <col min="8961" max="8961" width="8" style="168" bestFit="1" customWidth="1"/>
    <col min="8962" max="8962" width="7.42578125" style="168" bestFit="1" customWidth="1"/>
    <col min="8963" max="8965" width="7.42578125" style="168" customWidth="1"/>
    <col min="8966" max="8971" width="0" style="168" hidden="1" customWidth="1"/>
    <col min="8972" max="8972" width="7.85546875" style="168" customWidth="1"/>
    <col min="8973" max="9211" width="11.42578125" style="168"/>
    <col min="9212" max="9212" width="18.140625" style="168" customWidth="1"/>
    <col min="9213" max="9213" width="8" style="168" bestFit="1" customWidth="1"/>
    <col min="9214" max="9214" width="7.42578125" style="168" bestFit="1" customWidth="1"/>
    <col min="9215" max="9216" width="7.42578125" style="168" customWidth="1"/>
    <col min="9217" max="9217" width="8" style="168" bestFit="1" customWidth="1"/>
    <col min="9218" max="9218" width="7.42578125" style="168" bestFit="1" customWidth="1"/>
    <col min="9219" max="9221" width="7.42578125" style="168" customWidth="1"/>
    <col min="9222" max="9227" width="0" style="168" hidden="1" customWidth="1"/>
    <col min="9228" max="9228" width="7.85546875" style="168" customWidth="1"/>
    <col min="9229" max="9467" width="11.42578125" style="168"/>
    <col min="9468" max="9468" width="18.140625" style="168" customWidth="1"/>
    <col min="9469" max="9469" width="8" style="168" bestFit="1" customWidth="1"/>
    <col min="9470" max="9470" width="7.42578125" style="168" bestFit="1" customWidth="1"/>
    <col min="9471" max="9472" width="7.42578125" style="168" customWidth="1"/>
    <col min="9473" max="9473" width="8" style="168" bestFit="1" customWidth="1"/>
    <col min="9474" max="9474" width="7.42578125" style="168" bestFit="1" customWidth="1"/>
    <col min="9475" max="9477" width="7.42578125" style="168" customWidth="1"/>
    <col min="9478" max="9483" width="0" style="168" hidden="1" customWidth="1"/>
    <col min="9484" max="9484" width="7.85546875" style="168" customWidth="1"/>
    <col min="9485" max="9723" width="11.42578125" style="168"/>
    <col min="9724" max="9724" width="18.140625" style="168" customWidth="1"/>
    <col min="9725" max="9725" width="8" style="168" bestFit="1" customWidth="1"/>
    <col min="9726" max="9726" width="7.42578125" style="168" bestFit="1" customWidth="1"/>
    <col min="9727" max="9728" width="7.42578125" style="168" customWidth="1"/>
    <col min="9729" max="9729" width="8" style="168" bestFit="1" customWidth="1"/>
    <col min="9730" max="9730" width="7.42578125" style="168" bestFit="1" customWidth="1"/>
    <col min="9731" max="9733" width="7.42578125" style="168" customWidth="1"/>
    <col min="9734" max="9739" width="0" style="168" hidden="1" customWidth="1"/>
    <col min="9740" max="9740" width="7.85546875" style="168" customWidth="1"/>
    <col min="9741" max="9979" width="11.42578125" style="168"/>
    <col min="9980" max="9980" width="18.140625" style="168" customWidth="1"/>
    <col min="9981" max="9981" width="8" style="168" bestFit="1" customWidth="1"/>
    <col min="9982" max="9982" width="7.42578125" style="168" bestFit="1" customWidth="1"/>
    <col min="9983" max="9984" width="7.42578125" style="168" customWidth="1"/>
    <col min="9985" max="9985" width="8" style="168" bestFit="1" customWidth="1"/>
    <col min="9986" max="9986" width="7.42578125" style="168" bestFit="1" customWidth="1"/>
    <col min="9987" max="9989" width="7.42578125" style="168" customWidth="1"/>
    <col min="9990" max="9995" width="0" style="168" hidden="1" customWidth="1"/>
    <col min="9996" max="9996" width="7.85546875" style="168" customWidth="1"/>
    <col min="9997" max="10235" width="11.42578125" style="168"/>
    <col min="10236" max="10236" width="18.140625" style="168" customWidth="1"/>
    <col min="10237" max="10237" width="8" style="168" bestFit="1" customWidth="1"/>
    <col min="10238" max="10238" width="7.42578125" style="168" bestFit="1" customWidth="1"/>
    <col min="10239" max="10240" width="7.42578125" style="168" customWidth="1"/>
    <col min="10241" max="10241" width="8" style="168" bestFit="1" customWidth="1"/>
    <col min="10242" max="10242" width="7.42578125" style="168" bestFit="1" customWidth="1"/>
    <col min="10243" max="10245" width="7.42578125" style="168" customWidth="1"/>
    <col min="10246" max="10251" width="0" style="168" hidden="1" customWidth="1"/>
    <col min="10252" max="10252" width="7.85546875" style="168" customWidth="1"/>
    <col min="10253" max="10491" width="11.42578125" style="168"/>
    <col min="10492" max="10492" width="18.140625" style="168" customWidth="1"/>
    <col min="10493" max="10493" width="8" style="168" bestFit="1" customWidth="1"/>
    <col min="10494" max="10494" width="7.42578125" style="168" bestFit="1" customWidth="1"/>
    <col min="10495" max="10496" width="7.42578125" style="168" customWidth="1"/>
    <col min="10497" max="10497" width="8" style="168" bestFit="1" customWidth="1"/>
    <col min="10498" max="10498" width="7.42578125" style="168" bestFit="1" customWidth="1"/>
    <col min="10499" max="10501" width="7.42578125" style="168" customWidth="1"/>
    <col min="10502" max="10507" width="0" style="168" hidden="1" customWidth="1"/>
    <col min="10508" max="10508" width="7.85546875" style="168" customWidth="1"/>
    <col min="10509" max="10747" width="11.42578125" style="168"/>
    <col min="10748" max="10748" width="18.140625" style="168" customWidth="1"/>
    <col min="10749" max="10749" width="8" style="168" bestFit="1" customWidth="1"/>
    <col min="10750" max="10750" width="7.42578125" style="168" bestFit="1" customWidth="1"/>
    <col min="10751" max="10752" width="7.42578125" style="168" customWidth="1"/>
    <col min="10753" max="10753" width="8" style="168" bestFit="1" customWidth="1"/>
    <col min="10754" max="10754" width="7.42578125" style="168" bestFit="1" customWidth="1"/>
    <col min="10755" max="10757" width="7.42578125" style="168" customWidth="1"/>
    <col min="10758" max="10763" width="0" style="168" hidden="1" customWidth="1"/>
    <col min="10764" max="10764" width="7.85546875" style="168" customWidth="1"/>
    <col min="10765" max="11003" width="11.42578125" style="168"/>
    <col min="11004" max="11004" width="18.140625" style="168" customWidth="1"/>
    <col min="11005" max="11005" width="8" style="168" bestFit="1" customWidth="1"/>
    <col min="11006" max="11006" width="7.42578125" style="168" bestFit="1" customWidth="1"/>
    <col min="11007" max="11008" width="7.42578125" style="168" customWidth="1"/>
    <col min="11009" max="11009" width="8" style="168" bestFit="1" customWidth="1"/>
    <col min="11010" max="11010" width="7.42578125" style="168" bestFit="1" customWidth="1"/>
    <col min="11011" max="11013" width="7.42578125" style="168" customWidth="1"/>
    <col min="11014" max="11019" width="0" style="168" hidden="1" customWidth="1"/>
    <col min="11020" max="11020" width="7.85546875" style="168" customWidth="1"/>
    <col min="11021" max="11259" width="11.42578125" style="168"/>
    <col min="11260" max="11260" width="18.140625" style="168" customWidth="1"/>
    <col min="11261" max="11261" width="8" style="168" bestFit="1" customWidth="1"/>
    <col min="11262" max="11262" width="7.42578125" style="168" bestFit="1" customWidth="1"/>
    <col min="11263" max="11264" width="7.42578125" style="168" customWidth="1"/>
    <col min="11265" max="11265" width="8" style="168" bestFit="1" customWidth="1"/>
    <col min="11266" max="11266" width="7.42578125" style="168" bestFit="1" customWidth="1"/>
    <col min="11267" max="11269" width="7.42578125" style="168" customWidth="1"/>
    <col min="11270" max="11275" width="0" style="168" hidden="1" customWidth="1"/>
    <col min="11276" max="11276" width="7.85546875" style="168" customWidth="1"/>
    <col min="11277" max="11515" width="11.42578125" style="168"/>
    <col min="11516" max="11516" width="18.140625" style="168" customWidth="1"/>
    <col min="11517" max="11517" width="8" style="168" bestFit="1" customWidth="1"/>
    <col min="11518" max="11518" width="7.42578125" style="168" bestFit="1" customWidth="1"/>
    <col min="11519" max="11520" width="7.42578125" style="168" customWidth="1"/>
    <col min="11521" max="11521" width="8" style="168" bestFit="1" customWidth="1"/>
    <col min="11522" max="11522" width="7.42578125" style="168" bestFit="1" customWidth="1"/>
    <col min="11523" max="11525" width="7.42578125" style="168" customWidth="1"/>
    <col min="11526" max="11531" width="0" style="168" hidden="1" customWidth="1"/>
    <col min="11532" max="11532" width="7.85546875" style="168" customWidth="1"/>
    <col min="11533" max="11771" width="11.42578125" style="168"/>
    <col min="11772" max="11772" width="18.140625" style="168" customWidth="1"/>
    <col min="11773" max="11773" width="8" style="168" bestFit="1" customWidth="1"/>
    <col min="11774" max="11774" width="7.42578125" style="168" bestFit="1" customWidth="1"/>
    <col min="11775" max="11776" width="7.42578125" style="168" customWidth="1"/>
    <col min="11777" max="11777" width="8" style="168" bestFit="1" customWidth="1"/>
    <col min="11778" max="11778" width="7.42578125" style="168" bestFit="1" customWidth="1"/>
    <col min="11779" max="11781" width="7.42578125" style="168" customWidth="1"/>
    <col min="11782" max="11787" width="0" style="168" hidden="1" customWidth="1"/>
    <col min="11788" max="11788" width="7.85546875" style="168" customWidth="1"/>
    <col min="11789" max="12027" width="11.42578125" style="168"/>
    <col min="12028" max="12028" width="18.140625" style="168" customWidth="1"/>
    <col min="12029" max="12029" width="8" style="168" bestFit="1" customWidth="1"/>
    <col min="12030" max="12030" width="7.42578125" style="168" bestFit="1" customWidth="1"/>
    <col min="12031" max="12032" width="7.42578125" style="168" customWidth="1"/>
    <col min="12033" max="12033" width="8" style="168" bestFit="1" customWidth="1"/>
    <col min="12034" max="12034" width="7.42578125" style="168" bestFit="1" customWidth="1"/>
    <col min="12035" max="12037" width="7.42578125" style="168" customWidth="1"/>
    <col min="12038" max="12043" width="0" style="168" hidden="1" customWidth="1"/>
    <col min="12044" max="12044" width="7.85546875" style="168" customWidth="1"/>
    <col min="12045" max="12283" width="11.42578125" style="168"/>
    <col min="12284" max="12284" width="18.140625" style="168" customWidth="1"/>
    <col min="12285" max="12285" width="8" style="168" bestFit="1" customWidth="1"/>
    <col min="12286" max="12286" width="7.42578125" style="168" bestFit="1" customWidth="1"/>
    <col min="12287" max="12288" width="7.42578125" style="168" customWidth="1"/>
    <col min="12289" max="12289" width="8" style="168" bestFit="1" customWidth="1"/>
    <col min="12290" max="12290" width="7.42578125" style="168" bestFit="1" customWidth="1"/>
    <col min="12291" max="12293" width="7.42578125" style="168" customWidth="1"/>
    <col min="12294" max="12299" width="0" style="168" hidden="1" customWidth="1"/>
    <col min="12300" max="12300" width="7.85546875" style="168" customWidth="1"/>
    <col min="12301" max="12539" width="11.42578125" style="168"/>
    <col min="12540" max="12540" width="18.140625" style="168" customWidth="1"/>
    <col min="12541" max="12541" width="8" style="168" bestFit="1" customWidth="1"/>
    <col min="12542" max="12542" width="7.42578125" style="168" bestFit="1" customWidth="1"/>
    <col min="12543" max="12544" width="7.42578125" style="168" customWidth="1"/>
    <col min="12545" max="12545" width="8" style="168" bestFit="1" customWidth="1"/>
    <col min="12546" max="12546" width="7.42578125" style="168" bestFit="1" customWidth="1"/>
    <col min="12547" max="12549" width="7.42578125" style="168" customWidth="1"/>
    <col min="12550" max="12555" width="0" style="168" hidden="1" customWidth="1"/>
    <col min="12556" max="12556" width="7.85546875" style="168" customWidth="1"/>
    <col min="12557" max="12795" width="11.42578125" style="168"/>
    <col min="12796" max="12796" width="18.140625" style="168" customWidth="1"/>
    <col min="12797" max="12797" width="8" style="168" bestFit="1" customWidth="1"/>
    <col min="12798" max="12798" width="7.42578125" style="168" bestFit="1" customWidth="1"/>
    <col min="12799" max="12800" width="7.42578125" style="168" customWidth="1"/>
    <col min="12801" max="12801" width="8" style="168" bestFit="1" customWidth="1"/>
    <col min="12802" max="12802" width="7.42578125" style="168" bestFit="1" customWidth="1"/>
    <col min="12803" max="12805" width="7.42578125" style="168" customWidth="1"/>
    <col min="12806" max="12811" width="0" style="168" hidden="1" customWidth="1"/>
    <col min="12812" max="12812" width="7.85546875" style="168" customWidth="1"/>
    <col min="12813" max="13051" width="11.42578125" style="168"/>
    <col min="13052" max="13052" width="18.140625" style="168" customWidth="1"/>
    <col min="13053" max="13053" width="8" style="168" bestFit="1" customWidth="1"/>
    <col min="13054" max="13054" width="7.42578125" style="168" bestFit="1" customWidth="1"/>
    <col min="13055" max="13056" width="7.42578125" style="168" customWidth="1"/>
    <col min="13057" max="13057" width="8" style="168" bestFit="1" customWidth="1"/>
    <col min="13058" max="13058" width="7.42578125" style="168" bestFit="1" customWidth="1"/>
    <col min="13059" max="13061" width="7.42578125" style="168" customWidth="1"/>
    <col min="13062" max="13067" width="0" style="168" hidden="1" customWidth="1"/>
    <col min="13068" max="13068" width="7.85546875" style="168" customWidth="1"/>
    <col min="13069" max="13307" width="11.42578125" style="168"/>
    <col min="13308" max="13308" width="18.140625" style="168" customWidth="1"/>
    <col min="13309" max="13309" width="8" style="168" bestFit="1" customWidth="1"/>
    <col min="13310" max="13310" width="7.42578125" style="168" bestFit="1" customWidth="1"/>
    <col min="13311" max="13312" width="7.42578125" style="168" customWidth="1"/>
    <col min="13313" max="13313" width="8" style="168" bestFit="1" customWidth="1"/>
    <col min="13314" max="13314" width="7.42578125" style="168" bestFit="1" customWidth="1"/>
    <col min="13315" max="13317" width="7.42578125" style="168" customWidth="1"/>
    <col min="13318" max="13323" width="0" style="168" hidden="1" customWidth="1"/>
    <col min="13324" max="13324" width="7.85546875" style="168" customWidth="1"/>
    <col min="13325" max="13563" width="11.42578125" style="168"/>
    <col min="13564" max="13564" width="18.140625" style="168" customWidth="1"/>
    <col min="13565" max="13565" width="8" style="168" bestFit="1" customWidth="1"/>
    <col min="13566" max="13566" width="7.42578125" style="168" bestFit="1" customWidth="1"/>
    <col min="13567" max="13568" width="7.42578125" style="168" customWidth="1"/>
    <col min="13569" max="13569" width="8" style="168" bestFit="1" customWidth="1"/>
    <col min="13570" max="13570" width="7.42578125" style="168" bestFit="1" customWidth="1"/>
    <col min="13571" max="13573" width="7.42578125" style="168" customWidth="1"/>
    <col min="13574" max="13579" width="0" style="168" hidden="1" customWidth="1"/>
    <col min="13580" max="13580" width="7.85546875" style="168" customWidth="1"/>
    <col min="13581" max="13819" width="11.42578125" style="168"/>
    <col min="13820" max="13820" width="18.140625" style="168" customWidth="1"/>
    <col min="13821" max="13821" width="8" style="168" bestFit="1" customWidth="1"/>
    <col min="13822" max="13822" width="7.42578125" style="168" bestFit="1" customWidth="1"/>
    <col min="13823" max="13824" width="7.42578125" style="168" customWidth="1"/>
    <col min="13825" max="13825" width="8" style="168" bestFit="1" customWidth="1"/>
    <col min="13826" max="13826" width="7.42578125" style="168" bestFit="1" customWidth="1"/>
    <col min="13827" max="13829" width="7.42578125" style="168" customWidth="1"/>
    <col min="13830" max="13835" width="0" style="168" hidden="1" customWidth="1"/>
    <col min="13836" max="13836" width="7.85546875" style="168" customWidth="1"/>
    <col min="13837" max="14075" width="11.42578125" style="168"/>
    <col min="14076" max="14076" width="18.140625" style="168" customWidth="1"/>
    <col min="14077" max="14077" width="8" style="168" bestFit="1" customWidth="1"/>
    <col min="14078" max="14078" width="7.42578125" style="168" bestFit="1" customWidth="1"/>
    <col min="14079" max="14080" width="7.42578125" style="168" customWidth="1"/>
    <col min="14081" max="14081" width="8" style="168" bestFit="1" customWidth="1"/>
    <col min="14082" max="14082" width="7.42578125" style="168" bestFit="1" customWidth="1"/>
    <col min="14083" max="14085" width="7.42578125" style="168" customWidth="1"/>
    <col min="14086" max="14091" width="0" style="168" hidden="1" customWidth="1"/>
    <col min="14092" max="14092" width="7.85546875" style="168" customWidth="1"/>
    <col min="14093" max="14331" width="11.42578125" style="168"/>
    <col min="14332" max="14332" width="18.140625" style="168" customWidth="1"/>
    <col min="14333" max="14333" width="8" style="168" bestFit="1" customWidth="1"/>
    <col min="14334" max="14334" width="7.42578125" style="168" bestFit="1" customWidth="1"/>
    <col min="14335" max="14336" width="7.42578125" style="168" customWidth="1"/>
    <col min="14337" max="14337" width="8" style="168" bestFit="1" customWidth="1"/>
    <col min="14338" max="14338" width="7.42578125" style="168" bestFit="1" customWidth="1"/>
    <col min="14339" max="14341" width="7.42578125" style="168" customWidth="1"/>
    <col min="14342" max="14347" width="0" style="168" hidden="1" customWidth="1"/>
    <col min="14348" max="14348" width="7.85546875" style="168" customWidth="1"/>
    <col min="14349" max="14587" width="11.42578125" style="168"/>
    <col min="14588" max="14588" width="18.140625" style="168" customWidth="1"/>
    <col min="14589" max="14589" width="8" style="168" bestFit="1" customWidth="1"/>
    <col min="14590" max="14590" width="7.42578125" style="168" bestFit="1" customWidth="1"/>
    <col min="14591" max="14592" width="7.42578125" style="168" customWidth="1"/>
    <col min="14593" max="14593" width="8" style="168" bestFit="1" customWidth="1"/>
    <col min="14594" max="14594" width="7.42578125" style="168" bestFit="1" customWidth="1"/>
    <col min="14595" max="14597" width="7.42578125" style="168" customWidth="1"/>
    <col min="14598" max="14603" width="0" style="168" hidden="1" customWidth="1"/>
    <col min="14604" max="14604" width="7.85546875" style="168" customWidth="1"/>
    <col min="14605" max="14843" width="11.42578125" style="168"/>
    <col min="14844" max="14844" width="18.140625" style="168" customWidth="1"/>
    <col min="14845" max="14845" width="8" style="168" bestFit="1" customWidth="1"/>
    <col min="14846" max="14846" width="7.42578125" style="168" bestFit="1" customWidth="1"/>
    <col min="14847" max="14848" width="7.42578125" style="168" customWidth="1"/>
    <col min="14849" max="14849" width="8" style="168" bestFit="1" customWidth="1"/>
    <col min="14850" max="14850" width="7.42578125" style="168" bestFit="1" customWidth="1"/>
    <col min="14851" max="14853" width="7.42578125" style="168" customWidth="1"/>
    <col min="14854" max="14859" width="0" style="168" hidden="1" customWidth="1"/>
    <col min="14860" max="14860" width="7.85546875" style="168" customWidth="1"/>
    <col min="14861" max="15099" width="11.42578125" style="168"/>
    <col min="15100" max="15100" width="18.140625" style="168" customWidth="1"/>
    <col min="15101" max="15101" width="8" style="168" bestFit="1" customWidth="1"/>
    <col min="15102" max="15102" width="7.42578125" style="168" bestFit="1" customWidth="1"/>
    <col min="15103" max="15104" width="7.42578125" style="168" customWidth="1"/>
    <col min="15105" max="15105" width="8" style="168" bestFit="1" customWidth="1"/>
    <col min="15106" max="15106" width="7.42578125" style="168" bestFit="1" customWidth="1"/>
    <col min="15107" max="15109" width="7.42578125" style="168" customWidth="1"/>
    <col min="15110" max="15115" width="0" style="168" hidden="1" customWidth="1"/>
    <col min="15116" max="15116" width="7.85546875" style="168" customWidth="1"/>
    <col min="15117" max="15355" width="11.42578125" style="168"/>
    <col min="15356" max="15356" width="18.140625" style="168" customWidth="1"/>
    <col min="15357" max="15357" width="8" style="168" bestFit="1" customWidth="1"/>
    <col min="15358" max="15358" width="7.42578125" style="168" bestFit="1" customWidth="1"/>
    <col min="15359" max="15360" width="7.42578125" style="168" customWidth="1"/>
    <col min="15361" max="15361" width="8" style="168" bestFit="1" customWidth="1"/>
    <col min="15362" max="15362" width="7.42578125" style="168" bestFit="1" customWidth="1"/>
    <col min="15363" max="15365" width="7.42578125" style="168" customWidth="1"/>
    <col min="15366" max="15371" width="0" style="168" hidden="1" customWidth="1"/>
    <col min="15372" max="15372" width="7.85546875" style="168" customWidth="1"/>
    <col min="15373" max="15611" width="11.42578125" style="168"/>
    <col min="15612" max="15612" width="18.140625" style="168" customWidth="1"/>
    <col min="15613" max="15613" width="8" style="168" bestFit="1" customWidth="1"/>
    <col min="15614" max="15614" width="7.42578125" style="168" bestFit="1" customWidth="1"/>
    <col min="15615" max="15616" width="7.42578125" style="168" customWidth="1"/>
    <col min="15617" max="15617" width="8" style="168" bestFit="1" customWidth="1"/>
    <col min="15618" max="15618" width="7.42578125" style="168" bestFit="1" customWidth="1"/>
    <col min="15619" max="15621" width="7.42578125" style="168" customWidth="1"/>
    <col min="15622" max="15627" width="0" style="168" hidden="1" customWidth="1"/>
    <col min="15628" max="15628" width="7.85546875" style="168" customWidth="1"/>
    <col min="15629" max="15867" width="11.42578125" style="168"/>
    <col min="15868" max="15868" width="18.140625" style="168" customWidth="1"/>
    <col min="15869" max="15869" width="8" style="168" bestFit="1" customWidth="1"/>
    <col min="15870" max="15870" width="7.42578125" style="168" bestFit="1" customWidth="1"/>
    <col min="15871" max="15872" width="7.42578125" style="168" customWidth="1"/>
    <col min="15873" max="15873" width="8" style="168" bestFit="1" customWidth="1"/>
    <col min="15874" max="15874" width="7.42578125" style="168" bestFit="1" customWidth="1"/>
    <col min="15875" max="15877" width="7.42578125" style="168" customWidth="1"/>
    <col min="15878" max="15883" width="0" style="168" hidden="1" customWidth="1"/>
    <col min="15884" max="15884" width="7.85546875" style="168" customWidth="1"/>
    <col min="15885" max="16123" width="11.42578125" style="168"/>
    <col min="16124" max="16124" width="18.140625" style="168" customWidth="1"/>
    <col min="16125" max="16125" width="8" style="168" bestFit="1" customWidth="1"/>
    <col min="16126" max="16126" width="7.42578125" style="168" bestFit="1" customWidth="1"/>
    <col min="16127" max="16128" width="7.42578125" style="168" customWidth="1"/>
    <col min="16129" max="16129" width="8" style="168" bestFit="1" customWidth="1"/>
    <col min="16130" max="16130" width="7.42578125" style="168" bestFit="1" customWidth="1"/>
    <col min="16131" max="16133" width="7.42578125" style="168" customWidth="1"/>
    <col min="16134" max="16139" width="0" style="168" hidden="1" customWidth="1"/>
    <col min="16140" max="16140" width="7.85546875" style="168" customWidth="1"/>
    <col min="16141" max="16384" width="11.42578125" style="168"/>
  </cols>
  <sheetData>
    <row r="1" spans="1:16" s="169" customFormat="1" ht="14.25" customHeight="1" x14ac:dyDescent="0.2">
      <c r="B1" s="182"/>
      <c r="C1" s="182"/>
      <c r="D1" s="182"/>
      <c r="E1" s="182"/>
      <c r="F1" s="182"/>
      <c r="G1" s="182"/>
      <c r="H1" s="182"/>
      <c r="I1" s="182"/>
      <c r="J1" s="182"/>
      <c r="K1" s="182"/>
      <c r="L1" s="182"/>
    </row>
    <row r="2" spans="1:16" s="169" customFormat="1" x14ac:dyDescent="0.2">
      <c r="A2" s="196" t="s">
        <v>121</v>
      </c>
      <c r="B2" s="182"/>
      <c r="C2" s="182"/>
      <c r="D2" s="182"/>
      <c r="E2" s="182"/>
      <c r="F2" s="182"/>
      <c r="G2" s="182"/>
      <c r="H2" s="182"/>
      <c r="I2" s="182"/>
      <c r="K2" s="182"/>
      <c r="L2" s="182"/>
    </row>
    <row r="3" spans="1:16" s="169" customFormat="1" x14ac:dyDescent="0.2">
      <c r="A3" s="196" t="s">
        <v>122</v>
      </c>
      <c r="B3" s="182"/>
      <c r="C3" s="182"/>
      <c r="D3" s="182"/>
      <c r="E3" s="182"/>
      <c r="F3" s="182"/>
      <c r="G3" s="182"/>
      <c r="H3" s="182"/>
      <c r="I3" s="182"/>
      <c r="J3" s="182"/>
      <c r="K3" s="182"/>
      <c r="L3" s="182"/>
    </row>
    <row r="4" spans="1:16" s="169" customFormat="1" ht="15" x14ac:dyDescent="0.25">
      <c r="B4" s="182"/>
      <c r="C4" s="182"/>
      <c r="D4" s="182"/>
      <c r="E4" s="182"/>
      <c r="F4" s="182"/>
      <c r="G4" s="182"/>
      <c r="H4" s="182"/>
      <c r="I4" s="182"/>
      <c r="J4" s="182"/>
      <c r="K4" s="182"/>
      <c r="L4" s="337"/>
    </row>
    <row r="5" spans="1:16" s="169" customFormat="1" ht="12.75" x14ac:dyDescent="0.2">
      <c r="B5" s="418" t="s">
        <v>142</v>
      </c>
      <c r="C5" s="418"/>
      <c r="D5" s="418"/>
      <c r="E5" s="418"/>
      <c r="F5" s="418"/>
      <c r="G5" s="418"/>
      <c r="H5" s="418"/>
      <c r="I5" s="418"/>
      <c r="J5" s="418"/>
      <c r="K5" s="418"/>
      <c r="M5" s="367" t="s">
        <v>593</v>
      </c>
      <c r="O5" s="338"/>
    </row>
    <row r="6" spans="1:16" s="169" customFormat="1" ht="12.75" x14ac:dyDescent="0.2">
      <c r="B6" s="431" t="str">
        <f>'Solicitudes Regiones'!$B$6:$P$6</f>
        <v>Acumuladas de julio de 2008 a noviembre de 2018</v>
      </c>
      <c r="C6" s="431"/>
      <c r="D6" s="431"/>
      <c r="E6" s="431"/>
      <c r="F6" s="431"/>
      <c r="G6" s="431"/>
      <c r="H6" s="431"/>
      <c r="I6" s="431"/>
      <c r="J6" s="431"/>
      <c r="K6" s="431"/>
      <c r="L6" s="210"/>
    </row>
    <row r="7" spans="1:16" x14ac:dyDescent="0.2">
      <c r="B7" s="170"/>
    </row>
    <row r="8" spans="1:16" ht="15" customHeight="1" x14ac:dyDescent="0.2">
      <c r="B8" s="447" t="s">
        <v>73</v>
      </c>
      <c r="C8" s="448"/>
      <c r="D8" s="448"/>
      <c r="E8" s="448"/>
      <c r="F8" s="448"/>
      <c r="G8" s="448"/>
      <c r="H8" s="448"/>
      <c r="I8" s="448"/>
      <c r="J8" s="448"/>
      <c r="K8" s="449"/>
      <c r="L8" s="187"/>
    </row>
    <row r="9" spans="1:16" ht="20.25" customHeight="1" x14ac:dyDescent="0.2">
      <c r="B9" s="446" t="s">
        <v>74</v>
      </c>
      <c r="C9" s="447" t="s">
        <v>2</v>
      </c>
      <c r="D9" s="448"/>
      <c r="E9" s="448"/>
      <c r="F9" s="448"/>
      <c r="G9" s="448"/>
      <c r="H9" s="448"/>
      <c r="I9" s="448"/>
      <c r="J9" s="448"/>
      <c r="K9" s="449"/>
    </row>
    <row r="10" spans="1:16" ht="24" x14ac:dyDescent="0.2">
      <c r="B10" s="446"/>
      <c r="C10" s="226" t="s">
        <v>75</v>
      </c>
      <c r="D10" s="226" t="s">
        <v>76</v>
      </c>
      <c r="E10" s="226" t="s">
        <v>77</v>
      </c>
      <c r="F10" s="226" t="s">
        <v>78</v>
      </c>
      <c r="G10" s="226" t="s">
        <v>8</v>
      </c>
      <c r="H10" s="226" t="s">
        <v>79</v>
      </c>
      <c r="I10" s="226" t="s">
        <v>80</v>
      </c>
      <c r="J10" s="226" t="s">
        <v>81</v>
      </c>
      <c r="K10" s="226" t="s">
        <v>46</v>
      </c>
    </row>
    <row r="11" spans="1:16" ht="12.75" customHeight="1" x14ac:dyDescent="0.2">
      <c r="B11" s="162" t="s">
        <v>430</v>
      </c>
      <c r="C11" s="160">
        <v>5185</v>
      </c>
      <c r="D11" s="160">
        <v>1509</v>
      </c>
      <c r="E11" s="160">
        <f>C11+D11</f>
        <v>6694</v>
      </c>
      <c r="F11" s="161">
        <f>E11/$E$63</f>
        <v>3.042492171059509E-2</v>
      </c>
      <c r="G11" s="160">
        <v>17685</v>
      </c>
      <c r="H11" s="160">
        <v>755</v>
      </c>
      <c r="I11" s="160">
        <f>G11+H11</f>
        <v>18440</v>
      </c>
      <c r="J11" s="161">
        <f>I11/$I$63</f>
        <v>3.6470004212641481E-2</v>
      </c>
      <c r="K11" s="160">
        <f t="shared" ref="K11:K62" si="0">E11+I11</f>
        <v>25134</v>
      </c>
      <c r="P11" s="173"/>
    </row>
    <row r="12" spans="1:16" ht="12.75" customHeight="1" x14ac:dyDescent="0.2">
      <c r="B12" s="162" t="s">
        <v>431</v>
      </c>
      <c r="C12" s="160">
        <v>2104</v>
      </c>
      <c r="D12" s="160">
        <v>1258</v>
      </c>
      <c r="E12" s="160">
        <f t="shared" ref="E12:E62" si="1">C12+D12</f>
        <v>3362</v>
      </c>
      <c r="F12" s="161">
        <f t="shared" ref="F12:F62" si="2">E12/$E$63</f>
        <v>1.528063740529141E-2</v>
      </c>
      <c r="G12" s="160">
        <v>6717</v>
      </c>
      <c r="H12" s="160">
        <v>297</v>
      </c>
      <c r="I12" s="160">
        <f t="shared" ref="I12:I62" si="3">G12+H12</f>
        <v>7014</v>
      </c>
      <c r="J12" s="161">
        <f t="shared" ref="J12:J62" si="4">I12/$I$63</f>
        <v>1.3872050409298665E-2</v>
      </c>
      <c r="K12" s="160">
        <f t="shared" si="0"/>
        <v>10376</v>
      </c>
      <c r="P12" s="173"/>
    </row>
    <row r="13" spans="1:16" ht="12.75" customHeight="1" x14ac:dyDescent="0.2">
      <c r="B13" s="162" t="s">
        <v>432</v>
      </c>
      <c r="C13" s="160">
        <v>5066</v>
      </c>
      <c r="D13" s="160">
        <v>2395</v>
      </c>
      <c r="E13" s="160">
        <f t="shared" si="1"/>
        <v>7461</v>
      </c>
      <c r="F13" s="161">
        <f t="shared" si="2"/>
        <v>3.391101596694801E-2</v>
      </c>
      <c r="G13" s="160">
        <v>13858</v>
      </c>
      <c r="H13" s="160">
        <v>739</v>
      </c>
      <c r="I13" s="160">
        <f t="shared" si="3"/>
        <v>14597</v>
      </c>
      <c r="J13" s="161">
        <f t="shared" si="4"/>
        <v>2.8869449647067665E-2</v>
      </c>
      <c r="K13" s="160">
        <f t="shared" si="0"/>
        <v>22058</v>
      </c>
      <c r="P13" s="173"/>
    </row>
    <row r="14" spans="1:16" ht="12.75" customHeight="1" x14ac:dyDescent="0.2">
      <c r="B14" s="162" t="s">
        <v>433</v>
      </c>
      <c r="C14" s="160">
        <v>2313</v>
      </c>
      <c r="D14" s="160">
        <v>1110</v>
      </c>
      <c r="E14" s="160">
        <f t="shared" si="1"/>
        <v>3423</v>
      </c>
      <c r="F14" s="161">
        <f t="shared" si="2"/>
        <v>1.5557888708599791E-2</v>
      </c>
      <c r="G14" s="160">
        <v>6349</v>
      </c>
      <c r="H14" s="160">
        <v>324</v>
      </c>
      <c r="I14" s="160">
        <f t="shared" si="3"/>
        <v>6673</v>
      </c>
      <c r="J14" s="161">
        <f t="shared" si="4"/>
        <v>1.3197632218598515E-2</v>
      </c>
      <c r="K14" s="160">
        <f t="shared" si="0"/>
        <v>10096</v>
      </c>
      <c r="P14" s="173"/>
    </row>
    <row r="15" spans="1:16" ht="12.75" customHeight="1" x14ac:dyDescent="0.2">
      <c r="B15" s="162" t="s">
        <v>434</v>
      </c>
      <c r="C15" s="160">
        <v>2257</v>
      </c>
      <c r="D15" s="160">
        <v>668</v>
      </c>
      <c r="E15" s="160">
        <f t="shared" si="1"/>
        <v>2925</v>
      </c>
      <c r="F15" s="161">
        <f t="shared" si="2"/>
        <v>1.3294427248803501E-2</v>
      </c>
      <c r="G15" s="160">
        <v>7628</v>
      </c>
      <c r="H15" s="160">
        <v>274</v>
      </c>
      <c r="I15" s="160">
        <f t="shared" si="3"/>
        <v>7902</v>
      </c>
      <c r="J15" s="161">
        <f t="shared" si="4"/>
        <v>1.5628306577456237E-2</v>
      </c>
      <c r="K15" s="160">
        <f t="shared" si="0"/>
        <v>10827</v>
      </c>
      <c r="P15" s="173"/>
    </row>
    <row r="16" spans="1:16" ht="12.75" customHeight="1" x14ac:dyDescent="0.2">
      <c r="B16" s="162" t="s">
        <v>435</v>
      </c>
      <c r="C16" s="160">
        <v>2831</v>
      </c>
      <c r="D16" s="160">
        <v>914</v>
      </c>
      <c r="E16" s="160">
        <f t="shared" si="1"/>
        <v>3745</v>
      </c>
      <c r="F16" s="161">
        <f t="shared" si="2"/>
        <v>1.7021411981801408E-2</v>
      </c>
      <c r="G16" s="160">
        <v>7658</v>
      </c>
      <c r="H16" s="160">
        <v>302</v>
      </c>
      <c r="I16" s="160">
        <f t="shared" si="3"/>
        <v>7960</v>
      </c>
      <c r="J16" s="161">
        <f t="shared" si="4"/>
        <v>1.5743017002853917E-2</v>
      </c>
      <c r="K16" s="160">
        <f t="shared" si="0"/>
        <v>11705</v>
      </c>
      <c r="P16" s="173"/>
    </row>
    <row r="17" spans="2:16" ht="12.75" customHeight="1" x14ac:dyDescent="0.2">
      <c r="B17" s="162" t="s">
        <v>436</v>
      </c>
      <c r="C17" s="160">
        <v>4676</v>
      </c>
      <c r="D17" s="160">
        <v>2839</v>
      </c>
      <c r="E17" s="160">
        <f t="shared" si="1"/>
        <v>7515</v>
      </c>
      <c r="F17" s="161">
        <f t="shared" si="2"/>
        <v>3.4156451546925919E-2</v>
      </c>
      <c r="G17" s="160">
        <v>12666</v>
      </c>
      <c r="H17" s="160">
        <v>928</v>
      </c>
      <c r="I17" s="160">
        <f t="shared" si="3"/>
        <v>13594</v>
      </c>
      <c r="J17" s="161">
        <f t="shared" si="4"/>
        <v>2.6885750394069867E-2</v>
      </c>
      <c r="K17" s="160">
        <f t="shared" si="0"/>
        <v>21109</v>
      </c>
      <c r="P17" s="173"/>
    </row>
    <row r="18" spans="2:16" ht="12.75" customHeight="1" x14ac:dyDescent="0.2">
      <c r="B18" s="162" t="s">
        <v>437</v>
      </c>
      <c r="C18" s="160">
        <v>3882</v>
      </c>
      <c r="D18" s="160">
        <v>750</v>
      </c>
      <c r="E18" s="160">
        <f t="shared" si="1"/>
        <v>4632</v>
      </c>
      <c r="F18" s="161">
        <f t="shared" si="2"/>
        <v>2.1052918638105236E-2</v>
      </c>
      <c r="G18" s="160">
        <v>11966</v>
      </c>
      <c r="H18" s="160">
        <v>309</v>
      </c>
      <c r="I18" s="160">
        <f t="shared" si="3"/>
        <v>12275</v>
      </c>
      <c r="J18" s="161">
        <f t="shared" si="4"/>
        <v>2.4277077099250231E-2</v>
      </c>
      <c r="K18" s="160">
        <f t="shared" si="0"/>
        <v>16907</v>
      </c>
      <c r="P18" s="173"/>
    </row>
    <row r="19" spans="2:16" ht="12.75" customHeight="1" x14ac:dyDescent="0.2">
      <c r="B19" s="162" t="s">
        <v>438</v>
      </c>
      <c r="C19" s="160">
        <v>875</v>
      </c>
      <c r="D19" s="160">
        <v>329</v>
      </c>
      <c r="E19" s="160">
        <f t="shared" si="1"/>
        <v>1204</v>
      </c>
      <c r="F19" s="161">
        <f t="shared" si="2"/>
        <v>5.4723044128408256E-3</v>
      </c>
      <c r="G19" s="160">
        <v>2521</v>
      </c>
      <c r="H19" s="160">
        <v>108</v>
      </c>
      <c r="I19" s="160">
        <f t="shared" si="3"/>
        <v>2629</v>
      </c>
      <c r="J19" s="161">
        <f t="shared" si="4"/>
        <v>5.1995466960430836E-3</v>
      </c>
      <c r="K19" s="160">
        <f t="shared" si="0"/>
        <v>3833</v>
      </c>
      <c r="P19" s="173"/>
    </row>
    <row r="20" spans="2:16" ht="12.75" customHeight="1" x14ac:dyDescent="0.2">
      <c r="B20" s="162" t="s">
        <v>439</v>
      </c>
      <c r="C20" s="160">
        <v>3427</v>
      </c>
      <c r="D20" s="160">
        <v>1334</v>
      </c>
      <c r="E20" s="160">
        <f t="shared" si="1"/>
        <v>4761</v>
      </c>
      <c r="F20" s="161">
        <f t="shared" si="2"/>
        <v>2.1639236968052467E-2</v>
      </c>
      <c r="G20" s="160">
        <v>10881</v>
      </c>
      <c r="H20" s="160">
        <v>444</v>
      </c>
      <c r="I20" s="160">
        <f t="shared" si="3"/>
        <v>11325</v>
      </c>
      <c r="J20" s="161">
        <f t="shared" si="4"/>
        <v>2.2398199441874447E-2</v>
      </c>
      <c r="K20" s="160">
        <f t="shared" si="0"/>
        <v>16086</v>
      </c>
      <c r="P20" s="173"/>
    </row>
    <row r="21" spans="2:16" ht="12.75" customHeight="1" x14ac:dyDescent="0.2">
      <c r="B21" s="162" t="s">
        <v>440</v>
      </c>
      <c r="C21" s="160">
        <v>3106</v>
      </c>
      <c r="D21" s="160">
        <v>888</v>
      </c>
      <c r="E21" s="160">
        <f t="shared" si="1"/>
        <v>3994</v>
      </c>
      <c r="F21" s="161">
        <f t="shared" si="2"/>
        <v>1.8153142711699551E-2</v>
      </c>
      <c r="G21" s="160">
        <v>10494</v>
      </c>
      <c r="H21" s="160">
        <v>347</v>
      </c>
      <c r="I21" s="160">
        <f t="shared" si="3"/>
        <v>10841</v>
      </c>
      <c r="J21" s="161">
        <f t="shared" si="4"/>
        <v>2.1440960719590365E-2</v>
      </c>
      <c r="K21" s="160">
        <f t="shared" si="0"/>
        <v>14835</v>
      </c>
      <c r="P21" s="173"/>
    </row>
    <row r="22" spans="2:16" ht="22.5" customHeight="1" x14ac:dyDescent="0.2">
      <c r="B22" s="162" t="s">
        <v>441</v>
      </c>
      <c r="C22" s="160">
        <v>3657</v>
      </c>
      <c r="D22" s="160">
        <v>1590</v>
      </c>
      <c r="E22" s="160">
        <f t="shared" si="1"/>
        <v>5247</v>
      </c>
      <c r="F22" s="161">
        <f t="shared" si="2"/>
        <v>2.3848157187853665E-2</v>
      </c>
      <c r="G22" s="160">
        <v>11742</v>
      </c>
      <c r="H22" s="160">
        <v>531</v>
      </c>
      <c r="I22" s="160">
        <f t="shared" si="3"/>
        <v>12273</v>
      </c>
      <c r="J22" s="161">
        <f t="shared" si="4"/>
        <v>2.4273121567339965E-2</v>
      </c>
      <c r="K22" s="160">
        <f t="shared" si="0"/>
        <v>17520</v>
      </c>
      <c r="P22" s="173"/>
    </row>
    <row r="23" spans="2:16" ht="12.75" customHeight="1" x14ac:dyDescent="0.2">
      <c r="B23" s="162" t="s">
        <v>442</v>
      </c>
      <c r="C23" s="160">
        <v>5150</v>
      </c>
      <c r="D23" s="160">
        <v>2476</v>
      </c>
      <c r="E23" s="160">
        <f t="shared" si="1"/>
        <v>7626</v>
      </c>
      <c r="F23" s="161">
        <f t="shared" si="2"/>
        <v>3.4660958016880516E-2</v>
      </c>
      <c r="G23" s="160">
        <v>17308</v>
      </c>
      <c r="H23" s="160">
        <v>781</v>
      </c>
      <c r="I23" s="160">
        <f t="shared" si="3"/>
        <v>18089</v>
      </c>
      <c r="J23" s="161">
        <f t="shared" si="4"/>
        <v>3.5775808362390013E-2</v>
      </c>
      <c r="K23" s="160">
        <f t="shared" si="0"/>
        <v>25715</v>
      </c>
      <c r="P23" s="173"/>
    </row>
    <row r="24" spans="2:16" ht="12.75" customHeight="1" x14ac:dyDescent="0.2">
      <c r="B24" s="162" t="s">
        <v>443</v>
      </c>
      <c r="C24" s="160">
        <v>3456</v>
      </c>
      <c r="D24" s="160">
        <v>1134</v>
      </c>
      <c r="E24" s="160">
        <f t="shared" si="1"/>
        <v>4590</v>
      </c>
      <c r="F24" s="161">
        <f t="shared" si="2"/>
        <v>2.0862024298122419E-2</v>
      </c>
      <c r="G24" s="160">
        <v>11052</v>
      </c>
      <c r="H24" s="160">
        <v>380</v>
      </c>
      <c r="I24" s="160">
        <f t="shared" si="3"/>
        <v>11432</v>
      </c>
      <c r="J24" s="161">
        <f t="shared" si="4"/>
        <v>2.2609820399073614E-2</v>
      </c>
      <c r="K24" s="160">
        <f t="shared" si="0"/>
        <v>16022</v>
      </c>
      <c r="P24" s="173"/>
    </row>
    <row r="25" spans="2:16" ht="12.75" customHeight="1" x14ac:dyDescent="0.2">
      <c r="B25" s="162" t="s">
        <v>444</v>
      </c>
      <c r="C25" s="160">
        <v>3619</v>
      </c>
      <c r="D25" s="160">
        <v>1937</v>
      </c>
      <c r="E25" s="160">
        <f t="shared" si="1"/>
        <v>5556</v>
      </c>
      <c r="F25" s="161">
        <f t="shared" si="2"/>
        <v>2.5252594117727265E-2</v>
      </c>
      <c r="G25" s="160">
        <v>11493</v>
      </c>
      <c r="H25" s="160">
        <v>595</v>
      </c>
      <c r="I25" s="160">
        <f t="shared" si="3"/>
        <v>12088</v>
      </c>
      <c r="J25" s="161">
        <f t="shared" si="4"/>
        <v>2.3907234865640468E-2</v>
      </c>
      <c r="K25" s="160">
        <f t="shared" si="0"/>
        <v>17644</v>
      </c>
      <c r="P25" s="173"/>
    </row>
    <row r="26" spans="2:16" ht="12.75" customHeight="1" x14ac:dyDescent="0.2">
      <c r="B26" s="162" t="s">
        <v>445</v>
      </c>
      <c r="C26" s="160">
        <v>3170</v>
      </c>
      <c r="D26" s="160">
        <v>1330</v>
      </c>
      <c r="E26" s="160">
        <f t="shared" si="1"/>
        <v>4500</v>
      </c>
      <c r="F26" s="161">
        <f t="shared" si="2"/>
        <v>2.0452964998159233E-2</v>
      </c>
      <c r="G26" s="160">
        <v>10569</v>
      </c>
      <c r="H26" s="160">
        <v>409</v>
      </c>
      <c r="I26" s="160">
        <f t="shared" si="3"/>
        <v>10978</v>
      </c>
      <c r="J26" s="161">
        <f t="shared" si="4"/>
        <v>2.1711914655443504E-2</v>
      </c>
      <c r="K26" s="160">
        <f t="shared" si="0"/>
        <v>15478</v>
      </c>
      <c r="P26" s="173"/>
    </row>
    <row r="27" spans="2:16" ht="12.75" customHeight="1" x14ac:dyDescent="0.2">
      <c r="B27" s="162" t="s">
        <v>446</v>
      </c>
      <c r="C27" s="160">
        <v>9754</v>
      </c>
      <c r="D27" s="160">
        <v>4374</v>
      </c>
      <c r="E27" s="160">
        <f t="shared" si="1"/>
        <v>14128</v>
      </c>
      <c r="F27" s="161">
        <f t="shared" si="2"/>
        <v>6.4213219887554143E-2</v>
      </c>
      <c r="G27" s="160">
        <v>30806</v>
      </c>
      <c r="H27" s="160">
        <v>1446</v>
      </c>
      <c r="I27" s="160">
        <f t="shared" si="3"/>
        <v>32252</v>
      </c>
      <c r="J27" s="161">
        <f t="shared" si="4"/>
        <v>6.3786907584930219E-2</v>
      </c>
      <c r="K27" s="160">
        <f t="shared" si="0"/>
        <v>46380</v>
      </c>
      <c r="P27" s="173"/>
    </row>
    <row r="28" spans="2:16" ht="12.75" customHeight="1" x14ac:dyDescent="0.2">
      <c r="B28" s="162" t="s">
        <v>447</v>
      </c>
      <c r="C28" s="160">
        <v>428</v>
      </c>
      <c r="D28" s="160">
        <v>163</v>
      </c>
      <c r="E28" s="160">
        <f t="shared" si="1"/>
        <v>591</v>
      </c>
      <c r="F28" s="161">
        <f t="shared" si="2"/>
        <v>2.6861560697582459E-3</v>
      </c>
      <c r="G28" s="160">
        <v>1005</v>
      </c>
      <c r="H28" s="160">
        <v>35</v>
      </c>
      <c r="I28" s="160">
        <f t="shared" si="3"/>
        <v>1040</v>
      </c>
      <c r="J28" s="161">
        <f t="shared" si="4"/>
        <v>2.0568765933376976E-3</v>
      </c>
      <c r="K28" s="160">
        <f t="shared" si="0"/>
        <v>1631</v>
      </c>
      <c r="P28" s="173"/>
    </row>
    <row r="29" spans="2:16" ht="12.75" customHeight="1" x14ac:dyDescent="0.2">
      <c r="B29" s="162" t="s">
        <v>448</v>
      </c>
      <c r="C29" s="160">
        <v>1313</v>
      </c>
      <c r="D29" s="160">
        <v>961</v>
      </c>
      <c r="E29" s="160">
        <f t="shared" si="1"/>
        <v>2274</v>
      </c>
      <c r="F29" s="161">
        <f t="shared" si="2"/>
        <v>1.0335564979069799E-2</v>
      </c>
      <c r="G29" s="160">
        <v>3149</v>
      </c>
      <c r="H29" s="160">
        <v>213</v>
      </c>
      <c r="I29" s="160">
        <f t="shared" si="3"/>
        <v>3362</v>
      </c>
      <c r="J29" s="161">
        <f t="shared" si="4"/>
        <v>6.6492491411551339E-3</v>
      </c>
      <c r="K29" s="160">
        <f t="shared" si="0"/>
        <v>5636</v>
      </c>
      <c r="P29" s="173"/>
    </row>
    <row r="30" spans="2:16" ht="12.75" customHeight="1" x14ac:dyDescent="0.2">
      <c r="B30" s="162" t="s">
        <v>449</v>
      </c>
      <c r="C30" s="160">
        <v>429</v>
      </c>
      <c r="D30" s="160">
        <v>223</v>
      </c>
      <c r="E30" s="160">
        <f t="shared" si="1"/>
        <v>652</v>
      </c>
      <c r="F30" s="161">
        <f t="shared" si="2"/>
        <v>2.9634073730666266E-3</v>
      </c>
      <c r="G30" s="160">
        <v>1134</v>
      </c>
      <c r="H30" s="160">
        <v>76</v>
      </c>
      <c r="I30" s="160">
        <f t="shared" si="3"/>
        <v>1210</v>
      </c>
      <c r="J30" s="161">
        <f t="shared" si="4"/>
        <v>2.393096805710206E-3</v>
      </c>
      <c r="K30" s="160">
        <f t="shared" si="0"/>
        <v>1862</v>
      </c>
      <c r="P30" s="173"/>
    </row>
    <row r="31" spans="2:16" ht="12.75" customHeight="1" x14ac:dyDescent="0.2">
      <c r="B31" s="162" t="s">
        <v>450</v>
      </c>
      <c r="C31" s="160">
        <v>1588</v>
      </c>
      <c r="D31" s="160">
        <v>647</v>
      </c>
      <c r="E31" s="160">
        <f t="shared" si="1"/>
        <v>2235</v>
      </c>
      <c r="F31" s="161">
        <f t="shared" si="2"/>
        <v>1.0158305949085752E-2</v>
      </c>
      <c r="G31" s="160">
        <v>5740</v>
      </c>
      <c r="H31" s="160">
        <v>305</v>
      </c>
      <c r="I31" s="160">
        <f t="shared" si="3"/>
        <v>6045</v>
      </c>
      <c r="J31" s="161">
        <f t="shared" si="4"/>
        <v>1.1955595198775367E-2</v>
      </c>
      <c r="K31" s="160">
        <f t="shared" si="0"/>
        <v>8280</v>
      </c>
      <c r="P31" s="173"/>
    </row>
    <row r="32" spans="2:16" ht="12.75" customHeight="1" x14ac:dyDescent="0.2">
      <c r="B32" s="162" t="s">
        <v>451</v>
      </c>
      <c r="C32" s="160">
        <v>427</v>
      </c>
      <c r="D32" s="160">
        <v>179</v>
      </c>
      <c r="E32" s="160">
        <f t="shared" si="1"/>
        <v>606</v>
      </c>
      <c r="F32" s="161">
        <f t="shared" si="2"/>
        <v>2.7543326197521103E-3</v>
      </c>
      <c r="G32" s="160">
        <v>1306</v>
      </c>
      <c r="H32" s="160">
        <v>87</v>
      </c>
      <c r="I32" s="160">
        <f t="shared" si="3"/>
        <v>1393</v>
      </c>
      <c r="J32" s="161">
        <f t="shared" si="4"/>
        <v>2.7550279754994353E-3</v>
      </c>
      <c r="K32" s="160">
        <f t="shared" si="0"/>
        <v>1999</v>
      </c>
      <c r="P32" s="173"/>
    </row>
    <row r="33" spans="2:16" ht="12.75" customHeight="1" x14ac:dyDescent="0.2">
      <c r="B33" s="162" t="s">
        <v>452</v>
      </c>
      <c r="C33" s="160">
        <v>128</v>
      </c>
      <c r="D33" s="160">
        <v>75</v>
      </c>
      <c r="E33" s="160">
        <f t="shared" si="1"/>
        <v>203</v>
      </c>
      <c r="F33" s="161">
        <f t="shared" si="2"/>
        <v>9.2265597658362764E-4</v>
      </c>
      <c r="G33" s="160">
        <v>432</v>
      </c>
      <c r="H33" s="160">
        <v>18</v>
      </c>
      <c r="I33" s="160">
        <f t="shared" si="3"/>
        <v>450</v>
      </c>
      <c r="J33" s="161">
        <f t="shared" si="4"/>
        <v>8.8999467980958066E-4</v>
      </c>
      <c r="K33" s="160">
        <f t="shared" si="0"/>
        <v>653</v>
      </c>
      <c r="P33" s="173"/>
    </row>
    <row r="34" spans="2:16" ht="12.75" customHeight="1" x14ac:dyDescent="0.2">
      <c r="B34" s="162" t="s">
        <v>453</v>
      </c>
      <c r="C34" s="160">
        <v>911</v>
      </c>
      <c r="D34" s="160">
        <v>326</v>
      </c>
      <c r="E34" s="160">
        <f t="shared" si="1"/>
        <v>1237</v>
      </c>
      <c r="F34" s="161">
        <f t="shared" si="2"/>
        <v>5.6222928228273272E-3</v>
      </c>
      <c r="G34" s="160">
        <v>2248</v>
      </c>
      <c r="H34" s="160">
        <v>133</v>
      </c>
      <c r="I34" s="160">
        <f t="shared" si="3"/>
        <v>2381</v>
      </c>
      <c r="J34" s="161">
        <f t="shared" si="4"/>
        <v>4.7090607391702477E-3</v>
      </c>
      <c r="K34" s="160">
        <f t="shared" si="0"/>
        <v>3618</v>
      </c>
      <c r="P34" s="173"/>
    </row>
    <row r="35" spans="2:16" ht="12.75" customHeight="1" x14ac:dyDescent="0.2">
      <c r="B35" s="162" t="s">
        <v>454</v>
      </c>
      <c r="C35" s="160">
        <v>376</v>
      </c>
      <c r="D35" s="160">
        <v>185</v>
      </c>
      <c r="E35" s="160">
        <f t="shared" si="1"/>
        <v>561</v>
      </c>
      <c r="F35" s="161">
        <f t="shared" si="2"/>
        <v>2.5498029697705177E-3</v>
      </c>
      <c r="G35" s="160">
        <v>676</v>
      </c>
      <c r="H35" s="160">
        <v>48</v>
      </c>
      <c r="I35" s="160">
        <f t="shared" si="3"/>
        <v>724</v>
      </c>
      <c r="J35" s="161">
        <f t="shared" si="4"/>
        <v>1.4319025515158587E-3</v>
      </c>
      <c r="K35" s="160">
        <f t="shared" si="0"/>
        <v>1285</v>
      </c>
      <c r="P35" s="173"/>
    </row>
    <row r="36" spans="2:16" ht="12.75" customHeight="1" x14ac:dyDescent="0.2">
      <c r="B36" s="162" t="s">
        <v>455</v>
      </c>
      <c r="C36" s="160">
        <v>917</v>
      </c>
      <c r="D36" s="160">
        <v>398</v>
      </c>
      <c r="E36" s="160">
        <f t="shared" si="1"/>
        <v>1315</v>
      </c>
      <c r="F36" s="161">
        <f t="shared" si="2"/>
        <v>5.97681088279542E-3</v>
      </c>
      <c r="G36" s="160">
        <v>2391</v>
      </c>
      <c r="H36" s="160">
        <v>111</v>
      </c>
      <c r="I36" s="160">
        <f t="shared" si="3"/>
        <v>2502</v>
      </c>
      <c r="J36" s="161">
        <f t="shared" si="4"/>
        <v>4.9483704197412683E-3</v>
      </c>
      <c r="K36" s="160">
        <f t="shared" si="0"/>
        <v>3817</v>
      </c>
      <c r="P36" s="173"/>
    </row>
    <row r="37" spans="2:16" ht="12.75" customHeight="1" x14ac:dyDescent="0.2">
      <c r="B37" s="162" t="s">
        <v>456</v>
      </c>
      <c r="C37" s="160">
        <v>1167</v>
      </c>
      <c r="D37" s="160">
        <v>534</v>
      </c>
      <c r="E37" s="160">
        <f t="shared" si="1"/>
        <v>1701</v>
      </c>
      <c r="F37" s="161">
        <f t="shared" si="2"/>
        <v>7.7312207693041902E-3</v>
      </c>
      <c r="G37" s="160">
        <v>3972</v>
      </c>
      <c r="H37" s="160">
        <v>201</v>
      </c>
      <c r="I37" s="160">
        <f t="shared" si="3"/>
        <v>4173</v>
      </c>
      <c r="J37" s="161">
        <f t="shared" si="4"/>
        <v>8.2532173307675108E-3</v>
      </c>
      <c r="K37" s="160">
        <f t="shared" si="0"/>
        <v>5874</v>
      </c>
      <c r="P37" s="173"/>
    </row>
    <row r="38" spans="2:16" ht="12.75" customHeight="1" x14ac:dyDescent="0.2">
      <c r="B38" s="162" t="s">
        <v>457</v>
      </c>
      <c r="C38" s="160">
        <v>1904</v>
      </c>
      <c r="D38" s="160">
        <v>772</v>
      </c>
      <c r="E38" s="160">
        <f t="shared" si="1"/>
        <v>2676</v>
      </c>
      <c r="F38" s="161">
        <f t="shared" si="2"/>
        <v>1.2162696518905357E-2</v>
      </c>
      <c r="G38" s="160">
        <v>7051</v>
      </c>
      <c r="H38" s="160">
        <v>347</v>
      </c>
      <c r="I38" s="160">
        <f t="shared" si="3"/>
        <v>7398</v>
      </c>
      <c r="J38" s="161">
        <f t="shared" si="4"/>
        <v>1.4631512536069506E-2</v>
      </c>
      <c r="K38" s="160">
        <f t="shared" si="0"/>
        <v>10074</v>
      </c>
      <c r="P38" s="173"/>
    </row>
    <row r="39" spans="2:16" ht="12.75" customHeight="1" x14ac:dyDescent="0.2">
      <c r="B39" s="162" t="s">
        <v>458</v>
      </c>
      <c r="C39" s="160">
        <v>2306</v>
      </c>
      <c r="D39" s="160">
        <v>1296</v>
      </c>
      <c r="E39" s="160">
        <f t="shared" si="1"/>
        <v>3602</v>
      </c>
      <c r="F39" s="161">
        <f t="shared" si="2"/>
        <v>1.6371462205193234E-2</v>
      </c>
      <c r="G39" s="160">
        <v>7236</v>
      </c>
      <c r="H39" s="160">
        <v>523</v>
      </c>
      <c r="I39" s="160">
        <f t="shared" si="3"/>
        <v>7759</v>
      </c>
      <c r="J39" s="161">
        <f t="shared" si="4"/>
        <v>1.5345486045872304E-2</v>
      </c>
      <c r="K39" s="160">
        <f t="shared" si="0"/>
        <v>11361</v>
      </c>
      <c r="P39" s="173"/>
    </row>
    <row r="40" spans="2:16" ht="12.75" customHeight="1" x14ac:dyDescent="0.2">
      <c r="B40" s="162" t="s">
        <v>459</v>
      </c>
      <c r="C40" s="160">
        <v>4290</v>
      </c>
      <c r="D40" s="160">
        <v>2300</v>
      </c>
      <c r="E40" s="160">
        <f t="shared" si="1"/>
        <v>6590</v>
      </c>
      <c r="F40" s="161">
        <f t="shared" si="2"/>
        <v>2.9952230963970965E-2</v>
      </c>
      <c r="G40" s="160">
        <v>13675</v>
      </c>
      <c r="H40" s="160">
        <v>791</v>
      </c>
      <c r="I40" s="160">
        <f t="shared" si="3"/>
        <v>14466</v>
      </c>
      <c r="J40" s="161">
        <f t="shared" si="4"/>
        <v>2.861036230694532E-2</v>
      </c>
      <c r="K40" s="160">
        <f t="shared" si="0"/>
        <v>21056</v>
      </c>
      <c r="P40" s="173"/>
    </row>
    <row r="41" spans="2:16" ht="12.75" customHeight="1" x14ac:dyDescent="0.2">
      <c r="B41" s="162" t="s">
        <v>460</v>
      </c>
      <c r="C41" s="160">
        <v>4686</v>
      </c>
      <c r="D41" s="160">
        <v>1516</v>
      </c>
      <c r="E41" s="160">
        <f t="shared" si="1"/>
        <v>6202</v>
      </c>
      <c r="F41" s="161">
        <f t="shared" si="2"/>
        <v>2.8188730870796347E-2</v>
      </c>
      <c r="G41" s="160">
        <v>14353</v>
      </c>
      <c r="H41" s="160">
        <v>638</v>
      </c>
      <c r="I41" s="160">
        <f t="shared" si="3"/>
        <v>14991</v>
      </c>
      <c r="J41" s="161">
        <f t="shared" si="4"/>
        <v>2.964868943338983E-2</v>
      </c>
      <c r="K41" s="160">
        <f t="shared" si="0"/>
        <v>21193</v>
      </c>
      <c r="P41" s="173"/>
    </row>
    <row r="42" spans="2:16" ht="12.75" customHeight="1" x14ac:dyDescent="0.2">
      <c r="B42" s="162" t="s">
        <v>461</v>
      </c>
      <c r="C42" s="160">
        <v>4669</v>
      </c>
      <c r="D42" s="160">
        <v>1797</v>
      </c>
      <c r="E42" s="160">
        <f t="shared" si="1"/>
        <v>6466</v>
      </c>
      <c r="F42" s="161">
        <f t="shared" si="2"/>
        <v>2.9388638150688356E-2</v>
      </c>
      <c r="G42" s="160">
        <v>14587</v>
      </c>
      <c r="H42" s="160">
        <v>623</v>
      </c>
      <c r="I42" s="160">
        <f t="shared" si="3"/>
        <v>15210</v>
      </c>
      <c r="J42" s="161">
        <f t="shared" si="4"/>
        <v>3.0081820177563827E-2</v>
      </c>
      <c r="K42" s="160">
        <f t="shared" si="0"/>
        <v>21676</v>
      </c>
      <c r="P42" s="173"/>
    </row>
    <row r="43" spans="2:16" ht="12.75" customHeight="1" x14ac:dyDescent="0.2">
      <c r="B43" s="162" t="s">
        <v>462</v>
      </c>
      <c r="C43" s="160">
        <v>1824</v>
      </c>
      <c r="D43" s="160">
        <v>1490</v>
      </c>
      <c r="E43" s="160">
        <f t="shared" si="1"/>
        <v>3314</v>
      </c>
      <c r="F43" s="161">
        <f t="shared" si="2"/>
        <v>1.5062472445311044E-2</v>
      </c>
      <c r="G43" s="160">
        <v>5330</v>
      </c>
      <c r="H43" s="160">
        <v>382</v>
      </c>
      <c r="I43" s="160">
        <f t="shared" si="3"/>
        <v>5712</v>
      </c>
      <c r="J43" s="161">
        <f t="shared" si="4"/>
        <v>1.1296999135716277E-2</v>
      </c>
      <c r="K43" s="160">
        <f t="shared" si="0"/>
        <v>9026</v>
      </c>
      <c r="P43" s="173"/>
    </row>
    <row r="44" spans="2:16" ht="12.75" customHeight="1" x14ac:dyDescent="0.2">
      <c r="B44" s="162" t="s">
        <v>463</v>
      </c>
      <c r="C44" s="160">
        <v>2797</v>
      </c>
      <c r="D44" s="160">
        <v>772</v>
      </c>
      <c r="E44" s="160">
        <f t="shared" si="1"/>
        <v>3569</v>
      </c>
      <c r="F44" s="161">
        <f t="shared" si="2"/>
        <v>1.6221473795206734E-2</v>
      </c>
      <c r="G44" s="160">
        <v>7955</v>
      </c>
      <c r="H44" s="160">
        <v>292</v>
      </c>
      <c r="I44" s="160">
        <f t="shared" si="3"/>
        <v>8247</v>
      </c>
      <c r="J44" s="161">
        <f t="shared" si="4"/>
        <v>1.6310635831976915E-2</v>
      </c>
      <c r="K44" s="160">
        <f t="shared" si="0"/>
        <v>11816</v>
      </c>
      <c r="P44" s="173"/>
    </row>
    <row r="45" spans="2:16" ht="12.75" customHeight="1" x14ac:dyDescent="0.2">
      <c r="B45" s="162" t="s">
        <v>464</v>
      </c>
      <c r="C45" s="160">
        <v>3389</v>
      </c>
      <c r="D45" s="160">
        <v>1327</v>
      </c>
      <c r="E45" s="160">
        <f t="shared" si="1"/>
        <v>4716</v>
      </c>
      <c r="F45" s="161">
        <f t="shared" si="2"/>
        <v>2.1434707318070876E-2</v>
      </c>
      <c r="G45" s="160">
        <v>9003</v>
      </c>
      <c r="H45" s="160">
        <v>409</v>
      </c>
      <c r="I45" s="160">
        <f t="shared" si="3"/>
        <v>9412</v>
      </c>
      <c r="J45" s="161">
        <f t="shared" si="4"/>
        <v>1.8614733169706164E-2</v>
      </c>
      <c r="K45" s="160">
        <f t="shared" si="0"/>
        <v>14128</v>
      </c>
      <c r="P45" s="173"/>
    </row>
    <row r="46" spans="2:16" ht="12.75" customHeight="1" x14ac:dyDescent="0.2">
      <c r="B46" s="162" t="s">
        <v>465</v>
      </c>
      <c r="C46" s="160">
        <v>3601</v>
      </c>
      <c r="D46" s="160">
        <v>1656</v>
      </c>
      <c r="E46" s="160">
        <f t="shared" si="1"/>
        <v>5257</v>
      </c>
      <c r="F46" s="161">
        <f t="shared" si="2"/>
        <v>2.3893608221182909E-2</v>
      </c>
      <c r="G46" s="160">
        <v>10801</v>
      </c>
      <c r="H46" s="160">
        <v>554</v>
      </c>
      <c r="I46" s="160">
        <f t="shared" si="3"/>
        <v>11355</v>
      </c>
      <c r="J46" s="161">
        <f t="shared" si="4"/>
        <v>2.245753242052842E-2</v>
      </c>
      <c r="K46" s="160">
        <f t="shared" si="0"/>
        <v>16612</v>
      </c>
      <c r="P46" s="173"/>
    </row>
    <row r="47" spans="2:16" ht="12.75" customHeight="1" x14ac:dyDescent="0.2">
      <c r="B47" s="162" t="s">
        <v>466</v>
      </c>
      <c r="C47" s="160">
        <v>3393</v>
      </c>
      <c r="D47" s="160">
        <v>1849</v>
      </c>
      <c r="E47" s="160">
        <f t="shared" si="1"/>
        <v>5242</v>
      </c>
      <c r="F47" s="161">
        <f t="shared" si="2"/>
        <v>2.3825431671189043E-2</v>
      </c>
      <c r="G47" s="160">
        <v>9500</v>
      </c>
      <c r="H47" s="160">
        <v>507</v>
      </c>
      <c r="I47" s="160">
        <f t="shared" si="3"/>
        <v>10007</v>
      </c>
      <c r="J47" s="161">
        <f t="shared" si="4"/>
        <v>1.9791503913009944E-2</v>
      </c>
      <c r="K47" s="160">
        <f t="shared" si="0"/>
        <v>15249</v>
      </c>
      <c r="P47" s="173"/>
    </row>
    <row r="48" spans="2:16" ht="12.75" customHeight="1" x14ac:dyDescent="0.2">
      <c r="B48" s="162" t="s">
        <v>467</v>
      </c>
      <c r="C48" s="160">
        <v>492</v>
      </c>
      <c r="D48" s="160">
        <v>227</v>
      </c>
      <c r="E48" s="160">
        <f t="shared" si="1"/>
        <v>719</v>
      </c>
      <c r="F48" s="161">
        <f t="shared" si="2"/>
        <v>3.2679292963725529E-3</v>
      </c>
      <c r="G48" s="160">
        <v>1362</v>
      </c>
      <c r="H48" s="160">
        <v>67</v>
      </c>
      <c r="I48" s="160">
        <f t="shared" si="3"/>
        <v>1429</v>
      </c>
      <c r="J48" s="161">
        <f t="shared" si="4"/>
        <v>2.8262275498842017E-3</v>
      </c>
      <c r="K48" s="160">
        <f t="shared" si="0"/>
        <v>2148</v>
      </c>
      <c r="P48" s="173"/>
    </row>
    <row r="49" spans="2:16" ht="12.75" customHeight="1" x14ac:dyDescent="0.2">
      <c r="B49" s="162" t="s">
        <v>468</v>
      </c>
      <c r="C49" s="160">
        <v>1300</v>
      </c>
      <c r="D49" s="160">
        <v>642</v>
      </c>
      <c r="E49" s="160">
        <f t="shared" si="1"/>
        <v>1942</v>
      </c>
      <c r="F49" s="161">
        <f t="shared" si="2"/>
        <v>8.8265906725389399E-3</v>
      </c>
      <c r="G49" s="160">
        <v>4285</v>
      </c>
      <c r="H49" s="160">
        <v>207</v>
      </c>
      <c r="I49" s="160">
        <f t="shared" si="3"/>
        <v>4492</v>
      </c>
      <c r="J49" s="161">
        <f t="shared" si="4"/>
        <v>8.8841246704547475E-3</v>
      </c>
      <c r="K49" s="160">
        <f t="shared" si="0"/>
        <v>6434</v>
      </c>
      <c r="P49" s="173"/>
    </row>
    <row r="50" spans="2:16" ht="12.75" customHeight="1" x14ac:dyDescent="0.2">
      <c r="B50" s="162" t="s">
        <v>469</v>
      </c>
      <c r="C50" s="160">
        <v>6382</v>
      </c>
      <c r="D50" s="160">
        <v>3298</v>
      </c>
      <c r="E50" s="160">
        <f t="shared" si="1"/>
        <v>9680</v>
      </c>
      <c r="F50" s="161">
        <f t="shared" si="2"/>
        <v>4.3996600262706971E-2</v>
      </c>
      <c r="G50" s="160">
        <v>18745</v>
      </c>
      <c r="H50" s="160">
        <v>1171</v>
      </c>
      <c r="I50" s="160">
        <f t="shared" si="3"/>
        <v>19916</v>
      </c>
      <c r="J50" s="161">
        <f t="shared" si="4"/>
        <v>3.9389186762416907E-2</v>
      </c>
      <c r="K50" s="160">
        <f t="shared" si="0"/>
        <v>29596</v>
      </c>
      <c r="P50" s="173"/>
    </row>
    <row r="51" spans="2:16" ht="12.75" customHeight="1" x14ac:dyDescent="0.2">
      <c r="B51" s="162" t="s">
        <v>470</v>
      </c>
      <c r="C51" s="160">
        <v>4103</v>
      </c>
      <c r="D51" s="160">
        <v>1688</v>
      </c>
      <c r="E51" s="160">
        <f t="shared" si="1"/>
        <v>5791</v>
      </c>
      <c r="F51" s="161">
        <f t="shared" si="2"/>
        <v>2.6320693400964473E-2</v>
      </c>
      <c r="G51" s="160">
        <v>12738</v>
      </c>
      <c r="H51" s="160">
        <v>598</v>
      </c>
      <c r="I51" s="160">
        <f t="shared" si="3"/>
        <v>13336</v>
      </c>
      <c r="J51" s="161">
        <f t="shared" si="4"/>
        <v>2.6375486777645708E-2</v>
      </c>
      <c r="K51" s="160">
        <f t="shared" si="0"/>
        <v>19127</v>
      </c>
      <c r="P51" s="173"/>
    </row>
    <row r="52" spans="2:16" ht="12.75" customHeight="1" x14ac:dyDescent="0.2">
      <c r="B52" s="162" t="s">
        <v>471</v>
      </c>
      <c r="C52" s="160">
        <v>4431</v>
      </c>
      <c r="D52" s="160">
        <v>2769</v>
      </c>
      <c r="E52" s="160">
        <f t="shared" si="1"/>
        <v>7200</v>
      </c>
      <c r="F52" s="161">
        <f t="shared" si="2"/>
        <v>3.2724743997054773E-2</v>
      </c>
      <c r="G52" s="160">
        <v>14970</v>
      </c>
      <c r="H52" s="160">
        <v>877</v>
      </c>
      <c r="I52" s="160">
        <f t="shared" si="3"/>
        <v>15847</v>
      </c>
      <c r="J52" s="161">
        <f t="shared" si="4"/>
        <v>3.1341657090983167E-2</v>
      </c>
      <c r="K52" s="160">
        <f t="shared" si="0"/>
        <v>23047</v>
      </c>
      <c r="P52" s="173"/>
    </row>
    <row r="53" spans="2:16" ht="12.75" customHeight="1" x14ac:dyDescent="0.2">
      <c r="B53" s="162" t="s">
        <v>472</v>
      </c>
      <c r="C53" s="160">
        <v>10088</v>
      </c>
      <c r="D53" s="160">
        <v>4188</v>
      </c>
      <c r="E53" s="160">
        <f t="shared" si="1"/>
        <v>14276</v>
      </c>
      <c r="F53" s="161">
        <f t="shared" si="2"/>
        <v>6.4885895180826936E-2</v>
      </c>
      <c r="G53" s="160">
        <v>33743</v>
      </c>
      <c r="H53" s="160">
        <v>1327</v>
      </c>
      <c r="I53" s="160">
        <f t="shared" si="3"/>
        <v>35070</v>
      </c>
      <c r="J53" s="161">
        <f t="shared" si="4"/>
        <v>6.936025204649332E-2</v>
      </c>
      <c r="K53" s="160">
        <f t="shared" si="0"/>
        <v>49346</v>
      </c>
      <c r="P53" s="173"/>
    </row>
    <row r="54" spans="2:16" ht="12.75" customHeight="1" x14ac:dyDescent="0.2">
      <c r="B54" s="162" t="s">
        <v>473</v>
      </c>
      <c r="C54" s="160">
        <v>1418</v>
      </c>
      <c r="D54" s="160">
        <v>689</v>
      </c>
      <c r="E54" s="160">
        <f t="shared" si="1"/>
        <v>2107</v>
      </c>
      <c r="F54" s="161">
        <f t="shared" si="2"/>
        <v>9.576532722471446E-3</v>
      </c>
      <c r="G54" s="160">
        <v>5123</v>
      </c>
      <c r="H54" s="160">
        <v>299</v>
      </c>
      <c r="I54" s="160">
        <f t="shared" si="3"/>
        <v>5422</v>
      </c>
      <c r="J54" s="161">
        <f t="shared" si="4"/>
        <v>1.0723447008727882E-2</v>
      </c>
      <c r="K54" s="160">
        <f t="shared" si="0"/>
        <v>7529</v>
      </c>
      <c r="P54" s="173"/>
    </row>
    <row r="55" spans="2:16" ht="12.75" customHeight="1" x14ac:dyDescent="0.2">
      <c r="B55" s="162" t="s">
        <v>474</v>
      </c>
      <c r="C55" s="160">
        <v>664</v>
      </c>
      <c r="D55" s="160">
        <v>350</v>
      </c>
      <c r="E55" s="160">
        <f t="shared" si="1"/>
        <v>1014</v>
      </c>
      <c r="F55" s="161">
        <f t="shared" si="2"/>
        <v>4.6087347795852138E-3</v>
      </c>
      <c r="G55" s="160">
        <v>2617</v>
      </c>
      <c r="H55" s="160">
        <v>160</v>
      </c>
      <c r="I55" s="160">
        <f t="shared" si="3"/>
        <v>2777</v>
      </c>
      <c r="J55" s="161">
        <f t="shared" si="4"/>
        <v>5.492256057402679E-3</v>
      </c>
      <c r="K55" s="160">
        <f t="shared" si="0"/>
        <v>3791</v>
      </c>
      <c r="P55" s="173"/>
    </row>
    <row r="56" spans="2:16" ht="12.75" customHeight="1" x14ac:dyDescent="0.2">
      <c r="B56" s="162" t="s">
        <v>475</v>
      </c>
      <c r="C56" s="160">
        <v>3432</v>
      </c>
      <c r="D56" s="160">
        <v>1527</v>
      </c>
      <c r="E56" s="160">
        <f t="shared" si="1"/>
        <v>4959</v>
      </c>
      <c r="F56" s="161">
        <f t="shared" si="2"/>
        <v>2.2539167427971477E-2</v>
      </c>
      <c r="G56" s="160">
        <v>10006</v>
      </c>
      <c r="H56" s="160">
        <v>678</v>
      </c>
      <c r="I56" s="160">
        <f t="shared" si="3"/>
        <v>10684</v>
      </c>
      <c r="J56" s="161">
        <f t="shared" si="4"/>
        <v>2.1130451464634579E-2</v>
      </c>
      <c r="K56" s="160">
        <f t="shared" si="0"/>
        <v>15643</v>
      </c>
      <c r="P56" s="173"/>
    </row>
    <row r="57" spans="2:16" ht="12.75" customHeight="1" x14ac:dyDescent="0.2">
      <c r="B57" s="162" t="s">
        <v>476</v>
      </c>
      <c r="C57" s="160">
        <v>346</v>
      </c>
      <c r="D57" s="160">
        <v>216</v>
      </c>
      <c r="E57" s="160">
        <f t="shared" si="1"/>
        <v>562</v>
      </c>
      <c r="F57" s="161">
        <f t="shared" si="2"/>
        <v>2.5543480731034418E-3</v>
      </c>
      <c r="G57" s="160">
        <v>1015</v>
      </c>
      <c r="H57" s="160">
        <v>79</v>
      </c>
      <c r="I57" s="160">
        <f t="shared" si="3"/>
        <v>1094</v>
      </c>
      <c r="J57" s="161">
        <f t="shared" si="4"/>
        <v>2.1636759549148472E-3</v>
      </c>
      <c r="K57" s="160">
        <f t="shared" si="0"/>
        <v>1656</v>
      </c>
      <c r="P57" s="173"/>
    </row>
    <row r="58" spans="2:16" ht="12.75" customHeight="1" x14ac:dyDescent="0.2">
      <c r="B58" s="162" t="s">
        <v>477</v>
      </c>
      <c r="C58" s="160">
        <v>1904</v>
      </c>
      <c r="D58" s="160">
        <v>299</v>
      </c>
      <c r="E58" s="160">
        <f t="shared" si="1"/>
        <v>2203</v>
      </c>
      <c r="F58" s="161">
        <f t="shared" si="2"/>
        <v>1.0012862642432176E-2</v>
      </c>
      <c r="G58" s="160">
        <v>5690</v>
      </c>
      <c r="H58" s="160">
        <v>124</v>
      </c>
      <c r="I58" s="160">
        <f t="shared" si="3"/>
        <v>5814</v>
      </c>
      <c r="J58" s="161">
        <f t="shared" si="4"/>
        <v>1.1498731263139782E-2</v>
      </c>
      <c r="K58" s="160">
        <f t="shared" si="0"/>
        <v>8017</v>
      </c>
      <c r="P58" s="173"/>
    </row>
    <row r="59" spans="2:16" ht="12.75" customHeight="1" x14ac:dyDescent="0.2">
      <c r="B59" s="162" t="s">
        <v>478</v>
      </c>
      <c r="C59" s="160">
        <v>815</v>
      </c>
      <c r="D59" s="160">
        <v>112</v>
      </c>
      <c r="E59" s="160">
        <f t="shared" si="1"/>
        <v>927</v>
      </c>
      <c r="F59" s="161">
        <f t="shared" si="2"/>
        <v>4.2133107896208024E-3</v>
      </c>
      <c r="G59" s="160">
        <v>1894</v>
      </c>
      <c r="H59" s="160">
        <v>58</v>
      </c>
      <c r="I59" s="160">
        <f t="shared" si="3"/>
        <v>1952</v>
      </c>
      <c r="J59" s="161">
        <f t="shared" si="4"/>
        <v>3.8605991444184478E-3</v>
      </c>
      <c r="K59" s="160">
        <f t="shared" si="0"/>
        <v>2879</v>
      </c>
      <c r="P59" s="173"/>
    </row>
    <row r="60" spans="2:16" ht="12.75" customHeight="1" x14ac:dyDescent="0.2">
      <c r="B60" s="162" t="s">
        <v>479</v>
      </c>
      <c r="C60" s="160">
        <v>3739</v>
      </c>
      <c r="D60" s="160">
        <v>750</v>
      </c>
      <c r="E60" s="160">
        <f t="shared" si="1"/>
        <v>4489</v>
      </c>
      <c r="F60" s="161">
        <f t="shared" si="2"/>
        <v>2.0402968861497065E-2</v>
      </c>
      <c r="G60" s="160">
        <v>13609</v>
      </c>
      <c r="H60" s="160">
        <v>391</v>
      </c>
      <c r="I60" s="160">
        <f t="shared" si="3"/>
        <v>14000</v>
      </c>
      <c r="J60" s="161">
        <f t="shared" si="4"/>
        <v>2.7688723371853623E-2</v>
      </c>
      <c r="K60" s="160">
        <f t="shared" si="0"/>
        <v>18489</v>
      </c>
      <c r="P60" s="173"/>
    </row>
    <row r="61" spans="2:16" ht="12.75" customHeight="1" x14ac:dyDescent="0.2">
      <c r="B61" s="162" t="s">
        <v>480</v>
      </c>
      <c r="C61" s="160">
        <v>1495</v>
      </c>
      <c r="D61" s="160">
        <v>325</v>
      </c>
      <c r="E61" s="160">
        <f t="shared" si="1"/>
        <v>1820</v>
      </c>
      <c r="F61" s="161">
        <f t="shared" si="2"/>
        <v>8.2720880659221795E-3</v>
      </c>
      <c r="G61" s="160">
        <v>4934</v>
      </c>
      <c r="H61" s="160">
        <v>156</v>
      </c>
      <c r="I61" s="160">
        <f t="shared" si="3"/>
        <v>5090</v>
      </c>
      <c r="J61" s="161">
        <f t="shared" si="4"/>
        <v>1.0066828711623925E-2</v>
      </c>
      <c r="K61" s="160">
        <f t="shared" si="0"/>
        <v>6910</v>
      </c>
      <c r="L61" s="168" t="s">
        <v>120</v>
      </c>
      <c r="P61" s="173"/>
    </row>
    <row r="62" spans="2:16" ht="12.75" customHeight="1" x14ac:dyDescent="0.2">
      <c r="B62" s="162" t="s">
        <v>481</v>
      </c>
      <c r="C62" s="160">
        <v>9276</v>
      </c>
      <c r="D62" s="160">
        <v>2680</v>
      </c>
      <c r="E62" s="160">
        <f t="shared" si="1"/>
        <v>11956</v>
      </c>
      <c r="F62" s="161">
        <f t="shared" si="2"/>
        <v>5.4341255448442621E-2</v>
      </c>
      <c r="G62" s="160">
        <v>29457</v>
      </c>
      <c r="H62" s="160">
        <v>1042</v>
      </c>
      <c r="I62" s="160">
        <f t="shared" si="3"/>
        <v>30499</v>
      </c>
      <c r="J62" s="161">
        <f t="shared" si="4"/>
        <v>6.0319883865583117E-2</v>
      </c>
      <c r="K62" s="160">
        <f t="shared" si="0"/>
        <v>42455</v>
      </c>
      <c r="P62" s="173"/>
    </row>
    <row r="63" spans="2:16" x14ac:dyDescent="0.2">
      <c r="B63" s="162" t="s">
        <v>66</v>
      </c>
      <c r="C63" s="160">
        <f t="shared" ref="C63:H63" si="5">SUM(C11:C62)</f>
        <v>154956</v>
      </c>
      <c r="D63" s="160">
        <f t="shared" si="5"/>
        <v>65061</v>
      </c>
      <c r="E63" s="162">
        <f t="shared" ref="E63" si="6">C63+D63</f>
        <v>220017</v>
      </c>
      <c r="F63" s="164">
        <f t="shared" ref="F63" si="7">E63/$E$63</f>
        <v>1</v>
      </c>
      <c r="G63" s="160">
        <f t="shared" si="5"/>
        <v>483125</v>
      </c>
      <c r="H63" s="160">
        <f t="shared" si="5"/>
        <v>22496</v>
      </c>
      <c r="I63" s="162">
        <f t="shared" ref="I63" si="8">G63+H63</f>
        <v>505621</v>
      </c>
      <c r="J63" s="164">
        <f t="shared" ref="J63" si="9">I63/$I$63</f>
        <v>1</v>
      </c>
      <c r="K63" s="162">
        <f t="shared" ref="K63:K64" si="10">E63+I63</f>
        <v>725638</v>
      </c>
      <c r="P63" s="173"/>
    </row>
    <row r="64" spans="2:16" ht="25.5" customHeight="1" x14ac:dyDescent="0.2">
      <c r="B64" s="174" t="s">
        <v>82</v>
      </c>
      <c r="C64" s="175">
        <f>+C63/$K$63</f>
        <v>0.21354449463782216</v>
      </c>
      <c r="D64" s="175">
        <f>+D63/$K$63</f>
        <v>8.9660409184745007E-2</v>
      </c>
      <c r="E64" s="176">
        <f>C64+D64</f>
        <v>0.30320490382256715</v>
      </c>
      <c r="F64" s="176"/>
      <c r="G64" s="175">
        <f>+G63/$K$63</f>
        <v>0.66579341214214249</v>
      </c>
      <c r="H64" s="175">
        <f>+H63/$K$63</f>
        <v>3.1001684035290324E-2</v>
      </c>
      <c r="I64" s="176">
        <f>G64+H64</f>
        <v>0.69679509617743285</v>
      </c>
      <c r="J64" s="176"/>
      <c r="K64" s="176">
        <f t="shared" si="10"/>
        <v>1</v>
      </c>
    </row>
    <row r="65" spans="2:12" x14ac:dyDescent="0.2">
      <c r="B65" s="167"/>
      <c r="C65" s="180"/>
      <c r="D65" s="180"/>
      <c r="E65" s="180"/>
      <c r="F65" s="180"/>
      <c r="G65" s="180"/>
      <c r="H65" s="180"/>
      <c r="I65" s="180"/>
      <c r="J65" s="180"/>
      <c r="K65" s="180"/>
    </row>
    <row r="66" spans="2:12" ht="12.75" x14ac:dyDescent="0.2">
      <c r="B66" s="418" t="s">
        <v>143</v>
      </c>
      <c r="C66" s="418"/>
      <c r="D66" s="418"/>
      <c r="E66" s="418"/>
      <c r="F66" s="418"/>
      <c r="G66" s="418"/>
      <c r="H66" s="418"/>
      <c r="I66" s="418"/>
      <c r="J66" s="418"/>
      <c r="K66" s="418"/>
    </row>
    <row r="67" spans="2:12" ht="12.75" x14ac:dyDescent="0.2">
      <c r="B67" s="431" t="str">
        <f>'Solicitudes Regiones'!$B$6:$P$6</f>
        <v>Acumuladas de julio de 2008 a noviembre de 2018</v>
      </c>
      <c r="C67" s="431"/>
      <c r="D67" s="431"/>
      <c r="E67" s="431"/>
      <c r="F67" s="431"/>
      <c r="G67" s="431"/>
      <c r="H67" s="431"/>
      <c r="I67" s="431"/>
      <c r="J67" s="431"/>
      <c r="K67" s="431"/>
    </row>
    <row r="69" spans="2:12" ht="15" customHeight="1" x14ac:dyDescent="0.2">
      <c r="B69" s="446" t="s">
        <v>83</v>
      </c>
      <c r="C69" s="446"/>
      <c r="D69" s="446"/>
      <c r="E69" s="446"/>
      <c r="F69" s="446"/>
      <c r="G69" s="446"/>
      <c r="H69" s="446"/>
      <c r="I69" s="446"/>
      <c r="J69" s="446"/>
      <c r="K69" s="446"/>
      <c r="L69" s="181"/>
    </row>
    <row r="70" spans="2:12" ht="15" customHeight="1" x14ac:dyDescent="0.2">
      <c r="B70" s="446" t="s">
        <v>74</v>
      </c>
      <c r="C70" s="446" t="s">
        <v>2</v>
      </c>
      <c r="D70" s="446"/>
      <c r="E70" s="446"/>
      <c r="F70" s="446"/>
      <c r="G70" s="446"/>
      <c r="H70" s="446"/>
      <c r="I70" s="446"/>
      <c r="J70" s="446"/>
      <c r="K70" s="446"/>
    </row>
    <row r="71" spans="2:12" ht="15" customHeight="1" x14ac:dyDescent="0.2">
      <c r="B71" s="446"/>
      <c r="C71" s="166" t="s">
        <v>75</v>
      </c>
      <c r="D71" s="166" t="s">
        <v>76</v>
      </c>
      <c r="E71" s="166" t="s">
        <v>77</v>
      </c>
      <c r="F71" s="166" t="s">
        <v>78</v>
      </c>
      <c r="G71" s="166" t="s">
        <v>8</v>
      </c>
      <c r="H71" s="166" t="s">
        <v>79</v>
      </c>
      <c r="I71" s="166" t="s">
        <v>80</v>
      </c>
      <c r="J71" s="166" t="s">
        <v>81</v>
      </c>
      <c r="K71" s="166" t="s">
        <v>46</v>
      </c>
    </row>
    <row r="72" spans="2:12" ht="12.75" customHeight="1" x14ac:dyDescent="0.2">
      <c r="B72" s="162" t="s">
        <v>430</v>
      </c>
      <c r="C72" s="211">
        <v>4516</v>
      </c>
      <c r="D72" s="211">
        <v>1002</v>
      </c>
      <c r="E72" s="211">
        <f>C72+D72</f>
        <v>5518</v>
      </c>
      <c r="F72" s="212">
        <f>E72/$E$124</f>
        <v>3.0828365672017029E-2</v>
      </c>
      <c r="G72" s="211">
        <v>14311</v>
      </c>
      <c r="H72" s="211">
        <v>624</v>
      </c>
      <c r="I72" s="211">
        <f>G72+H72</f>
        <v>14935</v>
      </c>
      <c r="J72" s="212">
        <f>I72/$I$124</f>
        <v>3.5277222039819443E-2</v>
      </c>
      <c r="K72" s="211">
        <f t="shared" ref="K72:K123" si="11">E72+I72</f>
        <v>20453</v>
      </c>
    </row>
    <row r="73" spans="2:12" ht="12.75" customHeight="1" x14ac:dyDescent="0.2">
      <c r="B73" s="162" t="s">
        <v>431</v>
      </c>
      <c r="C73" s="211">
        <v>1820</v>
      </c>
      <c r="D73" s="211">
        <v>779</v>
      </c>
      <c r="E73" s="211">
        <f t="shared" ref="E73:E123" si="12">C73+D73</f>
        <v>2599</v>
      </c>
      <c r="F73" s="212">
        <f t="shared" ref="F73:F123" si="13">E73/$E$124</f>
        <v>1.4520283142727847E-2</v>
      </c>
      <c r="G73" s="211">
        <v>5527</v>
      </c>
      <c r="H73" s="211">
        <v>213</v>
      </c>
      <c r="I73" s="211">
        <f t="shared" ref="I73:I123" si="14">G73+H73</f>
        <v>5740</v>
      </c>
      <c r="J73" s="212">
        <f t="shared" ref="J73:J123" si="15">I73/$I$124</f>
        <v>1.3558169033047447E-2</v>
      </c>
      <c r="K73" s="211">
        <f t="shared" si="11"/>
        <v>8339</v>
      </c>
    </row>
    <row r="74" spans="2:12" ht="12.75" customHeight="1" x14ac:dyDescent="0.2">
      <c r="B74" s="162" t="s">
        <v>432</v>
      </c>
      <c r="C74" s="211">
        <v>4507</v>
      </c>
      <c r="D74" s="211">
        <v>1494</v>
      </c>
      <c r="E74" s="211">
        <f t="shared" si="12"/>
        <v>6001</v>
      </c>
      <c r="F74" s="212">
        <f t="shared" si="13"/>
        <v>3.3526825371108043E-2</v>
      </c>
      <c r="G74" s="211">
        <v>11863</v>
      </c>
      <c r="H74" s="211">
        <v>627</v>
      </c>
      <c r="I74" s="211">
        <f t="shared" si="14"/>
        <v>12490</v>
      </c>
      <c r="J74" s="212">
        <f t="shared" si="15"/>
        <v>2.9502008923826237E-2</v>
      </c>
      <c r="K74" s="211">
        <f t="shared" si="11"/>
        <v>18491</v>
      </c>
    </row>
    <row r="75" spans="2:12" ht="12.75" customHeight="1" x14ac:dyDescent="0.2">
      <c r="B75" s="162" t="s">
        <v>433</v>
      </c>
      <c r="C75" s="211">
        <v>1973</v>
      </c>
      <c r="D75" s="211">
        <v>688</v>
      </c>
      <c r="E75" s="211">
        <f t="shared" si="12"/>
        <v>2661</v>
      </c>
      <c r="F75" s="212">
        <f t="shared" si="13"/>
        <v>1.4866669273874105E-2</v>
      </c>
      <c r="G75" s="211">
        <v>5217</v>
      </c>
      <c r="H75" s="211">
        <v>265</v>
      </c>
      <c r="I75" s="211">
        <f t="shared" si="14"/>
        <v>5482</v>
      </c>
      <c r="J75" s="212">
        <f t="shared" si="15"/>
        <v>1.2948760041666568E-2</v>
      </c>
      <c r="K75" s="211">
        <f t="shared" si="11"/>
        <v>8143</v>
      </c>
    </row>
    <row r="76" spans="2:12" ht="12.75" customHeight="1" x14ac:dyDescent="0.2">
      <c r="B76" s="162" t="s">
        <v>434</v>
      </c>
      <c r="C76" s="211">
        <v>2044</v>
      </c>
      <c r="D76" s="211">
        <v>448</v>
      </c>
      <c r="E76" s="211">
        <f t="shared" si="12"/>
        <v>2492</v>
      </c>
      <c r="F76" s="212">
        <f t="shared" si="13"/>
        <v>1.39224877228464E-2</v>
      </c>
      <c r="G76" s="211">
        <v>6515</v>
      </c>
      <c r="H76" s="211">
        <v>234</v>
      </c>
      <c r="I76" s="211">
        <f t="shared" si="14"/>
        <v>6749</v>
      </c>
      <c r="J76" s="212">
        <f t="shared" si="15"/>
        <v>1.59414778404246E-2</v>
      </c>
      <c r="K76" s="211">
        <f t="shared" si="11"/>
        <v>9241</v>
      </c>
    </row>
    <row r="77" spans="2:12" ht="12.75" customHeight="1" x14ac:dyDescent="0.2">
      <c r="B77" s="162" t="s">
        <v>435</v>
      </c>
      <c r="C77" s="211">
        <v>2563</v>
      </c>
      <c r="D77" s="211">
        <v>560</v>
      </c>
      <c r="E77" s="211">
        <f t="shared" si="12"/>
        <v>3123</v>
      </c>
      <c r="F77" s="212">
        <f t="shared" si="13"/>
        <v>1.7447804638222035E-2</v>
      </c>
      <c r="G77" s="211">
        <v>6491</v>
      </c>
      <c r="H77" s="211">
        <v>238</v>
      </c>
      <c r="I77" s="211">
        <f t="shared" si="14"/>
        <v>6729</v>
      </c>
      <c r="J77" s="212">
        <f t="shared" si="15"/>
        <v>1.5894236833340812E-2</v>
      </c>
      <c r="K77" s="211">
        <f t="shared" si="11"/>
        <v>9852</v>
      </c>
    </row>
    <row r="78" spans="2:12" ht="12.75" customHeight="1" x14ac:dyDescent="0.2">
      <c r="B78" s="162" t="s">
        <v>436</v>
      </c>
      <c r="C78" s="211">
        <v>4307</v>
      </c>
      <c r="D78" s="211">
        <v>1868</v>
      </c>
      <c r="E78" s="211">
        <f t="shared" si="12"/>
        <v>6175</v>
      </c>
      <c r="F78" s="212">
        <f t="shared" si="13"/>
        <v>3.4498941287550773E-2</v>
      </c>
      <c r="G78" s="211">
        <v>11128</v>
      </c>
      <c r="H78" s="211">
        <v>790</v>
      </c>
      <c r="I78" s="211">
        <f t="shared" si="14"/>
        <v>11918</v>
      </c>
      <c r="J78" s="212">
        <f t="shared" si="15"/>
        <v>2.8150916121229871E-2</v>
      </c>
      <c r="K78" s="211">
        <f t="shared" si="11"/>
        <v>18093</v>
      </c>
    </row>
    <row r="79" spans="2:12" ht="12.75" customHeight="1" x14ac:dyDescent="0.2">
      <c r="B79" s="162" t="s">
        <v>437</v>
      </c>
      <c r="C79" s="211">
        <v>2946</v>
      </c>
      <c r="D79" s="211">
        <v>595</v>
      </c>
      <c r="E79" s="211">
        <f t="shared" si="12"/>
        <v>3541</v>
      </c>
      <c r="F79" s="212">
        <f t="shared" si="13"/>
        <v>1.9783117586917778E-2</v>
      </c>
      <c r="G79" s="211">
        <v>8007</v>
      </c>
      <c r="H79" s="211">
        <v>226</v>
      </c>
      <c r="I79" s="211">
        <f t="shared" si="14"/>
        <v>8233</v>
      </c>
      <c r="J79" s="212">
        <f t="shared" si="15"/>
        <v>1.9446760566041745E-2</v>
      </c>
      <c r="K79" s="211">
        <f t="shared" si="11"/>
        <v>11774</v>
      </c>
    </row>
    <row r="80" spans="2:12" ht="12.75" customHeight="1" x14ac:dyDescent="0.2">
      <c r="B80" s="162" t="s">
        <v>438</v>
      </c>
      <c r="C80" s="211">
        <v>755</v>
      </c>
      <c r="D80" s="211">
        <v>223</v>
      </c>
      <c r="E80" s="211">
        <f t="shared" si="12"/>
        <v>978</v>
      </c>
      <c r="F80" s="212">
        <f t="shared" si="13"/>
        <v>5.4639618751780817E-3</v>
      </c>
      <c r="G80" s="211">
        <v>2116</v>
      </c>
      <c r="H80" s="211">
        <v>74</v>
      </c>
      <c r="I80" s="211">
        <f t="shared" si="14"/>
        <v>2190</v>
      </c>
      <c r="J80" s="212">
        <f t="shared" si="15"/>
        <v>5.1728902756748964E-3</v>
      </c>
      <c r="K80" s="211">
        <f t="shared" si="11"/>
        <v>3168</v>
      </c>
    </row>
    <row r="81" spans="2:11" ht="12.75" customHeight="1" x14ac:dyDescent="0.2">
      <c r="B81" s="162" t="s">
        <v>439</v>
      </c>
      <c r="C81" s="211">
        <v>3087</v>
      </c>
      <c r="D81" s="211">
        <v>828</v>
      </c>
      <c r="E81" s="211">
        <f t="shared" si="12"/>
        <v>3915</v>
      </c>
      <c r="F81" s="212">
        <f t="shared" si="13"/>
        <v>2.1872608119961338E-2</v>
      </c>
      <c r="G81" s="211">
        <v>9301</v>
      </c>
      <c r="H81" s="211">
        <v>336</v>
      </c>
      <c r="I81" s="211">
        <f t="shared" si="14"/>
        <v>9637</v>
      </c>
      <c r="J81" s="212">
        <f t="shared" si="15"/>
        <v>2.2763079263323736E-2</v>
      </c>
      <c r="K81" s="211">
        <f t="shared" si="11"/>
        <v>13552</v>
      </c>
    </row>
    <row r="82" spans="2:11" ht="12.75" customHeight="1" x14ac:dyDescent="0.2">
      <c r="B82" s="162" t="s">
        <v>440</v>
      </c>
      <c r="C82" s="211">
        <v>2778</v>
      </c>
      <c r="D82" s="211">
        <v>603</v>
      </c>
      <c r="E82" s="211">
        <f t="shared" si="12"/>
        <v>3381</v>
      </c>
      <c r="F82" s="212">
        <f t="shared" si="13"/>
        <v>1.8889217893637109E-2</v>
      </c>
      <c r="G82" s="211">
        <v>8940</v>
      </c>
      <c r="H82" s="211">
        <v>286</v>
      </c>
      <c r="I82" s="211">
        <f t="shared" si="14"/>
        <v>9226</v>
      </c>
      <c r="J82" s="212">
        <f t="shared" si="15"/>
        <v>2.1792276567751873E-2</v>
      </c>
      <c r="K82" s="211">
        <f t="shared" si="11"/>
        <v>12607</v>
      </c>
    </row>
    <row r="83" spans="2:11" ht="24" customHeight="1" x14ac:dyDescent="0.2">
      <c r="B83" s="162" t="s">
        <v>441</v>
      </c>
      <c r="C83" s="211">
        <v>3303</v>
      </c>
      <c r="D83" s="211">
        <v>984</v>
      </c>
      <c r="E83" s="211">
        <f t="shared" si="12"/>
        <v>4287</v>
      </c>
      <c r="F83" s="212">
        <f t="shared" si="13"/>
        <v>2.3950924906838891E-2</v>
      </c>
      <c r="G83" s="211">
        <v>10074</v>
      </c>
      <c r="H83" s="211">
        <v>416</v>
      </c>
      <c r="I83" s="211">
        <f t="shared" si="14"/>
        <v>10490</v>
      </c>
      <c r="J83" s="212">
        <f t="shared" si="15"/>
        <v>2.4777908215447338E-2</v>
      </c>
      <c r="K83" s="211">
        <f t="shared" si="11"/>
        <v>14777</v>
      </c>
    </row>
    <row r="84" spans="2:11" ht="12.75" customHeight="1" x14ac:dyDescent="0.2">
      <c r="B84" s="162" t="s">
        <v>442</v>
      </c>
      <c r="C84" s="211">
        <v>4577</v>
      </c>
      <c r="D84" s="211">
        <v>1522</v>
      </c>
      <c r="E84" s="211">
        <f t="shared" si="12"/>
        <v>6099</v>
      </c>
      <c r="F84" s="212">
        <f t="shared" si="13"/>
        <v>3.4074338933242451E-2</v>
      </c>
      <c r="G84" s="211">
        <v>14905</v>
      </c>
      <c r="H84" s="211">
        <v>623</v>
      </c>
      <c r="I84" s="211">
        <f t="shared" si="14"/>
        <v>15528</v>
      </c>
      <c r="J84" s="212">
        <f t="shared" si="15"/>
        <v>3.6677917899853786E-2</v>
      </c>
      <c r="K84" s="211">
        <f t="shared" si="11"/>
        <v>21627</v>
      </c>
    </row>
    <row r="85" spans="2:11" ht="12.75" customHeight="1" x14ac:dyDescent="0.2">
      <c r="B85" s="162" t="s">
        <v>443</v>
      </c>
      <c r="C85" s="211">
        <v>3166</v>
      </c>
      <c r="D85" s="211">
        <v>765</v>
      </c>
      <c r="E85" s="211">
        <f t="shared" si="12"/>
        <v>3931</v>
      </c>
      <c r="F85" s="212">
        <f t="shared" si="13"/>
        <v>2.1961998089289406E-2</v>
      </c>
      <c r="G85" s="211">
        <v>9655</v>
      </c>
      <c r="H85" s="211">
        <v>288</v>
      </c>
      <c r="I85" s="211">
        <f t="shared" si="14"/>
        <v>9943</v>
      </c>
      <c r="J85" s="212">
        <f t="shared" si="15"/>
        <v>2.3485866671705706E-2</v>
      </c>
      <c r="K85" s="211">
        <f t="shared" si="11"/>
        <v>13874</v>
      </c>
    </row>
    <row r="86" spans="2:11" ht="12.75" customHeight="1" x14ac:dyDescent="0.2">
      <c r="B86" s="162" t="s">
        <v>444</v>
      </c>
      <c r="C86" s="211">
        <v>3281</v>
      </c>
      <c r="D86" s="211">
        <v>1215</v>
      </c>
      <c r="E86" s="211">
        <f t="shared" si="12"/>
        <v>4496</v>
      </c>
      <c r="F86" s="212">
        <f t="shared" si="13"/>
        <v>2.5118581381186764E-2</v>
      </c>
      <c r="G86" s="211">
        <v>9923</v>
      </c>
      <c r="H86" s="211">
        <v>485</v>
      </c>
      <c r="I86" s="211">
        <f t="shared" si="14"/>
        <v>10408</v>
      </c>
      <c r="J86" s="212">
        <f t="shared" si="15"/>
        <v>2.4584220086403801E-2</v>
      </c>
      <c r="K86" s="211">
        <f t="shared" si="11"/>
        <v>14904</v>
      </c>
    </row>
    <row r="87" spans="2:11" ht="12.75" customHeight="1" x14ac:dyDescent="0.2">
      <c r="B87" s="162" t="s">
        <v>445</v>
      </c>
      <c r="C87" s="211">
        <v>2929</v>
      </c>
      <c r="D87" s="211">
        <v>786</v>
      </c>
      <c r="E87" s="211">
        <f t="shared" si="12"/>
        <v>3715</v>
      </c>
      <c r="F87" s="212">
        <f t="shared" si="13"/>
        <v>2.0755233503360504E-2</v>
      </c>
      <c r="G87" s="211">
        <v>9284</v>
      </c>
      <c r="H87" s="211">
        <v>315</v>
      </c>
      <c r="I87" s="211">
        <f t="shared" si="14"/>
        <v>9599</v>
      </c>
      <c r="J87" s="212">
        <f t="shared" si="15"/>
        <v>2.2673321349864536E-2</v>
      </c>
      <c r="K87" s="211">
        <f t="shared" si="11"/>
        <v>13314</v>
      </c>
    </row>
    <row r="88" spans="2:11" ht="12.75" customHeight="1" x14ac:dyDescent="0.2">
      <c r="B88" s="162" t="s">
        <v>446</v>
      </c>
      <c r="C88" s="211">
        <v>8669</v>
      </c>
      <c r="D88" s="211">
        <v>3136</v>
      </c>
      <c r="E88" s="211">
        <f t="shared" si="12"/>
        <v>11805</v>
      </c>
      <c r="F88" s="212">
        <f t="shared" si="13"/>
        <v>6.595303674486426E-2</v>
      </c>
      <c r="G88" s="211">
        <v>26443</v>
      </c>
      <c r="H88" s="211">
        <v>1237</v>
      </c>
      <c r="I88" s="211">
        <f t="shared" si="14"/>
        <v>27680</v>
      </c>
      <c r="J88" s="212">
        <f t="shared" si="15"/>
        <v>6.5381553803963988E-2</v>
      </c>
      <c r="K88" s="211">
        <f t="shared" si="11"/>
        <v>39485</v>
      </c>
    </row>
    <row r="89" spans="2:11" ht="12.75" customHeight="1" x14ac:dyDescent="0.2">
      <c r="B89" s="162" t="s">
        <v>447</v>
      </c>
      <c r="C89" s="211">
        <v>375</v>
      </c>
      <c r="D89" s="211">
        <v>101</v>
      </c>
      <c r="E89" s="211">
        <f t="shared" si="12"/>
        <v>476</v>
      </c>
      <c r="F89" s="212">
        <f t="shared" si="13"/>
        <v>2.6593515875099867E-3</v>
      </c>
      <c r="G89" s="211">
        <v>794</v>
      </c>
      <c r="H89" s="211">
        <v>26</v>
      </c>
      <c r="I89" s="211">
        <f t="shared" si="14"/>
        <v>820</v>
      </c>
      <c r="J89" s="212">
        <f t="shared" si="15"/>
        <v>1.9368812904353495E-3</v>
      </c>
      <c r="K89" s="211">
        <f t="shared" si="11"/>
        <v>1296</v>
      </c>
    </row>
    <row r="90" spans="2:11" ht="12.75" customHeight="1" x14ac:dyDescent="0.2">
      <c r="B90" s="162" t="s">
        <v>448</v>
      </c>
      <c r="C90" s="211">
        <v>1207</v>
      </c>
      <c r="D90" s="211">
        <v>607</v>
      </c>
      <c r="E90" s="211">
        <f t="shared" si="12"/>
        <v>1814</v>
      </c>
      <c r="F90" s="212">
        <f t="shared" si="13"/>
        <v>1.0134587772569571E-2</v>
      </c>
      <c r="G90" s="211">
        <v>2756</v>
      </c>
      <c r="H90" s="211">
        <v>180</v>
      </c>
      <c r="I90" s="211">
        <f t="shared" si="14"/>
        <v>2936</v>
      </c>
      <c r="J90" s="212">
        <f t="shared" si="15"/>
        <v>6.9349798399002266E-3</v>
      </c>
      <c r="K90" s="211">
        <f t="shared" si="11"/>
        <v>4750</v>
      </c>
    </row>
    <row r="91" spans="2:11" ht="12.75" customHeight="1" x14ac:dyDescent="0.2">
      <c r="B91" s="162" t="s">
        <v>449</v>
      </c>
      <c r="C91" s="211">
        <v>371</v>
      </c>
      <c r="D91" s="211">
        <v>117</v>
      </c>
      <c r="E91" s="211">
        <f t="shared" si="12"/>
        <v>488</v>
      </c>
      <c r="F91" s="212">
        <f t="shared" si="13"/>
        <v>2.7263940645060364E-3</v>
      </c>
      <c r="G91" s="211">
        <v>1001</v>
      </c>
      <c r="H91" s="211">
        <v>58</v>
      </c>
      <c r="I91" s="211">
        <f t="shared" si="14"/>
        <v>1059</v>
      </c>
      <c r="J91" s="212">
        <f t="shared" si="15"/>
        <v>2.501411325086628E-3</v>
      </c>
      <c r="K91" s="211">
        <f t="shared" si="11"/>
        <v>1547</v>
      </c>
    </row>
    <row r="92" spans="2:11" ht="12.75" customHeight="1" x14ac:dyDescent="0.2">
      <c r="B92" s="162" t="s">
        <v>450</v>
      </c>
      <c r="C92" s="211">
        <v>1402</v>
      </c>
      <c r="D92" s="211">
        <v>452</v>
      </c>
      <c r="E92" s="211">
        <f t="shared" si="12"/>
        <v>1854</v>
      </c>
      <c r="F92" s="212">
        <f t="shared" si="13"/>
        <v>1.0358062695889738E-2</v>
      </c>
      <c r="G92" s="211">
        <v>4915</v>
      </c>
      <c r="H92" s="211">
        <v>241</v>
      </c>
      <c r="I92" s="211">
        <f t="shared" si="14"/>
        <v>5156</v>
      </c>
      <c r="J92" s="212">
        <f t="shared" si="15"/>
        <v>1.2178731626200808E-2</v>
      </c>
      <c r="K92" s="211">
        <f t="shared" si="11"/>
        <v>7010</v>
      </c>
    </row>
    <row r="93" spans="2:11" ht="12.75" customHeight="1" x14ac:dyDescent="0.2">
      <c r="B93" s="162" t="s">
        <v>451</v>
      </c>
      <c r="C93" s="211">
        <v>363</v>
      </c>
      <c r="D93" s="211">
        <v>102</v>
      </c>
      <c r="E93" s="211">
        <f t="shared" si="12"/>
        <v>465</v>
      </c>
      <c r="F93" s="212">
        <f t="shared" si="13"/>
        <v>2.5978959835969407E-3</v>
      </c>
      <c r="G93" s="211">
        <v>1091</v>
      </c>
      <c r="H93" s="211">
        <v>65</v>
      </c>
      <c r="I93" s="211">
        <f t="shared" si="14"/>
        <v>1156</v>
      </c>
      <c r="J93" s="212">
        <f t="shared" si="15"/>
        <v>2.7305302094430047E-3</v>
      </c>
      <c r="K93" s="211">
        <f t="shared" si="11"/>
        <v>1621</v>
      </c>
    </row>
    <row r="94" spans="2:11" ht="12.75" customHeight="1" x14ac:dyDescent="0.2">
      <c r="B94" s="162" t="s">
        <v>452</v>
      </c>
      <c r="C94" s="211">
        <v>119</v>
      </c>
      <c r="D94" s="211">
        <v>45</v>
      </c>
      <c r="E94" s="211">
        <f t="shared" si="12"/>
        <v>164</v>
      </c>
      <c r="F94" s="212">
        <f t="shared" si="13"/>
        <v>9.1624718561268443E-4</v>
      </c>
      <c r="G94" s="211">
        <v>382</v>
      </c>
      <c r="H94" s="211">
        <v>13</v>
      </c>
      <c r="I94" s="211">
        <f t="shared" si="14"/>
        <v>395</v>
      </c>
      <c r="J94" s="212">
        <f t="shared" si="15"/>
        <v>9.3300988990483304E-4</v>
      </c>
      <c r="K94" s="211">
        <f t="shared" si="11"/>
        <v>559</v>
      </c>
    </row>
    <row r="95" spans="2:11" ht="12.75" customHeight="1" x14ac:dyDescent="0.2">
      <c r="B95" s="162" t="s">
        <v>453</v>
      </c>
      <c r="C95" s="211">
        <v>801</v>
      </c>
      <c r="D95" s="211">
        <v>189</v>
      </c>
      <c r="E95" s="211">
        <f t="shared" si="12"/>
        <v>990</v>
      </c>
      <c r="F95" s="212">
        <f t="shared" si="13"/>
        <v>5.5310043521741318E-3</v>
      </c>
      <c r="G95" s="211">
        <v>1940</v>
      </c>
      <c r="H95" s="211">
        <v>93</v>
      </c>
      <c r="I95" s="211">
        <f t="shared" si="14"/>
        <v>2033</v>
      </c>
      <c r="J95" s="212">
        <f t="shared" si="15"/>
        <v>4.8020483700671529E-3</v>
      </c>
      <c r="K95" s="211">
        <f t="shared" si="11"/>
        <v>3023</v>
      </c>
    </row>
    <row r="96" spans="2:11" ht="12.75" customHeight="1" x14ac:dyDescent="0.2">
      <c r="B96" s="162" t="s">
        <v>454</v>
      </c>
      <c r="C96" s="211">
        <v>340</v>
      </c>
      <c r="D96" s="211">
        <v>88</v>
      </c>
      <c r="E96" s="211">
        <f t="shared" si="12"/>
        <v>428</v>
      </c>
      <c r="F96" s="212">
        <f t="shared" si="13"/>
        <v>2.3911816795257864E-3</v>
      </c>
      <c r="G96" s="211">
        <v>588</v>
      </c>
      <c r="H96" s="211">
        <v>37</v>
      </c>
      <c r="I96" s="211">
        <f t="shared" si="14"/>
        <v>625</v>
      </c>
      <c r="J96" s="212">
        <f t="shared" si="15"/>
        <v>1.4762814713684066E-3</v>
      </c>
      <c r="K96" s="211">
        <f t="shared" si="11"/>
        <v>1053</v>
      </c>
    </row>
    <row r="97" spans="2:11" ht="12.75" customHeight="1" x14ac:dyDescent="0.2">
      <c r="B97" s="162" t="s">
        <v>455</v>
      </c>
      <c r="C97" s="211">
        <v>812</v>
      </c>
      <c r="D97" s="211">
        <v>238</v>
      </c>
      <c r="E97" s="211">
        <f t="shared" si="12"/>
        <v>1050</v>
      </c>
      <c r="F97" s="212">
        <f t="shared" si="13"/>
        <v>5.8662167371543823E-3</v>
      </c>
      <c r="G97" s="211">
        <v>2086</v>
      </c>
      <c r="H97" s="211">
        <v>90</v>
      </c>
      <c r="I97" s="211">
        <f t="shared" si="14"/>
        <v>2176</v>
      </c>
      <c r="J97" s="212">
        <f t="shared" si="15"/>
        <v>5.1398215707162444E-3</v>
      </c>
      <c r="K97" s="211">
        <f t="shared" si="11"/>
        <v>3226</v>
      </c>
    </row>
    <row r="98" spans="2:11" ht="12.75" customHeight="1" x14ac:dyDescent="0.2">
      <c r="B98" s="162" t="s">
        <v>456</v>
      </c>
      <c r="C98" s="211">
        <v>1029</v>
      </c>
      <c r="D98" s="211">
        <v>326</v>
      </c>
      <c r="E98" s="211">
        <f t="shared" si="12"/>
        <v>1355</v>
      </c>
      <c r="F98" s="212">
        <f t="shared" si="13"/>
        <v>7.5702130274706552E-3</v>
      </c>
      <c r="G98" s="211">
        <v>3412</v>
      </c>
      <c r="H98" s="211">
        <v>149</v>
      </c>
      <c r="I98" s="211">
        <f t="shared" si="14"/>
        <v>3561</v>
      </c>
      <c r="J98" s="212">
        <f t="shared" si="15"/>
        <v>8.4112613112686339E-3</v>
      </c>
      <c r="K98" s="211">
        <f t="shared" si="11"/>
        <v>4916</v>
      </c>
    </row>
    <row r="99" spans="2:11" ht="12.75" customHeight="1" x14ac:dyDescent="0.2">
      <c r="B99" s="162" t="s">
        <v>457</v>
      </c>
      <c r="C99" s="211">
        <v>1657</v>
      </c>
      <c r="D99" s="211">
        <v>492</v>
      </c>
      <c r="E99" s="211">
        <f t="shared" si="12"/>
        <v>2149</v>
      </c>
      <c r="F99" s="212">
        <f t="shared" si="13"/>
        <v>1.2006190255375969E-2</v>
      </c>
      <c r="G99" s="211">
        <v>5798</v>
      </c>
      <c r="H99" s="211">
        <v>248</v>
      </c>
      <c r="I99" s="211">
        <f t="shared" si="14"/>
        <v>6046</v>
      </c>
      <c r="J99" s="212">
        <f t="shared" si="15"/>
        <v>1.4280956441429418E-2</v>
      </c>
      <c r="K99" s="211">
        <f t="shared" si="11"/>
        <v>8195</v>
      </c>
    </row>
    <row r="100" spans="2:11" ht="12.75" customHeight="1" x14ac:dyDescent="0.2">
      <c r="B100" s="162" t="s">
        <v>458</v>
      </c>
      <c r="C100" s="211">
        <v>2096</v>
      </c>
      <c r="D100" s="211">
        <v>903</v>
      </c>
      <c r="E100" s="211">
        <f t="shared" si="12"/>
        <v>2999</v>
      </c>
      <c r="F100" s="212">
        <f t="shared" si="13"/>
        <v>1.6755032375929516E-2</v>
      </c>
      <c r="G100" s="211">
        <v>6168</v>
      </c>
      <c r="H100" s="211">
        <v>407</v>
      </c>
      <c r="I100" s="211">
        <f t="shared" si="14"/>
        <v>6575</v>
      </c>
      <c r="J100" s="212">
        <f t="shared" si="15"/>
        <v>1.5530481078795637E-2</v>
      </c>
      <c r="K100" s="211">
        <f t="shared" si="11"/>
        <v>9574</v>
      </c>
    </row>
    <row r="101" spans="2:11" ht="12.75" customHeight="1" x14ac:dyDescent="0.2">
      <c r="B101" s="162" t="s">
        <v>459</v>
      </c>
      <c r="C101" s="211">
        <v>3962</v>
      </c>
      <c r="D101" s="211">
        <v>1382</v>
      </c>
      <c r="E101" s="211">
        <f t="shared" si="12"/>
        <v>5344</v>
      </c>
      <c r="F101" s="212">
        <f t="shared" si="13"/>
        <v>2.9856249755574302E-2</v>
      </c>
      <c r="G101" s="211">
        <v>12112</v>
      </c>
      <c r="H101" s="211">
        <v>601</v>
      </c>
      <c r="I101" s="211">
        <f t="shared" si="14"/>
        <v>12713</v>
      </c>
      <c r="J101" s="212">
        <f t="shared" si="15"/>
        <v>3.0028746152810485E-2</v>
      </c>
      <c r="K101" s="211">
        <f t="shared" si="11"/>
        <v>18057</v>
      </c>
    </row>
    <row r="102" spans="2:11" ht="12.75" customHeight="1" x14ac:dyDescent="0.2">
      <c r="B102" s="162" t="s">
        <v>460</v>
      </c>
      <c r="C102" s="211">
        <v>4141</v>
      </c>
      <c r="D102" s="211">
        <v>970</v>
      </c>
      <c r="E102" s="211">
        <f t="shared" si="12"/>
        <v>5111</v>
      </c>
      <c r="F102" s="212">
        <f t="shared" si="13"/>
        <v>2.8554508327234329E-2</v>
      </c>
      <c r="G102" s="211">
        <v>12015</v>
      </c>
      <c r="H102" s="211">
        <v>467</v>
      </c>
      <c r="I102" s="211">
        <f t="shared" si="14"/>
        <v>12482</v>
      </c>
      <c r="J102" s="212">
        <f t="shared" si="15"/>
        <v>2.9483112520992723E-2</v>
      </c>
      <c r="K102" s="211">
        <f t="shared" si="11"/>
        <v>17593</v>
      </c>
    </row>
    <row r="103" spans="2:11" ht="12.75" customHeight="1" x14ac:dyDescent="0.2">
      <c r="B103" s="162" t="s">
        <v>461</v>
      </c>
      <c r="C103" s="211">
        <v>4218</v>
      </c>
      <c r="D103" s="211">
        <v>1176</v>
      </c>
      <c r="E103" s="211">
        <f t="shared" si="12"/>
        <v>5394</v>
      </c>
      <c r="F103" s="212">
        <f t="shared" si="13"/>
        <v>3.013559340972451E-2</v>
      </c>
      <c r="G103" s="211">
        <v>12413</v>
      </c>
      <c r="H103" s="211">
        <v>510</v>
      </c>
      <c r="I103" s="211">
        <f t="shared" si="14"/>
        <v>12923</v>
      </c>
      <c r="J103" s="212">
        <f t="shared" si="15"/>
        <v>3.052477672719027E-2</v>
      </c>
      <c r="K103" s="211">
        <f t="shared" si="11"/>
        <v>18317</v>
      </c>
    </row>
    <row r="104" spans="2:11" ht="12.75" customHeight="1" x14ac:dyDescent="0.2">
      <c r="B104" s="162" t="s">
        <v>462</v>
      </c>
      <c r="C104" s="211">
        <v>1660</v>
      </c>
      <c r="D104" s="211">
        <v>791</v>
      </c>
      <c r="E104" s="211">
        <f t="shared" si="12"/>
        <v>2451</v>
      </c>
      <c r="F104" s="212">
        <f t="shared" si="13"/>
        <v>1.369342592644323E-2</v>
      </c>
      <c r="G104" s="211">
        <v>4682</v>
      </c>
      <c r="H104" s="211">
        <v>301</v>
      </c>
      <c r="I104" s="211">
        <f t="shared" si="14"/>
        <v>4983</v>
      </c>
      <c r="J104" s="212">
        <f t="shared" si="15"/>
        <v>1.1770096914926033E-2</v>
      </c>
      <c r="K104" s="211">
        <f t="shared" si="11"/>
        <v>7434</v>
      </c>
    </row>
    <row r="105" spans="2:11" ht="12.75" customHeight="1" x14ac:dyDescent="0.2">
      <c r="B105" s="162" t="s">
        <v>463</v>
      </c>
      <c r="C105" s="211">
        <v>2560</v>
      </c>
      <c r="D105" s="211">
        <v>491</v>
      </c>
      <c r="E105" s="211">
        <f t="shared" si="12"/>
        <v>3051</v>
      </c>
      <c r="F105" s="212">
        <f t="shared" si="13"/>
        <v>1.7045549776245734E-2</v>
      </c>
      <c r="G105" s="211">
        <v>6711</v>
      </c>
      <c r="H105" s="211">
        <v>214</v>
      </c>
      <c r="I105" s="211">
        <f t="shared" si="14"/>
        <v>6925</v>
      </c>
      <c r="J105" s="212">
        <f t="shared" si="15"/>
        <v>1.6357198702761946E-2</v>
      </c>
      <c r="K105" s="211">
        <f t="shared" si="11"/>
        <v>9976</v>
      </c>
    </row>
    <row r="106" spans="2:11" ht="12.75" customHeight="1" x14ac:dyDescent="0.2">
      <c r="B106" s="162" t="s">
        <v>464</v>
      </c>
      <c r="C106" s="211">
        <v>3127</v>
      </c>
      <c r="D106" s="211">
        <v>862</v>
      </c>
      <c r="E106" s="211">
        <f t="shared" si="12"/>
        <v>3989</v>
      </c>
      <c r="F106" s="212">
        <f t="shared" si="13"/>
        <v>2.2286036728103649E-2</v>
      </c>
      <c r="G106" s="211">
        <v>8075</v>
      </c>
      <c r="H106" s="211">
        <v>328</v>
      </c>
      <c r="I106" s="211">
        <f t="shared" si="14"/>
        <v>8403</v>
      </c>
      <c r="J106" s="212">
        <f t="shared" si="15"/>
        <v>1.9848309126253953E-2</v>
      </c>
      <c r="K106" s="211">
        <f t="shared" si="11"/>
        <v>12392</v>
      </c>
    </row>
    <row r="107" spans="2:11" ht="12.75" customHeight="1" x14ac:dyDescent="0.2">
      <c r="B107" s="162" t="s">
        <v>465</v>
      </c>
      <c r="C107" s="211">
        <v>3191</v>
      </c>
      <c r="D107" s="211">
        <v>1045</v>
      </c>
      <c r="E107" s="211">
        <f t="shared" si="12"/>
        <v>4236</v>
      </c>
      <c r="F107" s="212">
        <f t="shared" si="13"/>
        <v>2.3665994379605679E-2</v>
      </c>
      <c r="G107" s="211">
        <v>9205</v>
      </c>
      <c r="H107" s="211">
        <v>444</v>
      </c>
      <c r="I107" s="211">
        <f t="shared" si="14"/>
        <v>9649</v>
      </c>
      <c r="J107" s="212">
        <f t="shared" si="15"/>
        <v>2.2791423867574007E-2</v>
      </c>
      <c r="K107" s="211">
        <f t="shared" si="11"/>
        <v>13885</v>
      </c>
    </row>
    <row r="108" spans="2:11" ht="12.75" customHeight="1" x14ac:dyDescent="0.2">
      <c r="B108" s="162" t="s">
        <v>466</v>
      </c>
      <c r="C108" s="211">
        <v>3064</v>
      </c>
      <c r="D108" s="211">
        <v>1127</v>
      </c>
      <c r="E108" s="211">
        <f t="shared" si="12"/>
        <v>4191</v>
      </c>
      <c r="F108" s="212">
        <f t="shared" si="13"/>
        <v>2.341458509087049E-2</v>
      </c>
      <c r="G108" s="211">
        <v>8409</v>
      </c>
      <c r="H108" s="211">
        <v>412</v>
      </c>
      <c r="I108" s="211">
        <f t="shared" si="14"/>
        <v>8821</v>
      </c>
      <c r="J108" s="212">
        <f t="shared" si="15"/>
        <v>2.0835646174305143E-2</v>
      </c>
      <c r="K108" s="211">
        <f t="shared" si="11"/>
        <v>13012</v>
      </c>
    </row>
    <row r="109" spans="2:11" ht="12.75" customHeight="1" x14ac:dyDescent="0.2">
      <c r="B109" s="162" t="s">
        <v>467</v>
      </c>
      <c r="C109" s="211">
        <v>438</v>
      </c>
      <c r="D109" s="211">
        <v>139</v>
      </c>
      <c r="E109" s="211">
        <f t="shared" si="12"/>
        <v>577</v>
      </c>
      <c r="F109" s="212">
        <f t="shared" si="13"/>
        <v>3.2236257688934081E-3</v>
      </c>
      <c r="G109" s="211">
        <v>1159</v>
      </c>
      <c r="H109" s="211">
        <v>53</v>
      </c>
      <c r="I109" s="211">
        <f t="shared" si="14"/>
        <v>1212</v>
      </c>
      <c r="J109" s="212">
        <f t="shared" si="15"/>
        <v>2.8628050292776141E-3</v>
      </c>
      <c r="K109" s="211">
        <f t="shared" si="11"/>
        <v>1789</v>
      </c>
    </row>
    <row r="110" spans="2:11" ht="12.75" customHeight="1" x14ac:dyDescent="0.2">
      <c r="B110" s="162" t="s">
        <v>468</v>
      </c>
      <c r="C110" s="211">
        <v>1187</v>
      </c>
      <c r="D110" s="211">
        <v>419</v>
      </c>
      <c r="E110" s="211">
        <f t="shared" si="12"/>
        <v>1606</v>
      </c>
      <c r="F110" s="212">
        <f t="shared" si="13"/>
        <v>8.9725181713047018E-3</v>
      </c>
      <c r="G110" s="211">
        <v>3751</v>
      </c>
      <c r="H110" s="211">
        <v>170</v>
      </c>
      <c r="I110" s="211">
        <f t="shared" si="14"/>
        <v>3921</v>
      </c>
      <c r="J110" s="212">
        <f t="shared" si="15"/>
        <v>9.2615994387768366E-3</v>
      </c>
      <c r="K110" s="211">
        <f t="shared" si="11"/>
        <v>5527</v>
      </c>
    </row>
    <row r="111" spans="2:11" ht="12.75" customHeight="1" x14ac:dyDescent="0.2">
      <c r="B111" s="162" t="s">
        <v>469</v>
      </c>
      <c r="C111" s="211">
        <v>5728</v>
      </c>
      <c r="D111" s="211">
        <v>2120</v>
      </c>
      <c r="E111" s="211">
        <f t="shared" si="12"/>
        <v>7848</v>
      </c>
      <c r="F111" s="212">
        <f t="shared" si="13"/>
        <v>4.3845779955416754E-2</v>
      </c>
      <c r="G111" s="211">
        <v>15987</v>
      </c>
      <c r="H111" s="211">
        <v>995</v>
      </c>
      <c r="I111" s="211">
        <f t="shared" si="14"/>
        <v>16982</v>
      </c>
      <c r="J111" s="212">
        <f t="shared" si="15"/>
        <v>4.0112339114845248E-2</v>
      </c>
      <c r="K111" s="211">
        <f t="shared" si="11"/>
        <v>24830</v>
      </c>
    </row>
    <row r="112" spans="2:11" ht="12.75" customHeight="1" x14ac:dyDescent="0.2">
      <c r="B112" s="162" t="s">
        <v>470</v>
      </c>
      <c r="C112" s="211">
        <v>3718</v>
      </c>
      <c r="D112" s="211">
        <v>1036</v>
      </c>
      <c r="E112" s="211">
        <f t="shared" si="12"/>
        <v>4754</v>
      </c>
      <c r="F112" s="212">
        <f t="shared" si="13"/>
        <v>2.6559994636601841E-2</v>
      </c>
      <c r="G112" s="211">
        <v>10871</v>
      </c>
      <c r="H112" s="211">
        <v>457</v>
      </c>
      <c r="I112" s="211">
        <f t="shared" si="14"/>
        <v>11328</v>
      </c>
      <c r="J112" s="212">
        <f t="shared" si="15"/>
        <v>2.6757306412258097E-2</v>
      </c>
      <c r="K112" s="211">
        <f t="shared" si="11"/>
        <v>16082</v>
      </c>
    </row>
    <row r="113" spans="2:11" ht="12.75" customHeight="1" x14ac:dyDescent="0.2">
      <c r="B113" s="162" t="s">
        <v>471</v>
      </c>
      <c r="C113" s="211">
        <v>4007</v>
      </c>
      <c r="D113" s="211">
        <v>1652</v>
      </c>
      <c r="E113" s="211">
        <f t="shared" si="12"/>
        <v>5659</v>
      </c>
      <c r="F113" s="212">
        <f t="shared" si="13"/>
        <v>3.1616114776720619E-2</v>
      </c>
      <c r="G113" s="211">
        <v>12934</v>
      </c>
      <c r="H113" s="211">
        <v>695</v>
      </c>
      <c r="I113" s="211">
        <f t="shared" si="14"/>
        <v>13629</v>
      </c>
      <c r="J113" s="212">
        <f t="shared" si="15"/>
        <v>3.2192384277248021E-2</v>
      </c>
      <c r="K113" s="211">
        <f t="shared" si="11"/>
        <v>19288</v>
      </c>
    </row>
    <row r="114" spans="2:11" ht="12.75" customHeight="1" x14ac:dyDescent="0.2">
      <c r="B114" s="162" t="s">
        <v>472</v>
      </c>
      <c r="C114" s="211">
        <v>8547</v>
      </c>
      <c r="D114" s="211">
        <v>2619</v>
      </c>
      <c r="E114" s="211">
        <f t="shared" si="12"/>
        <v>11166</v>
      </c>
      <c r="F114" s="212">
        <f t="shared" si="13"/>
        <v>6.2383024844824601E-2</v>
      </c>
      <c r="G114" s="211">
        <v>27084</v>
      </c>
      <c r="H114" s="211">
        <v>1040</v>
      </c>
      <c r="I114" s="211">
        <f t="shared" si="14"/>
        <v>28124</v>
      </c>
      <c r="J114" s="212">
        <f t="shared" si="15"/>
        <v>6.6430304161224113E-2</v>
      </c>
      <c r="K114" s="211">
        <f t="shared" si="11"/>
        <v>39290</v>
      </c>
    </row>
    <row r="115" spans="2:11" ht="12.75" customHeight="1" x14ac:dyDescent="0.2">
      <c r="B115" s="162" t="s">
        <v>473</v>
      </c>
      <c r="C115" s="211">
        <v>1249</v>
      </c>
      <c r="D115" s="211">
        <v>415</v>
      </c>
      <c r="E115" s="211">
        <f t="shared" si="12"/>
        <v>1664</v>
      </c>
      <c r="F115" s="212">
        <f t="shared" si="13"/>
        <v>9.2965568101189451E-3</v>
      </c>
      <c r="G115" s="211">
        <v>4379</v>
      </c>
      <c r="H115" s="211">
        <v>191</v>
      </c>
      <c r="I115" s="211">
        <f t="shared" si="14"/>
        <v>4570</v>
      </c>
      <c r="J115" s="212">
        <f t="shared" si="15"/>
        <v>1.0794570118645789E-2</v>
      </c>
      <c r="K115" s="211">
        <f t="shared" si="11"/>
        <v>6234</v>
      </c>
    </row>
    <row r="116" spans="2:11" ht="12.75" customHeight="1" x14ac:dyDescent="0.2">
      <c r="B116" s="162" t="s">
        <v>474</v>
      </c>
      <c r="C116" s="211">
        <v>594</v>
      </c>
      <c r="D116" s="211">
        <v>209</v>
      </c>
      <c r="E116" s="211">
        <f t="shared" si="12"/>
        <v>803</v>
      </c>
      <c r="F116" s="212">
        <f t="shared" si="13"/>
        <v>4.4862590856523509E-3</v>
      </c>
      <c r="G116" s="211">
        <v>2346</v>
      </c>
      <c r="H116" s="211">
        <v>131</v>
      </c>
      <c r="I116" s="211">
        <f t="shared" si="14"/>
        <v>2477</v>
      </c>
      <c r="J116" s="212">
        <f t="shared" si="15"/>
        <v>5.8507987273272695E-3</v>
      </c>
      <c r="K116" s="211">
        <f t="shared" si="11"/>
        <v>3280</v>
      </c>
    </row>
    <row r="117" spans="2:11" ht="12.75" customHeight="1" x14ac:dyDescent="0.2">
      <c r="B117" s="162" t="s">
        <v>475</v>
      </c>
      <c r="C117" s="211">
        <v>3032</v>
      </c>
      <c r="D117" s="211">
        <v>872</v>
      </c>
      <c r="E117" s="211">
        <f t="shared" si="12"/>
        <v>3904</v>
      </c>
      <c r="F117" s="212">
        <f t="shared" si="13"/>
        <v>2.1811152516048291E-2</v>
      </c>
      <c r="G117" s="211">
        <v>8446</v>
      </c>
      <c r="H117" s="211">
        <v>458</v>
      </c>
      <c r="I117" s="211">
        <f t="shared" si="14"/>
        <v>8904</v>
      </c>
      <c r="J117" s="212">
        <f t="shared" si="15"/>
        <v>2.1031696353702868E-2</v>
      </c>
      <c r="K117" s="211">
        <f t="shared" si="11"/>
        <v>12808</v>
      </c>
    </row>
    <row r="118" spans="2:11" ht="12.75" customHeight="1" x14ac:dyDescent="0.2">
      <c r="B118" s="162" t="s">
        <v>476</v>
      </c>
      <c r="C118" s="211">
        <v>286</v>
      </c>
      <c r="D118" s="211">
        <v>101</v>
      </c>
      <c r="E118" s="211">
        <f t="shared" si="12"/>
        <v>387</v>
      </c>
      <c r="F118" s="212">
        <f t="shared" si="13"/>
        <v>2.1621198831226151E-3</v>
      </c>
      <c r="G118" s="211">
        <v>820</v>
      </c>
      <c r="H118" s="211">
        <v>50</v>
      </c>
      <c r="I118" s="211">
        <f t="shared" si="14"/>
        <v>870</v>
      </c>
      <c r="J118" s="212">
        <f t="shared" si="15"/>
        <v>2.0549838081448221E-3</v>
      </c>
      <c r="K118" s="211">
        <f t="shared" si="11"/>
        <v>1257</v>
      </c>
    </row>
    <row r="119" spans="2:11" ht="12.75" customHeight="1" x14ac:dyDescent="0.2">
      <c r="B119" s="162" t="s">
        <v>477</v>
      </c>
      <c r="C119" s="211">
        <v>1613</v>
      </c>
      <c r="D119" s="211">
        <v>228</v>
      </c>
      <c r="E119" s="211">
        <f t="shared" si="12"/>
        <v>1841</v>
      </c>
      <c r="F119" s="212">
        <f t="shared" si="13"/>
        <v>1.0285433345810684E-2</v>
      </c>
      <c r="G119" s="211">
        <v>4143</v>
      </c>
      <c r="H119" s="211">
        <v>102</v>
      </c>
      <c r="I119" s="211">
        <f t="shared" si="14"/>
        <v>4245</v>
      </c>
      <c r="J119" s="212">
        <f t="shared" si="15"/>
        <v>1.0026903753534218E-2</v>
      </c>
      <c r="K119" s="211">
        <f t="shared" si="11"/>
        <v>6086</v>
      </c>
    </row>
    <row r="120" spans="2:11" ht="12.75" customHeight="1" x14ac:dyDescent="0.2">
      <c r="B120" s="162" t="s">
        <v>478</v>
      </c>
      <c r="C120" s="211">
        <v>619</v>
      </c>
      <c r="D120" s="211">
        <v>93</v>
      </c>
      <c r="E120" s="211">
        <f t="shared" si="12"/>
        <v>712</v>
      </c>
      <c r="F120" s="212">
        <f t="shared" si="13"/>
        <v>3.9778536350989716E-3</v>
      </c>
      <c r="G120" s="211">
        <v>1275</v>
      </c>
      <c r="H120" s="211">
        <v>48</v>
      </c>
      <c r="I120" s="211">
        <f t="shared" si="14"/>
        <v>1323</v>
      </c>
      <c r="J120" s="212">
        <f t="shared" si="15"/>
        <v>3.1249926185926433E-3</v>
      </c>
      <c r="K120" s="211">
        <f t="shared" si="11"/>
        <v>2035</v>
      </c>
    </row>
    <row r="121" spans="2:11" ht="12.75" customHeight="1" x14ac:dyDescent="0.2">
      <c r="B121" s="162" t="s">
        <v>479</v>
      </c>
      <c r="C121" s="211">
        <v>3317</v>
      </c>
      <c r="D121" s="211">
        <v>576</v>
      </c>
      <c r="E121" s="211">
        <f t="shared" si="12"/>
        <v>3893</v>
      </c>
      <c r="F121" s="212">
        <f t="shared" si="13"/>
        <v>2.1749696912135248E-2</v>
      </c>
      <c r="G121" s="211">
        <v>10824</v>
      </c>
      <c r="H121" s="211">
        <v>318</v>
      </c>
      <c r="I121" s="211">
        <f t="shared" si="14"/>
        <v>11142</v>
      </c>
      <c r="J121" s="212">
        <f t="shared" si="15"/>
        <v>2.6317965046378858E-2</v>
      </c>
      <c r="K121" s="211">
        <f t="shared" si="11"/>
        <v>15035</v>
      </c>
    </row>
    <row r="122" spans="2:11" ht="12.75" customHeight="1" x14ac:dyDescent="0.2">
      <c r="B122" s="162" t="s">
        <v>480</v>
      </c>
      <c r="C122" s="211">
        <v>1325</v>
      </c>
      <c r="D122" s="211">
        <v>268</v>
      </c>
      <c r="E122" s="211">
        <f t="shared" si="12"/>
        <v>1593</v>
      </c>
      <c r="F122" s="212">
        <f t="shared" si="13"/>
        <v>8.8998888212256481E-3</v>
      </c>
      <c r="G122" s="211">
        <v>3957</v>
      </c>
      <c r="H122" s="211">
        <v>133</v>
      </c>
      <c r="I122" s="211">
        <f t="shared" si="14"/>
        <v>4090</v>
      </c>
      <c r="J122" s="212">
        <f t="shared" si="15"/>
        <v>9.6607859486348528E-3</v>
      </c>
      <c r="K122" s="211">
        <f t="shared" si="11"/>
        <v>5683</v>
      </c>
    </row>
    <row r="123" spans="2:11" ht="12.75" customHeight="1" x14ac:dyDescent="0.2">
      <c r="B123" s="162" t="s">
        <v>481</v>
      </c>
      <c r="C123" s="211">
        <v>7995</v>
      </c>
      <c r="D123" s="211">
        <v>1873</v>
      </c>
      <c r="E123" s="211">
        <f t="shared" si="12"/>
        <v>9868</v>
      </c>
      <c r="F123" s="212">
        <f t="shared" si="13"/>
        <v>5.5131263583085184E-2</v>
      </c>
      <c r="G123" s="211">
        <v>23326</v>
      </c>
      <c r="H123" s="211">
        <v>804</v>
      </c>
      <c r="I123" s="211">
        <f t="shared" si="14"/>
        <v>24130</v>
      </c>
      <c r="J123" s="212">
        <f t="shared" si="15"/>
        <v>5.6996275046591445E-2</v>
      </c>
      <c r="K123" s="211">
        <f t="shared" si="11"/>
        <v>33998</v>
      </c>
    </row>
    <row r="124" spans="2:11" ht="12.75" customHeight="1" x14ac:dyDescent="0.2">
      <c r="B124" s="162" t="s">
        <v>66</v>
      </c>
      <c r="C124" s="211">
        <f t="shared" ref="C124:H124" si="16">SUM(C72:C123)</f>
        <v>137371</v>
      </c>
      <c r="D124" s="211">
        <f t="shared" si="16"/>
        <v>41620</v>
      </c>
      <c r="E124" s="213">
        <f t="shared" ref="E124" si="17">C124+D124</f>
        <v>178991</v>
      </c>
      <c r="F124" s="214">
        <f t="shared" ref="F124" si="18">E124/$E$124</f>
        <v>1</v>
      </c>
      <c r="G124" s="211">
        <f t="shared" si="16"/>
        <v>405555</v>
      </c>
      <c r="H124" s="211">
        <f t="shared" si="16"/>
        <v>17806</v>
      </c>
      <c r="I124" s="213">
        <f t="shared" ref="I124" si="19">G124+H124</f>
        <v>423361</v>
      </c>
      <c r="J124" s="214">
        <f t="shared" ref="J124" si="20">I124/$I$124</f>
        <v>1</v>
      </c>
      <c r="K124" s="213">
        <f t="shared" ref="K124:K125" si="21">E124+I124</f>
        <v>602352</v>
      </c>
    </row>
    <row r="125" spans="2:11" ht="24" x14ac:dyDescent="0.2">
      <c r="B125" s="174" t="s">
        <v>84</v>
      </c>
      <c r="C125" s="175">
        <f>+C124/$K$124</f>
        <v>0.22805768055887587</v>
      </c>
      <c r="D125" s="175">
        <f>+D124/$K$124</f>
        <v>6.909581108720482E-2</v>
      </c>
      <c r="E125" s="176">
        <f>C125+D125</f>
        <v>0.29715349164608068</v>
      </c>
      <c r="F125" s="175"/>
      <c r="G125" s="175">
        <f>+G124/$K$124</f>
        <v>0.67328571997768749</v>
      </c>
      <c r="H125" s="175">
        <f>+H124/$K$124</f>
        <v>2.9560788376231838E-2</v>
      </c>
      <c r="I125" s="176">
        <f>G125+H125</f>
        <v>0.70284650835391937</v>
      </c>
      <c r="J125" s="175"/>
      <c r="K125" s="175">
        <f t="shared" si="21"/>
        <v>1</v>
      </c>
    </row>
    <row r="126" spans="2:11" x14ac:dyDescent="0.2">
      <c r="B126" s="167" t="s">
        <v>149</v>
      </c>
    </row>
    <row r="127" spans="2:11" x14ac:dyDescent="0.2">
      <c r="B127" s="167" t="s">
        <v>150</v>
      </c>
    </row>
  </sheetData>
  <mergeCells count="10">
    <mergeCell ref="B70:B71"/>
    <mergeCell ref="C70:K70"/>
    <mergeCell ref="B8:K8"/>
    <mergeCell ref="B9:B10"/>
    <mergeCell ref="C9:K9"/>
    <mergeCell ref="B6:K6"/>
    <mergeCell ref="B5:K5"/>
    <mergeCell ref="B67:K67"/>
    <mergeCell ref="B66:K66"/>
    <mergeCell ref="B69:K69"/>
  </mergeCells>
  <hyperlinks>
    <hyperlink ref="M5" location="'Índice Pensiones Solidarias'!A1" display="Volver Sistema de Pensiones Solidadias" xr:uid="{00000000-0004-0000-1600-000000000000}"/>
  </hyperlinks>
  <pageMargins left="0.74803149606299213" right="0.74803149606299213" top="0.98425196850393704" bottom="0.98425196850393704" header="0" footer="0"/>
  <pageSetup scale="74" fitToHeight="2" orientation="portrait" r:id="rId1"/>
  <headerFooter alignWithMargins="0"/>
  <rowBreaks count="1" manualBreakCount="1">
    <brk id="69" min="1" max="12"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249977111117893"/>
  </sheetPr>
  <dimension ref="A2:N13"/>
  <sheetViews>
    <sheetView showGridLines="0" workbookViewId="0">
      <selection activeCell="B8" sqref="B8:N8"/>
    </sheetView>
  </sheetViews>
  <sheetFormatPr baseColWidth="10" defaultRowHeight="15" x14ac:dyDescent="0.25"/>
  <cols>
    <col min="1" max="1" width="6" customWidth="1"/>
  </cols>
  <sheetData>
    <row r="2" spans="1:14" x14ac:dyDescent="0.25">
      <c r="A2" s="196" t="s">
        <v>121</v>
      </c>
    </row>
    <row r="3" spans="1:14" x14ac:dyDescent="0.25">
      <c r="A3" s="196" t="s">
        <v>122</v>
      </c>
    </row>
    <row r="5" spans="1:14" x14ac:dyDescent="0.25">
      <c r="B5" s="347" t="s">
        <v>589</v>
      </c>
      <c r="C5" s="336"/>
      <c r="D5" s="336"/>
      <c r="N5" s="366" t="s">
        <v>597</v>
      </c>
    </row>
    <row r="7" spans="1:14" x14ac:dyDescent="0.25">
      <c r="B7" s="349" t="s">
        <v>144</v>
      </c>
      <c r="C7" s="350"/>
      <c r="D7" s="350"/>
      <c r="E7" s="350"/>
      <c r="F7" s="350"/>
      <c r="G7" s="350"/>
      <c r="H7" s="350"/>
      <c r="I7" s="350"/>
      <c r="J7" s="350"/>
      <c r="K7" s="350"/>
      <c r="L7" s="350"/>
      <c r="M7" s="350"/>
      <c r="N7" s="351"/>
    </row>
    <row r="8" spans="1:14" ht="27" customHeight="1" x14ac:dyDescent="0.25">
      <c r="B8" s="453" t="s">
        <v>637</v>
      </c>
      <c r="C8" s="454"/>
      <c r="D8" s="454"/>
      <c r="E8" s="454"/>
      <c r="F8" s="454"/>
      <c r="G8" s="454"/>
      <c r="H8" s="454"/>
      <c r="I8" s="454"/>
      <c r="J8" s="454"/>
      <c r="K8" s="454"/>
      <c r="L8" s="454"/>
      <c r="M8" s="454"/>
      <c r="N8" s="455"/>
    </row>
    <row r="10" spans="1:14" x14ac:dyDescent="0.25">
      <c r="B10" s="357" t="s">
        <v>542</v>
      </c>
    </row>
    <row r="11" spans="1:14" x14ac:dyDescent="0.25">
      <c r="B11" s="416" t="s">
        <v>615</v>
      </c>
      <c r="C11" s="416"/>
      <c r="D11" s="416"/>
      <c r="E11" s="416"/>
      <c r="F11" s="416"/>
      <c r="G11" s="416"/>
      <c r="H11" s="416"/>
    </row>
    <row r="12" spans="1:14" x14ac:dyDescent="0.25">
      <c r="B12" s="416" t="s">
        <v>616</v>
      </c>
      <c r="C12" s="416"/>
      <c r="D12" s="416"/>
      <c r="E12" s="416"/>
      <c r="F12" s="416"/>
      <c r="G12" s="416"/>
      <c r="H12" s="416"/>
    </row>
    <row r="13" spans="1:14" x14ac:dyDescent="0.25">
      <c r="B13" s="416" t="s">
        <v>617</v>
      </c>
      <c r="C13" s="416"/>
      <c r="D13" s="416"/>
      <c r="E13" s="416"/>
      <c r="F13" s="416"/>
      <c r="G13" s="416"/>
      <c r="H13" s="416"/>
    </row>
  </sheetData>
  <mergeCells count="4">
    <mergeCell ref="B8:N8"/>
    <mergeCell ref="B11:H11"/>
    <mergeCell ref="B12:H12"/>
    <mergeCell ref="B13:H13"/>
  </mergeCells>
  <hyperlinks>
    <hyperlink ref="B11" location="'Concesiones Mensuales BxH'!A1" display="Concesiones de Bono por Hijo a nivel nacional, por mes, desde Agosto 2009 a marzo 2018" xr:uid="{00000000-0004-0000-1700-000000000000}"/>
    <hyperlink ref="B12" location="'Solicitudes y Rechazos BxH'!A1" display="Solicitudes, Rechazos y concesiones a nivel nacional, por mes, desde Agosto 2009 a marzo 2018" xr:uid="{00000000-0004-0000-1700-000001000000}"/>
    <hyperlink ref="B13" location="'Concesiones Mensuales Regional'!A1" display="Concesiones de Bono por Hijo a nivel regional en el mes de marzo de 2018" xr:uid="{00000000-0004-0000-1700-000002000000}"/>
    <hyperlink ref="N5" location="Índice!A1" display="Volver" xr:uid="{00000000-0004-0000-1700-000003000000}"/>
  </hyperlink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J92"/>
  <sheetViews>
    <sheetView showGridLines="0" zoomScaleNormal="100" workbookViewId="0">
      <selection activeCell="B6" sqref="B6:J6"/>
    </sheetView>
  </sheetViews>
  <sheetFormatPr baseColWidth="10" defaultRowHeight="12" x14ac:dyDescent="0.2"/>
  <cols>
    <col min="1" max="1" width="6" style="167" customWidth="1"/>
    <col min="2" max="2" width="12.5703125" style="167" customWidth="1"/>
    <col min="3" max="249" width="11.42578125" style="167"/>
    <col min="250" max="250" width="4.5703125" style="167" customWidth="1"/>
    <col min="251" max="251" width="12.5703125" style="167" customWidth="1"/>
    <col min="252" max="253" width="11.42578125" style="167"/>
    <col min="254" max="254" width="11.42578125" style="167" customWidth="1"/>
    <col min="255" max="256" width="11.42578125" style="167"/>
    <col min="257" max="257" width="11.42578125" style="167" customWidth="1"/>
    <col min="258" max="259" width="11.42578125" style="167"/>
    <col min="260" max="260" width="0" style="167" hidden="1" customWidth="1"/>
    <col min="261" max="262" width="11.42578125" style="167"/>
    <col min="263" max="263" width="0" style="167" hidden="1" customWidth="1"/>
    <col min="264" max="264" width="11.42578125" style="167"/>
    <col min="265" max="265" width="15.7109375" style="167" customWidth="1"/>
    <col min="266" max="505" width="11.42578125" style="167"/>
    <col min="506" max="506" width="4.5703125" style="167" customWidth="1"/>
    <col min="507" max="507" width="12.5703125" style="167" customWidth="1"/>
    <col min="508" max="509" width="11.42578125" style="167"/>
    <col min="510" max="510" width="11.42578125" style="167" customWidth="1"/>
    <col min="511" max="512" width="11.42578125" style="167"/>
    <col min="513" max="513" width="11.42578125" style="167" customWidth="1"/>
    <col min="514" max="515" width="11.42578125" style="167"/>
    <col min="516" max="516" width="0" style="167" hidden="1" customWidth="1"/>
    <col min="517" max="518" width="11.42578125" style="167"/>
    <col min="519" max="519" width="0" style="167" hidden="1" customWidth="1"/>
    <col min="520" max="520" width="11.42578125" style="167"/>
    <col min="521" max="521" width="15.7109375" style="167" customWidth="1"/>
    <col min="522" max="761" width="11.42578125" style="167"/>
    <col min="762" max="762" width="4.5703125" style="167" customWidth="1"/>
    <col min="763" max="763" width="12.5703125" style="167" customWidth="1"/>
    <col min="764" max="765" width="11.42578125" style="167"/>
    <col min="766" max="766" width="11.42578125" style="167" customWidth="1"/>
    <col min="767" max="768" width="11.42578125" style="167"/>
    <col min="769" max="769" width="11.42578125" style="167" customWidth="1"/>
    <col min="770" max="771" width="11.42578125" style="167"/>
    <col min="772" max="772" width="0" style="167" hidden="1" customWidth="1"/>
    <col min="773" max="774" width="11.42578125" style="167"/>
    <col min="775" max="775" width="0" style="167" hidden="1" customWidth="1"/>
    <col min="776" max="776" width="11.42578125" style="167"/>
    <col min="777" max="777" width="15.7109375" style="167" customWidth="1"/>
    <col min="778" max="1017" width="11.42578125" style="167"/>
    <col min="1018" max="1018" width="4.5703125" style="167" customWidth="1"/>
    <col min="1019" max="1019" width="12.5703125" style="167" customWidth="1"/>
    <col min="1020" max="1021" width="11.42578125" style="167"/>
    <col min="1022" max="1022" width="11.42578125" style="167" customWidth="1"/>
    <col min="1023" max="1024" width="11.42578125" style="167"/>
    <col min="1025" max="1025" width="11.42578125" style="167" customWidth="1"/>
    <col min="1026" max="1027" width="11.42578125" style="167"/>
    <col min="1028" max="1028" width="0" style="167" hidden="1" customWidth="1"/>
    <col min="1029" max="1030" width="11.42578125" style="167"/>
    <col min="1031" max="1031" width="0" style="167" hidden="1" customWidth="1"/>
    <col min="1032" max="1032" width="11.42578125" style="167"/>
    <col min="1033" max="1033" width="15.7109375" style="167" customWidth="1"/>
    <col min="1034" max="1273" width="11.42578125" style="167"/>
    <col min="1274" max="1274" width="4.5703125" style="167" customWidth="1"/>
    <col min="1275" max="1275" width="12.5703125" style="167" customWidth="1"/>
    <col min="1276" max="1277" width="11.42578125" style="167"/>
    <col min="1278" max="1278" width="11.42578125" style="167" customWidth="1"/>
    <col min="1279" max="1280" width="11.42578125" style="167"/>
    <col min="1281" max="1281" width="11.42578125" style="167" customWidth="1"/>
    <col min="1282" max="1283" width="11.42578125" style="167"/>
    <col min="1284" max="1284" width="0" style="167" hidden="1" customWidth="1"/>
    <col min="1285" max="1286" width="11.42578125" style="167"/>
    <col min="1287" max="1287" width="0" style="167" hidden="1" customWidth="1"/>
    <col min="1288" max="1288" width="11.42578125" style="167"/>
    <col min="1289" max="1289" width="15.7109375" style="167" customWidth="1"/>
    <col min="1290" max="1529" width="11.42578125" style="167"/>
    <col min="1530" max="1530" width="4.5703125" style="167" customWidth="1"/>
    <col min="1531" max="1531" width="12.5703125" style="167" customWidth="1"/>
    <col min="1532" max="1533" width="11.42578125" style="167"/>
    <col min="1534" max="1534" width="11.42578125" style="167" customWidth="1"/>
    <col min="1535" max="1536" width="11.42578125" style="167"/>
    <col min="1537" max="1537" width="11.42578125" style="167" customWidth="1"/>
    <col min="1538" max="1539" width="11.42578125" style="167"/>
    <col min="1540" max="1540" width="0" style="167" hidden="1" customWidth="1"/>
    <col min="1541" max="1542" width="11.42578125" style="167"/>
    <col min="1543" max="1543" width="0" style="167" hidden="1" customWidth="1"/>
    <col min="1544" max="1544" width="11.42578125" style="167"/>
    <col min="1545" max="1545" width="15.7109375" style="167" customWidth="1"/>
    <col min="1546" max="1785" width="11.42578125" style="167"/>
    <col min="1786" max="1786" width="4.5703125" style="167" customWidth="1"/>
    <col min="1787" max="1787" width="12.5703125" style="167" customWidth="1"/>
    <col min="1788" max="1789" width="11.42578125" style="167"/>
    <col min="1790" max="1790" width="11.42578125" style="167" customWidth="1"/>
    <col min="1791" max="1792" width="11.42578125" style="167"/>
    <col min="1793" max="1793" width="11.42578125" style="167" customWidth="1"/>
    <col min="1794" max="1795" width="11.42578125" style="167"/>
    <col min="1796" max="1796" width="0" style="167" hidden="1" customWidth="1"/>
    <col min="1797" max="1798" width="11.42578125" style="167"/>
    <col min="1799" max="1799" width="0" style="167" hidden="1" customWidth="1"/>
    <col min="1800" max="1800" width="11.42578125" style="167"/>
    <col min="1801" max="1801" width="15.7109375" style="167" customWidth="1"/>
    <col min="1802" max="2041" width="11.42578125" style="167"/>
    <col min="2042" max="2042" width="4.5703125" style="167" customWidth="1"/>
    <col min="2043" max="2043" width="12.5703125" style="167" customWidth="1"/>
    <col min="2044" max="2045" width="11.42578125" style="167"/>
    <col min="2046" max="2046" width="11.42578125" style="167" customWidth="1"/>
    <col min="2047" max="2048" width="11.42578125" style="167"/>
    <col min="2049" max="2049" width="11.42578125" style="167" customWidth="1"/>
    <col min="2050" max="2051" width="11.42578125" style="167"/>
    <col min="2052" max="2052" width="0" style="167" hidden="1" customWidth="1"/>
    <col min="2053" max="2054" width="11.42578125" style="167"/>
    <col min="2055" max="2055" width="0" style="167" hidden="1" customWidth="1"/>
    <col min="2056" max="2056" width="11.42578125" style="167"/>
    <col min="2057" max="2057" width="15.7109375" style="167" customWidth="1"/>
    <col min="2058" max="2297" width="11.42578125" style="167"/>
    <col min="2298" max="2298" width="4.5703125" style="167" customWidth="1"/>
    <col min="2299" max="2299" width="12.5703125" style="167" customWidth="1"/>
    <col min="2300" max="2301" width="11.42578125" style="167"/>
    <col min="2302" max="2302" width="11.42578125" style="167" customWidth="1"/>
    <col min="2303" max="2304" width="11.42578125" style="167"/>
    <col min="2305" max="2305" width="11.42578125" style="167" customWidth="1"/>
    <col min="2306" max="2307" width="11.42578125" style="167"/>
    <col min="2308" max="2308" width="0" style="167" hidden="1" customWidth="1"/>
    <col min="2309" max="2310" width="11.42578125" style="167"/>
    <col min="2311" max="2311" width="0" style="167" hidden="1" customWidth="1"/>
    <col min="2312" max="2312" width="11.42578125" style="167"/>
    <col min="2313" max="2313" width="15.7109375" style="167" customWidth="1"/>
    <col min="2314" max="2553" width="11.42578125" style="167"/>
    <col min="2554" max="2554" width="4.5703125" style="167" customWidth="1"/>
    <col min="2555" max="2555" width="12.5703125" style="167" customWidth="1"/>
    <col min="2556" max="2557" width="11.42578125" style="167"/>
    <col min="2558" max="2558" width="11.42578125" style="167" customWidth="1"/>
    <col min="2559" max="2560" width="11.42578125" style="167"/>
    <col min="2561" max="2561" width="11.42578125" style="167" customWidth="1"/>
    <col min="2562" max="2563" width="11.42578125" style="167"/>
    <col min="2564" max="2564" width="0" style="167" hidden="1" customWidth="1"/>
    <col min="2565" max="2566" width="11.42578125" style="167"/>
    <col min="2567" max="2567" width="0" style="167" hidden="1" customWidth="1"/>
    <col min="2568" max="2568" width="11.42578125" style="167"/>
    <col min="2569" max="2569" width="15.7109375" style="167" customWidth="1"/>
    <col min="2570" max="2809" width="11.42578125" style="167"/>
    <col min="2810" max="2810" width="4.5703125" style="167" customWidth="1"/>
    <col min="2811" max="2811" width="12.5703125" style="167" customWidth="1"/>
    <col min="2812" max="2813" width="11.42578125" style="167"/>
    <col min="2814" max="2814" width="11.42578125" style="167" customWidth="1"/>
    <col min="2815" max="2816" width="11.42578125" style="167"/>
    <col min="2817" max="2817" width="11.42578125" style="167" customWidth="1"/>
    <col min="2818" max="2819" width="11.42578125" style="167"/>
    <col min="2820" max="2820" width="0" style="167" hidden="1" customWidth="1"/>
    <col min="2821" max="2822" width="11.42578125" style="167"/>
    <col min="2823" max="2823" width="0" style="167" hidden="1" customWidth="1"/>
    <col min="2824" max="2824" width="11.42578125" style="167"/>
    <col min="2825" max="2825" width="15.7109375" style="167" customWidth="1"/>
    <col min="2826" max="3065" width="11.42578125" style="167"/>
    <col min="3066" max="3066" width="4.5703125" style="167" customWidth="1"/>
    <col min="3067" max="3067" width="12.5703125" style="167" customWidth="1"/>
    <col min="3068" max="3069" width="11.42578125" style="167"/>
    <col min="3070" max="3070" width="11.42578125" style="167" customWidth="1"/>
    <col min="3071" max="3072" width="11.42578125" style="167"/>
    <col min="3073" max="3073" width="11.42578125" style="167" customWidth="1"/>
    <col min="3074" max="3075" width="11.42578125" style="167"/>
    <col min="3076" max="3076" width="0" style="167" hidden="1" customWidth="1"/>
    <col min="3077" max="3078" width="11.42578125" style="167"/>
    <col min="3079" max="3079" width="0" style="167" hidden="1" customWidth="1"/>
    <col min="3080" max="3080" width="11.42578125" style="167"/>
    <col min="3081" max="3081" width="15.7109375" style="167" customWidth="1"/>
    <col min="3082" max="3321" width="11.42578125" style="167"/>
    <col min="3322" max="3322" width="4.5703125" style="167" customWidth="1"/>
    <col min="3323" max="3323" width="12.5703125" style="167" customWidth="1"/>
    <col min="3324" max="3325" width="11.42578125" style="167"/>
    <col min="3326" max="3326" width="11.42578125" style="167" customWidth="1"/>
    <col min="3327" max="3328" width="11.42578125" style="167"/>
    <col min="3329" max="3329" width="11.42578125" style="167" customWidth="1"/>
    <col min="3330" max="3331" width="11.42578125" style="167"/>
    <col min="3332" max="3332" width="0" style="167" hidden="1" customWidth="1"/>
    <col min="3333" max="3334" width="11.42578125" style="167"/>
    <col min="3335" max="3335" width="0" style="167" hidden="1" customWidth="1"/>
    <col min="3336" max="3336" width="11.42578125" style="167"/>
    <col min="3337" max="3337" width="15.7109375" style="167" customWidth="1"/>
    <col min="3338" max="3577" width="11.42578125" style="167"/>
    <col min="3578" max="3578" width="4.5703125" style="167" customWidth="1"/>
    <col min="3579" max="3579" width="12.5703125" style="167" customWidth="1"/>
    <col min="3580" max="3581" width="11.42578125" style="167"/>
    <col min="3582" max="3582" width="11.42578125" style="167" customWidth="1"/>
    <col min="3583" max="3584" width="11.42578125" style="167"/>
    <col min="3585" max="3585" width="11.42578125" style="167" customWidth="1"/>
    <col min="3586" max="3587" width="11.42578125" style="167"/>
    <col min="3588" max="3588" width="0" style="167" hidden="1" customWidth="1"/>
    <col min="3589" max="3590" width="11.42578125" style="167"/>
    <col min="3591" max="3591" width="0" style="167" hidden="1" customWidth="1"/>
    <col min="3592" max="3592" width="11.42578125" style="167"/>
    <col min="3593" max="3593" width="15.7109375" style="167" customWidth="1"/>
    <col min="3594" max="3833" width="11.42578125" style="167"/>
    <col min="3834" max="3834" width="4.5703125" style="167" customWidth="1"/>
    <col min="3835" max="3835" width="12.5703125" style="167" customWidth="1"/>
    <col min="3836" max="3837" width="11.42578125" style="167"/>
    <col min="3838" max="3838" width="11.42578125" style="167" customWidth="1"/>
    <col min="3839" max="3840" width="11.42578125" style="167"/>
    <col min="3841" max="3841" width="11.42578125" style="167" customWidth="1"/>
    <col min="3842" max="3843" width="11.42578125" style="167"/>
    <col min="3844" max="3844" width="0" style="167" hidden="1" customWidth="1"/>
    <col min="3845" max="3846" width="11.42578125" style="167"/>
    <col min="3847" max="3847" width="0" style="167" hidden="1" customWidth="1"/>
    <col min="3848" max="3848" width="11.42578125" style="167"/>
    <col min="3849" max="3849" width="15.7109375" style="167" customWidth="1"/>
    <col min="3850" max="4089" width="11.42578125" style="167"/>
    <col min="4090" max="4090" width="4.5703125" style="167" customWidth="1"/>
    <col min="4091" max="4091" width="12.5703125" style="167" customWidth="1"/>
    <col min="4092" max="4093" width="11.42578125" style="167"/>
    <col min="4094" max="4094" width="11.42578125" style="167" customWidth="1"/>
    <col min="4095" max="4096" width="11.42578125" style="167"/>
    <col min="4097" max="4097" width="11.42578125" style="167" customWidth="1"/>
    <col min="4098" max="4099" width="11.42578125" style="167"/>
    <col min="4100" max="4100" width="0" style="167" hidden="1" customWidth="1"/>
    <col min="4101" max="4102" width="11.42578125" style="167"/>
    <col min="4103" max="4103" width="0" style="167" hidden="1" customWidth="1"/>
    <col min="4104" max="4104" width="11.42578125" style="167"/>
    <col min="4105" max="4105" width="15.7109375" style="167" customWidth="1"/>
    <col min="4106" max="4345" width="11.42578125" style="167"/>
    <col min="4346" max="4346" width="4.5703125" style="167" customWidth="1"/>
    <col min="4347" max="4347" width="12.5703125" style="167" customWidth="1"/>
    <col min="4348" max="4349" width="11.42578125" style="167"/>
    <col min="4350" max="4350" width="11.42578125" style="167" customWidth="1"/>
    <col min="4351" max="4352" width="11.42578125" style="167"/>
    <col min="4353" max="4353" width="11.42578125" style="167" customWidth="1"/>
    <col min="4354" max="4355" width="11.42578125" style="167"/>
    <col min="4356" max="4356" width="0" style="167" hidden="1" customWidth="1"/>
    <col min="4357" max="4358" width="11.42578125" style="167"/>
    <col min="4359" max="4359" width="0" style="167" hidden="1" customWidth="1"/>
    <col min="4360" max="4360" width="11.42578125" style="167"/>
    <col min="4361" max="4361" width="15.7109375" style="167" customWidth="1"/>
    <col min="4362" max="4601" width="11.42578125" style="167"/>
    <col min="4602" max="4602" width="4.5703125" style="167" customWidth="1"/>
    <col min="4603" max="4603" width="12.5703125" style="167" customWidth="1"/>
    <col min="4604" max="4605" width="11.42578125" style="167"/>
    <col min="4606" max="4606" width="11.42578125" style="167" customWidth="1"/>
    <col min="4607" max="4608" width="11.42578125" style="167"/>
    <col min="4609" max="4609" width="11.42578125" style="167" customWidth="1"/>
    <col min="4610" max="4611" width="11.42578125" style="167"/>
    <col min="4612" max="4612" width="0" style="167" hidden="1" customWidth="1"/>
    <col min="4613" max="4614" width="11.42578125" style="167"/>
    <col min="4615" max="4615" width="0" style="167" hidden="1" customWidth="1"/>
    <col min="4616" max="4616" width="11.42578125" style="167"/>
    <col min="4617" max="4617" width="15.7109375" style="167" customWidth="1"/>
    <col min="4618" max="4857" width="11.42578125" style="167"/>
    <col min="4858" max="4858" width="4.5703125" style="167" customWidth="1"/>
    <col min="4859" max="4859" width="12.5703125" style="167" customWidth="1"/>
    <col min="4860" max="4861" width="11.42578125" style="167"/>
    <col min="4862" max="4862" width="11.42578125" style="167" customWidth="1"/>
    <col min="4863" max="4864" width="11.42578125" style="167"/>
    <col min="4865" max="4865" width="11.42578125" style="167" customWidth="1"/>
    <col min="4866" max="4867" width="11.42578125" style="167"/>
    <col min="4868" max="4868" width="0" style="167" hidden="1" customWidth="1"/>
    <col min="4869" max="4870" width="11.42578125" style="167"/>
    <col min="4871" max="4871" width="0" style="167" hidden="1" customWidth="1"/>
    <col min="4872" max="4872" width="11.42578125" style="167"/>
    <col min="4873" max="4873" width="15.7109375" style="167" customWidth="1"/>
    <col min="4874" max="5113" width="11.42578125" style="167"/>
    <col min="5114" max="5114" width="4.5703125" style="167" customWidth="1"/>
    <col min="5115" max="5115" width="12.5703125" style="167" customWidth="1"/>
    <col min="5116" max="5117" width="11.42578125" style="167"/>
    <col min="5118" max="5118" width="11.42578125" style="167" customWidth="1"/>
    <col min="5119" max="5120" width="11.42578125" style="167"/>
    <col min="5121" max="5121" width="11.42578125" style="167" customWidth="1"/>
    <col min="5122" max="5123" width="11.42578125" style="167"/>
    <col min="5124" max="5124" width="0" style="167" hidden="1" customWidth="1"/>
    <col min="5125" max="5126" width="11.42578125" style="167"/>
    <col min="5127" max="5127" width="0" style="167" hidden="1" customWidth="1"/>
    <col min="5128" max="5128" width="11.42578125" style="167"/>
    <col min="5129" max="5129" width="15.7109375" style="167" customWidth="1"/>
    <col min="5130" max="5369" width="11.42578125" style="167"/>
    <col min="5370" max="5370" width="4.5703125" style="167" customWidth="1"/>
    <col min="5371" max="5371" width="12.5703125" style="167" customWidth="1"/>
    <col min="5372" max="5373" width="11.42578125" style="167"/>
    <col min="5374" max="5374" width="11.42578125" style="167" customWidth="1"/>
    <col min="5375" max="5376" width="11.42578125" style="167"/>
    <col min="5377" max="5377" width="11.42578125" style="167" customWidth="1"/>
    <col min="5378" max="5379" width="11.42578125" style="167"/>
    <col min="5380" max="5380" width="0" style="167" hidden="1" customWidth="1"/>
    <col min="5381" max="5382" width="11.42578125" style="167"/>
    <col min="5383" max="5383" width="0" style="167" hidden="1" customWidth="1"/>
    <col min="5384" max="5384" width="11.42578125" style="167"/>
    <col min="5385" max="5385" width="15.7109375" style="167" customWidth="1"/>
    <col min="5386" max="5625" width="11.42578125" style="167"/>
    <col min="5626" max="5626" width="4.5703125" style="167" customWidth="1"/>
    <col min="5627" max="5627" width="12.5703125" style="167" customWidth="1"/>
    <col min="5628" max="5629" width="11.42578125" style="167"/>
    <col min="5630" max="5630" width="11.42578125" style="167" customWidth="1"/>
    <col min="5631" max="5632" width="11.42578125" style="167"/>
    <col min="5633" max="5633" width="11.42578125" style="167" customWidth="1"/>
    <col min="5634" max="5635" width="11.42578125" style="167"/>
    <col min="5636" max="5636" width="0" style="167" hidden="1" customWidth="1"/>
    <col min="5637" max="5638" width="11.42578125" style="167"/>
    <col min="5639" max="5639" width="0" style="167" hidden="1" customWidth="1"/>
    <col min="5640" max="5640" width="11.42578125" style="167"/>
    <col min="5641" max="5641" width="15.7109375" style="167" customWidth="1"/>
    <col min="5642" max="5881" width="11.42578125" style="167"/>
    <col min="5882" max="5882" width="4.5703125" style="167" customWidth="1"/>
    <col min="5883" max="5883" width="12.5703125" style="167" customWidth="1"/>
    <col min="5884" max="5885" width="11.42578125" style="167"/>
    <col min="5886" max="5886" width="11.42578125" style="167" customWidth="1"/>
    <col min="5887" max="5888" width="11.42578125" style="167"/>
    <col min="5889" max="5889" width="11.42578125" style="167" customWidth="1"/>
    <col min="5890" max="5891" width="11.42578125" style="167"/>
    <col min="5892" max="5892" width="0" style="167" hidden="1" customWidth="1"/>
    <col min="5893" max="5894" width="11.42578125" style="167"/>
    <col min="5895" max="5895" width="0" style="167" hidden="1" customWidth="1"/>
    <col min="5896" max="5896" width="11.42578125" style="167"/>
    <col min="5897" max="5897" width="15.7109375" style="167" customWidth="1"/>
    <col min="5898" max="6137" width="11.42578125" style="167"/>
    <col min="6138" max="6138" width="4.5703125" style="167" customWidth="1"/>
    <col min="6139" max="6139" width="12.5703125" style="167" customWidth="1"/>
    <col min="6140" max="6141" width="11.42578125" style="167"/>
    <col min="6142" max="6142" width="11.42578125" style="167" customWidth="1"/>
    <col min="6143" max="6144" width="11.42578125" style="167"/>
    <col min="6145" max="6145" width="11.42578125" style="167" customWidth="1"/>
    <col min="6146" max="6147" width="11.42578125" style="167"/>
    <col min="6148" max="6148" width="0" style="167" hidden="1" customWidth="1"/>
    <col min="6149" max="6150" width="11.42578125" style="167"/>
    <col min="6151" max="6151" width="0" style="167" hidden="1" customWidth="1"/>
    <col min="6152" max="6152" width="11.42578125" style="167"/>
    <col min="6153" max="6153" width="15.7109375" style="167" customWidth="1"/>
    <col min="6154" max="6393" width="11.42578125" style="167"/>
    <col min="6394" max="6394" width="4.5703125" style="167" customWidth="1"/>
    <col min="6395" max="6395" width="12.5703125" style="167" customWidth="1"/>
    <col min="6396" max="6397" width="11.42578125" style="167"/>
    <col min="6398" max="6398" width="11.42578125" style="167" customWidth="1"/>
    <col min="6399" max="6400" width="11.42578125" style="167"/>
    <col min="6401" max="6401" width="11.42578125" style="167" customWidth="1"/>
    <col min="6402" max="6403" width="11.42578125" style="167"/>
    <col min="6404" max="6404" width="0" style="167" hidden="1" customWidth="1"/>
    <col min="6405" max="6406" width="11.42578125" style="167"/>
    <col min="6407" max="6407" width="0" style="167" hidden="1" customWidth="1"/>
    <col min="6408" max="6408" width="11.42578125" style="167"/>
    <col min="6409" max="6409" width="15.7109375" style="167" customWidth="1"/>
    <col min="6410" max="6649" width="11.42578125" style="167"/>
    <col min="6650" max="6650" width="4.5703125" style="167" customWidth="1"/>
    <col min="6651" max="6651" width="12.5703125" style="167" customWidth="1"/>
    <col min="6652" max="6653" width="11.42578125" style="167"/>
    <col min="6654" max="6654" width="11.42578125" style="167" customWidth="1"/>
    <col min="6655" max="6656" width="11.42578125" style="167"/>
    <col min="6657" max="6657" width="11.42578125" style="167" customWidth="1"/>
    <col min="6658" max="6659" width="11.42578125" style="167"/>
    <col min="6660" max="6660" width="0" style="167" hidden="1" customWidth="1"/>
    <col min="6661" max="6662" width="11.42578125" style="167"/>
    <col min="6663" max="6663" width="0" style="167" hidden="1" customWidth="1"/>
    <col min="6664" max="6664" width="11.42578125" style="167"/>
    <col min="6665" max="6665" width="15.7109375" style="167" customWidth="1"/>
    <col min="6666" max="6905" width="11.42578125" style="167"/>
    <col min="6906" max="6906" width="4.5703125" style="167" customWidth="1"/>
    <col min="6907" max="6907" width="12.5703125" style="167" customWidth="1"/>
    <col min="6908" max="6909" width="11.42578125" style="167"/>
    <col min="6910" max="6910" width="11.42578125" style="167" customWidth="1"/>
    <col min="6911" max="6912" width="11.42578125" style="167"/>
    <col min="6913" max="6913" width="11.42578125" style="167" customWidth="1"/>
    <col min="6914" max="6915" width="11.42578125" style="167"/>
    <col min="6916" max="6916" width="0" style="167" hidden="1" customWidth="1"/>
    <col min="6917" max="6918" width="11.42578125" style="167"/>
    <col min="6919" max="6919" width="0" style="167" hidden="1" customWidth="1"/>
    <col min="6920" max="6920" width="11.42578125" style="167"/>
    <col min="6921" max="6921" width="15.7109375" style="167" customWidth="1"/>
    <col min="6922" max="7161" width="11.42578125" style="167"/>
    <col min="7162" max="7162" width="4.5703125" style="167" customWidth="1"/>
    <col min="7163" max="7163" width="12.5703125" style="167" customWidth="1"/>
    <col min="7164" max="7165" width="11.42578125" style="167"/>
    <col min="7166" max="7166" width="11.42578125" style="167" customWidth="1"/>
    <col min="7167" max="7168" width="11.42578125" style="167"/>
    <col min="7169" max="7169" width="11.42578125" style="167" customWidth="1"/>
    <col min="7170" max="7171" width="11.42578125" style="167"/>
    <col min="7172" max="7172" width="0" style="167" hidden="1" customWidth="1"/>
    <col min="7173" max="7174" width="11.42578125" style="167"/>
    <col min="7175" max="7175" width="0" style="167" hidden="1" customWidth="1"/>
    <col min="7176" max="7176" width="11.42578125" style="167"/>
    <col min="7177" max="7177" width="15.7109375" style="167" customWidth="1"/>
    <col min="7178" max="7417" width="11.42578125" style="167"/>
    <col min="7418" max="7418" width="4.5703125" style="167" customWidth="1"/>
    <col min="7419" max="7419" width="12.5703125" style="167" customWidth="1"/>
    <col min="7420" max="7421" width="11.42578125" style="167"/>
    <col min="7422" max="7422" width="11.42578125" style="167" customWidth="1"/>
    <col min="7423" max="7424" width="11.42578125" style="167"/>
    <col min="7425" max="7425" width="11.42578125" style="167" customWidth="1"/>
    <col min="7426" max="7427" width="11.42578125" style="167"/>
    <col min="7428" max="7428" width="0" style="167" hidden="1" customWidth="1"/>
    <col min="7429" max="7430" width="11.42578125" style="167"/>
    <col min="7431" max="7431" width="0" style="167" hidden="1" customWidth="1"/>
    <col min="7432" max="7432" width="11.42578125" style="167"/>
    <col min="7433" max="7433" width="15.7109375" style="167" customWidth="1"/>
    <col min="7434" max="7673" width="11.42578125" style="167"/>
    <col min="7674" max="7674" width="4.5703125" style="167" customWidth="1"/>
    <col min="7675" max="7675" width="12.5703125" style="167" customWidth="1"/>
    <col min="7676" max="7677" width="11.42578125" style="167"/>
    <col min="7678" max="7678" width="11.42578125" style="167" customWidth="1"/>
    <col min="7679" max="7680" width="11.42578125" style="167"/>
    <col min="7681" max="7681" width="11.42578125" style="167" customWidth="1"/>
    <col min="7682" max="7683" width="11.42578125" style="167"/>
    <col min="7684" max="7684" width="0" style="167" hidden="1" customWidth="1"/>
    <col min="7685" max="7686" width="11.42578125" style="167"/>
    <col min="7687" max="7687" width="0" style="167" hidden="1" customWidth="1"/>
    <col min="7688" max="7688" width="11.42578125" style="167"/>
    <col min="7689" max="7689" width="15.7109375" style="167" customWidth="1"/>
    <col min="7690" max="7929" width="11.42578125" style="167"/>
    <col min="7930" max="7930" width="4.5703125" style="167" customWidth="1"/>
    <col min="7931" max="7931" width="12.5703125" style="167" customWidth="1"/>
    <col min="7932" max="7933" width="11.42578125" style="167"/>
    <col min="7934" max="7934" width="11.42578125" style="167" customWidth="1"/>
    <col min="7935" max="7936" width="11.42578125" style="167"/>
    <col min="7937" max="7937" width="11.42578125" style="167" customWidth="1"/>
    <col min="7938" max="7939" width="11.42578125" style="167"/>
    <col min="7940" max="7940" width="0" style="167" hidden="1" customWidth="1"/>
    <col min="7941" max="7942" width="11.42578125" style="167"/>
    <col min="7943" max="7943" width="0" style="167" hidden="1" customWidth="1"/>
    <col min="7944" max="7944" width="11.42578125" style="167"/>
    <col min="7945" max="7945" width="15.7109375" style="167" customWidth="1"/>
    <col min="7946" max="8185" width="11.42578125" style="167"/>
    <col min="8186" max="8186" width="4.5703125" style="167" customWidth="1"/>
    <col min="8187" max="8187" width="12.5703125" style="167" customWidth="1"/>
    <col min="8188" max="8189" width="11.42578125" style="167"/>
    <col min="8190" max="8190" width="11.42578125" style="167" customWidth="1"/>
    <col min="8191" max="8192" width="11.42578125" style="167"/>
    <col min="8193" max="8193" width="11.42578125" style="167" customWidth="1"/>
    <col min="8194" max="8195" width="11.42578125" style="167"/>
    <col min="8196" max="8196" width="0" style="167" hidden="1" customWidth="1"/>
    <col min="8197" max="8198" width="11.42578125" style="167"/>
    <col min="8199" max="8199" width="0" style="167" hidden="1" customWidth="1"/>
    <col min="8200" max="8200" width="11.42578125" style="167"/>
    <col min="8201" max="8201" width="15.7109375" style="167" customWidth="1"/>
    <col min="8202" max="8441" width="11.42578125" style="167"/>
    <col min="8442" max="8442" width="4.5703125" style="167" customWidth="1"/>
    <col min="8443" max="8443" width="12.5703125" style="167" customWidth="1"/>
    <col min="8444" max="8445" width="11.42578125" style="167"/>
    <col min="8446" max="8446" width="11.42578125" style="167" customWidth="1"/>
    <col min="8447" max="8448" width="11.42578125" style="167"/>
    <col min="8449" max="8449" width="11.42578125" style="167" customWidth="1"/>
    <col min="8450" max="8451" width="11.42578125" style="167"/>
    <col min="8452" max="8452" width="0" style="167" hidden="1" customWidth="1"/>
    <col min="8453" max="8454" width="11.42578125" style="167"/>
    <col min="8455" max="8455" width="0" style="167" hidden="1" customWidth="1"/>
    <col min="8456" max="8456" width="11.42578125" style="167"/>
    <col min="8457" max="8457" width="15.7109375" style="167" customWidth="1"/>
    <col min="8458" max="8697" width="11.42578125" style="167"/>
    <col min="8698" max="8698" width="4.5703125" style="167" customWidth="1"/>
    <col min="8699" max="8699" width="12.5703125" style="167" customWidth="1"/>
    <col min="8700" max="8701" width="11.42578125" style="167"/>
    <col min="8702" max="8702" width="11.42578125" style="167" customWidth="1"/>
    <col min="8703" max="8704" width="11.42578125" style="167"/>
    <col min="8705" max="8705" width="11.42578125" style="167" customWidth="1"/>
    <col min="8706" max="8707" width="11.42578125" style="167"/>
    <col min="8708" max="8708" width="0" style="167" hidden="1" customWidth="1"/>
    <col min="8709" max="8710" width="11.42578125" style="167"/>
    <col min="8711" max="8711" width="0" style="167" hidden="1" customWidth="1"/>
    <col min="8712" max="8712" width="11.42578125" style="167"/>
    <col min="8713" max="8713" width="15.7109375" style="167" customWidth="1"/>
    <col min="8714" max="8953" width="11.42578125" style="167"/>
    <col min="8954" max="8954" width="4.5703125" style="167" customWidth="1"/>
    <col min="8955" max="8955" width="12.5703125" style="167" customWidth="1"/>
    <col min="8956" max="8957" width="11.42578125" style="167"/>
    <col min="8958" max="8958" width="11.42578125" style="167" customWidth="1"/>
    <col min="8959" max="8960" width="11.42578125" style="167"/>
    <col min="8961" max="8961" width="11.42578125" style="167" customWidth="1"/>
    <col min="8962" max="8963" width="11.42578125" style="167"/>
    <col min="8964" max="8964" width="0" style="167" hidden="1" customWidth="1"/>
    <col min="8965" max="8966" width="11.42578125" style="167"/>
    <col min="8967" max="8967" width="0" style="167" hidden="1" customWidth="1"/>
    <col min="8968" max="8968" width="11.42578125" style="167"/>
    <col min="8969" max="8969" width="15.7109375" style="167" customWidth="1"/>
    <col min="8970" max="9209" width="11.42578125" style="167"/>
    <col min="9210" max="9210" width="4.5703125" style="167" customWidth="1"/>
    <col min="9211" max="9211" width="12.5703125" style="167" customWidth="1"/>
    <col min="9212" max="9213" width="11.42578125" style="167"/>
    <col min="9214" max="9214" width="11.42578125" style="167" customWidth="1"/>
    <col min="9215" max="9216" width="11.42578125" style="167"/>
    <col min="9217" max="9217" width="11.42578125" style="167" customWidth="1"/>
    <col min="9218" max="9219" width="11.42578125" style="167"/>
    <col min="9220" max="9220" width="0" style="167" hidden="1" customWidth="1"/>
    <col min="9221" max="9222" width="11.42578125" style="167"/>
    <col min="9223" max="9223" width="0" style="167" hidden="1" customWidth="1"/>
    <col min="9224" max="9224" width="11.42578125" style="167"/>
    <col min="9225" max="9225" width="15.7109375" style="167" customWidth="1"/>
    <col min="9226" max="9465" width="11.42578125" style="167"/>
    <col min="9466" max="9466" width="4.5703125" style="167" customWidth="1"/>
    <col min="9467" max="9467" width="12.5703125" style="167" customWidth="1"/>
    <col min="9468" max="9469" width="11.42578125" style="167"/>
    <col min="9470" max="9470" width="11.42578125" style="167" customWidth="1"/>
    <col min="9471" max="9472" width="11.42578125" style="167"/>
    <col min="9473" max="9473" width="11.42578125" style="167" customWidth="1"/>
    <col min="9474" max="9475" width="11.42578125" style="167"/>
    <col min="9476" max="9476" width="0" style="167" hidden="1" customWidth="1"/>
    <col min="9477" max="9478" width="11.42578125" style="167"/>
    <col min="9479" max="9479" width="0" style="167" hidden="1" customWidth="1"/>
    <col min="9480" max="9480" width="11.42578125" style="167"/>
    <col min="9481" max="9481" width="15.7109375" style="167" customWidth="1"/>
    <col min="9482" max="9721" width="11.42578125" style="167"/>
    <col min="9722" max="9722" width="4.5703125" style="167" customWidth="1"/>
    <col min="9723" max="9723" width="12.5703125" style="167" customWidth="1"/>
    <col min="9724" max="9725" width="11.42578125" style="167"/>
    <col min="9726" max="9726" width="11.42578125" style="167" customWidth="1"/>
    <col min="9727" max="9728" width="11.42578125" style="167"/>
    <col min="9729" max="9729" width="11.42578125" style="167" customWidth="1"/>
    <col min="9730" max="9731" width="11.42578125" style="167"/>
    <col min="9732" max="9732" width="0" style="167" hidden="1" customWidth="1"/>
    <col min="9733" max="9734" width="11.42578125" style="167"/>
    <col min="9735" max="9735" width="0" style="167" hidden="1" customWidth="1"/>
    <col min="9736" max="9736" width="11.42578125" style="167"/>
    <col min="9737" max="9737" width="15.7109375" style="167" customWidth="1"/>
    <col min="9738" max="9977" width="11.42578125" style="167"/>
    <col min="9978" max="9978" width="4.5703125" style="167" customWidth="1"/>
    <col min="9979" max="9979" width="12.5703125" style="167" customWidth="1"/>
    <col min="9980" max="9981" width="11.42578125" style="167"/>
    <col min="9982" max="9982" width="11.42578125" style="167" customWidth="1"/>
    <col min="9983" max="9984" width="11.42578125" style="167"/>
    <col min="9985" max="9985" width="11.42578125" style="167" customWidth="1"/>
    <col min="9986" max="9987" width="11.42578125" style="167"/>
    <col min="9988" max="9988" width="0" style="167" hidden="1" customWidth="1"/>
    <col min="9989" max="9990" width="11.42578125" style="167"/>
    <col min="9991" max="9991" width="0" style="167" hidden="1" customWidth="1"/>
    <col min="9992" max="9992" width="11.42578125" style="167"/>
    <col min="9993" max="9993" width="15.7109375" style="167" customWidth="1"/>
    <col min="9994" max="10233" width="11.42578125" style="167"/>
    <col min="10234" max="10234" width="4.5703125" style="167" customWidth="1"/>
    <col min="10235" max="10235" width="12.5703125" style="167" customWidth="1"/>
    <col min="10236" max="10237" width="11.42578125" style="167"/>
    <col min="10238" max="10238" width="11.42578125" style="167" customWidth="1"/>
    <col min="10239" max="10240" width="11.42578125" style="167"/>
    <col min="10241" max="10241" width="11.42578125" style="167" customWidth="1"/>
    <col min="10242" max="10243" width="11.42578125" style="167"/>
    <col min="10244" max="10244" width="0" style="167" hidden="1" customWidth="1"/>
    <col min="10245" max="10246" width="11.42578125" style="167"/>
    <col min="10247" max="10247" width="0" style="167" hidden="1" customWidth="1"/>
    <col min="10248" max="10248" width="11.42578125" style="167"/>
    <col min="10249" max="10249" width="15.7109375" style="167" customWidth="1"/>
    <col min="10250" max="10489" width="11.42578125" style="167"/>
    <col min="10490" max="10490" width="4.5703125" style="167" customWidth="1"/>
    <col min="10491" max="10491" width="12.5703125" style="167" customWidth="1"/>
    <col min="10492" max="10493" width="11.42578125" style="167"/>
    <col min="10494" max="10494" width="11.42578125" style="167" customWidth="1"/>
    <col min="10495" max="10496" width="11.42578125" style="167"/>
    <col min="10497" max="10497" width="11.42578125" style="167" customWidth="1"/>
    <col min="10498" max="10499" width="11.42578125" style="167"/>
    <col min="10500" max="10500" width="0" style="167" hidden="1" customWidth="1"/>
    <col min="10501" max="10502" width="11.42578125" style="167"/>
    <col min="10503" max="10503" width="0" style="167" hidden="1" customWidth="1"/>
    <col min="10504" max="10504" width="11.42578125" style="167"/>
    <col min="10505" max="10505" width="15.7109375" style="167" customWidth="1"/>
    <col min="10506" max="10745" width="11.42578125" style="167"/>
    <col min="10746" max="10746" width="4.5703125" style="167" customWidth="1"/>
    <col min="10747" max="10747" width="12.5703125" style="167" customWidth="1"/>
    <col min="10748" max="10749" width="11.42578125" style="167"/>
    <col min="10750" max="10750" width="11.42578125" style="167" customWidth="1"/>
    <col min="10751" max="10752" width="11.42578125" style="167"/>
    <col min="10753" max="10753" width="11.42578125" style="167" customWidth="1"/>
    <col min="10754" max="10755" width="11.42578125" style="167"/>
    <col min="10756" max="10756" width="0" style="167" hidden="1" customWidth="1"/>
    <col min="10757" max="10758" width="11.42578125" style="167"/>
    <col min="10759" max="10759" width="0" style="167" hidden="1" customWidth="1"/>
    <col min="10760" max="10760" width="11.42578125" style="167"/>
    <col min="10761" max="10761" width="15.7109375" style="167" customWidth="1"/>
    <col min="10762" max="11001" width="11.42578125" style="167"/>
    <col min="11002" max="11002" width="4.5703125" style="167" customWidth="1"/>
    <col min="11003" max="11003" width="12.5703125" style="167" customWidth="1"/>
    <col min="11004" max="11005" width="11.42578125" style="167"/>
    <col min="11006" max="11006" width="11.42578125" style="167" customWidth="1"/>
    <col min="11007" max="11008" width="11.42578125" style="167"/>
    <col min="11009" max="11009" width="11.42578125" style="167" customWidth="1"/>
    <col min="11010" max="11011" width="11.42578125" style="167"/>
    <col min="11012" max="11012" width="0" style="167" hidden="1" customWidth="1"/>
    <col min="11013" max="11014" width="11.42578125" style="167"/>
    <col min="11015" max="11015" width="0" style="167" hidden="1" customWidth="1"/>
    <col min="11016" max="11016" width="11.42578125" style="167"/>
    <col min="11017" max="11017" width="15.7109375" style="167" customWidth="1"/>
    <col min="11018" max="11257" width="11.42578125" style="167"/>
    <col min="11258" max="11258" width="4.5703125" style="167" customWidth="1"/>
    <col min="11259" max="11259" width="12.5703125" style="167" customWidth="1"/>
    <col min="11260" max="11261" width="11.42578125" style="167"/>
    <col min="11262" max="11262" width="11.42578125" style="167" customWidth="1"/>
    <col min="11263" max="11264" width="11.42578125" style="167"/>
    <col min="11265" max="11265" width="11.42578125" style="167" customWidth="1"/>
    <col min="11266" max="11267" width="11.42578125" style="167"/>
    <col min="11268" max="11268" width="0" style="167" hidden="1" customWidth="1"/>
    <col min="11269" max="11270" width="11.42578125" style="167"/>
    <col min="11271" max="11271" width="0" style="167" hidden="1" customWidth="1"/>
    <col min="11272" max="11272" width="11.42578125" style="167"/>
    <col min="11273" max="11273" width="15.7109375" style="167" customWidth="1"/>
    <col min="11274" max="11513" width="11.42578125" style="167"/>
    <col min="11514" max="11514" width="4.5703125" style="167" customWidth="1"/>
    <col min="11515" max="11515" width="12.5703125" style="167" customWidth="1"/>
    <col min="11516" max="11517" width="11.42578125" style="167"/>
    <col min="11518" max="11518" width="11.42578125" style="167" customWidth="1"/>
    <col min="11519" max="11520" width="11.42578125" style="167"/>
    <col min="11521" max="11521" width="11.42578125" style="167" customWidth="1"/>
    <col min="11522" max="11523" width="11.42578125" style="167"/>
    <col min="11524" max="11524" width="0" style="167" hidden="1" customWidth="1"/>
    <col min="11525" max="11526" width="11.42578125" style="167"/>
    <col min="11527" max="11527" width="0" style="167" hidden="1" customWidth="1"/>
    <col min="11528" max="11528" width="11.42578125" style="167"/>
    <col min="11529" max="11529" width="15.7109375" style="167" customWidth="1"/>
    <col min="11530" max="11769" width="11.42578125" style="167"/>
    <col min="11770" max="11770" width="4.5703125" style="167" customWidth="1"/>
    <col min="11771" max="11771" width="12.5703125" style="167" customWidth="1"/>
    <col min="11772" max="11773" width="11.42578125" style="167"/>
    <col min="11774" max="11774" width="11.42578125" style="167" customWidth="1"/>
    <col min="11775" max="11776" width="11.42578125" style="167"/>
    <col min="11777" max="11777" width="11.42578125" style="167" customWidth="1"/>
    <col min="11778" max="11779" width="11.42578125" style="167"/>
    <col min="11780" max="11780" width="0" style="167" hidden="1" customWidth="1"/>
    <col min="11781" max="11782" width="11.42578125" style="167"/>
    <col min="11783" max="11783" width="0" style="167" hidden="1" customWidth="1"/>
    <col min="11784" max="11784" width="11.42578125" style="167"/>
    <col min="11785" max="11785" width="15.7109375" style="167" customWidth="1"/>
    <col min="11786" max="12025" width="11.42578125" style="167"/>
    <col min="12026" max="12026" width="4.5703125" style="167" customWidth="1"/>
    <col min="12027" max="12027" width="12.5703125" style="167" customWidth="1"/>
    <col min="12028" max="12029" width="11.42578125" style="167"/>
    <col min="12030" max="12030" width="11.42578125" style="167" customWidth="1"/>
    <col min="12031" max="12032" width="11.42578125" style="167"/>
    <col min="12033" max="12033" width="11.42578125" style="167" customWidth="1"/>
    <col min="12034" max="12035" width="11.42578125" style="167"/>
    <col min="12036" max="12036" width="0" style="167" hidden="1" customWidth="1"/>
    <col min="12037" max="12038" width="11.42578125" style="167"/>
    <col min="12039" max="12039" width="0" style="167" hidden="1" customWidth="1"/>
    <col min="12040" max="12040" width="11.42578125" style="167"/>
    <col min="12041" max="12041" width="15.7109375" style="167" customWidth="1"/>
    <col min="12042" max="12281" width="11.42578125" style="167"/>
    <col min="12282" max="12282" width="4.5703125" style="167" customWidth="1"/>
    <col min="12283" max="12283" width="12.5703125" style="167" customWidth="1"/>
    <col min="12284" max="12285" width="11.42578125" style="167"/>
    <col min="12286" max="12286" width="11.42578125" style="167" customWidth="1"/>
    <col min="12287" max="12288" width="11.42578125" style="167"/>
    <col min="12289" max="12289" width="11.42578125" style="167" customWidth="1"/>
    <col min="12290" max="12291" width="11.42578125" style="167"/>
    <col min="12292" max="12292" width="0" style="167" hidden="1" customWidth="1"/>
    <col min="12293" max="12294" width="11.42578125" style="167"/>
    <col min="12295" max="12295" width="0" style="167" hidden="1" customWidth="1"/>
    <col min="12296" max="12296" width="11.42578125" style="167"/>
    <col min="12297" max="12297" width="15.7109375" style="167" customWidth="1"/>
    <col min="12298" max="12537" width="11.42578125" style="167"/>
    <col min="12538" max="12538" width="4.5703125" style="167" customWidth="1"/>
    <col min="12539" max="12539" width="12.5703125" style="167" customWidth="1"/>
    <col min="12540" max="12541" width="11.42578125" style="167"/>
    <col min="12542" max="12542" width="11.42578125" style="167" customWidth="1"/>
    <col min="12543" max="12544" width="11.42578125" style="167"/>
    <col min="12545" max="12545" width="11.42578125" style="167" customWidth="1"/>
    <col min="12546" max="12547" width="11.42578125" style="167"/>
    <col min="12548" max="12548" width="0" style="167" hidden="1" customWidth="1"/>
    <col min="12549" max="12550" width="11.42578125" style="167"/>
    <col min="12551" max="12551" width="0" style="167" hidden="1" customWidth="1"/>
    <col min="12552" max="12552" width="11.42578125" style="167"/>
    <col min="12553" max="12553" width="15.7109375" style="167" customWidth="1"/>
    <col min="12554" max="12793" width="11.42578125" style="167"/>
    <col min="12794" max="12794" width="4.5703125" style="167" customWidth="1"/>
    <col min="12795" max="12795" width="12.5703125" style="167" customWidth="1"/>
    <col min="12796" max="12797" width="11.42578125" style="167"/>
    <col min="12798" max="12798" width="11.42578125" style="167" customWidth="1"/>
    <col min="12799" max="12800" width="11.42578125" style="167"/>
    <col min="12801" max="12801" width="11.42578125" style="167" customWidth="1"/>
    <col min="12802" max="12803" width="11.42578125" style="167"/>
    <col min="12804" max="12804" width="0" style="167" hidden="1" customWidth="1"/>
    <col min="12805" max="12806" width="11.42578125" style="167"/>
    <col min="12807" max="12807" width="0" style="167" hidden="1" customWidth="1"/>
    <col min="12808" max="12808" width="11.42578125" style="167"/>
    <col min="12809" max="12809" width="15.7109375" style="167" customWidth="1"/>
    <col min="12810" max="13049" width="11.42578125" style="167"/>
    <col min="13050" max="13050" width="4.5703125" style="167" customWidth="1"/>
    <col min="13051" max="13051" width="12.5703125" style="167" customWidth="1"/>
    <col min="13052" max="13053" width="11.42578125" style="167"/>
    <col min="13054" max="13054" width="11.42578125" style="167" customWidth="1"/>
    <col min="13055" max="13056" width="11.42578125" style="167"/>
    <col min="13057" max="13057" width="11.42578125" style="167" customWidth="1"/>
    <col min="13058" max="13059" width="11.42578125" style="167"/>
    <col min="13060" max="13060" width="0" style="167" hidden="1" customWidth="1"/>
    <col min="13061" max="13062" width="11.42578125" style="167"/>
    <col min="13063" max="13063" width="0" style="167" hidden="1" customWidth="1"/>
    <col min="13064" max="13064" width="11.42578125" style="167"/>
    <col min="13065" max="13065" width="15.7109375" style="167" customWidth="1"/>
    <col min="13066" max="13305" width="11.42578125" style="167"/>
    <col min="13306" max="13306" width="4.5703125" style="167" customWidth="1"/>
    <col min="13307" max="13307" width="12.5703125" style="167" customWidth="1"/>
    <col min="13308" max="13309" width="11.42578125" style="167"/>
    <col min="13310" max="13310" width="11.42578125" style="167" customWidth="1"/>
    <col min="13311" max="13312" width="11.42578125" style="167"/>
    <col min="13313" max="13313" width="11.42578125" style="167" customWidth="1"/>
    <col min="13314" max="13315" width="11.42578125" style="167"/>
    <col min="13316" max="13316" width="0" style="167" hidden="1" customWidth="1"/>
    <col min="13317" max="13318" width="11.42578125" style="167"/>
    <col min="13319" max="13319" width="0" style="167" hidden="1" customWidth="1"/>
    <col min="13320" max="13320" width="11.42578125" style="167"/>
    <col min="13321" max="13321" width="15.7109375" style="167" customWidth="1"/>
    <col min="13322" max="13561" width="11.42578125" style="167"/>
    <col min="13562" max="13562" width="4.5703125" style="167" customWidth="1"/>
    <col min="13563" max="13563" width="12.5703125" style="167" customWidth="1"/>
    <col min="13564" max="13565" width="11.42578125" style="167"/>
    <col min="13566" max="13566" width="11.42578125" style="167" customWidth="1"/>
    <col min="13567" max="13568" width="11.42578125" style="167"/>
    <col min="13569" max="13569" width="11.42578125" style="167" customWidth="1"/>
    <col min="13570" max="13571" width="11.42578125" style="167"/>
    <col min="13572" max="13572" width="0" style="167" hidden="1" customWidth="1"/>
    <col min="13573" max="13574" width="11.42578125" style="167"/>
    <col min="13575" max="13575" width="0" style="167" hidden="1" customWidth="1"/>
    <col min="13576" max="13576" width="11.42578125" style="167"/>
    <col min="13577" max="13577" width="15.7109375" style="167" customWidth="1"/>
    <col min="13578" max="13817" width="11.42578125" style="167"/>
    <col min="13818" max="13818" width="4.5703125" style="167" customWidth="1"/>
    <col min="13819" max="13819" width="12.5703125" style="167" customWidth="1"/>
    <col min="13820" max="13821" width="11.42578125" style="167"/>
    <col min="13822" max="13822" width="11.42578125" style="167" customWidth="1"/>
    <col min="13823" max="13824" width="11.42578125" style="167"/>
    <col min="13825" max="13825" width="11.42578125" style="167" customWidth="1"/>
    <col min="13826" max="13827" width="11.42578125" style="167"/>
    <col min="13828" max="13828" width="0" style="167" hidden="1" customWidth="1"/>
    <col min="13829" max="13830" width="11.42578125" style="167"/>
    <col min="13831" max="13831" width="0" style="167" hidden="1" customWidth="1"/>
    <col min="13832" max="13832" width="11.42578125" style="167"/>
    <col min="13833" max="13833" width="15.7109375" style="167" customWidth="1"/>
    <col min="13834" max="14073" width="11.42578125" style="167"/>
    <col min="14074" max="14074" width="4.5703125" style="167" customWidth="1"/>
    <col min="14075" max="14075" width="12.5703125" style="167" customWidth="1"/>
    <col min="14076" max="14077" width="11.42578125" style="167"/>
    <col min="14078" max="14078" width="11.42578125" style="167" customWidth="1"/>
    <col min="14079" max="14080" width="11.42578125" style="167"/>
    <col min="14081" max="14081" width="11.42578125" style="167" customWidth="1"/>
    <col min="14082" max="14083" width="11.42578125" style="167"/>
    <col min="14084" max="14084" width="0" style="167" hidden="1" customWidth="1"/>
    <col min="14085" max="14086" width="11.42578125" style="167"/>
    <col min="14087" max="14087" width="0" style="167" hidden="1" customWidth="1"/>
    <col min="14088" max="14088" width="11.42578125" style="167"/>
    <col min="14089" max="14089" width="15.7109375" style="167" customWidth="1"/>
    <col min="14090" max="14329" width="11.42578125" style="167"/>
    <col min="14330" max="14330" width="4.5703125" style="167" customWidth="1"/>
    <col min="14331" max="14331" width="12.5703125" style="167" customWidth="1"/>
    <col min="14332" max="14333" width="11.42578125" style="167"/>
    <col min="14334" max="14334" width="11.42578125" style="167" customWidth="1"/>
    <col min="14335" max="14336" width="11.42578125" style="167"/>
    <col min="14337" max="14337" width="11.42578125" style="167" customWidth="1"/>
    <col min="14338" max="14339" width="11.42578125" style="167"/>
    <col min="14340" max="14340" width="0" style="167" hidden="1" customWidth="1"/>
    <col min="14341" max="14342" width="11.42578125" style="167"/>
    <col min="14343" max="14343" width="0" style="167" hidden="1" customWidth="1"/>
    <col min="14344" max="14344" width="11.42578125" style="167"/>
    <col min="14345" max="14345" width="15.7109375" style="167" customWidth="1"/>
    <col min="14346" max="14585" width="11.42578125" style="167"/>
    <col min="14586" max="14586" width="4.5703125" style="167" customWidth="1"/>
    <col min="14587" max="14587" width="12.5703125" style="167" customWidth="1"/>
    <col min="14588" max="14589" width="11.42578125" style="167"/>
    <col min="14590" max="14590" width="11.42578125" style="167" customWidth="1"/>
    <col min="14591" max="14592" width="11.42578125" style="167"/>
    <col min="14593" max="14593" width="11.42578125" style="167" customWidth="1"/>
    <col min="14594" max="14595" width="11.42578125" style="167"/>
    <col min="14596" max="14596" width="0" style="167" hidden="1" customWidth="1"/>
    <col min="14597" max="14598" width="11.42578125" style="167"/>
    <col min="14599" max="14599" width="0" style="167" hidden="1" customWidth="1"/>
    <col min="14600" max="14600" width="11.42578125" style="167"/>
    <col min="14601" max="14601" width="15.7109375" style="167" customWidth="1"/>
    <col min="14602" max="14841" width="11.42578125" style="167"/>
    <col min="14842" max="14842" width="4.5703125" style="167" customWidth="1"/>
    <col min="14843" max="14843" width="12.5703125" style="167" customWidth="1"/>
    <col min="14844" max="14845" width="11.42578125" style="167"/>
    <col min="14846" max="14846" width="11.42578125" style="167" customWidth="1"/>
    <col min="14847" max="14848" width="11.42578125" style="167"/>
    <col min="14849" max="14849" width="11.42578125" style="167" customWidth="1"/>
    <col min="14850" max="14851" width="11.42578125" style="167"/>
    <col min="14852" max="14852" width="0" style="167" hidden="1" customWidth="1"/>
    <col min="14853" max="14854" width="11.42578125" style="167"/>
    <col min="14855" max="14855" width="0" style="167" hidden="1" customWidth="1"/>
    <col min="14856" max="14856" width="11.42578125" style="167"/>
    <col min="14857" max="14857" width="15.7109375" style="167" customWidth="1"/>
    <col min="14858" max="15097" width="11.42578125" style="167"/>
    <col min="15098" max="15098" width="4.5703125" style="167" customWidth="1"/>
    <col min="15099" max="15099" width="12.5703125" style="167" customWidth="1"/>
    <col min="15100" max="15101" width="11.42578125" style="167"/>
    <col min="15102" max="15102" width="11.42578125" style="167" customWidth="1"/>
    <col min="15103" max="15104" width="11.42578125" style="167"/>
    <col min="15105" max="15105" width="11.42578125" style="167" customWidth="1"/>
    <col min="15106" max="15107" width="11.42578125" style="167"/>
    <col min="15108" max="15108" width="0" style="167" hidden="1" customWidth="1"/>
    <col min="15109" max="15110" width="11.42578125" style="167"/>
    <col min="15111" max="15111" width="0" style="167" hidden="1" customWidth="1"/>
    <col min="15112" max="15112" width="11.42578125" style="167"/>
    <col min="15113" max="15113" width="15.7109375" style="167" customWidth="1"/>
    <col min="15114" max="15353" width="11.42578125" style="167"/>
    <col min="15354" max="15354" width="4.5703125" style="167" customWidth="1"/>
    <col min="15355" max="15355" width="12.5703125" style="167" customWidth="1"/>
    <col min="15356" max="15357" width="11.42578125" style="167"/>
    <col min="15358" max="15358" width="11.42578125" style="167" customWidth="1"/>
    <col min="15359" max="15360" width="11.42578125" style="167"/>
    <col min="15361" max="15361" width="11.42578125" style="167" customWidth="1"/>
    <col min="15362" max="15363" width="11.42578125" style="167"/>
    <col min="15364" max="15364" width="0" style="167" hidden="1" customWidth="1"/>
    <col min="15365" max="15366" width="11.42578125" style="167"/>
    <col min="15367" max="15367" width="0" style="167" hidden="1" customWidth="1"/>
    <col min="15368" max="15368" width="11.42578125" style="167"/>
    <col min="15369" max="15369" width="15.7109375" style="167" customWidth="1"/>
    <col min="15370" max="15609" width="11.42578125" style="167"/>
    <col min="15610" max="15610" width="4.5703125" style="167" customWidth="1"/>
    <col min="15611" max="15611" width="12.5703125" style="167" customWidth="1"/>
    <col min="15612" max="15613" width="11.42578125" style="167"/>
    <col min="15614" max="15614" width="11.42578125" style="167" customWidth="1"/>
    <col min="15615" max="15616" width="11.42578125" style="167"/>
    <col min="15617" max="15617" width="11.42578125" style="167" customWidth="1"/>
    <col min="15618" max="15619" width="11.42578125" style="167"/>
    <col min="15620" max="15620" width="0" style="167" hidden="1" customWidth="1"/>
    <col min="15621" max="15622" width="11.42578125" style="167"/>
    <col min="15623" max="15623" width="0" style="167" hidden="1" customWidth="1"/>
    <col min="15624" max="15624" width="11.42578125" style="167"/>
    <col min="15625" max="15625" width="15.7109375" style="167" customWidth="1"/>
    <col min="15626" max="15865" width="11.42578125" style="167"/>
    <col min="15866" max="15866" width="4.5703125" style="167" customWidth="1"/>
    <col min="15867" max="15867" width="12.5703125" style="167" customWidth="1"/>
    <col min="15868" max="15869" width="11.42578125" style="167"/>
    <col min="15870" max="15870" width="11.42578125" style="167" customWidth="1"/>
    <col min="15871" max="15872" width="11.42578125" style="167"/>
    <col min="15873" max="15873" width="11.42578125" style="167" customWidth="1"/>
    <col min="15874" max="15875" width="11.42578125" style="167"/>
    <col min="15876" max="15876" width="0" style="167" hidden="1" customWidth="1"/>
    <col min="15877" max="15878" width="11.42578125" style="167"/>
    <col min="15879" max="15879" width="0" style="167" hidden="1" customWidth="1"/>
    <col min="15880" max="15880" width="11.42578125" style="167"/>
    <col min="15881" max="15881" width="15.7109375" style="167" customWidth="1"/>
    <col min="15882" max="16121" width="11.42578125" style="167"/>
    <col min="16122" max="16122" width="4.5703125" style="167" customWidth="1"/>
    <col min="16123" max="16123" width="12.5703125" style="167" customWidth="1"/>
    <col min="16124" max="16125" width="11.42578125" style="167"/>
    <col min="16126" max="16126" width="11.42578125" style="167" customWidth="1"/>
    <col min="16127" max="16128" width="11.42578125" style="167"/>
    <col min="16129" max="16129" width="11.42578125" style="167" customWidth="1"/>
    <col min="16130" max="16131" width="11.42578125" style="167"/>
    <col min="16132" max="16132" width="0" style="167" hidden="1" customWidth="1"/>
    <col min="16133" max="16134" width="11.42578125" style="167"/>
    <col min="16135" max="16135" width="0" style="167" hidden="1" customWidth="1"/>
    <col min="16136" max="16136" width="11.42578125" style="167"/>
    <col min="16137" max="16137" width="15.7109375" style="167" customWidth="1"/>
    <col min="16138" max="16384" width="11.42578125" style="167"/>
  </cols>
  <sheetData>
    <row r="2" spans="1:10" x14ac:dyDescent="0.2">
      <c r="A2" s="196" t="s">
        <v>121</v>
      </c>
    </row>
    <row r="3" spans="1:10" x14ac:dyDescent="0.2">
      <c r="A3" s="196" t="s">
        <v>122</v>
      </c>
    </row>
    <row r="5" spans="1:10" ht="12.75" x14ac:dyDescent="0.2">
      <c r="B5" s="418" t="s">
        <v>484</v>
      </c>
      <c r="C5" s="418"/>
      <c r="D5" s="418"/>
      <c r="E5" s="418"/>
      <c r="F5" s="418"/>
      <c r="G5" s="418"/>
      <c r="H5" s="418"/>
      <c r="I5" s="418"/>
      <c r="J5" s="418"/>
    </row>
    <row r="6" spans="1:10" ht="12.75" x14ac:dyDescent="0.2">
      <c r="B6" s="418" t="s">
        <v>651</v>
      </c>
      <c r="C6" s="418"/>
      <c r="D6" s="418"/>
      <c r="E6" s="418"/>
      <c r="F6" s="418"/>
      <c r="G6" s="418"/>
      <c r="H6" s="418"/>
      <c r="I6" s="418"/>
      <c r="J6" s="418"/>
    </row>
    <row r="8" spans="1:10" x14ac:dyDescent="0.2">
      <c r="B8" s="457" t="s">
        <v>483</v>
      </c>
      <c r="C8" s="460" t="s">
        <v>485</v>
      </c>
      <c r="D8" s="461"/>
      <c r="E8" s="461"/>
      <c r="F8" s="461"/>
      <c r="G8" s="461"/>
      <c r="H8" s="461"/>
      <c r="I8" s="461"/>
      <c r="J8" s="462"/>
    </row>
    <row r="9" spans="1:10" x14ac:dyDescent="0.2">
      <c r="B9" s="458"/>
      <c r="C9" s="460" t="s">
        <v>486</v>
      </c>
      <c r="D9" s="462"/>
      <c r="E9" s="460" t="s">
        <v>487</v>
      </c>
      <c r="F9" s="462"/>
      <c r="G9" s="460" t="s">
        <v>488</v>
      </c>
      <c r="H9" s="462"/>
      <c r="I9" s="460" t="s">
        <v>43</v>
      </c>
      <c r="J9" s="462"/>
    </row>
    <row r="10" spans="1:10" ht="24" x14ac:dyDescent="0.2">
      <c r="B10" s="459"/>
      <c r="C10" s="385" t="s">
        <v>489</v>
      </c>
      <c r="D10" s="385" t="s">
        <v>490</v>
      </c>
      <c r="E10" s="385" t="s">
        <v>489</v>
      </c>
      <c r="F10" s="385" t="s">
        <v>490</v>
      </c>
      <c r="G10" s="385" t="s">
        <v>489</v>
      </c>
      <c r="H10" s="385" t="s">
        <v>490</v>
      </c>
      <c r="I10" s="385" t="s">
        <v>489</v>
      </c>
      <c r="J10" s="385" t="s">
        <v>491</v>
      </c>
    </row>
    <row r="11" spans="1:10" x14ac:dyDescent="0.2">
      <c r="B11" s="230" t="s">
        <v>492</v>
      </c>
      <c r="C11" s="231"/>
      <c r="D11" s="231"/>
      <c r="E11" s="231"/>
      <c r="F11" s="231"/>
      <c r="G11" s="231"/>
      <c r="H11" s="231"/>
      <c r="I11" s="232">
        <v>23671</v>
      </c>
      <c r="J11" s="232">
        <v>102602</v>
      </c>
    </row>
    <row r="12" spans="1:10" x14ac:dyDescent="0.2">
      <c r="B12" s="230">
        <v>2010</v>
      </c>
      <c r="C12" s="231"/>
      <c r="D12" s="231"/>
      <c r="E12" s="231"/>
      <c r="F12" s="231"/>
      <c r="G12" s="231"/>
      <c r="H12" s="231"/>
      <c r="I12" s="232">
        <v>90591</v>
      </c>
      <c r="J12" s="232">
        <v>283345</v>
      </c>
    </row>
    <row r="13" spans="1:10" x14ac:dyDescent="0.2">
      <c r="B13" s="230">
        <v>2011</v>
      </c>
      <c r="C13" s="231"/>
      <c r="D13" s="231"/>
      <c r="E13" s="231"/>
      <c r="F13" s="231"/>
      <c r="G13" s="231"/>
      <c r="H13" s="231"/>
      <c r="I13" s="232">
        <v>105822</v>
      </c>
      <c r="J13" s="232">
        <v>430659</v>
      </c>
    </row>
    <row r="14" spans="1:10" x14ac:dyDescent="0.2">
      <c r="B14" s="230">
        <v>2012</v>
      </c>
      <c r="C14" s="231"/>
      <c r="D14" s="231"/>
      <c r="E14" s="231"/>
      <c r="F14" s="231"/>
      <c r="G14" s="231"/>
      <c r="H14" s="231"/>
      <c r="I14" s="232">
        <v>54727</v>
      </c>
      <c r="J14" s="232">
        <v>214792</v>
      </c>
    </row>
    <row r="15" spans="1:10" x14ac:dyDescent="0.2">
      <c r="B15" s="233">
        <v>41275</v>
      </c>
      <c r="C15" s="234">
        <v>1344</v>
      </c>
      <c r="D15" s="234">
        <v>5074</v>
      </c>
      <c r="E15" s="235">
        <v>84</v>
      </c>
      <c r="F15" s="235">
        <v>433</v>
      </c>
      <c r="G15" s="234">
        <v>1525</v>
      </c>
      <c r="H15" s="234">
        <v>5846</v>
      </c>
      <c r="I15" s="234">
        <v>2953</v>
      </c>
      <c r="J15" s="234">
        <v>11353</v>
      </c>
    </row>
    <row r="16" spans="1:10" x14ac:dyDescent="0.2">
      <c r="B16" s="233">
        <v>41306</v>
      </c>
      <c r="C16" s="234">
        <v>1353</v>
      </c>
      <c r="D16" s="234">
        <v>5003</v>
      </c>
      <c r="E16" s="235">
        <v>87</v>
      </c>
      <c r="F16" s="235">
        <v>397</v>
      </c>
      <c r="G16" s="234">
        <v>1589</v>
      </c>
      <c r="H16" s="234">
        <v>5817</v>
      </c>
      <c r="I16" s="234">
        <v>3029</v>
      </c>
      <c r="J16" s="234">
        <v>11217</v>
      </c>
    </row>
    <row r="17" spans="2:10" x14ac:dyDescent="0.2">
      <c r="B17" s="233">
        <v>41334</v>
      </c>
      <c r="C17" s="234">
        <v>1556</v>
      </c>
      <c r="D17" s="234">
        <v>5790</v>
      </c>
      <c r="E17" s="235">
        <v>83</v>
      </c>
      <c r="F17" s="235">
        <v>353</v>
      </c>
      <c r="G17" s="234">
        <v>1708</v>
      </c>
      <c r="H17" s="234">
        <v>5791</v>
      </c>
      <c r="I17" s="234">
        <v>3347</v>
      </c>
      <c r="J17" s="234">
        <v>11934</v>
      </c>
    </row>
    <row r="18" spans="2:10" x14ac:dyDescent="0.2">
      <c r="B18" s="233">
        <v>41365</v>
      </c>
      <c r="C18" s="234">
        <v>1076</v>
      </c>
      <c r="D18" s="234">
        <v>4086</v>
      </c>
      <c r="E18" s="235">
        <v>69</v>
      </c>
      <c r="F18" s="235">
        <v>271</v>
      </c>
      <c r="G18" s="234">
        <v>1727</v>
      </c>
      <c r="H18" s="234">
        <v>5901</v>
      </c>
      <c r="I18" s="234">
        <v>2872</v>
      </c>
      <c r="J18" s="234">
        <v>10258</v>
      </c>
    </row>
    <row r="19" spans="2:10" x14ac:dyDescent="0.2">
      <c r="B19" s="233">
        <v>41395</v>
      </c>
      <c r="C19" s="235">
        <v>920</v>
      </c>
      <c r="D19" s="234">
        <v>3380</v>
      </c>
      <c r="E19" s="235">
        <v>38</v>
      </c>
      <c r="F19" s="235">
        <v>168</v>
      </c>
      <c r="G19" s="234">
        <v>1182</v>
      </c>
      <c r="H19" s="234">
        <v>4056</v>
      </c>
      <c r="I19" s="234">
        <v>2140</v>
      </c>
      <c r="J19" s="234">
        <v>7604</v>
      </c>
    </row>
    <row r="20" spans="2:10" x14ac:dyDescent="0.2">
      <c r="B20" s="233">
        <v>41426</v>
      </c>
      <c r="C20" s="235">
        <v>911</v>
      </c>
      <c r="D20" s="234">
        <v>3309</v>
      </c>
      <c r="E20" s="235">
        <v>125</v>
      </c>
      <c r="F20" s="235">
        <v>648</v>
      </c>
      <c r="G20" s="234">
        <v>1778</v>
      </c>
      <c r="H20" s="234">
        <v>6154</v>
      </c>
      <c r="I20" s="234">
        <v>2814</v>
      </c>
      <c r="J20" s="234">
        <v>10111</v>
      </c>
    </row>
    <row r="21" spans="2:10" x14ac:dyDescent="0.2">
      <c r="B21" s="233">
        <v>41456</v>
      </c>
      <c r="C21" s="234">
        <v>1073</v>
      </c>
      <c r="D21" s="234">
        <v>3717</v>
      </c>
      <c r="E21" s="235">
        <v>75</v>
      </c>
      <c r="F21" s="235">
        <v>297</v>
      </c>
      <c r="G21" s="234">
        <v>1520</v>
      </c>
      <c r="H21" s="234">
        <v>5115</v>
      </c>
      <c r="I21" s="234">
        <v>2668</v>
      </c>
      <c r="J21" s="234">
        <v>9129</v>
      </c>
    </row>
    <row r="22" spans="2:10" x14ac:dyDescent="0.2">
      <c r="B22" s="233">
        <v>41487</v>
      </c>
      <c r="C22" s="236">
        <v>1037</v>
      </c>
      <c r="D22" s="236">
        <v>3504</v>
      </c>
      <c r="E22" s="237">
        <v>284</v>
      </c>
      <c r="F22" s="236">
        <v>1590</v>
      </c>
      <c r="G22" s="234">
        <v>2172</v>
      </c>
      <c r="H22" s="234">
        <v>6454</v>
      </c>
      <c r="I22" s="234">
        <v>3493</v>
      </c>
      <c r="J22" s="234">
        <v>11548</v>
      </c>
    </row>
    <row r="23" spans="2:10" x14ac:dyDescent="0.2">
      <c r="B23" s="233">
        <v>41518</v>
      </c>
      <c r="C23" s="234">
        <v>2257</v>
      </c>
      <c r="D23" s="234">
        <v>8307</v>
      </c>
      <c r="E23" s="235">
        <v>45</v>
      </c>
      <c r="F23" s="235">
        <v>183</v>
      </c>
      <c r="G23" s="234">
        <v>1509</v>
      </c>
      <c r="H23" s="234">
        <v>5003</v>
      </c>
      <c r="I23" s="234">
        <v>3811</v>
      </c>
      <c r="J23" s="234">
        <v>13493</v>
      </c>
    </row>
    <row r="24" spans="2:10" x14ac:dyDescent="0.2">
      <c r="B24" s="233">
        <v>41548</v>
      </c>
      <c r="C24" s="234">
        <v>2716</v>
      </c>
      <c r="D24" s="234">
        <v>10131</v>
      </c>
      <c r="E24" s="235">
        <v>147</v>
      </c>
      <c r="F24" s="235">
        <v>685</v>
      </c>
      <c r="G24" s="234">
        <v>1865</v>
      </c>
      <c r="H24" s="234">
        <v>6227</v>
      </c>
      <c r="I24" s="234">
        <v>4728</v>
      </c>
      <c r="J24" s="234">
        <v>17043</v>
      </c>
    </row>
    <row r="25" spans="2:10" x14ac:dyDescent="0.2">
      <c r="B25" s="233">
        <v>41579</v>
      </c>
      <c r="C25" s="234">
        <v>1624</v>
      </c>
      <c r="D25" s="234">
        <v>5781</v>
      </c>
      <c r="E25" s="235">
        <v>79</v>
      </c>
      <c r="F25" s="235">
        <v>348</v>
      </c>
      <c r="G25" s="234">
        <v>1639</v>
      </c>
      <c r="H25" s="234">
        <v>5415</v>
      </c>
      <c r="I25" s="234">
        <v>3342</v>
      </c>
      <c r="J25" s="234">
        <v>11544</v>
      </c>
    </row>
    <row r="26" spans="2:10" x14ac:dyDescent="0.2">
      <c r="B26" s="233">
        <v>41609</v>
      </c>
      <c r="C26" s="234">
        <v>1527</v>
      </c>
      <c r="D26" s="234">
        <v>5675</v>
      </c>
      <c r="E26" s="235">
        <v>77</v>
      </c>
      <c r="F26" s="235">
        <v>312</v>
      </c>
      <c r="G26" s="234">
        <v>1584</v>
      </c>
      <c r="H26" s="234">
        <v>4895</v>
      </c>
      <c r="I26" s="234">
        <v>3188</v>
      </c>
      <c r="J26" s="234">
        <v>10882</v>
      </c>
    </row>
    <row r="27" spans="2:10" x14ac:dyDescent="0.2">
      <c r="B27" s="238">
        <v>2013</v>
      </c>
      <c r="C27" s="239">
        <v>17394</v>
      </c>
      <c r="D27" s="239">
        <v>63757</v>
      </c>
      <c r="E27" s="239">
        <v>1193</v>
      </c>
      <c r="F27" s="239">
        <v>5685</v>
      </c>
      <c r="G27" s="239">
        <v>19798</v>
      </c>
      <c r="H27" s="239">
        <v>66674</v>
      </c>
      <c r="I27" s="239">
        <f>SUM(I15:I26)</f>
        <v>38385</v>
      </c>
      <c r="J27" s="239">
        <f>SUM(J15:J26)</f>
        <v>136116</v>
      </c>
    </row>
    <row r="28" spans="2:10" x14ac:dyDescent="0.2">
      <c r="B28" s="233">
        <v>41640</v>
      </c>
      <c r="C28" s="234">
        <v>1680</v>
      </c>
      <c r="D28" s="234">
        <v>6027</v>
      </c>
      <c r="E28" s="235">
        <v>52</v>
      </c>
      <c r="F28" s="235">
        <v>220</v>
      </c>
      <c r="G28" s="234">
        <v>1280</v>
      </c>
      <c r="H28" s="234">
        <v>4011</v>
      </c>
      <c r="I28" s="234">
        <v>3012</v>
      </c>
      <c r="J28" s="234">
        <v>10258</v>
      </c>
    </row>
    <row r="29" spans="2:10" x14ac:dyDescent="0.2">
      <c r="B29" s="233">
        <v>41671</v>
      </c>
      <c r="C29" s="234">
        <v>1550</v>
      </c>
      <c r="D29" s="234">
        <v>5590</v>
      </c>
      <c r="E29" s="235">
        <v>76</v>
      </c>
      <c r="F29" s="235">
        <v>318</v>
      </c>
      <c r="G29" s="234">
        <v>1520</v>
      </c>
      <c r="H29" s="234">
        <v>4945</v>
      </c>
      <c r="I29" s="234">
        <v>3146</v>
      </c>
      <c r="J29" s="234">
        <v>10853</v>
      </c>
    </row>
    <row r="30" spans="2:10" x14ac:dyDescent="0.2">
      <c r="B30" s="233">
        <v>41699</v>
      </c>
      <c r="C30" s="234">
        <v>1367</v>
      </c>
      <c r="D30" s="234">
        <v>4922</v>
      </c>
      <c r="E30" s="235">
        <v>99</v>
      </c>
      <c r="F30" s="235">
        <v>470</v>
      </c>
      <c r="G30" s="234">
        <v>1354</v>
      </c>
      <c r="H30" s="234">
        <v>4290</v>
      </c>
      <c r="I30" s="234">
        <v>2820</v>
      </c>
      <c r="J30" s="234">
        <v>9682</v>
      </c>
    </row>
    <row r="31" spans="2:10" x14ac:dyDescent="0.2">
      <c r="B31" s="233">
        <v>41730</v>
      </c>
      <c r="C31" s="234">
        <v>1713</v>
      </c>
      <c r="D31" s="234">
        <v>6039</v>
      </c>
      <c r="E31" s="235">
        <v>117</v>
      </c>
      <c r="F31" s="235">
        <v>534</v>
      </c>
      <c r="G31" s="234">
        <v>1841</v>
      </c>
      <c r="H31" s="234">
        <v>6029</v>
      </c>
      <c r="I31" s="234">
        <v>3671</v>
      </c>
      <c r="J31" s="234">
        <v>12602</v>
      </c>
    </row>
    <row r="32" spans="2:10" x14ac:dyDescent="0.2">
      <c r="B32" s="233">
        <v>41760</v>
      </c>
      <c r="C32" s="234">
        <v>1767</v>
      </c>
      <c r="D32" s="234">
        <v>6174</v>
      </c>
      <c r="E32" s="235">
        <v>124</v>
      </c>
      <c r="F32" s="235">
        <v>523</v>
      </c>
      <c r="G32" s="234">
        <v>1514</v>
      </c>
      <c r="H32" s="234">
        <v>4663</v>
      </c>
      <c r="I32" s="234">
        <v>3405</v>
      </c>
      <c r="J32" s="234">
        <v>11360</v>
      </c>
    </row>
    <row r="33" spans="2:10" x14ac:dyDescent="0.2">
      <c r="B33" s="233">
        <v>41791</v>
      </c>
      <c r="C33" s="234">
        <v>1613</v>
      </c>
      <c r="D33" s="234">
        <v>5821</v>
      </c>
      <c r="E33" s="235">
        <v>120</v>
      </c>
      <c r="F33" s="235">
        <v>517</v>
      </c>
      <c r="G33" s="234">
        <v>1715</v>
      </c>
      <c r="H33" s="234">
        <v>5301</v>
      </c>
      <c r="I33" s="234">
        <v>3448</v>
      </c>
      <c r="J33" s="234">
        <v>11639</v>
      </c>
    </row>
    <row r="34" spans="2:10" x14ac:dyDescent="0.2">
      <c r="B34" s="233">
        <v>41821</v>
      </c>
      <c r="C34" s="234">
        <v>1419</v>
      </c>
      <c r="D34" s="234">
        <v>4978</v>
      </c>
      <c r="E34" s="235">
        <v>88</v>
      </c>
      <c r="F34" s="235">
        <v>412</v>
      </c>
      <c r="G34" s="234">
        <v>1625</v>
      </c>
      <c r="H34" s="234">
        <v>5129</v>
      </c>
      <c r="I34" s="234">
        <v>3132</v>
      </c>
      <c r="J34" s="234">
        <v>10519</v>
      </c>
    </row>
    <row r="35" spans="2:10" x14ac:dyDescent="0.2">
      <c r="B35" s="233">
        <v>41852</v>
      </c>
      <c r="C35" s="234">
        <v>1494</v>
      </c>
      <c r="D35" s="234">
        <v>5380</v>
      </c>
      <c r="E35" s="235">
        <v>98</v>
      </c>
      <c r="F35" s="235">
        <v>469</v>
      </c>
      <c r="G35" s="234">
        <v>2110</v>
      </c>
      <c r="H35" s="234">
        <v>6696</v>
      </c>
      <c r="I35" s="234">
        <f t="shared" ref="I35:J39" si="0">C35+E35+G35</f>
        <v>3702</v>
      </c>
      <c r="J35" s="234">
        <f t="shared" si="0"/>
        <v>12545</v>
      </c>
    </row>
    <row r="36" spans="2:10" x14ac:dyDescent="0.2">
      <c r="B36" s="233">
        <v>41883</v>
      </c>
      <c r="C36" s="234">
        <v>2074</v>
      </c>
      <c r="D36" s="234">
        <v>6815</v>
      </c>
      <c r="E36" s="235">
        <v>153</v>
      </c>
      <c r="F36" s="235">
        <v>619</v>
      </c>
      <c r="G36" s="234">
        <v>1891</v>
      </c>
      <c r="H36" s="234">
        <v>5544</v>
      </c>
      <c r="I36" s="234">
        <f t="shared" si="0"/>
        <v>4118</v>
      </c>
      <c r="J36" s="234">
        <f t="shared" si="0"/>
        <v>12978</v>
      </c>
    </row>
    <row r="37" spans="2:10" x14ac:dyDescent="0.2">
      <c r="B37" s="233">
        <v>41913</v>
      </c>
      <c r="C37" s="234">
        <v>1793</v>
      </c>
      <c r="D37" s="234">
        <v>6196</v>
      </c>
      <c r="E37" s="235">
        <v>99</v>
      </c>
      <c r="F37" s="235">
        <v>453</v>
      </c>
      <c r="G37" s="234">
        <v>2822</v>
      </c>
      <c r="H37" s="234">
        <v>9121</v>
      </c>
      <c r="I37" s="234">
        <f t="shared" si="0"/>
        <v>4714</v>
      </c>
      <c r="J37" s="234">
        <f t="shared" si="0"/>
        <v>15770</v>
      </c>
    </row>
    <row r="38" spans="2:10" x14ac:dyDescent="0.2">
      <c r="B38" s="233">
        <v>41944</v>
      </c>
      <c r="C38" s="234">
        <v>1417</v>
      </c>
      <c r="D38" s="234">
        <v>5025</v>
      </c>
      <c r="E38" s="235">
        <v>119</v>
      </c>
      <c r="F38" s="235">
        <v>521</v>
      </c>
      <c r="G38" s="234">
        <v>2963</v>
      </c>
      <c r="H38" s="234">
        <v>9093</v>
      </c>
      <c r="I38" s="234">
        <f t="shared" si="0"/>
        <v>4499</v>
      </c>
      <c r="J38" s="234">
        <f t="shared" si="0"/>
        <v>14639</v>
      </c>
    </row>
    <row r="39" spans="2:10" x14ac:dyDescent="0.2">
      <c r="B39" s="233">
        <v>41974</v>
      </c>
      <c r="C39" s="234">
        <v>2023</v>
      </c>
      <c r="D39" s="234">
        <v>7131</v>
      </c>
      <c r="E39" s="235">
        <v>157</v>
      </c>
      <c r="F39" s="235">
        <v>606</v>
      </c>
      <c r="G39" s="234">
        <v>2407</v>
      </c>
      <c r="H39" s="234">
        <v>7565</v>
      </c>
      <c r="I39" s="234">
        <f t="shared" si="0"/>
        <v>4587</v>
      </c>
      <c r="J39" s="234">
        <f t="shared" si="0"/>
        <v>15302</v>
      </c>
    </row>
    <row r="40" spans="2:10" x14ac:dyDescent="0.2">
      <c r="B40" s="238">
        <v>2014</v>
      </c>
      <c r="C40" s="239">
        <f>SUM(C28:C39)</f>
        <v>19910</v>
      </c>
      <c r="D40" s="239">
        <f t="shared" ref="D40:H40" si="1">SUM(D28:D39)</f>
        <v>70098</v>
      </c>
      <c r="E40" s="239">
        <f t="shared" si="1"/>
        <v>1302</v>
      </c>
      <c r="F40" s="239">
        <f t="shared" si="1"/>
        <v>5662</v>
      </c>
      <c r="G40" s="239">
        <f t="shared" si="1"/>
        <v>23042</v>
      </c>
      <c r="H40" s="239">
        <f t="shared" si="1"/>
        <v>72387</v>
      </c>
      <c r="I40" s="239">
        <f>SUM(I28:I39)</f>
        <v>44254</v>
      </c>
      <c r="J40" s="239">
        <f>SUM(J28:J39)</f>
        <v>148147</v>
      </c>
    </row>
    <row r="41" spans="2:10" x14ac:dyDescent="0.2">
      <c r="B41" s="240">
        <v>42005</v>
      </c>
      <c r="C41" s="241">
        <v>1303</v>
      </c>
      <c r="D41" s="241">
        <v>4627</v>
      </c>
      <c r="E41" s="241">
        <v>90</v>
      </c>
      <c r="F41" s="241">
        <v>407</v>
      </c>
      <c r="G41" s="241">
        <v>2299</v>
      </c>
      <c r="H41" s="241">
        <v>7138</v>
      </c>
      <c r="I41" s="234">
        <f t="shared" ref="I41:J52" si="2">C41+E41+G41</f>
        <v>3692</v>
      </c>
      <c r="J41" s="234">
        <f t="shared" si="2"/>
        <v>12172</v>
      </c>
    </row>
    <row r="42" spans="2:10" x14ac:dyDescent="0.2">
      <c r="B42" s="240">
        <v>42036</v>
      </c>
      <c r="C42" s="241">
        <v>1126</v>
      </c>
      <c r="D42" s="241">
        <v>4105</v>
      </c>
      <c r="E42" s="241">
        <v>68</v>
      </c>
      <c r="F42" s="241">
        <v>319</v>
      </c>
      <c r="G42" s="241">
        <v>1895</v>
      </c>
      <c r="H42" s="241">
        <v>5828</v>
      </c>
      <c r="I42" s="234">
        <f t="shared" si="2"/>
        <v>3089</v>
      </c>
      <c r="J42" s="234">
        <f t="shared" si="2"/>
        <v>10252</v>
      </c>
    </row>
    <row r="43" spans="2:10" x14ac:dyDescent="0.2">
      <c r="B43" s="240">
        <v>42064</v>
      </c>
      <c r="C43" s="241">
        <v>1509</v>
      </c>
      <c r="D43" s="241">
        <v>5148</v>
      </c>
      <c r="E43" s="241">
        <v>142</v>
      </c>
      <c r="F43" s="241">
        <v>601</v>
      </c>
      <c r="G43" s="241">
        <v>2308</v>
      </c>
      <c r="H43" s="241">
        <v>7031</v>
      </c>
      <c r="I43" s="234">
        <f t="shared" si="2"/>
        <v>3959</v>
      </c>
      <c r="J43" s="234">
        <f t="shared" si="2"/>
        <v>12780</v>
      </c>
    </row>
    <row r="44" spans="2:10" x14ac:dyDescent="0.2">
      <c r="B44" s="240">
        <v>42095</v>
      </c>
      <c r="C44" s="241">
        <v>1305</v>
      </c>
      <c r="D44" s="241">
        <v>4297</v>
      </c>
      <c r="E44" s="241">
        <v>154</v>
      </c>
      <c r="F44" s="241">
        <v>670</v>
      </c>
      <c r="G44" s="241">
        <v>2740</v>
      </c>
      <c r="H44" s="241">
        <v>8147</v>
      </c>
      <c r="I44" s="234">
        <f t="shared" si="2"/>
        <v>4199</v>
      </c>
      <c r="J44" s="234">
        <f t="shared" si="2"/>
        <v>13114</v>
      </c>
    </row>
    <row r="45" spans="2:10" x14ac:dyDescent="0.2">
      <c r="B45" s="240">
        <v>42125</v>
      </c>
      <c r="C45" s="241">
        <v>1328</v>
      </c>
      <c r="D45" s="241">
        <v>4634</v>
      </c>
      <c r="E45" s="241">
        <v>162</v>
      </c>
      <c r="F45" s="241">
        <v>698</v>
      </c>
      <c r="G45" s="241">
        <v>2387</v>
      </c>
      <c r="H45" s="241">
        <v>7056</v>
      </c>
      <c r="I45" s="234">
        <f t="shared" si="2"/>
        <v>3877</v>
      </c>
      <c r="J45" s="234">
        <f t="shared" si="2"/>
        <v>12388</v>
      </c>
    </row>
    <row r="46" spans="2:10" x14ac:dyDescent="0.2">
      <c r="B46" s="240">
        <v>42156</v>
      </c>
      <c r="C46" s="241">
        <v>1079</v>
      </c>
      <c r="D46" s="241">
        <v>3931</v>
      </c>
      <c r="E46" s="241">
        <v>121</v>
      </c>
      <c r="F46" s="241">
        <v>595</v>
      </c>
      <c r="G46" s="241">
        <v>2940</v>
      </c>
      <c r="H46" s="241">
        <v>8577</v>
      </c>
      <c r="I46" s="234">
        <f t="shared" si="2"/>
        <v>4140</v>
      </c>
      <c r="J46" s="234">
        <f t="shared" si="2"/>
        <v>13103</v>
      </c>
    </row>
    <row r="47" spans="2:10" x14ac:dyDescent="0.2">
      <c r="B47" s="240">
        <v>42186</v>
      </c>
      <c r="C47" s="241">
        <v>1562</v>
      </c>
      <c r="D47" s="241">
        <v>5243</v>
      </c>
      <c r="E47" s="241">
        <v>193</v>
      </c>
      <c r="F47" s="241">
        <v>896</v>
      </c>
      <c r="G47" s="241">
        <v>1660</v>
      </c>
      <c r="H47" s="241">
        <v>4806</v>
      </c>
      <c r="I47" s="234">
        <f t="shared" si="2"/>
        <v>3415</v>
      </c>
      <c r="J47" s="234">
        <f t="shared" si="2"/>
        <v>10945</v>
      </c>
    </row>
    <row r="48" spans="2:10" x14ac:dyDescent="0.2">
      <c r="B48" s="240">
        <v>42217</v>
      </c>
      <c r="C48" s="241">
        <v>1389</v>
      </c>
      <c r="D48" s="241">
        <v>4383</v>
      </c>
      <c r="E48" s="241">
        <v>321</v>
      </c>
      <c r="F48" s="241">
        <v>1453</v>
      </c>
      <c r="G48" s="241">
        <v>4348</v>
      </c>
      <c r="H48" s="241">
        <v>12994</v>
      </c>
      <c r="I48" s="234">
        <f t="shared" si="2"/>
        <v>6058</v>
      </c>
      <c r="J48" s="234">
        <f t="shared" si="2"/>
        <v>18830</v>
      </c>
    </row>
    <row r="49" spans="2:10" x14ac:dyDescent="0.2">
      <c r="B49" s="240">
        <v>42248</v>
      </c>
      <c r="C49" s="241">
        <v>2017</v>
      </c>
      <c r="D49" s="241">
        <v>7335</v>
      </c>
      <c r="E49" s="241">
        <v>176</v>
      </c>
      <c r="F49" s="241">
        <v>801</v>
      </c>
      <c r="G49" s="241">
        <v>2843</v>
      </c>
      <c r="H49" s="241">
        <v>8849</v>
      </c>
      <c r="I49" s="234">
        <f t="shared" si="2"/>
        <v>5036</v>
      </c>
      <c r="J49" s="234">
        <f t="shared" si="2"/>
        <v>16985</v>
      </c>
    </row>
    <row r="50" spans="2:10" x14ac:dyDescent="0.2">
      <c r="B50" s="240">
        <v>42278</v>
      </c>
      <c r="C50" s="241">
        <v>1395</v>
      </c>
      <c r="D50" s="241">
        <v>4572</v>
      </c>
      <c r="E50" s="241">
        <v>175</v>
      </c>
      <c r="F50" s="241">
        <v>799</v>
      </c>
      <c r="G50" s="241">
        <v>2605</v>
      </c>
      <c r="H50" s="241">
        <v>7454</v>
      </c>
      <c r="I50" s="234">
        <f t="shared" si="2"/>
        <v>4175</v>
      </c>
      <c r="J50" s="234">
        <f t="shared" si="2"/>
        <v>12825</v>
      </c>
    </row>
    <row r="51" spans="2:10" x14ac:dyDescent="0.2">
      <c r="B51" s="240">
        <v>42309</v>
      </c>
      <c r="C51" s="241">
        <v>1495</v>
      </c>
      <c r="D51" s="241">
        <v>5282</v>
      </c>
      <c r="E51" s="241">
        <v>166</v>
      </c>
      <c r="F51" s="241">
        <v>712</v>
      </c>
      <c r="G51" s="241">
        <v>3733</v>
      </c>
      <c r="H51" s="241">
        <v>10856</v>
      </c>
      <c r="I51" s="234">
        <f t="shared" si="2"/>
        <v>5394</v>
      </c>
      <c r="J51" s="234">
        <f t="shared" si="2"/>
        <v>16850</v>
      </c>
    </row>
    <row r="52" spans="2:10" x14ac:dyDescent="0.2">
      <c r="B52" s="240">
        <v>42339</v>
      </c>
      <c r="C52" s="241">
        <v>1645</v>
      </c>
      <c r="D52" s="241">
        <v>5189</v>
      </c>
      <c r="E52" s="241">
        <v>200</v>
      </c>
      <c r="F52" s="241">
        <v>809</v>
      </c>
      <c r="G52" s="241">
        <v>2771</v>
      </c>
      <c r="H52" s="241">
        <v>8572</v>
      </c>
      <c r="I52" s="234">
        <f t="shared" si="2"/>
        <v>4616</v>
      </c>
      <c r="J52" s="234">
        <f t="shared" si="2"/>
        <v>14570</v>
      </c>
    </row>
    <row r="53" spans="2:10" x14ac:dyDescent="0.2">
      <c r="B53" s="238">
        <v>2015</v>
      </c>
      <c r="C53" s="242">
        <f>SUM(C41:C52)</f>
        <v>17153</v>
      </c>
      <c r="D53" s="242">
        <f t="shared" ref="D53:I53" si="3">SUM(D41:D52)</f>
        <v>58746</v>
      </c>
      <c r="E53" s="242">
        <f t="shared" si="3"/>
        <v>1968</v>
      </c>
      <c r="F53" s="242">
        <f t="shared" si="3"/>
        <v>8760</v>
      </c>
      <c r="G53" s="242">
        <f t="shared" si="3"/>
        <v>32529</v>
      </c>
      <c r="H53" s="242">
        <f t="shared" si="3"/>
        <v>97308</v>
      </c>
      <c r="I53" s="242">
        <f t="shared" si="3"/>
        <v>51650</v>
      </c>
      <c r="J53" s="242">
        <f>SUM(J41:J52)</f>
        <v>164814</v>
      </c>
    </row>
    <row r="54" spans="2:10" x14ac:dyDescent="0.2">
      <c r="B54" s="240">
        <v>42370</v>
      </c>
      <c r="C54" s="241">
        <v>1402</v>
      </c>
      <c r="D54" s="241">
        <v>4801</v>
      </c>
      <c r="E54" s="241">
        <v>157</v>
      </c>
      <c r="F54" s="241">
        <v>645</v>
      </c>
      <c r="G54" s="241">
        <v>2531</v>
      </c>
      <c r="H54" s="241">
        <v>7419</v>
      </c>
      <c r="I54" s="234">
        <f t="shared" ref="I54:J65" si="4">C54+E54+G54</f>
        <v>4090</v>
      </c>
      <c r="J54" s="234">
        <f t="shared" si="4"/>
        <v>12865</v>
      </c>
    </row>
    <row r="55" spans="2:10" x14ac:dyDescent="0.2">
      <c r="B55" s="240">
        <v>42401</v>
      </c>
      <c r="C55" s="241">
        <v>964</v>
      </c>
      <c r="D55" s="241">
        <v>3139</v>
      </c>
      <c r="E55" s="241">
        <v>156</v>
      </c>
      <c r="F55" s="241">
        <v>644</v>
      </c>
      <c r="G55" s="241">
        <v>2723</v>
      </c>
      <c r="H55" s="241">
        <v>8130</v>
      </c>
      <c r="I55" s="234">
        <f t="shared" si="4"/>
        <v>3843</v>
      </c>
      <c r="J55" s="234">
        <f t="shared" si="4"/>
        <v>11913</v>
      </c>
    </row>
    <row r="56" spans="2:10" x14ac:dyDescent="0.2">
      <c r="B56" s="240">
        <v>42430</v>
      </c>
      <c r="C56" s="241">
        <v>1710</v>
      </c>
      <c r="D56" s="241">
        <v>5724</v>
      </c>
      <c r="E56" s="241">
        <v>238</v>
      </c>
      <c r="F56" s="241">
        <v>993</v>
      </c>
      <c r="G56" s="241">
        <v>3197</v>
      </c>
      <c r="H56" s="241">
        <v>9196</v>
      </c>
      <c r="I56" s="234">
        <f t="shared" si="4"/>
        <v>5145</v>
      </c>
      <c r="J56" s="234">
        <f t="shared" si="4"/>
        <v>15913</v>
      </c>
    </row>
    <row r="57" spans="2:10" x14ac:dyDescent="0.2">
      <c r="B57" s="240">
        <v>42461</v>
      </c>
      <c r="C57" s="241">
        <v>1579</v>
      </c>
      <c r="D57" s="241">
        <v>5412</v>
      </c>
      <c r="E57" s="241">
        <v>196</v>
      </c>
      <c r="F57" s="241">
        <v>787</v>
      </c>
      <c r="G57" s="241">
        <v>2640</v>
      </c>
      <c r="H57" s="241">
        <v>7635</v>
      </c>
      <c r="I57" s="234">
        <f t="shared" si="4"/>
        <v>4415</v>
      </c>
      <c r="J57" s="234">
        <f t="shared" si="4"/>
        <v>13834</v>
      </c>
    </row>
    <row r="58" spans="2:10" x14ac:dyDescent="0.2">
      <c r="B58" s="240">
        <v>42491</v>
      </c>
      <c r="C58" s="241">
        <v>1550</v>
      </c>
      <c r="D58" s="241">
        <v>5486</v>
      </c>
      <c r="E58" s="241">
        <v>180</v>
      </c>
      <c r="F58" s="241">
        <v>760</v>
      </c>
      <c r="G58" s="241">
        <v>2933</v>
      </c>
      <c r="H58" s="241">
        <v>8633</v>
      </c>
      <c r="I58" s="234">
        <f t="shared" si="4"/>
        <v>4663</v>
      </c>
      <c r="J58" s="234">
        <f t="shared" si="4"/>
        <v>14879</v>
      </c>
    </row>
    <row r="59" spans="2:10" x14ac:dyDescent="0.2">
      <c r="B59" s="240">
        <v>42522</v>
      </c>
      <c r="C59" s="241">
        <v>1015</v>
      </c>
      <c r="D59" s="241">
        <v>3452</v>
      </c>
      <c r="E59" s="241">
        <v>121</v>
      </c>
      <c r="F59" s="241">
        <v>555</v>
      </c>
      <c r="G59" s="241">
        <v>2658</v>
      </c>
      <c r="H59" s="241">
        <v>7478</v>
      </c>
      <c r="I59" s="234">
        <f t="shared" si="4"/>
        <v>3794</v>
      </c>
      <c r="J59" s="234">
        <f t="shared" si="4"/>
        <v>11485</v>
      </c>
    </row>
    <row r="60" spans="2:10" x14ac:dyDescent="0.2">
      <c r="B60" s="240">
        <v>42552</v>
      </c>
      <c r="C60" s="241">
        <v>1746</v>
      </c>
      <c r="D60" s="241">
        <v>6028</v>
      </c>
      <c r="E60" s="241">
        <v>157</v>
      </c>
      <c r="F60" s="241">
        <v>657</v>
      </c>
      <c r="G60" s="241">
        <v>2535</v>
      </c>
      <c r="H60" s="241">
        <v>7430</v>
      </c>
      <c r="I60" s="234">
        <f t="shared" si="4"/>
        <v>4438</v>
      </c>
      <c r="J60" s="234">
        <f t="shared" si="4"/>
        <v>14115</v>
      </c>
    </row>
    <row r="61" spans="2:10" x14ac:dyDescent="0.2">
      <c r="B61" s="240">
        <v>42583</v>
      </c>
      <c r="C61" s="241">
        <v>1390</v>
      </c>
      <c r="D61" s="241">
        <v>4511</v>
      </c>
      <c r="E61" s="241">
        <v>153</v>
      </c>
      <c r="F61" s="241">
        <v>578</v>
      </c>
      <c r="G61" s="241">
        <v>3151</v>
      </c>
      <c r="H61" s="241">
        <v>9173</v>
      </c>
      <c r="I61" s="234">
        <f t="shared" si="4"/>
        <v>4694</v>
      </c>
      <c r="J61" s="234">
        <f t="shared" si="4"/>
        <v>14262</v>
      </c>
    </row>
    <row r="62" spans="2:10" x14ac:dyDescent="0.2">
      <c r="B62" s="240">
        <v>42614</v>
      </c>
      <c r="C62" s="241">
        <v>1402</v>
      </c>
      <c r="D62" s="241">
        <v>4329</v>
      </c>
      <c r="E62" s="241">
        <v>196</v>
      </c>
      <c r="F62" s="241">
        <v>823</v>
      </c>
      <c r="G62" s="241">
        <v>2981</v>
      </c>
      <c r="H62" s="241">
        <v>8807</v>
      </c>
      <c r="I62" s="234">
        <f t="shared" si="4"/>
        <v>4579</v>
      </c>
      <c r="J62" s="234">
        <f t="shared" si="4"/>
        <v>13959</v>
      </c>
    </row>
    <row r="63" spans="2:10" x14ac:dyDescent="0.2">
      <c r="B63" s="240">
        <v>42644</v>
      </c>
      <c r="C63" s="241">
        <v>1480</v>
      </c>
      <c r="D63" s="241">
        <v>5044</v>
      </c>
      <c r="E63" s="241">
        <v>136</v>
      </c>
      <c r="F63" s="241">
        <v>536</v>
      </c>
      <c r="G63" s="241">
        <v>2791</v>
      </c>
      <c r="H63" s="241">
        <v>8111</v>
      </c>
      <c r="I63" s="234">
        <f t="shared" si="4"/>
        <v>4407</v>
      </c>
      <c r="J63" s="234">
        <f t="shared" si="4"/>
        <v>13691</v>
      </c>
    </row>
    <row r="64" spans="2:10" x14ac:dyDescent="0.2">
      <c r="B64" s="240">
        <v>42675</v>
      </c>
      <c r="C64" s="241">
        <v>1497</v>
      </c>
      <c r="D64" s="241">
        <v>5099</v>
      </c>
      <c r="E64" s="241">
        <v>128</v>
      </c>
      <c r="F64" s="241">
        <v>483</v>
      </c>
      <c r="G64" s="241">
        <v>2064</v>
      </c>
      <c r="H64" s="241">
        <v>6110</v>
      </c>
      <c r="I64" s="234">
        <f t="shared" si="4"/>
        <v>3689</v>
      </c>
      <c r="J64" s="234">
        <f t="shared" si="4"/>
        <v>11692</v>
      </c>
    </row>
    <row r="65" spans="2:10" x14ac:dyDescent="0.2">
      <c r="B65" s="240">
        <v>42705</v>
      </c>
      <c r="C65" s="241">
        <v>1565</v>
      </c>
      <c r="D65" s="241">
        <v>5550</v>
      </c>
      <c r="E65" s="241">
        <v>94</v>
      </c>
      <c r="F65" s="241">
        <v>399</v>
      </c>
      <c r="G65" s="241">
        <v>3636</v>
      </c>
      <c r="H65" s="241">
        <v>11125</v>
      </c>
      <c r="I65" s="234">
        <f t="shared" si="4"/>
        <v>5295</v>
      </c>
      <c r="J65" s="234">
        <f t="shared" si="4"/>
        <v>17074</v>
      </c>
    </row>
    <row r="66" spans="2:10" x14ac:dyDescent="0.2">
      <c r="B66" s="238">
        <v>2016</v>
      </c>
      <c r="C66" s="242">
        <f>SUM(C54:C65)</f>
        <v>17300</v>
      </c>
      <c r="D66" s="242">
        <f t="shared" ref="D66:H66" si="5">SUM(D54:D65)</f>
        <v>58575</v>
      </c>
      <c r="E66" s="242">
        <f t="shared" si="5"/>
        <v>1912</v>
      </c>
      <c r="F66" s="242">
        <f t="shared" si="5"/>
        <v>7860</v>
      </c>
      <c r="G66" s="242">
        <f t="shared" si="5"/>
        <v>33840</v>
      </c>
      <c r="H66" s="242">
        <f t="shared" si="5"/>
        <v>99247</v>
      </c>
      <c r="I66" s="242">
        <f>SUM(I54:I65)</f>
        <v>53052</v>
      </c>
      <c r="J66" s="242">
        <f>SUM(J54:J65)</f>
        <v>165682</v>
      </c>
    </row>
    <row r="67" spans="2:10" x14ac:dyDescent="0.2">
      <c r="B67" s="240">
        <v>42736</v>
      </c>
      <c r="C67" s="241">
        <v>1578</v>
      </c>
      <c r="D67" s="241">
        <v>5100</v>
      </c>
      <c r="E67" s="241">
        <v>122</v>
      </c>
      <c r="F67" s="241">
        <v>478</v>
      </c>
      <c r="G67" s="241">
        <v>3277</v>
      </c>
      <c r="H67" s="241">
        <v>9466</v>
      </c>
      <c r="I67" s="234">
        <f t="shared" ref="I67:J78" si="6">C67+E67+G67</f>
        <v>4977</v>
      </c>
      <c r="J67" s="234">
        <f t="shared" si="6"/>
        <v>15044</v>
      </c>
    </row>
    <row r="68" spans="2:10" x14ac:dyDescent="0.2">
      <c r="B68" s="240">
        <v>42767</v>
      </c>
      <c r="C68" s="241">
        <v>1309</v>
      </c>
      <c r="D68" s="241">
        <v>4472</v>
      </c>
      <c r="E68" s="241">
        <v>118</v>
      </c>
      <c r="F68" s="241">
        <v>502</v>
      </c>
      <c r="G68" s="241">
        <v>3001</v>
      </c>
      <c r="H68" s="241">
        <v>8506</v>
      </c>
      <c r="I68" s="234">
        <f t="shared" si="6"/>
        <v>4428</v>
      </c>
      <c r="J68" s="234">
        <f t="shared" si="6"/>
        <v>13480</v>
      </c>
    </row>
    <row r="69" spans="2:10" x14ac:dyDescent="0.2">
      <c r="B69" s="240">
        <v>42795</v>
      </c>
      <c r="C69" s="241">
        <v>1433</v>
      </c>
      <c r="D69" s="241">
        <v>4492</v>
      </c>
      <c r="E69" s="241">
        <v>123</v>
      </c>
      <c r="F69" s="241">
        <v>484</v>
      </c>
      <c r="G69" s="241">
        <v>2598</v>
      </c>
      <c r="H69" s="241">
        <v>7750</v>
      </c>
      <c r="I69" s="234">
        <f t="shared" si="6"/>
        <v>4154</v>
      </c>
      <c r="J69" s="234">
        <f t="shared" si="6"/>
        <v>12726</v>
      </c>
    </row>
    <row r="70" spans="2:10" x14ac:dyDescent="0.2">
      <c r="B70" s="240">
        <v>42826</v>
      </c>
      <c r="C70" s="241">
        <v>1610</v>
      </c>
      <c r="D70" s="241">
        <v>5252</v>
      </c>
      <c r="E70" s="241">
        <v>163</v>
      </c>
      <c r="F70" s="241">
        <v>704</v>
      </c>
      <c r="G70" s="241">
        <v>2935</v>
      </c>
      <c r="H70" s="241">
        <v>8131</v>
      </c>
      <c r="I70" s="234">
        <f t="shared" si="6"/>
        <v>4708</v>
      </c>
      <c r="J70" s="234">
        <f t="shared" si="6"/>
        <v>14087</v>
      </c>
    </row>
    <row r="71" spans="2:10" x14ac:dyDescent="0.2">
      <c r="B71" s="240">
        <v>42856</v>
      </c>
      <c r="C71" s="241">
        <v>1418</v>
      </c>
      <c r="D71" s="241">
        <v>4341</v>
      </c>
      <c r="E71" s="241">
        <v>177</v>
      </c>
      <c r="F71" s="241">
        <v>637</v>
      </c>
      <c r="G71" s="241">
        <v>3318</v>
      </c>
      <c r="H71" s="241">
        <v>8846</v>
      </c>
      <c r="I71" s="234">
        <f t="shared" si="6"/>
        <v>4913</v>
      </c>
      <c r="J71" s="234">
        <f t="shared" si="6"/>
        <v>13824</v>
      </c>
    </row>
    <row r="72" spans="2:10" x14ac:dyDescent="0.2">
      <c r="B72" s="240">
        <v>42887</v>
      </c>
      <c r="C72" s="241">
        <v>1230</v>
      </c>
      <c r="D72" s="241">
        <v>4069</v>
      </c>
      <c r="E72" s="241">
        <v>108</v>
      </c>
      <c r="F72" s="241">
        <v>460</v>
      </c>
      <c r="G72" s="241">
        <v>2707</v>
      </c>
      <c r="H72" s="241">
        <v>8139</v>
      </c>
      <c r="I72" s="234">
        <f t="shared" si="6"/>
        <v>4045</v>
      </c>
      <c r="J72" s="234">
        <f t="shared" si="6"/>
        <v>12668</v>
      </c>
    </row>
    <row r="73" spans="2:10" x14ac:dyDescent="0.2">
      <c r="B73" s="240">
        <v>42917</v>
      </c>
      <c r="C73" s="241">
        <v>1191</v>
      </c>
      <c r="D73" s="241">
        <v>4093</v>
      </c>
      <c r="E73" s="241">
        <v>118</v>
      </c>
      <c r="F73" s="241">
        <v>524</v>
      </c>
      <c r="G73" s="241">
        <v>3460</v>
      </c>
      <c r="H73" s="241">
        <v>9428</v>
      </c>
      <c r="I73" s="234">
        <f t="shared" si="6"/>
        <v>4769</v>
      </c>
      <c r="J73" s="234">
        <f t="shared" si="6"/>
        <v>14045</v>
      </c>
    </row>
    <row r="74" spans="2:10" x14ac:dyDescent="0.2">
      <c r="B74" s="240">
        <v>42948</v>
      </c>
      <c r="C74" s="241">
        <v>1646</v>
      </c>
      <c r="D74" s="241">
        <v>5129</v>
      </c>
      <c r="E74" s="241">
        <v>226</v>
      </c>
      <c r="F74" s="241">
        <v>888</v>
      </c>
      <c r="G74" s="241">
        <v>3406</v>
      </c>
      <c r="H74" s="241">
        <v>9871</v>
      </c>
      <c r="I74" s="234">
        <f t="shared" si="6"/>
        <v>5278</v>
      </c>
      <c r="J74" s="234">
        <f t="shared" si="6"/>
        <v>15888</v>
      </c>
    </row>
    <row r="75" spans="2:10" x14ac:dyDescent="0.2">
      <c r="B75" s="240">
        <v>42979</v>
      </c>
      <c r="C75" s="241">
        <v>1788</v>
      </c>
      <c r="D75" s="241">
        <v>5884</v>
      </c>
      <c r="E75" s="241">
        <v>227</v>
      </c>
      <c r="F75" s="241">
        <v>1042</v>
      </c>
      <c r="G75" s="241">
        <v>1959</v>
      </c>
      <c r="H75" s="241">
        <v>5773</v>
      </c>
      <c r="I75" s="234">
        <f t="shared" si="6"/>
        <v>3974</v>
      </c>
      <c r="J75" s="234">
        <f t="shared" si="6"/>
        <v>12699</v>
      </c>
    </row>
    <row r="76" spans="2:10" x14ac:dyDescent="0.2">
      <c r="B76" s="240">
        <v>43009</v>
      </c>
      <c r="C76" s="241">
        <v>1600</v>
      </c>
      <c r="D76" s="241">
        <v>5166</v>
      </c>
      <c r="E76" s="241">
        <v>160</v>
      </c>
      <c r="F76" s="241">
        <v>678</v>
      </c>
      <c r="G76" s="241">
        <v>5186</v>
      </c>
      <c r="H76" s="241">
        <v>14719</v>
      </c>
      <c r="I76" s="234">
        <f t="shared" si="6"/>
        <v>6946</v>
      </c>
      <c r="J76" s="234">
        <f t="shared" si="6"/>
        <v>20563</v>
      </c>
    </row>
    <row r="77" spans="2:10" x14ac:dyDescent="0.2">
      <c r="B77" s="240">
        <v>43040</v>
      </c>
      <c r="C77" s="241">
        <v>1751</v>
      </c>
      <c r="D77" s="241">
        <v>5849</v>
      </c>
      <c r="E77" s="241">
        <v>177</v>
      </c>
      <c r="F77" s="241">
        <v>742</v>
      </c>
      <c r="G77" s="241">
        <v>3371</v>
      </c>
      <c r="H77" s="241">
        <v>9775</v>
      </c>
      <c r="I77" s="234">
        <f t="shared" si="6"/>
        <v>5299</v>
      </c>
      <c r="J77" s="234">
        <f t="shared" si="6"/>
        <v>16366</v>
      </c>
    </row>
    <row r="78" spans="2:10" x14ac:dyDescent="0.2">
      <c r="B78" s="240">
        <v>43070</v>
      </c>
      <c r="C78" s="241">
        <v>1618</v>
      </c>
      <c r="D78" s="241">
        <v>5288</v>
      </c>
      <c r="E78" s="241">
        <v>188</v>
      </c>
      <c r="F78" s="241">
        <v>708</v>
      </c>
      <c r="G78" s="241">
        <v>3152</v>
      </c>
      <c r="H78" s="241">
        <v>9366</v>
      </c>
      <c r="I78" s="234">
        <f t="shared" si="6"/>
        <v>4958</v>
      </c>
      <c r="J78" s="234">
        <f t="shared" si="6"/>
        <v>15362</v>
      </c>
    </row>
    <row r="79" spans="2:10" x14ac:dyDescent="0.2">
      <c r="B79" s="238">
        <v>2017</v>
      </c>
      <c r="C79" s="242">
        <f>SUM(C67:C78)</f>
        <v>18172</v>
      </c>
      <c r="D79" s="242">
        <f t="shared" ref="D79:J79" si="7">SUM(D67:D78)</f>
        <v>59135</v>
      </c>
      <c r="E79" s="242">
        <f t="shared" si="7"/>
        <v>1907</v>
      </c>
      <c r="F79" s="242">
        <f t="shared" si="7"/>
        <v>7847</v>
      </c>
      <c r="G79" s="242">
        <f t="shared" si="7"/>
        <v>38370</v>
      </c>
      <c r="H79" s="242">
        <f t="shared" si="7"/>
        <v>109770</v>
      </c>
      <c r="I79" s="242">
        <f t="shared" si="7"/>
        <v>58449</v>
      </c>
      <c r="J79" s="242">
        <f t="shared" si="7"/>
        <v>176752</v>
      </c>
    </row>
    <row r="80" spans="2:10" x14ac:dyDescent="0.2">
      <c r="B80" s="240">
        <v>43101</v>
      </c>
      <c r="C80" s="241">
        <v>1487</v>
      </c>
      <c r="D80" s="241">
        <v>4777</v>
      </c>
      <c r="E80" s="241">
        <v>142</v>
      </c>
      <c r="F80" s="241">
        <v>567</v>
      </c>
      <c r="G80" s="241">
        <v>3378</v>
      </c>
      <c r="H80" s="241">
        <v>9267</v>
      </c>
      <c r="I80" s="234">
        <f>C80+E80+G80</f>
        <v>5007</v>
      </c>
      <c r="J80" s="234">
        <f>D80+F80+H80</f>
        <v>14611</v>
      </c>
    </row>
    <row r="81" spans="2:10" x14ac:dyDescent="0.2">
      <c r="B81" s="240">
        <v>43132</v>
      </c>
      <c r="C81" s="241">
        <v>1165</v>
      </c>
      <c r="D81" s="241">
        <v>3878</v>
      </c>
      <c r="E81" s="241">
        <v>171</v>
      </c>
      <c r="F81" s="241">
        <v>740</v>
      </c>
      <c r="G81" s="241">
        <v>4024</v>
      </c>
      <c r="H81" s="241">
        <v>10885</v>
      </c>
      <c r="I81" s="234">
        <f t="shared" ref="I81:I84" si="8">C81+E81+G81</f>
        <v>5360</v>
      </c>
      <c r="J81" s="234">
        <f t="shared" ref="J81:J84" si="9">D81+F81+H81</f>
        <v>15503</v>
      </c>
    </row>
    <row r="82" spans="2:10" x14ac:dyDescent="0.2">
      <c r="B82" s="240">
        <v>43160</v>
      </c>
      <c r="C82" s="241">
        <v>2460</v>
      </c>
      <c r="D82" s="241">
        <v>7692</v>
      </c>
      <c r="E82" s="241">
        <v>296</v>
      </c>
      <c r="F82" s="241">
        <v>1104</v>
      </c>
      <c r="G82" s="241">
        <v>3447</v>
      </c>
      <c r="H82" s="241">
        <v>9794</v>
      </c>
      <c r="I82" s="234">
        <f t="shared" si="8"/>
        <v>6203</v>
      </c>
      <c r="J82" s="234">
        <f t="shared" si="9"/>
        <v>18590</v>
      </c>
    </row>
    <row r="83" spans="2:10" x14ac:dyDescent="0.2">
      <c r="B83" s="240">
        <v>43191</v>
      </c>
      <c r="C83" s="369">
        <v>1488</v>
      </c>
      <c r="D83" s="369">
        <v>4979</v>
      </c>
      <c r="E83" s="369">
        <v>166</v>
      </c>
      <c r="F83" s="369">
        <v>699</v>
      </c>
      <c r="G83" s="369">
        <v>3596</v>
      </c>
      <c r="H83" s="369">
        <v>10022</v>
      </c>
      <c r="I83" s="370">
        <f t="shared" si="8"/>
        <v>5250</v>
      </c>
      <c r="J83" s="370">
        <f t="shared" si="9"/>
        <v>15700</v>
      </c>
    </row>
    <row r="84" spans="2:10" x14ac:dyDescent="0.2">
      <c r="B84" s="240">
        <v>43221</v>
      </c>
      <c r="C84" s="369">
        <v>1705</v>
      </c>
      <c r="D84" s="369">
        <v>5530</v>
      </c>
      <c r="E84" s="369">
        <v>178</v>
      </c>
      <c r="F84" s="369">
        <v>714</v>
      </c>
      <c r="G84" s="369">
        <v>3536</v>
      </c>
      <c r="H84" s="369">
        <v>9898</v>
      </c>
      <c r="I84" s="370">
        <f t="shared" si="8"/>
        <v>5419</v>
      </c>
      <c r="J84" s="370">
        <f t="shared" si="9"/>
        <v>16142</v>
      </c>
    </row>
    <row r="85" spans="2:10" x14ac:dyDescent="0.2">
      <c r="B85" s="376">
        <v>43252</v>
      </c>
      <c r="C85" s="369">
        <v>1717</v>
      </c>
      <c r="D85" s="369">
        <v>5500</v>
      </c>
      <c r="E85" s="369">
        <v>211</v>
      </c>
      <c r="F85" s="369">
        <v>885</v>
      </c>
      <c r="G85" s="369">
        <v>3371</v>
      </c>
      <c r="H85" s="369">
        <v>9458</v>
      </c>
      <c r="I85" s="370">
        <f t="shared" ref="I85" si="10">C85+E85+G85</f>
        <v>5299</v>
      </c>
      <c r="J85" s="370">
        <f t="shared" ref="J85" si="11">D85+F85+H85</f>
        <v>15843</v>
      </c>
    </row>
    <row r="86" spans="2:10" x14ac:dyDescent="0.2">
      <c r="B86" s="376">
        <v>43282</v>
      </c>
      <c r="C86" s="369">
        <v>1574</v>
      </c>
      <c r="D86" s="369">
        <v>4981</v>
      </c>
      <c r="E86" s="369">
        <v>176</v>
      </c>
      <c r="F86" s="369">
        <v>714</v>
      </c>
      <c r="G86" s="369">
        <v>3523</v>
      </c>
      <c r="H86" s="369">
        <v>9997</v>
      </c>
      <c r="I86" s="370">
        <f t="shared" ref="I86" si="12">C86+E86+G86</f>
        <v>5273</v>
      </c>
      <c r="J86" s="370">
        <f t="shared" ref="J86" si="13">D86+F86+H86</f>
        <v>15692</v>
      </c>
    </row>
    <row r="87" spans="2:10" x14ac:dyDescent="0.2">
      <c r="B87" s="240">
        <v>43313</v>
      </c>
      <c r="C87" s="369">
        <v>1786</v>
      </c>
      <c r="D87" s="369">
        <v>5797</v>
      </c>
      <c r="E87" s="369">
        <v>215</v>
      </c>
      <c r="F87" s="369">
        <v>865</v>
      </c>
      <c r="G87" s="369">
        <v>3741</v>
      </c>
      <c r="H87" s="369">
        <v>10742</v>
      </c>
      <c r="I87" s="370">
        <f t="shared" ref="I87" si="14">C87+E87+G87</f>
        <v>5742</v>
      </c>
      <c r="J87" s="370">
        <f t="shared" ref="J87" si="15">D87+F87+H87</f>
        <v>17404</v>
      </c>
    </row>
    <row r="88" spans="2:10" x14ac:dyDescent="0.2">
      <c r="B88" s="240">
        <v>43344</v>
      </c>
      <c r="C88" s="369">
        <v>1829</v>
      </c>
      <c r="D88" s="369">
        <v>5996</v>
      </c>
      <c r="E88" s="369">
        <v>210</v>
      </c>
      <c r="F88" s="369">
        <v>796</v>
      </c>
      <c r="G88" s="369">
        <v>4016</v>
      </c>
      <c r="H88" s="369">
        <v>11063</v>
      </c>
      <c r="I88" s="370">
        <f t="shared" ref="I88" si="16">C88+E88+G88</f>
        <v>6055</v>
      </c>
      <c r="J88" s="370">
        <f t="shared" ref="J88" si="17">D88+F88+H88</f>
        <v>17855</v>
      </c>
    </row>
    <row r="89" spans="2:10" x14ac:dyDescent="0.2">
      <c r="B89" s="398">
        <v>43374</v>
      </c>
      <c r="C89" s="399">
        <v>1908</v>
      </c>
      <c r="D89" s="399">
        <v>5933</v>
      </c>
      <c r="E89" s="399">
        <v>221</v>
      </c>
      <c r="F89" s="399">
        <v>853</v>
      </c>
      <c r="G89" s="399">
        <v>3862</v>
      </c>
      <c r="H89" s="399">
        <v>11406</v>
      </c>
      <c r="I89" s="396">
        <f>C89+E89+G89</f>
        <v>5991</v>
      </c>
      <c r="J89" s="396">
        <f>D89+F89+H89</f>
        <v>18192</v>
      </c>
    </row>
    <row r="90" spans="2:10" x14ac:dyDescent="0.2">
      <c r="B90" s="398">
        <v>43405</v>
      </c>
      <c r="C90" s="399">
        <v>1951</v>
      </c>
      <c r="D90" s="399">
        <v>6310</v>
      </c>
      <c r="E90" s="399">
        <v>210</v>
      </c>
      <c r="F90" s="399">
        <v>846</v>
      </c>
      <c r="G90" s="399">
        <v>4235</v>
      </c>
      <c r="H90" s="399">
        <v>12050</v>
      </c>
      <c r="I90" s="396">
        <v>6396</v>
      </c>
      <c r="J90" s="396">
        <v>19206</v>
      </c>
    </row>
    <row r="91" spans="2:10" x14ac:dyDescent="0.2">
      <c r="B91" s="397" t="s">
        <v>638</v>
      </c>
      <c r="C91" s="400">
        <f t="shared" ref="C91:J91" si="18">SUM(C80:C90)</f>
        <v>19070</v>
      </c>
      <c r="D91" s="400">
        <f t="shared" si="18"/>
        <v>61373</v>
      </c>
      <c r="E91" s="400">
        <f t="shared" si="18"/>
        <v>2196</v>
      </c>
      <c r="F91" s="400">
        <f t="shared" si="18"/>
        <v>8783</v>
      </c>
      <c r="G91" s="400">
        <f t="shared" si="18"/>
        <v>40729</v>
      </c>
      <c r="H91" s="400">
        <f t="shared" si="18"/>
        <v>114582</v>
      </c>
      <c r="I91" s="400">
        <f t="shared" si="18"/>
        <v>61995</v>
      </c>
      <c r="J91" s="400">
        <f t="shared" si="18"/>
        <v>184738</v>
      </c>
    </row>
    <row r="92" spans="2:10" x14ac:dyDescent="0.2">
      <c r="B92" s="456" t="s">
        <v>43</v>
      </c>
      <c r="C92" s="456"/>
      <c r="D92" s="456"/>
      <c r="E92" s="456"/>
      <c r="F92" s="456"/>
      <c r="G92" s="456"/>
      <c r="H92" s="456"/>
      <c r="I92" s="456"/>
      <c r="J92" s="456"/>
    </row>
  </sheetData>
  <mergeCells count="9">
    <mergeCell ref="B92:J92"/>
    <mergeCell ref="B5:J5"/>
    <mergeCell ref="B6:J6"/>
    <mergeCell ref="B8:B10"/>
    <mergeCell ref="C8:J8"/>
    <mergeCell ref="C9:D9"/>
    <mergeCell ref="E9:F9"/>
    <mergeCell ref="G9:H9"/>
    <mergeCell ref="I9:J9"/>
  </mergeCells>
  <pageMargins left="0.7" right="0.7" top="0.75" bottom="0.75" header="0.3" footer="0.3"/>
  <pageSetup orientation="portrait" verticalDpi="0" r:id="rId1"/>
  <ignoredErrors>
    <ignoredError sqref="I27:J27 C40:H40" formulaRange="1"/>
    <ignoredError sqref="I40:J40 I53:J53 I79:J79 I66:J66" formula="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L84"/>
  <sheetViews>
    <sheetView showGridLines="0" zoomScaleNormal="100" workbookViewId="0">
      <selection activeCell="B7" sqref="B7"/>
    </sheetView>
  </sheetViews>
  <sheetFormatPr baseColWidth="10" defaultRowHeight="12" x14ac:dyDescent="0.2"/>
  <cols>
    <col min="1" max="1" width="6" style="167" customWidth="1"/>
    <col min="2" max="2" width="13.85546875" style="167" customWidth="1"/>
    <col min="3" max="3" width="21.28515625" style="167" customWidth="1"/>
    <col min="4" max="4" width="19.140625" style="167" customWidth="1"/>
    <col min="5" max="5" width="16.85546875" style="167" customWidth="1"/>
    <col min="6" max="257" width="11.42578125" style="167"/>
    <col min="258" max="258" width="13.85546875" style="167" customWidth="1"/>
    <col min="259" max="259" width="21.28515625" style="167" customWidth="1"/>
    <col min="260" max="260" width="19.140625" style="167" customWidth="1"/>
    <col min="261" max="261" width="16.85546875" style="167" customWidth="1"/>
    <col min="262" max="513" width="11.42578125" style="167"/>
    <col min="514" max="514" width="13.85546875" style="167" customWidth="1"/>
    <col min="515" max="515" width="21.28515625" style="167" customWidth="1"/>
    <col min="516" max="516" width="19.140625" style="167" customWidth="1"/>
    <col min="517" max="517" width="16.85546875" style="167" customWidth="1"/>
    <col min="518" max="769" width="11.42578125" style="167"/>
    <col min="770" max="770" width="13.85546875" style="167" customWidth="1"/>
    <col min="771" max="771" width="21.28515625" style="167" customWidth="1"/>
    <col min="772" max="772" width="19.140625" style="167" customWidth="1"/>
    <col min="773" max="773" width="16.85546875" style="167" customWidth="1"/>
    <col min="774" max="1025" width="11.42578125" style="167"/>
    <col min="1026" max="1026" width="13.85546875" style="167" customWidth="1"/>
    <col min="1027" max="1027" width="21.28515625" style="167" customWidth="1"/>
    <col min="1028" max="1028" width="19.140625" style="167" customWidth="1"/>
    <col min="1029" max="1029" width="16.85546875" style="167" customWidth="1"/>
    <col min="1030" max="1281" width="11.42578125" style="167"/>
    <col min="1282" max="1282" width="13.85546875" style="167" customWidth="1"/>
    <col min="1283" max="1283" width="21.28515625" style="167" customWidth="1"/>
    <col min="1284" max="1284" width="19.140625" style="167" customWidth="1"/>
    <col min="1285" max="1285" width="16.85546875" style="167" customWidth="1"/>
    <col min="1286" max="1537" width="11.42578125" style="167"/>
    <col min="1538" max="1538" width="13.85546875" style="167" customWidth="1"/>
    <col min="1539" max="1539" width="21.28515625" style="167" customWidth="1"/>
    <col min="1540" max="1540" width="19.140625" style="167" customWidth="1"/>
    <col min="1541" max="1541" width="16.85546875" style="167" customWidth="1"/>
    <col min="1542" max="1793" width="11.42578125" style="167"/>
    <col min="1794" max="1794" width="13.85546875" style="167" customWidth="1"/>
    <col min="1795" max="1795" width="21.28515625" style="167" customWidth="1"/>
    <col min="1796" max="1796" width="19.140625" style="167" customWidth="1"/>
    <col min="1797" max="1797" width="16.85546875" style="167" customWidth="1"/>
    <col min="1798" max="2049" width="11.42578125" style="167"/>
    <col min="2050" max="2050" width="13.85546875" style="167" customWidth="1"/>
    <col min="2051" max="2051" width="21.28515625" style="167" customWidth="1"/>
    <col min="2052" max="2052" width="19.140625" style="167" customWidth="1"/>
    <col min="2053" max="2053" width="16.85546875" style="167" customWidth="1"/>
    <col min="2054" max="2305" width="11.42578125" style="167"/>
    <col min="2306" max="2306" width="13.85546875" style="167" customWidth="1"/>
    <col min="2307" max="2307" width="21.28515625" style="167" customWidth="1"/>
    <col min="2308" max="2308" width="19.140625" style="167" customWidth="1"/>
    <col min="2309" max="2309" width="16.85546875" style="167" customWidth="1"/>
    <col min="2310" max="2561" width="11.42578125" style="167"/>
    <col min="2562" max="2562" width="13.85546875" style="167" customWidth="1"/>
    <col min="2563" max="2563" width="21.28515625" style="167" customWidth="1"/>
    <col min="2564" max="2564" width="19.140625" style="167" customWidth="1"/>
    <col min="2565" max="2565" width="16.85546875" style="167" customWidth="1"/>
    <col min="2566" max="2817" width="11.42578125" style="167"/>
    <col min="2818" max="2818" width="13.85546875" style="167" customWidth="1"/>
    <col min="2819" max="2819" width="21.28515625" style="167" customWidth="1"/>
    <col min="2820" max="2820" width="19.140625" style="167" customWidth="1"/>
    <col min="2821" max="2821" width="16.85546875" style="167" customWidth="1"/>
    <col min="2822" max="3073" width="11.42578125" style="167"/>
    <col min="3074" max="3074" width="13.85546875" style="167" customWidth="1"/>
    <col min="3075" max="3075" width="21.28515625" style="167" customWidth="1"/>
    <col min="3076" max="3076" width="19.140625" style="167" customWidth="1"/>
    <col min="3077" max="3077" width="16.85546875" style="167" customWidth="1"/>
    <col min="3078" max="3329" width="11.42578125" style="167"/>
    <col min="3330" max="3330" width="13.85546875" style="167" customWidth="1"/>
    <col min="3331" max="3331" width="21.28515625" style="167" customWidth="1"/>
    <col min="3332" max="3332" width="19.140625" style="167" customWidth="1"/>
    <col min="3333" max="3333" width="16.85546875" style="167" customWidth="1"/>
    <col min="3334" max="3585" width="11.42578125" style="167"/>
    <col min="3586" max="3586" width="13.85546875" style="167" customWidth="1"/>
    <col min="3587" max="3587" width="21.28515625" style="167" customWidth="1"/>
    <col min="3588" max="3588" width="19.140625" style="167" customWidth="1"/>
    <col min="3589" max="3589" width="16.85546875" style="167" customWidth="1"/>
    <col min="3590" max="3841" width="11.42578125" style="167"/>
    <col min="3842" max="3842" width="13.85546875" style="167" customWidth="1"/>
    <col min="3843" max="3843" width="21.28515625" style="167" customWidth="1"/>
    <col min="3844" max="3844" width="19.140625" style="167" customWidth="1"/>
    <col min="3845" max="3845" width="16.85546875" style="167" customWidth="1"/>
    <col min="3846" max="4097" width="11.42578125" style="167"/>
    <col min="4098" max="4098" width="13.85546875" style="167" customWidth="1"/>
    <col min="4099" max="4099" width="21.28515625" style="167" customWidth="1"/>
    <col min="4100" max="4100" width="19.140625" style="167" customWidth="1"/>
    <col min="4101" max="4101" width="16.85546875" style="167" customWidth="1"/>
    <col min="4102" max="4353" width="11.42578125" style="167"/>
    <col min="4354" max="4354" width="13.85546875" style="167" customWidth="1"/>
    <col min="4355" max="4355" width="21.28515625" style="167" customWidth="1"/>
    <col min="4356" max="4356" width="19.140625" style="167" customWidth="1"/>
    <col min="4357" max="4357" width="16.85546875" style="167" customWidth="1"/>
    <col min="4358" max="4609" width="11.42578125" style="167"/>
    <col min="4610" max="4610" width="13.85546875" style="167" customWidth="1"/>
    <col min="4611" max="4611" width="21.28515625" style="167" customWidth="1"/>
    <col min="4612" max="4612" width="19.140625" style="167" customWidth="1"/>
    <col min="4613" max="4613" width="16.85546875" style="167" customWidth="1"/>
    <col min="4614" max="4865" width="11.42578125" style="167"/>
    <col min="4866" max="4866" width="13.85546875" style="167" customWidth="1"/>
    <col min="4867" max="4867" width="21.28515625" style="167" customWidth="1"/>
    <col min="4868" max="4868" width="19.140625" style="167" customWidth="1"/>
    <col min="4869" max="4869" width="16.85546875" style="167" customWidth="1"/>
    <col min="4870" max="5121" width="11.42578125" style="167"/>
    <col min="5122" max="5122" width="13.85546875" style="167" customWidth="1"/>
    <col min="5123" max="5123" width="21.28515625" style="167" customWidth="1"/>
    <col min="5124" max="5124" width="19.140625" style="167" customWidth="1"/>
    <col min="5125" max="5125" width="16.85546875" style="167" customWidth="1"/>
    <col min="5126" max="5377" width="11.42578125" style="167"/>
    <col min="5378" max="5378" width="13.85546875" style="167" customWidth="1"/>
    <col min="5379" max="5379" width="21.28515625" style="167" customWidth="1"/>
    <col min="5380" max="5380" width="19.140625" style="167" customWidth="1"/>
    <col min="5381" max="5381" width="16.85546875" style="167" customWidth="1"/>
    <col min="5382" max="5633" width="11.42578125" style="167"/>
    <col min="5634" max="5634" width="13.85546875" style="167" customWidth="1"/>
    <col min="5635" max="5635" width="21.28515625" style="167" customWidth="1"/>
    <col min="5636" max="5636" width="19.140625" style="167" customWidth="1"/>
    <col min="5637" max="5637" width="16.85546875" style="167" customWidth="1"/>
    <col min="5638" max="5889" width="11.42578125" style="167"/>
    <col min="5890" max="5890" width="13.85546875" style="167" customWidth="1"/>
    <col min="5891" max="5891" width="21.28515625" style="167" customWidth="1"/>
    <col min="5892" max="5892" width="19.140625" style="167" customWidth="1"/>
    <col min="5893" max="5893" width="16.85546875" style="167" customWidth="1"/>
    <col min="5894" max="6145" width="11.42578125" style="167"/>
    <col min="6146" max="6146" width="13.85546875" style="167" customWidth="1"/>
    <col min="6147" max="6147" width="21.28515625" style="167" customWidth="1"/>
    <col min="6148" max="6148" width="19.140625" style="167" customWidth="1"/>
    <col min="6149" max="6149" width="16.85546875" style="167" customWidth="1"/>
    <col min="6150" max="6401" width="11.42578125" style="167"/>
    <col min="6402" max="6402" width="13.85546875" style="167" customWidth="1"/>
    <col min="6403" max="6403" width="21.28515625" style="167" customWidth="1"/>
    <col min="6404" max="6404" width="19.140625" style="167" customWidth="1"/>
    <col min="6405" max="6405" width="16.85546875" style="167" customWidth="1"/>
    <col min="6406" max="6657" width="11.42578125" style="167"/>
    <col min="6658" max="6658" width="13.85546875" style="167" customWidth="1"/>
    <col min="6659" max="6659" width="21.28515625" style="167" customWidth="1"/>
    <col min="6660" max="6660" width="19.140625" style="167" customWidth="1"/>
    <col min="6661" max="6661" width="16.85546875" style="167" customWidth="1"/>
    <col min="6662" max="6913" width="11.42578125" style="167"/>
    <col min="6914" max="6914" width="13.85546875" style="167" customWidth="1"/>
    <col min="6915" max="6915" width="21.28515625" style="167" customWidth="1"/>
    <col min="6916" max="6916" width="19.140625" style="167" customWidth="1"/>
    <col min="6917" max="6917" width="16.85546875" style="167" customWidth="1"/>
    <col min="6918" max="7169" width="11.42578125" style="167"/>
    <col min="7170" max="7170" width="13.85546875" style="167" customWidth="1"/>
    <col min="7171" max="7171" width="21.28515625" style="167" customWidth="1"/>
    <col min="7172" max="7172" width="19.140625" style="167" customWidth="1"/>
    <col min="7173" max="7173" width="16.85546875" style="167" customWidth="1"/>
    <col min="7174" max="7425" width="11.42578125" style="167"/>
    <col min="7426" max="7426" width="13.85546875" style="167" customWidth="1"/>
    <col min="7427" max="7427" width="21.28515625" style="167" customWidth="1"/>
    <col min="7428" max="7428" width="19.140625" style="167" customWidth="1"/>
    <col min="7429" max="7429" width="16.85546875" style="167" customWidth="1"/>
    <col min="7430" max="7681" width="11.42578125" style="167"/>
    <col min="7682" max="7682" width="13.85546875" style="167" customWidth="1"/>
    <col min="7683" max="7683" width="21.28515625" style="167" customWidth="1"/>
    <col min="7684" max="7684" width="19.140625" style="167" customWidth="1"/>
    <col min="7685" max="7685" width="16.85546875" style="167" customWidth="1"/>
    <col min="7686" max="7937" width="11.42578125" style="167"/>
    <col min="7938" max="7938" width="13.85546875" style="167" customWidth="1"/>
    <col min="7939" max="7939" width="21.28515625" style="167" customWidth="1"/>
    <col min="7940" max="7940" width="19.140625" style="167" customWidth="1"/>
    <col min="7941" max="7941" width="16.85546875" style="167" customWidth="1"/>
    <col min="7942" max="8193" width="11.42578125" style="167"/>
    <col min="8194" max="8194" width="13.85546875" style="167" customWidth="1"/>
    <col min="8195" max="8195" width="21.28515625" style="167" customWidth="1"/>
    <col min="8196" max="8196" width="19.140625" style="167" customWidth="1"/>
    <col min="8197" max="8197" width="16.85546875" style="167" customWidth="1"/>
    <col min="8198" max="8449" width="11.42578125" style="167"/>
    <col min="8450" max="8450" width="13.85546875" style="167" customWidth="1"/>
    <col min="8451" max="8451" width="21.28515625" style="167" customWidth="1"/>
    <col min="8452" max="8452" width="19.140625" style="167" customWidth="1"/>
    <col min="8453" max="8453" width="16.85546875" style="167" customWidth="1"/>
    <col min="8454" max="8705" width="11.42578125" style="167"/>
    <col min="8706" max="8706" width="13.85546875" style="167" customWidth="1"/>
    <col min="8707" max="8707" width="21.28515625" style="167" customWidth="1"/>
    <col min="8708" max="8708" width="19.140625" style="167" customWidth="1"/>
    <col min="8709" max="8709" width="16.85546875" style="167" customWidth="1"/>
    <col min="8710" max="8961" width="11.42578125" style="167"/>
    <col min="8962" max="8962" width="13.85546875" style="167" customWidth="1"/>
    <col min="8963" max="8963" width="21.28515625" style="167" customWidth="1"/>
    <col min="8964" max="8964" width="19.140625" style="167" customWidth="1"/>
    <col min="8965" max="8965" width="16.85546875" style="167" customWidth="1"/>
    <col min="8966" max="9217" width="11.42578125" style="167"/>
    <col min="9218" max="9218" width="13.85546875" style="167" customWidth="1"/>
    <col min="9219" max="9219" width="21.28515625" style="167" customWidth="1"/>
    <col min="9220" max="9220" width="19.140625" style="167" customWidth="1"/>
    <col min="9221" max="9221" width="16.85546875" style="167" customWidth="1"/>
    <col min="9222" max="9473" width="11.42578125" style="167"/>
    <col min="9474" max="9474" width="13.85546875" style="167" customWidth="1"/>
    <col min="9475" max="9475" width="21.28515625" style="167" customWidth="1"/>
    <col min="9476" max="9476" width="19.140625" style="167" customWidth="1"/>
    <col min="9477" max="9477" width="16.85546875" style="167" customWidth="1"/>
    <col min="9478" max="9729" width="11.42578125" style="167"/>
    <col min="9730" max="9730" width="13.85546875" style="167" customWidth="1"/>
    <col min="9731" max="9731" width="21.28515625" style="167" customWidth="1"/>
    <col min="9732" max="9732" width="19.140625" style="167" customWidth="1"/>
    <col min="9733" max="9733" width="16.85546875" style="167" customWidth="1"/>
    <col min="9734" max="9985" width="11.42578125" style="167"/>
    <col min="9986" max="9986" width="13.85546875" style="167" customWidth="1"/>
    <col min="9987" max="9987" width="21.28515625" style="167" customWidth="1"/>
    <col min="9988" max="9988" width="19.140625" style="167" customWidth="1"/>
    <col min="9989" max="9989" width="16.85546875" style="167" customWidth="1"/>
    <col min="9990" max="10241" width="11.42578125" style="167"/>
    <col min="10242" max="10242" width="13.85546875" style="167" customWidth="1"/>
    <col min="10243" max="10243" width="21.28515625" style="167" customWidth="1"/>
    <col min="10244" max="10244" width="19.140625" style="167" customWidth="1"/>
    <col min="10245" max="10245" width="16.85546875" style="167" customWidth="1"/>
    <col min="10246" max="10497" width="11.42578125" style="167"/>
    <col min="10498" max="10498" width="13.85546875" style="167" customWidth="1"/>
    <col min="10499" max="10499" width="21.28515625" style="167" customWidth="1"/>
    <col min="10500" max="10500" width="19.140625" style="167" customWidth="1"/>
    <col min="10501" max="10501" width="16.85546875" style="167" customWidth="1"/>
    <col min="10502" max="10753" width="11.42578125" style="167"/>
    <col min="10754" max="10754" width="13.85546875" style="167" customWidth="1"/>
    <col min="10755" max="10755" width="21.28515625" style="167" customWidth="1"/>
    <col min="10756" max="10756" width="19.140625" style="167" customWidth="1"/>
    <col min="10757" max="10757" width="16.85546875" style="167" customWidth="1"/>
    <col min="10758" max="11009" width="11.42578125" style="167"/>
    <col min="11010" max="11010" width="13.85546875" style="167" customWidth="1"/>
    <col min="11011" max="11011" width="21.28515625" style="167" customWidth="1"/>
    <col min="11012" max="11012" width="19.140625" style="167" customWidth="1"/>
    <col min="11013" max="11013" width="16.85546875" style="167" customWidth="1"/>
    <col min="11014" max="11265" width="11.42578125" style="167"/>
    <col min="11266" max="11266" width="13.85546875" style="167" customWidth="1"/>
    <col min="11267" max="11267" width="21.28515625" style="167" customWidth="1"/>
    <col min="11268" max="11268" width="19.140625" style="167" customWidth="1"/>
    <col min="11269" max="11269" width="16.85546875" style="167" customWidth="1"/>
    <col min="11270" max="11521" width="11.42578125" style="167"/>
    <col min="11522" max="11522" width="13.85546875" style="167" customWidth="1"/>
    <col min="11523" max="11523" width="21.28515625" style="167" customWidth="1"/>
    <col min="11524" max="11524" width="19.140625" style="167" customWidth="1"/>
    <col min="11525" max="11525" width="16.85546875" style="167" customWidth="1"/>
    <col min="11526" max="11777" width="11.42578125" style="167"/>
    <col min="11778" max="11778" width="13.85546875" style="167" customWidth="1"/>
    <col min="11779" max="11779" width="21.28515625" style="167" customWidth="1"/>
    <col min="11780" max="11780" width="19.140625" style="167" customWidth="1"/>
    <col min="11781" max="11781" width="16.85546875" style="167" customWidth="1"/>
    <col min="11782" max="12033" width="11.42578125" style="167"/>
    <col min="12034" max="12034" width="13.85546875" style="167" customWidth="1"/>
    <col min="12035" max="12035" width="21.28515625" style="167" customWidth="1"/>
    <col min="12036" max="12036" width="19.140625" style="167" customWidth="1"/>
    <col min="12037" max="12037" width="16.85546875" style="167" customWidth="1"/>
    <col min="12038" max="12289" width="11.42578125" style="167"/>
    <col min="12290" max="12290" width="13.85546875" style="167" customWidth="1"/>
    <col min="12291" max="12291" width="21.28515625" style="167" customWidth="1"/>
    <col min="12292" max="12292" width="19.140625" style="167" customWidth="1"/>
    <col min="12293" max="12293" width="16.85546875" style="167" customWidth="1"/>
    <col min="12294" max="12545" width="11.42578125" style="167"/>
    <col min="12546" max="12546" width="13.85546875" style="167" customWidth="1"/>
    <col min="12547" max="12547" width="21.28515625" style="167" customWidth="1"/>
    <col min="12548" max="12548" width="19.140625" style="167" customWidth="1"/>
    <col min="12549" max="12549" width="16.85546875" style="167" customWidth="1"/>
    <col min="12550" max="12801" width="11.42578125" style="167"/>
    <col min="12802" max="12802" width="13.85546875" style="167" customWidth="1"/>
    <col min="12803" max="12803" width="21.28515625" style="167" customWidth="1"/>
    <col min="12804" max="12804" width="19.140625" style="167" customWidth="1"/>
    <col min="12805" max="12805" width="16.85546875" style="167" customWidth="1"/>
    <col min="12806" max="13057" width="11.42578125" style="167"/>
    <col min="13058" max="13058" width="13.85546875" style="167" customWidth="1"/>
    <col min="13059" max="13059" width="21.28515625" style="167" customWidth="1"/>
    <col min="13060" max="13060" width="19.140625" style="167" customWidth="1"/>
    <col min="13061" max="13061" width="16.85546875" style="167" customWidth="1"/>
    <col min="13062" max="13313" width="11.42578125" style="167"/>
    <col min="13314" max="13314" width="13.85546875" style="167" customWidth="1"/>
    <col min="13315" max="13315" width="21.28515625" style="167" customWidth="1"/>
    <col min="13316" max="13316" width="19.140625" style="167" customWidth="1"/>
    <col min="13317" max="13317" width="16.85546875" style="167" customWidth="1"/>
    <col min="13318" max="13569" width="11.42578125" style="167"/>
    <col min="13570" max="13570" width="13.85546875" style="167" customWidth="1"/>
    <col min="13571" max="13571" width="21.28515625" style="167" customWidth="1"/>
    <col min="13572" max="13572" width="19.140625" style="167" customWidth="1"/>
    <col min="13573" max="13573" width="16.85546875" style="167" customWidth="1"/>
    <col min="13574" max="13825" width="11.42578125" style="167"/>
    <col min="13826" max="13826" width="13.85546875" style="167" customWidth="1"/>
    <col min="13827" max="13827" width="21.28515625" style="167" customWidth="1"/>
    <col min="13828" max="13828" width="19.140625" style="167" customWidth="1"/>
    <col min="13829" max="13829" width="16.85546875" style="167" customWidth="1"/>
    <col min="13830" max="14081" width="11.42578125" style="167"/>
    <col min="14082" max="14082" width="13.85546875" style="167" customWidth="1"/>
    <col min="14083" max="14083" width="21.28515625" style="167" customWidth="1"/>
    <col min="14084" max="14084" width="19.140625" style="167" customWidth="1"/>
    <col min="14085" max="14085" width="16.85546875" style="167" customWidth="1"/>
    <col min="14086" max="14337" width="11.42578125" style="167"/>
    <col min="14338" max="14338" width="13.85546875" style="167" customWidth="1"/>
    <col min="14339" max="14339" width="21.28515625" style="167" customWidth="1"/>
    <col min="14340" max="14340" width="19.140625" style="167" customWidth="1"/>
    <col min="14341" max="14341" width="16.85546875" style="167" customWidth="1"/>
    <col min="14342" max="14593" width="11.42578125" style="167"/>
    <col min="14594" max="14594" width="13.85546875" style="167" customWidth="1"/>
    <col min="14595" max="14595" width="21.28515625" style="167" customWidth="1"/>
    <col min="14596" max="14596" width="19.140625" style="167" customWidth="1"/>
    <col min="14597" max="14597" width="16.85546875" style="167" customWidth="1"/>
    <col min="14598" max="14849" width="11.42578125" style="167"/>
    <col min="14850" max="14850" width="13.85546875" style="167" customWidth="1"/>
    <col min="14851" max="14851" width="21.28515625" style="167" customWidth="1"/>
    <col min="14852" max="14852" width="19.140625" style="167" customWidth="1"/>
    <col min="14853" max="14853" width="16.85546875" style="167" customWidth="1"/>
    <col min="14854" max="15105" width="11.42578125" style="167"/>
    <col min="15106" max="15106" width="13.85546875" style="167" customWidth="1"/>
    <col min="15107" max="15107" width="21.28515625" style="167" customWidth="1"/>
    <col min="15108" max="15108" width="19.140625" style="167" customWidth="1"/>
    <col min="15109" max="15109" width="16.85546875" style="167" customWidth="1"/>
    <col min="15110" max="15361" width="11.42578125" style="167"/>
    <col min="15362" max="15362" width="13.85546875" style="167" customWidth="1"/>
    <col min="15363" max="15363" width="21.28515625" style="167" customWidth="1"/>
    <col min="15364" max="15364" width="19.140625" style="167" customWidth="1"/>
    <col min="15365" max="15365" width="16.85546875" style="167" customWidth="1"/>
    <col min="15366" max="15617" width="11.42578125" style="167"/>
    <col min="15618" max="15618" width="13.85546875" style="167" customWidth="1"/>
    <col min="15619" max="15619" width="21.28515625" style="167" customWidth="1"/>
    <col min="15620" max="15620" width="19.140625" style="167" customWidth="1"/>
    <col min="15621" max="15621" width="16.85546875" style="167" customWidth="1"/>
    <col min="15622" max="15873" width="11.42578125" style="167"/>
    <col min="15874" max="15874" width="13.85546875" style="167" customWidth="1"/>
    <col min="15875" max="15875" width="21.28515625" style="167" customWidth="1"/>
    <col min="15876" max="15876" width="19.140625" style="167" customWidth="1"/>
    <col min="15877" max="15877" width="16.85546875" style="167" customWidth="1"/>
    <col min="15878" max="16129" width="11.42578125" style="167"/>
    <col min="16130" max="16130" width="13.85546875" style="167" customWidth="1"/>
    <col min="16131" max="16131" width="21.28515625" style="167" customWidth="1"/>
    <col min="16132" max="16132" width="19.140625" style="167" customWidth="1"/>
    <col min="16133" max="16133" width="16.85546875" style="167" customWidth="1"/>
    <col min="16134" max="16384" width="11.42578125" style="167"/>
  </cols>
  <sheetData>
    <row r="2" spans="1:12" x14ac:dyDescent="0.2">
      <c r="A2" s="196" t="s">
        <v>121</v>
      </c>
    </row>
    <row r="3" spans="1:12" ht="15" x14ac:dyDescent="0.25">
      <c r="A3" s="196" t="s">
        <v>122</v>
      </c>
      <c r="E3" s="337"/>
    </row>
    <row r="5" spans="1:12" ht="15" x14ac:dyDescent="0.25">
      <c r="B5" s="418" t="s">
        <v>494</v>
      </c>
      <c r="C5" s="418"/>
      <c r="D5" s="418"/>
      <c r="E5" s="418"/>
      <c r="G5" s="356" t="s">
        <v>594</v>
      </c>
      <c r="L5" s="337"/>
    </row>
    <row r="6" spans="1:12" ht="12.75" x14ac:dyDescent="0.2">
      <c r="B6" s="418" t="s">
        <v>650</v>
      </c>
      <c r="C6" s="418"/>
      <c r="D6" s="418"/>
      <c r="E6" s="418"/>
    </row>
    <row r="8" spans="1:12" x14ac:dyDescent="0.2">
      <c r="B8" s="463" t="s">
        <v>495</v>
      </c>
      <c r="C8" s="463"/>
      <c r="D8" s="463"/>
      <c r="E8" s="463"/>
    </row>
    <row r="9" spans="1:12" ht="24" x14ac:dyDescent="0.2">
      <c r="B9" s="243" t="s">
        <v>483</v>
      </c>
      <c r="C9" s="229" t="s">
        <v>496</v>
      </c>
      <c r="D9" s="229" t="s">
        <v>497</v>
      </c>
      <c r="E9" s="229" t="s">
        <v>498</v>
      </c>
    </row>
    <row r="10" spans="1:12" x14ac:dyDescent="0.2">
      <c r="B10" s="244"/>
      <c r="C10" s="229"/>
      <c r="D10" s="229"/>
      <c r="E10" s="229"/>
    </row>
    <row r="11" spans="1:12" x14ac:dyDescent="0.2">
      <c r="B11" s="245" t="s">
        <v>19</v>
      </c>
      <c r="C11" s="242">
        <v>23671</v>
      </c>
      <c r="D11" s="242" t="s">
        <v>499</v>
      </c>
      <c r="E11" s="242">
        <f>SUM(C11:D11)</f>
        <v>23671</v>
      </c>
    </row>
    <row r="12" spans="1:12" x14ac:dyDescent="0.2">
      <c r="B12" s="245" t="s">
        <v>20</v>
      </c>
      <c r="C12" s="242">
        <v>90591</v>
      </c>
      <c r="D12" s="242" t="s">
        <v>499</v>
      </c>
      <c r="E12" s="242">
        <f>SUM(C12:D12)</f>
        <v>90591</v>
      </c>
    </row>
    <row r="13" spans="1:12" x14ac:dyDescent="0.2">
      <c r="B13" s="245" t="s">
        <v>21</v>
      </c>
      <c r="C13" s="242">
        <v>105822</v>
      </c>
      <c r="D13" s="242" t="s">
        <v>499</v>
      </c>
      <c r="E13" s="242">
        <f>SUM(C13:D13)</f>
        <v>105822</v>
      </c>
    </row>
    <row r="14" spans="1:12" x14ac:dyDescent="0.2">
      <c r="B14" s="245" t="s">
        <v>22</v>
      </c>
      <c r="C14" s="242">
        <v>54727</v>
      </c>
      <c r="D14" s="242" t="s">
        <v>499</v>
      </c>
      <c r="E14" s="242">
        <f>SUM(C14:D14)</f>
        <v>54727</v>
      </c>
    </row>
    <row r="15" spans="1:12" x14ac:dyDescent="0.2">
      <c r="B15" s="245" t="s">
        <v>23</v>
      </c>
      <c r="C15" s="242">
        <v>38385</v>
      </c>
      <c r="D15" s="242" t="s">
        <v>499</v>
      </c>
      <c r="E15" s="242">
        <f>SUM(C15:D15)</f>
        <v>38385</v>
      </c>
    </row>
    <row r="16" spans="1:12" x14ac:dyDescent="0.2">
      <c r="B16" s="233">
        <v>41640</v>
      </c>
      <c r="C16" s="234">
        <v>3012</v>
      </c>
      <c r="D16" s="235">
        <v>385</v>
      </c>
      <c r="E16" s="234">
        <v>3397</v>
      </c>
    </row>
    <row r="17" spans="2:5" x14ac:dyDescent="0.2">
      <c r="B17" s="233">
        <v>41671</v>
      </c>
      <c r="C17" s="234">
        <v>3146</v>
      </c>
      <c r="D17" s="235">
        <v>307</v>
      </c>
      <c r="E17" s="234">
        <v>3453</v>
      </c>
    </row>
    <row r="18" spans="2:5" x14ac:dyDescent="0.2">
      <c r="B18" s="233">
        <v>41699</v>
      </c>
      <c r="C18" s="234">
        <v>2820</v>
      </c>
      <c r="D18" s="235">
        <v>401</v>
      </c>
      <c r="E18" s="234">
        <v>3221</v>
      </c>
    </row>
    <row r="19" spans="2:5" x14ac:dyDescent="0.2">
      <c r="B19" s="233">
        <v>41730</v>
      </c>
      <c r="C19" s="234">
        <v>3671</v>
      </c>
      <c r="D19" s="235">
        <v>837</v>
      </c>
      <c r="E19" s="234">
        <v>4508</v>
      </c>
    </row>
    <row r="20" spans="2:5" x14ac:dyDescent="0.2">
      <c r="B20" s="233">
        <v>41760</v>
      </c>
      <c r="C20" s="234">
        <v>3405</v>
      </c>
      <c r="D20" s="235">
        <v>637</v>
      </c>
      <c r="E20" s="234">
        <v>4042</v>
      </c>
    </row>
    <row r="21" spans="2:5" x14ac:dyDescent="0.2">
      <c r="B21" s="233">
        <v>41791</v>
      </c>
      <c r="C21" s="234">
        <v>3448</v>
      </c>
      <c r="D21" s="235">
        <v>551</v>
      </c>
      <c r="E21" s="234">
        <v>3999</v>
      </c>
    </row>
    <row r="22" spans="2:5" x14ac:dyDescent="0.2">
      <c r="B22" s="233">
        <v>41821</v>
      </c>
      <c r="C22" s="234">
        <v>3132</v>
      </c>
      <c r="D22" s="235">
        <v>431</v>
      </c>
      <c r="E22" s="234">
        <v>3563</v>
      </c>
    </row>
    <row r="23" spans="2:5" x14ac:dyDescent="0.2">
      <c r="B23" s="233">
        <v>41852</v>
      </c>
      <c r="C23" s="234">
        <v>3702</v>
      </c>
      <c r="D23" s="235">
        <v>437</v>
      </c>
      <c r="E23" s="234">
        <v>4139</v>
      </c>
    </row>
    <row r="24" spans="2:5" x14ac:dyDescent="0.2">
      <c r="B24" s="233">
        <v>41883</v>
      </c>
      <c r="C24" s="234">
        <v>4118</v>
      </c>
      <c r="D24" s="235">
        <v>391</v>
      </c>
      <c r="E24" s="234">
        <v>4509</v>
      </c>
    </row>
    <row r="25" spans="2:5" x14ac:dyDescent="0.2">
      <c r="B25" s="233">
        <v>41913</v>
      </c>
      <c r="C25" s="234">
        <v>4714</v>
      </c>
      <c r="D25" s="235">
        <v>491</v>
      </c>
      <c r="E25" s="234">
        <v>5205</v>
      </c>
    </row>
    <row r="26" spans="2:5" x14ac:dyDescent="0.2">
      <c r="B26" s="233">
        <v>41944</v>
      </c>
      <c r="C26" s="234">
        <v>4499</v>
      </c>
      <c r="D26" s="235">
        <v>402</v>
      </c>
      <c r="E26" s="234">
        <v>4901</v>
      </c>
    </row>
    <row r="27" spans="2:5" x14ac:dyDescent="0.2">
      <c r="B27" s="233">
        <v>41974</v>
      </c>
      <c r="C27" s="234">
        <v>4587</v>
      </c>
      <c r="D27" s="235">
        <v>501</v>
      </c>
      <c r="E27" s="234">
        <v>5088</v>
      </c>
    </row>
    <row r="28" spans="2:5" x14ac:dyDescent="0.2">
      <c r="B28" s="245" t="s">
        <v>24</v>
      </c>
      <c r="C28" s="242">
        <f>SUM(C16:C27)</f>
        <v>44254</v>
      </c>
      <c r="D28" s="242">
        <f>SUM(D16:D27)</f>
        <v>5771</v>
      </c>
      <c r="E28" s="242">
        <f>SUM(E16:E27)</f>
        <v>50025</v>
      </c>
    </row>
    <row r="29" spans="2:5" x14ac:dyDescent="0.2">
      <c r="B29" s="233">
        <v>42005</v>
      </c>
      <c r="C29" s="234">
        <v>3692</v>
      </c>
      <c r="D29" s="235">
        <v>452</v>
      </c>
      <c r="E29" s="234">
        <f>C29+D29</f>
        <v>4144</v>
      </c>
    </row>
    <row r="30" spans="2:5" x14ac:dyDescent="0.2">
      <c r="B30" s="233">
        <v>42036</v>
      </c>
      <c r="C30" s="234">
        <v>3089</v>
      </c>
      <c r="D30" s="235">
        <v>314</v>
      </c>
      <c r="E30" s="234">
        <f t="shared" ref="E30:E53" si="0">C30+D30</f>
        <v>3403</v>
      </c>
    </row>
    <row r="31" spans="2:5" x14ac:dyDescent="0.2">
      <c r="B31" s="233">
        <v>42064</v>
      </c>
      <c r="C31" s="234">
        <v>3959</v>
      </c>
      <c r="D31" s="235">
        <v>437</v>
      </c>
      <c r="E31" s="234">
        <f t="shared" si="0"/>
        <v>4396</v>
      </c>
    </row>
    <row r="32" spans="2:5" x14ac:dyDescent="0.2">
      <c r="B32" s="233">
        <v>42095</v>
      </c>
      <c r="C32" s="234">
        <v>4199</v>
      </c>
      <c r="D32" s="235">
        <v>418</v>
      </c>
      <c r="E32" s="234">
        <f t="shared" si="0"/>
        <v>4617</v>
      </c>
    </row>
    <row r="33" spans="2:5" x14ac:dyDescent="0.2">
      <c r="B33" s="233">
        <v>42125</v>
      </c>
      <c r="C33" s="234">
        <v>3877</v>
      </c>
      <c r="D33" s="235">
        <v>527</v>
      </c>
      <c r="E33" s="234">
        <f t="shared" si="0"/>
        <v>4404</v>
      </c>
    </row>
    <row r="34" spans="2:5" x14ac:dyDescent="0.2">
      <c r="B34" s="233">
        <v>42156</v>
      </c>
      <c r="C34" s="234">
        <v>4140</v>
      </c>
      <c r="D34" s="235">
        <v>642</v>
      </c>
      <c r="E34" s="234">
        <f t="shared" si="0"/>
        <v>4782</v>
      </c>
    </row>
    <row r="35" spans="2:5" x14ac:dyDescent="0.2">
      <c r="B35" s="233">
        <v>42186</v>
      </c>
      <c r="C35" s="234">
        <v>3415</v>
      </c>
      <c r="D35" s="235">
        <v>391</v>
      </c>
      <c r="E35" s="234">
        <f t="shared" si="0"/>
        <v>3806</v>
      </c>
    </row>
    <row r="36" spans="2:5" x14ac:dyDescent="0.2">
      <c r="B36" s="233">
        <v>42217</v>
      </c>
      <c r="C36" s="234">
        <v>6058</v>
      </c>
      <c r="D36" s="235">
        <v>393</v>
      </c>
      <c r="E36" s="234">
        <f t="shared" si="0"/>
        <v>6451</v>
      </c>
    </row>
    <row r="37" spans="2:5" x14ac:dyDescent="0.2">
      <c r="B37" s="233">
        <v>42248</v>
      </c>
      <c r="C37" s="234">
        <v>5036</v>
      </c>
      <c r="D37" s="235">
        <v>579</v>
      </c>
      <c r="E37" s="234">
        <f t="shared" si="0"/>
        <v>5615</v>
      </c>
    </row>
    <row r="38" spans="2:5" x14ac:dyDescent="0.2">
      <c r="B38" s="233">
        <v>42278</v>
      </c>
      <c r="C38" s="234">
        <v>4175</v>
      </c>
      <c r="D38" s="235">
        <v>552</v>
      </c>
      <c r="E38" s="234">
        <f t="shared" si="0"/>
        <v>4727</v>
      </c>
    </row>
    <row r="39" spans="2:5" x14ac:dyDescent="0.2">
      <c r="B39" s="233">
        <v>42309</v>
      </c>
      <c r="C39" s="234">
        <v>5394</v>
      </c>
      <c r="D39" s="235">
        <v>555</v>
      </c>
      <c r="E39" s="234">
        <f t="shared" si="0"/>
        <v>5949</v>
      </c>
    </row>
    <row r="40" spans="2:5" x14ac:dyDescent="0.2">
      <c r="B40" s="233">
        <v>42339</v>
      </c>
      <c r="C40" s="234">
        <v>4616</v>
      </c>
      <c r="D40" s="235">
        <v>704</v>
      </c>
      <c r="E40" s="234">
        <f t="shared" si="0"/>
        <v>5320</v>
      </c>
    </row>
    <row r="41" spans="2:5" x14ac:dyDescent="0.2">
      <c r="B41" s="245" t="s">
        <v>500</v>
      </c>
      <c r="C41" s="242">
        <f>SUM(C29:C40)</f>
        <v>51650</v>
      </c>
      <c r="D41" s="242">
        <f>SUM(D29:D40)</f>
        <v>5964</v>
      </c>
      <c r="E41" s="242">
        <f>SUM(E29:E40)</f>
        <v>57614</v>
      </c>
    </row>
    <row r="42" spans="2:5" x14ac:dyDescent="0.2">
      <c r="B42" s="233">
        <v>42370</v>
      </c>
      <c r="C42" s="234">
        <v>4090</v>
      </c>
      <c r="D42" s="235">
        <v>834</v>
      </c>
      <c r="E42" s="234">
        <f t="shared" si="0"/>
        <v>4924</v>
      </c>
    </row>
    <row r="43" spans="2:5" x14ac:dyDescent="0.2">
      <c r="B43" s="233">
        <v>42401</v>
      </c>
      <c r="C43" s="234">
        <v>3843</v>
      </c>
      <c r="D43" s="235">
        <v>401</v>
      </c>
      <c r="E43" s="234">
        <f t="shared" si="0"/>
        <v>4244</v>
      </c>
    </row>
    <row r="44" spans="2:5" x14ac:dyDescent="0.2">
      <c r="B44" s="233">
        <v>42430</v>
      </c>
      <c r="C44" s="234">
        <v>5145</v>
      </c>
      <c r="D44" s="235">
        <v>878</v>
      </c>
      <c r="E44" s="234">
        <f t="shared" si="0"/>
        <v>6023</v>
      </c>
    </row>
    <row r="45" spans="2:5" x14ac:dyDescent="0.2">
      <c r="B45" s="233">
        <v>42461</v>
      </c>
      <c r="C45" s="234">
        <v>4415</v>
      </c>
      <c r="D45" s="235">
        <v>636</v>
      </c>
      <c r="E45" s="234">
        <f t="shared" si="0"/>
        <v>5051</v>
      </c>
    </row>
    <row r="46" spans="2:5" x14ac:dyDescent="0.2">
      <c r="B46" s="233">
        <v>42491</v>
      </c>
      <c r="C46" s="234">
        <v>4663</v>
      </c>
      <c r="D46" s="235">
        <v>700</v>
      </c>
      <c r="E46" s="234">
        <f t="shared" si="0"/>
        <v>5363</v>
      </c>
    </row>
    <row r="47" spans="2:5" x14ac:dyDescent="0.2">
      <c r="B47" s="233">
        <v>42522</v>
      </c>
      <c r="C47" s="234">
        <v>3794</v>
      </c>
      <c r="D47" s="235">
        <v>507</v>
      </c>
      <c r="E47" s="234">
        <f t="shared" si="0"/>
        <v>4301</v>
      </c>
    </row>
    <row r="48" spans="2:5" x14ac:dyDescent="0.2">
      <c r="B48" s="233">
        <v>42552</v>
      </c>
      <c r="C48" s="234">
        <v>4438</v>
      </c>
      <c r="D48" s="235">
        <v>635</v>
      </c>
      <c r="E48" s="234">
        <f t="shared" si="0"/>
        <v>5073</v>
      </c>
    </row>
    <row r="49" spans="2:6" x14ac:dyDescent="0.2">
      <c r="B49" s="233">
        <v>42583</v>
      </c>
      <c r="C49" s="234">
        <v>4694</v>
      </c>
      <c r="D49" s="235">
        <v>856</v>
      </c>
      <c r="E49" s="234">
        <f t="shared" si="0"/>
        <v>5550</v>
      </c>
    </row>
    <row r="50" spans="2:6" x14ac:dyDescent="0.2">
      <c r="B50" s="233">
        <v>42614</v>
      </c>
      <c r="C50" s="234">
        <v>4579</v>
      </c>
      <c r="D50" s="235">
        <v>914</v>
      </c>
      <c r="E50" s="234">
        <f t="shared" si="0"/>
        <v>5493</v>
      </c>
    </row>
    <row r="51" spans="2:6" x14ac:dyDescent="0.2">
      <c r="B51" s="233">
        <v>42644</v>
      </c>
      <c r="C51" s="234">
        <v>4407</v>
      </c>
      <c r="D51" s="235">
        <v>866</v>
      </c>
      <c r="E51" s="234">
        <f t="shared" si="0"/>
        <v>5273</v>
      </c>
    </row>
    <row r="52" spans="2:6" x14ac:dyDescent="0.2">
      <c r="B52" s="233">
        <v>42675</v>
      </c>
      <c r="C52" s="241">
        <v>3689</v>
      </c>
      <c r="D52" s="241">
        <v>1064</v>
      </c>
      <c r="E52" s="241">
        <f t="shared" si="0"/>
        <v>4753</v>
      </c>
    </row>
    <row r="53" spans="2:6" x14ac:dyDescent="0.2">
      <c r="B53" s="233">
        <v>42705</v>
      </c>
      <c r="C53" s="241">
        <v>5295</v>
      </c>
      <c r="D53" s="241">
        <v>451</v>
      </c>
      <c r="E53" s="241">
        <f t="shared" si="0"/>
        <v>5746</v>
      </c>
    </row>
    <row r="54" spans="2:6" x14ac:dyDescent="0.2">
      <c r="B54" s="246" t="s">
        <v>26</v>
      </c>
      <c r="C54" s="242">
        <f>SUM(C42:C53)</f>
        <v>53052</v>
      </c>
      <c r="D54" s="242">
        <f>SUM(D42:D53)</f>
        <v>8742</v>
      </c>
      <c r="E54" s="242">
        <f>SUM(E42:E53)</f>
        <v>61794</v>
      </c>
      <c r="F54" s="247"/>
    </row>
    <row r="55" spans="2:6" x14ac:dyDescent="0.2">
      <c r="B55" s="233">
        <v>42736</v>
      </c>
      <c r="C55" s="241">
        <v>4977</v>
      </c>
      <c r="D55" s="241">
        <v>661</v>
      </c>
      <c r="E55" s="241">
        <f t="shared" ref="E55:E66" si="1">C55+D55</f>
        <v>5638</v>
      </c>
      <c r="F55" s="247"/>
    </row>
    <row r="56" spans="2:6" x14ac:dyDescent="0.2">
      <c r="B56" s="233">
        <v>42767</v>
      </c>
      <c r="C56" s="241">
        <v>4428</v>
      </c>
      <c r="D56" s="241">
        <v>663</v>
      </c>
      <c r="E56" s="241">
        <f t="shared" si="1"/>
        <v>5091</v>
      </c>
      <c r="F56" s="247"/>
    </row>
    <row r="57" spans="2:6" x14ac:dyDescent="0.2">
      <c r="B57" s="233">
        <v>42795</v>
      </c>
      <c r="C57" s="241">
        <v>4154</v>
      </c>
      <c r="D57" s="241">
        <v>749</v>
      </c>
      <c r="E57" s="241">
        <f t="shared" si="1"/>
        <v>4903</v>
      </c>
      <c r="F57" s="247"/>
    </row>
    <row r="58" spans="2:6" x14ac:dyDescent="0.2">
      <c r="B58" s="233">
        <v>42826</v>
      </c>
      <c r="C58" s="241">
        <v>4708</v>
      </c>
      <c r="D58" s="241">
        <v>760</v>
      </c>
      <c r="E58" s="241">
        <f t="shared" si="1"/>
        <v>5468</v>
      </c>
      <c r="F58" s="247"/>
    </row>
    <row r="59" spans="2:6" x14ac:dyDescent="0.2">
      <c r="B59" s="233">
        <v>42856</v>
      </c>
      <c r="C59" s="241">
        <v>4913</v>
      </c>
      <c r="D59" s="241">
        <v>812</v>
      </c>
      <c r="E59" s="241">
        <f t="shared" si="1"/>
        <v>5725</v>
      </c>
      <c r="F59" s="247"/>
    </row>
    <row r="60" spans="2:6" x14ac:dyDescent="0.2">
      <c r="B60" s="233">
        <v>42887</v>
      </c>
      <c r="C60" s="241">
        <v>4045</v>
      </c>
      <c r="D60" s="241">
        <v>1056</v>
      </c>
      <c r="E60" s="241">
        <f t="shared" si="1"/>
        <v>5101</v>
      </c>
      <c r="F60" s="247"/>
    </row>
    <row r="61" spans="2:6" x14ac:dyDescent="0.2">
      <c r="B61" s="233">
        <v>42917</v>
      </c>
      <c r="C61" s="241">
        <v>4769</v>
      </c>
      <c r="D61" s="241">
        <v>753</v>
      </c>
      <c r="E61" s="241">
        <f t="shared" si="1"/>
        <v>5522</v>
      </c>
      <c r="F61" s="247"/>
    </row>
    <row r="62" spans="2:6" x14ac:dyDescent="0.2">
      <c r="B62" s="233">
        <v>42948</v>
      </c>
      <c r="C62" s="241">
        <v>5278</v>
      </c>
      <c r="D62" s="241">
        <v>817</v>
      </c>
      <c r="E62" s="241">
        <f t="shared" si="1"/>
        <v>6095</v>
      </c>
      <c r="F62" s="247"/>
    </row>
    <row r="63" spans="2:6" x14ac:dyDescent="0.2">
      <c r="B63" s="233">
        <v>42979</v>
      </c>
      <c r="C63" s="241">
        <v>3974</v>
      </c>
      <c r="D63" s="241">
        <v>593</v>
      </c>
      <c r="E63" s="241">
        <f t="shared" si="1"/>
        <v>4567</v>
      </c>
      <c r="F63" s="247"/>
    </row>
    <row r="64" spans="2:6" x14ac:dyDescent="0.2">
      <c r="B64" s="233">
        <v>43009</v>
      </c>
      <c r="C64" s="241">
        <v>6946</v>
      </c>
      <c r="D64" s="241">
        <v>1191</v>
      </c>
      <c r="E64" s="241">
        <f t="shared" si="1"/>
        <v>8137</v>
      </c>
      <c r="F64" s="247"/>
    </row>
    <row r="65" spans="2:6" x14ac:dyDescent="0.2">
      <c r="B65" s="233">
        <v>43040</v>
      </c>
      <c r="C65" s="241">
        <v>5299</v>
      </c>
      <c r="D65" s="241">
        <v>833</v>
      </c>
      <c r="E65" s="241">
        <f t="shared" si="1"/>
        <v>6132</v>
      </c>
      <c r="F65" s="247"/>
    </row>
    <row r="66" spans="2:6" x14ac:dyDescent="0.2">
      <c r="B66" s="233">
        <v>43070</v>
      </c>
      <c r="C66" s="241">
        <v>4958</v>
      </c>
      <c r="D66" s="241">
        <v>795</v>
      </c>
      <c r="E66" s="241">
        <f t="shared" si="1"/>
        <v>5753</v>
      </c>
      <c r="F66" s="247"/>
    </row>
    <row r="67" spans="2:6" x14ac:dyDescent="0.2">
      <c r="B67" s="246" t="s">
        <v>39</v>
      </c>
      <c r="C67" s="248">
        <f>SUM(C55:C66)</f>
        <v>58449</v>
      </c>
      <c r="D67" s="248">
        <f>SUM(D55:D66)</f>
        <v>9683</v>
      </c>
      <c r="E67" s="248">
        <f>SUM(E55:E66)</f>
        <v>68132</v>
      </c>
      <c r="F67" s="247"/>
    </row>
    <row r="68" spans="2:6" x14ac:dyDescent="0.2">
      <c r="B68" s="233">
        <v>43101</v>
      </c>
      <c r="C68" s="241">
        <v>5007</v>
      </c>
      <c r="D68" s="241">
        <v>965</v>
      </c>
      <c r="E68" s="241">
        <f>C68+D68</f>
        <v>5972</v>
      </c>
      <c r="F68" s="247"/>
    </row>
    <row r="69" spans="2:6" x14ac:dyDescent="0.2">
      <c r="B69" s="233">
        <v>43132</v>
      </c>
      <c r="C69" s="241">
        <v>5360</v>
      </c>
      <c r="D69" s="241">
        <v>944</v>
      </c>
      <c r="E69" s="241">
        <f>C69+D69</f>
        <v>6304</v>
      </c>
      <c r="F69" s="247"/>
    </row>
    <row r="70" spans="2:6" x14ac:dyDescent="0.2">
      <c r="B70" s="233">
        <v>43160</v>
      </c>
      <c r="C70" s="241">
        <v>6203</v>
      </c>
      <c r="D70" s="241">
        <v>1124</v>
      </c>
      <c r="E70" s="241">
        <v>7327</v>
      </c>
      <c r="F70" s="247"/>
    </row>
    <row r="71" spans="2:6" x14ac:dyDescent="0.2">
      <c r="B71" s="372">
        <v>43191</v>
      </c>
      <c r="C71" s="369">
        <v>5250</v>
      </c>
      <c r="D71" s="369">
        <v>775</v>
      </c>
      <c r="E71" s="369">
        <f t="shared" ref="E71:E76" si="2">+C71+D71</f>
        <v>6025</v>
      </c>
      <c r="F71" s="247"/>
    </row>
    <row r="72" spans="2:6" x14ac:dyDescent="0.2">
      <c r="B72" s="233">
        <v>43221</v>
      </c>
      <c r="C72" s="241">
        <v>5419</v>
      </c>
      <c r="D72" s="241">
        <v>628</v>
      </c>
      <c r="E72" s="241">
        <f t="shared" si="2"/>
        <v>6047</v>
      </c>
      <c r="F72" s="247"/>
    </row>
    <row r="73" spans="2:6" x14ac:dyDescent="0.2">
      <c r="B73" s="233">
        <v>43252</v>
      </c>
      <c r="C73" s="241">
        <v>5299</v>
      </c>
      <c r="D73" s="241">
        <v>848</v>
      </c>
      <c r="E73" s="241">
        <f t="shared" si="2"/>
        <v>6147</v>
      </c>
      <c r="F73" s="247"/>
    </row>
    <row r="74" spans="2:6" x14ac:dyDescent="0.2">
      <c r="B74" s="233">
        <v>43282</v>
      </c>
      <c r="C74" s="241">
        <v>5273</v>
      </c>
      <c r="D74" s="241">
        <v>633</v>
      </c>
      <c r="E74" s="241">
        <f t="shared" si="2"/>
        <v>5906</v>
      </c>
      <c r="F74" s="247"/>
    </row>
    <row r="75" spans="2:6" x14ac:dyDescent="0.2">
      <c r="B75" s="372">
        <v>43313</v>
      </c>
      <c r="C75" s="241">
        <v>5742</v>
      </c>
      <c r="D75" s="241">
        <v>364</v>
      </c>
      <c r="E75" s="241">
        <f t="shared" si="2"/>
        <v>6106</v>
      </c>
      <c r="F75" s="247"/>
    </row>
    <row r="76" spans="2:6" x14ac:dyDescent="0.2">
      <c r="B76" s="372">
        <v>43344</v>
      </c>
      <c r="C76" s="241">
        <v>6055</v>
      </c>
      <c r="D76" s="241">
        <v>488</v>
      </c>
      <c r="E76" s="241">
        <f t="shared" si="2"/>
        <v>6543</v>
      </c>
      <c r="F76" s="247"/>
    </row>
    <row r="77" spans="2:6" x14ac:dyDescent="0.2">
      <c r="B77" s="372">
        <v>43374</v>
      </c>
      <c r="C77" s="401">
        <v>5991</v>
      </c>
      <c r="D77" s="401">
        <v>513</v>
      </c>
      <c r="E77" s="369">
        <v>6504</v>
      </c>
      <c r="F77" s="247"/>
    </row>
    <row r="78" spans="2:6" x14ac:dyDescent="0.2">
      <c r="B78" s="372">
        <v>43405</v>
      </c>
      <c r="C78" s="401">
        <v>6396</v>
      </c>
      <c r="D78" s="401">
        <v>416</v>
      </c>
      <c r="E78" s="369">
        <v>6812</v>
      </c>
      <c r="F78" s="247"/>
    </row>
    <row r="79" spans="2:6" x14ac:dyDescent="0.2">
      <c r="B79" s="379" t="s">
        <v>638</v>
      </c>
      <c r="C79" s="380">
        <v>61995</v>
      </c>
      <c r="D79" s="380">
        <v>7698</v>
      </c>
      <c r="E79" s="380">
        <v>69693</v>
      </c>
    </row>
    <row r="80" spans="2:6" x14ac:dyDescent="0.2">
      <c r="B80" s="381" t="s">
        <v>43</v>
      </c>
      <c r="C80" s="382">
        <v>582596</v>
      </c>
      <c r="D80" s="382"/>
      <c r="E80" s="382">
        <v>620454</v>
      </c>
    </row>
    <row r="82" spans="2:2" x14ac:dyDescent="0.2">
      <c r="B82" s="167" t="s">
        <v>493</v>
      </c>
    </row>
    <row r="83" spans="2:2" x14ac:dyDescent="0.2">
      <c r="B83" s="167" t="s">
        <v>501</v>
      </c>
    </row>
    <row r="84" spans="2:2" x14ac:dyDescent="0.2">
      <c r="B84" s="167" t="s">
        <v>502</v>
      </c>
    </row>
  </sheetData>
  <mergeCells count="3">
    <mergeCell ref="B5:E5"/>
    <mergeCell ref="B6:E6"/>
    <mergeCell ref="B8:E8"/>
  </mergeCells>
  <hyperlinks>
    <hyperlink ref="G5" location="'Índice BxH'!A1" display="Volver a Bono por Hijo" xr:uid="{00000000-0004-0000-1900-000000000000}"/>
  </hyperlinks>
  <pageMargins left="0.7" right="0.7" top="0.75" bottom="0.75" header="0.3" footer="0.3"/>
  <pageSetup orientation="portrait" verticalDpi="0" r:id="rId1"/>
  <ignoredErrors>
    <ignoredError sqref="C28" formulaRange="1"/>
    <ignoredError sqref="E41 E54 E67"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K43"/>
  <sheetViews>
    <sheetView showGridLines="0" zoomScaleNormal="100" workbookViewId="0">
      <selection activeCell="B7" sqref="B7"/>
    </sheetView>
  </sheetViews>
  <sheetFormatPr baseColWidth="10" defaultColWidth="11.42578125" defaultRowHeight="12" x14ac:dyDescent="0.2"/>
  <cols>
    <col min="1" max="1" width="6" style="167" customWidth="1"/>
    <col min="2" max="2" width="13.7109375" style="167" bestFit="1" customWidth="1"/>
    <col min="3" max="3" width="4" style="167" bestFit="1" customWidth="1"/>
    <col min="4" max="4" width="19.42578125" style="167" bestFit="1" customWidth="1"/>
    <col min="5" max="16384" width="11.42578125" style="167"/>
  </cols>
  <sheetData>
    <row r="2" spans="1:11" x14ac:dyDescent="0.2">
      <c r="A2" s="196" t="s">
        <v>121</v>
      </c>
    </row>
    <row r="3" spans="1:11" ht="15" x14ac:dyDescent="0.25">
      <c r="A3" s="196" t="s">
        <v>122</v>
      </c>
      <c r="I3" s="337"/>
    </row>
    <row r="5" spans="1:11" ht="12.75" x14ac:dyDescent="0.2">
      <c r="B5" s="418" t="s">
        <v>503</v>
      </c>
      <c r="C5" s="418"/>
      <c r="D5" s="418"/>
      <c r="E5" s="418"/>
      <c r="F5" s="418"/>
      <c r="G5" s="418"/>
      <c r="H5" s="418"/>
      <c r="I5" s="418"/>
      <c r="K5" s="356" t="s">
        <v>594</v>
      </c>
    </row>
    <row r="6" spans="1:11" ht="12.75" x14ac:dyDescent="0.2">
      <c r="B6" s="464" t="s">
        <v>649</v>
      </c>
      <c r="C6" s="464"/>
      <c r="D6" s="464"/>
      <c r="E6" s="464"/>
      <c r="F6" s="464"/>
      <c r="G6" s="464"/>
      <c r="H6" s="464"/>
      <c r="I6" s="464"/>
    </row>
    <row r="8" spans="1:11" x14ac:dyDescent="0.2">
      <c r="B8" s="465" t="s">
        <v>504</v>
      </c>
      <c r="C8" s="465"/>
      <c r="D8" s="466"/>
      <c r="E8" s="467" t="s">
        <v>505</v>
      </c>
      <c r="F8" s="467"/>
      <c r="G8" s="467" t="s">
        <v>506</v>
      </c>
      <c r="H8" s="467"/>
      <c r="I8" s="467" t="s">
        <v>507</v>
      </c>
    </row>
    <row r="9" spans="1:11" ht="20.25" customHeight="1" x14ac:dyDescent="0.2">
      <c r="B9" s="465"/>
      <c r="C9" s="465"/>
      <c r="D9" s="466"/>
      <c r="E9" s="387" t="s">
        <v>508</v>
      </c>
      <c r="F9" s="387" t="s">
        <v>509</v>
      </c>
      <c r="G9" s="387" t="s">
        <v>509</v>
      </c>
      <c r="H9" s="387" t="s">
        <v>619</v>
      </c>
      <c r="I9" s="468"/>
    </row>
    <row r="10" spans="1:11" x14ac:dyDescent="0.2">
      <c r="B10" s="469" t="s">
        <v>510</v>
      </c>
      <c r="C10" s="470" t="s">
        <v>512</v>
      </c>
      <c r="D10" s="388" t="s">
        <v>511</v>
      </c>
      <c r="E10" s="386">
        <v>18</v>
      </c>
      <c r="F10" s="386"/>
      <c r="G10" s="386">
        <v>1</v>
      </c>
      <c r="H10" s="386">
        <v>60</v>
      </c>
      <c r="I10" s="389">
        <v>79</v>
      </c>
    </row>
    <row r="11" spans="1:11" x14ac:dyDescent="0.2">
      <c r="B11" s="469"/>
      <c r="C11" s="471"/>
      <c r="D11" s="390" t="s">
        <v>513</v>
      </c>
      <c r="E11" s="386">
        <v>65</v>
      </c>
      <c r="F11" s="386"/>
      <c r="G11" s="386">
        <v>4</v>
      </c>
      <c r="H11" s="386">
        <v>184</v>
      </c>
      <c r="I11" s="389">
        <v>253</v>
      </c>
    </row>
    <row r="12" spans="1:11" x14ac:dyDescent="0.2">
      <c r="B12" s="472" t="s">
        <v>514</v>
      </c>
      <c r="C12" s="470" t="s">
        <v>515</v>
      </c>
      <c r="D12" s="388" t="s">
        <v>511</v>
      </c>
      <c r="E12" s="386">
        <v>23</v>
      </c>
      <c r="F12" s="386"/>
      <c r="G12" s="386">
        <v>3</v>
      </c>
      <c r="H12" s="386">
        <v>67</v>
      </c>
      <c r="I12" s="389">
        <v>93</v>
      </c>
    </row>
    <row r="13" spans="1:11" x14ac:dyDescent="0.2">
      <c r="B13" s="472"/>
      <c r="C13" s="471"/>
      <c r="D13" s="390" t="s">
        <v>513</v>
      </c>
      <c r="E13" s="386">
        <v>84</v>
      </c>
      <c r="F13" s="386"/>
      <c r="G13" s="386">
        <v>13</v>
      </c>
      <c r="H13" s="386">
        <v>186</v>
      </c>
      <c r="I13" s="389">
        <v>283</v>
      </c>
    </row>
    <row r="14" spans="1:11" x14ac:dyDescent="0.2">
      <c r="B14" s="472" t="s">
        <v>516</v>
      </c>
      <c r="C14" s="473" t="s">
        <v>517</v>
      </c>
      <c r="D14" s="388" t="s">
        <v>511</v>
      </c>
      <c r="E14" s="386">
        <v>45</v>
      </c>
      <c r="F14" s="386"/>
      <c r="G14" s="386">
        <v>5</v>
      </c>
      <c r="H14" s="386">
        <v>124</v>
      </c>
      <c r="I14" s="389">
        <v>174</v>
      </c>
    </row>
    <row r="15" spans="1:11" x14ac:dyDescent="0.2">
      <c r="B15" s="471"/>
      <c r="C15" s="471"/>
      <c r="D15" s="390" t="s">
        <v>513</v>
      </c>
      <c r="E15" s="386">
        <v>149</v>
      </c>
      <c r="F15" s="386"/>
      <c r="G15" s="386">
        <v>23</v>
      </c>
      <c r="H15" s="386">
        <v>388</v>
      </c>
      <c r="I15" s="389">
        <v>560</v>
      </c>
    </row>
    <row r="16" spans="1:11" x14ac:dyDescent="0.2">
      <c r="B16" s="472" t="s">
        <v>518</v>
      </c>
      <c r="C16" s="473" t="s">
        <v>519</v>
      </c>
      <c r="D16" s="388" t="s">
        <v>511</v>
      </c>
      <c r="E16" s="386">
        <v>28</v>
      </c>
      <c r="F16" s="386">
        <v>2</v>
      </c>
      <c r="G16" s="386">
        <v>2</v>
      </c>
      <c r="H16" s="386">
        <v>70</v>
      </c>
      <c r="I16" s="389">
        <v>102</v>
      </c>
    </row>
    <row r="17" spans="2:9" x14ac:dyDescent="0.2">
      <c r="B17" s="471"/>
      <c r="C17" s="471"/>
      <c r="D17" s="390" t="s">
        <v>513</v>
      </c>
      <c r="E17" s="386">
        <v>84</v>
      </c>
      <c r="F17" s="386">
        <v>13</v>
      </c>
      <c r="G17" s="386">
        <v>12</v>
      </c>
      <c r="H17" s="386">
        <v>189</v>
      </c>
      <c r="I17" s="389">
        <v>298</v>
      </c>
    </row>
    <row r="18" spans="2:9" x14ac:dyDescent="0.2">
      <c r="B18" s="472" t="s">
        <v>520</v>
      </c>
      <c r="C18" s="473" t="s">
        <v>521</v>
      </c>
      <c r="D18" s="388" t="s">
        <v>511</v>
      </c>
      <c r="E18" s="386">
        <v>106</v>
      </c>
      <c r="F18" s="386">
        <v>6</v>
      </c>
      <c r="G18" s="386">
        <v>10</v>
      </c>
      <c r="H18" s="386">
        <v>180</v>
      </c>
      <c r="I18" s="389">
        <v>302</v>
      </c>
    </row>
    <row r="19" spans="2:9" x14ac:dyDescent="0.2">
      <c r="B19" s="471"/>
      <c r="C19" s="471"/>
      <c r="D19" s="390" t="s">
        <v>513</v>
      </c>
      <c r="E19" s="386">
        <v>363</v>
      </c>
      <c r="F19" s="386">
        <v>42</v>
      </c>
      <c r="G19" s="386">
        <v>30</v>
      </c>
      <c r="H19" s="386">
        <v>530</v>
      </c>
      <c r="I19" s="389">
        <v>965</v>
      </c>
    </row>
    <row r="20" spans="2:9" x14ac:dyDescent="0.2">
      <c r="B20" s="472" t="s">
        <v>522</v>
      </c>
      <c r="C20" s="473" t="s">
        <v>523</v>
      </c>
      <c r="D20" s="388" t="s">
        <v>511</v>
      </c>
      <c r="E20" s="386">
        <v>188</v>
      </c>
      <c r="F20" s="386">
        <v>17</v>
      </c>
      <c r="G20" s="386">
        <v>11</v>
      </c>
      <c r="H20" s="386">
        <v>482</v>
      </c>
      <c r="I20" s="389">
        <v>698</v>
      </c>
    </row>
    <row r="21" spans="2:9" x14ac:dyDescent="0.2">
      <c r="B21" s="471"/>
      <c r="C21" s="471"/>
      <c r="D21" s="390" t="s">
        <v>513</v>
      </c>
      <c r="E21" s="386">
        <v>591</v>
      </c>
      <c r="F21" s="386">
        <v>67</v>
      </c>
      <c r="G21" s="386">
        <v>30</v>
      </c>
      <c r="H21" s="386">
        <v>1270</v>
      </c>
      <c r="I21" s="389">
        <v>1958</v>
      </c>
    </row>
    <row r="22" spans="2:9" x14ac:dyDescent="0.2">
      <c r="B22" s="469" t="s">
        <v>524</v>
      </c>
      <c r="C22" s="473" t="s">
        <v>525</v>
      </c>
      <c r="D22" s="388" t="s">
        <v>511</v>
      </c>
      <c r="E22" s="386">
        <v>86</v>
      </c>
      <c r="F22" s="386">
        <v>7</v>
      </c>
      <c r="G22" s="386">
        <v>2</v>
      </c>
      <c r="H22" s="386">
        <v>292</v>
      </c>
      <c r="I22" s="389">
        <v>387</v>
      </c>
    </row>
    <row r="23" spans="2:9" x14ac:dyDescent="0.2">
      <c r="B23" s="471"/>
      <c r="C23" s="471"/>
      <c r="D23" s="390" t="s">
        <v>513</v>
      </c>
      <c r="E23" s="386">
        <v>264</v>
      </c>
      <c r="F23" s="386">
        <v>23</v>
      </c>
      <c r="G23" s="386">
        <v>5</v>
      </c>
      <c r="H23" s="386">
        <v>863</v>
      </c>
      <c r="I23" s="389">
        <v>1155</v>
      </c>
    </row>
    <row r="24" spans="2:9" x14ac:dyDescent="0.2">
      <c r="B24" s="472" t="s">
        <v>526</v>
      </c>
      <c r="C24" s="473" t="s">
        <v>527</v>
      </c>
      <c r="D24" s="388" t="s">
        <v>511</v>
      </c>
      <c r="E24" s="386">
        <v>131</v>
      </c>
      <c r="F24" s="386">
        <v>11</v>
      </c>
      <c r="G24" s="386">
        <v>6</v>
      </c>
      <c r="H24" s="386">
        <v>317</v>
      </c>
      <c r="I24" s="389">
        <v>465</v>
      </c>
    </row>
    <row r="25" spans="2:9" x14ac:dyDescent="0.2">
      <c r="B25" s="471"/>
      <c r="C25" s="471"/>
      <c r="D25" s="390" t="s">
        <v>513</v>
      </c>
      <c r="E25" s="386">
        <v>444</v>
      </c>
      <c r="F25" s="386">
        <v>36</v>
      </c>
      <c r="G25" s="386">
        <v>29</v>
      </c>
      <c r="H25" s="386">
        <v>976</v>
      </c>
      <c r="I25" s="389">
        <v>1485</v>
      </c>
    </row>
    <row r="26" spans="2:9" x14ac:dyDescent="0.2">
      <c r="B26" s="472" t="s">
        <v>528</v>
      </c>
      <c r="C26" s="473" t="s">
        <v>529</v>
      </c>
      <c r="D26" s="388" t="s">
        <v>511</v>
      </c>
      <c r="E26" s="386">
        <v>264</v>
      </c>
      <c r="F26" s="386">
        <v>21</v>
      </c>
      <c r="G26" s="386">
        <v>15</v>
      </c>
      <c r="H26" s="386">
        <v>402</v>
      </c>
      <c r="I26" s="389">
        <v>702</v>
      </c>
    </row>
    <row r="27" spans="2:9" x14ac:dyDescent="0.2">
      <c r="B27" s="471"/>
      <c r="C27" s="471"/>
      <c r="D27" s="390" t="s">
        <v>513</v>
      </c>
      <c r="E27" s="386">
        <v>859</v>
      </c>
      <c r="F27" s="386">
        <v>102</v>
      </c>
      <c r="G27" s="386">
        <v>53</v>
      </c>
      <c r="H27" s="386">
        <v>1163</v>
      </c>
      <c r="I27" s="389">
        <v>2177</v>
      </c>
    </row>
    <row r="28" spans="2:9" x14ac:dyDescent="0.2">
      <c r="B28" s="472" t="s">
        <v>620</v>
      </c>
      <c r="C28" s="473" t="s">
        <v>621</v>
      </c>
      <c r="D28" s="388" t="s">
        <v>511</v>
      </c>
      <c r="E28" s="386">
        <v>44</v>
      </c>
      <c r="F28" s="386">
        <v>5</v>
      </c>
      <c r="G28" s="386">
        <v>1</v>
      </c>
      <c r="H28" s="386">
        <v>89</v>
      </c>
      <c r="I28" s="389">
        <v>139</v>
      </c>
    </row>
    <row r="29" spans="2:9" x14ac:dyDescent="0.2">
      <c r="B29" s="471"/>
      <c r="C29" s="471"/>
      <c r="D29" s="390" t="s">
        <v>513</v>
      </c>
      <c r="E29" s="386">
        <v>161</v>
      </c>
      <c r="F29" s="386">
        <v>30</v>
      </c>
      <c r="G29" s="386">
        <v>7</v>
      </c>
      <c r="H29" s="386">
        <v>238</v>
      </c>
      <c r="I29" s="389">
        <v>436</v>
      </c>
    </row>
    <row r="30" spans="2:9" x14ac:dyDescent="0.2">
      <c r="B30" s="472" t="s">
        <v>530</v>
      </c>
      <c r="C30" s="473" t="s">
        <v>531</v>
      </c>
      <c r="D30" s="388" t="s">
        <v>511</v>
      </c>
      <c r="E30" s="386">
        <v>178</v>
      </c>
      <c r="F30" s="386">
        <v>7</v>
      </c>
      <c r="G30" s="386">
        <v>5</v>
      </c>
      <c r="H30" s="386">
        <v>212</v>
      </c>
      <c r="I30" s="389">
        <v>402</v>
      </c>
    </row>
    <row r="31" spans="2:9" x14ac:dyDescent="0.2">
      <c r="B31" s="471"/>
      <c r="C31" s="471"/>
      <c r="D31" s="390" t="s">
        <v>513</v>
      </c>
      <c r="E31" s="386">
        <v>638</v>
      </c>
      <c r="F31" s="386">
        <v>27</v>
      </c>
      <c r="G31" s="386">
        <v>20</v>
      </c>
      <c r="H31" s="386">
        <v>636</v>
      </c>
      <c r="I31" s="389">
        <v>1321</v>
      </c>
    </row>
    <row r="32" spans="2:9" x14ac:dyDescent="0.2">
      <c r="B32" s="472" t="s">
        <v>532</v>
      </c>
      <c r="C32" s="470" t="s">
        <v>533</v>
      </c>
      <c r="D32" s="388" t="s">
        <v>511</v>
      </c>
      <c r="E32" s="386">
        <v>46</v>
      </c>
      <c r="F32" s="386">
        <v>2</v>
      </c>
      <c r="G32" s="386">
        <v>5</v>
      </c>
      <c r="H32" s="386">
        <v>120</v>
      </c>
      <c r="I32" s="389">
        <v>173</v>
      </c>
    </row>
    <row r="33" spans="2:9" x14ac:dyDescent="0.2">
      <c r="B33" s="471"/>
      <c r="C33" s="471"/>
      <c r="D33" s="390" t="s">
        <v>513</v>
      </c>
      <c r="E33" s="386">
        <v>152</v>
      </c>
      <c r="F33" s="386">
        <v>16</v>
      </c>
      <c r="G33" s="386">
        <v>19</v>
      </c>
      <c r="H33" s="386">
        <v>354</v>
      </c>
      <c r="I33" s="389">
        <v>541</v>
      </c>
    </row>
    <row r="34" spans="2:9" x14ac:dyDescent="0.2">
      <c r="B34" s="472" t="s">
        <v>534</v>
      </c>
      <c r="C34" s="473" t="s">
        <v>535</v>
      </c>
      <c r="D34" s="388" t="s">
        <v>511</v>
      </c>
      <c r="E34" s="386">
        <v>100</v>
      </c>
      <c r="F34" s="386">
        <v>3</v>
      </c>
      <c r="G34" s="386">
        <v>2</v>
      </c>
      <c r="H34" s="386">
        <v>196</v>
      </c>
      <c r="I34" s="389">
        <v>301</v>
      </c>
    </row>
    <row r="35" spans="2:9" x14ac:dyDescent="0.2">
      <c r="B35" s="471"/>
      <c r="C35" s="471"/>
      <c r="D35" s="390" t="s">
        <v>513</v>
      </c>
      <c r="E35" s="386">
        <v>309</v>
      </c>
      <c r="F35" s="386">
        <v>14</v>
      </c>
      <c r="G35" s="386">
        <v>8</v>
      </c>
      <c r="H35" s="386">
        <v>548</v>
      </c>
      <c r="I35" s="389">
        <v>879</v>
      </c>
    </row>
    <row r="36" spans="2:9" x14ac:dyDescent="0.2">
      <c r="B36" s="472" t="s">
        <v>536</v>
      </c>
      <c r="C36" s="473" t="s">
        <v>537</v>
      </c>
      <c r="D36" s="388" t="s">
        <v>511</v>
      </c>
      <c r="E36" s="386">
        <v>4</v>
      </c>
      <c r="F36" s="386"/>
      <c r="G36" s="386"/>
      <c r="H36" s="386">
        <v>30</v>
      </c>
      <c r="I36" s="389">
        <v>34</v>
      </c>
    </row>
    <row r="37" spans="2:9" x14ac:dyDescent="0.2">
      <c r="B37" s="471"/>
      <c r="C37" s="471"/>
      <c r="D37" s="390" t="s">
        <v>513</v>
      </c>
      <c r="E37" s="386">
        <v>14</v>
      </c>
      <c r="F37" s="386"/>
      <c r="G37" s="386"/>
      <c r="H37" s="386">
        <v>100</v>
      </c>
      <c r="I37" s="389">
        <v>114</v>
      </c>
    </row>
    <row r="38" spans="2:9" x14ac:dyDescent="0.2">
      <c r="B38" s="472" t="s">
        <v>538</v>
      </c>
      <c r="C38" s="473" t="s">
        <v>539</v>
      </c>
      <c r="D38" s="388" t="s">
        <v>511</v>
      </c>
      <c r="E38" s="386">
        <v>9</v>
      </c>
      <c r="F38" s="386">
        <v>1</v>
      </c>
      <c r="G38" s="386"/>
      <c r="H38" s="386">
        <v>41</v>
      </c>
      <c r="I38" s="389">
        <v>51</v>
      </c>
    </row>
    <row r="39" spans="2:9" x14ac:dyDescent="0.2">
      <c r="B39" s="471"/>
      <c r="C39" s="471"/>
      <c r="D39" s="390" t="s">
        <v>513</v>
      </c>
      <c r="E39" s="386">
        <v>32</v>
      </c>
      <c r="F39" s="386">
        <v>2</v>
      </c>
      <c r="G39" s="386"/>
      <c r="H39" s="386">
        <v>96</v>
      </c>
      <c r="I39" s="389">
        <v>130</v>
      </c>
    </row>
    <row r="40" spans="2:9" x14ac:dyDescent="0.2">
      <c r="B40" s="470" t="s">
        <v>540</v>
      </c>
      <c r="C40" s="473" t="s">
        <v>541</v>
      </c>
      <c r="D40" s="388" t="s">
        <v>511</v>
      </c>
      <c r="E40" s="386">
        <v>681</v>
      </c>
      <c r="F40" s="386">
        <v>19</v>
      </c>
      <c r="G40" s="386">
        <v>41</v>
      </c>
      <c r="H40" s="386">
        <v>1553</v>
      </c>
      <c r="I40" s="389">
        <v>2294</v>
      </c>
    </row>
    <row r="41" spans="2:9" x14ac:dyDescent="0.2">
      <c r="B41" s="471"/>
      <c r="C41" s="471"/>
      <c r="D41" s="390" t="s">
        <v>513</v>
      </c>
      <c r="E41" s="386">
        <v>2101</v>
      </c>
      <c r="F41" s="386">
        <v>69</v>
      </c>
      <c r="G41" s="386">
        <v>152</v>
      </c>
      <c r="H41" s="386">
        <v>4329</v>
      </c>
      <c r="I41" s="389">
        <v>6651</v>
      </c>
    </row>
    <row r="42" spans="2:9" x14ac:dyDescent="0.2">
      <c r="B42" s="473" t="s">
        <v>115</v>
      </c>
      <c r="C42" s="471"/>
      <c r="D42" s="391" t="s">
        <v>511</v>
      </c>
      <c r="E42" s="389">
        <v>1951</v>
      </c>
      <c r="F42" s="389">
        <v>101</v>
      </c>
      <c r="G42" s="389">
        <v>109</v>
      </c>
      <c r="H42" s="389">
        <v>4235</v>
      </c>
      <c r="I42" s="389">
        <v>6396</v>
      </c>
    </row>
    <row r="43" spans="2:9" x14ac:dyDescent="0.2">
      <c r="B43" s="471"/>
      <c r="C43" s="471"/>
      <c r="D43" s="392" t="s">
        <v>513</v>
      </c>
      <c r="E43" s="389">
        <v>6310</v>
      </c>
      <c r="F43" s="389">
        <v>441</v>
      </c>
      <c r="G43" s="389">
        <v>405</v>
      </c>
      <c r="H43" s="389">
        <v>12050</v>
      </c>
      <c r="I43" s="389">
        <v>19206</v>
      </c>
    </row>
  </sheetData>
  <mergeCells count="40">
    <mergeCell ref="C38:C39"/>
    <mergeCell ref="B40:B41"/>
    <mergeCell ref="C40:C41"/>
    <mergeCell ref="B42:C43"/>
    <mergeCell ref="C32:C33"/>
    <mergeCell ref="B34:B35"/>
    <mergeCell ref="C34:C35"/>
    <mergeCell ref="B36:B37"/>
    <mergeCell ref="C36:C37"/>
    <mergeCell ref="B32:B33"/>
    <mergeCell ref="B38:B39"/>
    <mergeCell ref="B28:B29"/>
    <mergeCell ref="C28:C29"/>
    <mergeCell ref="B30:B31"/>
    <mergeCell ref="C30:C31"/>
    <mergeCell ref="B26:B27"/>
    <mergeCell ref="B22:B23"/>
    <mergeCell ref="C22:C23"/>
    <mergeCell ref="B24:B25"/>
    <mergeCell ref="C24:C25"/>
    <mergeCell ref="C26:C27"/>
    <mergeCell ref="B16:B17"/>
    <mergeCell ref="C16:C17"/>
    <mergeCell ref="B18:B19"/>
    <mergeCell ref="C18:C19"/>
    <mergeCell ref="B20:B21"/>
    <mergeCell ref="C20:C21"/>
    <mergeCell ref="B10:B11"/>
    <mergeCell ref="C10:C11"/>
    <mergeCell ref="B12:B13"/>
    <mergeCell ref="C12:C13"/>
    <mergeCell ref="B14:B15"/>
    <mergeCell ref="C14:C15"/>
    <mergeCell ref="B5:I5"/>
    <mergeCell ref="B6:I6"/>
    <mergeCell ref="B8:C9"/>
    <mergeCell ref="D8:D9"/>
    <mergeCell ref="E8:F8"/>
    <mergeCell ref="G8:H8"/>
    <mergeCell ref="I8:I9"/>
  </mergeCells>
  <hyperlinks>
    <hyperlink ref="K5" location="'Índice BxH'!A1" display="Volver a Bono por Hijo"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249977111117893"/>
  </sheetPr>
  <dimension ref="A2:N16"/>
  <sheetViews>
    <sheetView showGridLines="0" workbookViewId="0">
      <selection activeCell="G21" sqref="G21"/>
    </sheetView>
  </sheetViews>
  <sheetFormatPr baseColWidth="10" defaultRowHeight="15" x14ac:dyDescent="0.25"/>
  <cols>
    <col min="1" max="1" width="6" customWidth="1"/>
  </cols>
  <sheetData>
    <row r="2" spans="1:14" x14ac:dyDescent="0.25">
      <c r="A2" s="196" t="s">
        <v>121</v>
      </c>
    </row>
    <row r="3" spans="1:14" x14ac:dyDescent="0.25">
      <c r="A3" s="196" t="s">
        <v>122</v>
      </c>
    </row>
    <row r="4" spans="1:14" x14ac:dyDescent="0.25">
      <c r="A4" s="196"/>
    </row>
    <row r="5" spans="1:14" x14ac:dyDescent="0.25">
      <c r="A5" s="196"/>
      <c r="B5" s="347" t="s">
        <v>590</v>
      </c>
      <c r="C5" s="336"/>
      <c r="D5" s="336"/>
      <c r="E5" s="336"/>
      <c r="F5" s="336"/>
      <c r="N5" s="366" t="s">
        <v>597</v>
      </c>
    </row>
    <row r="6" spans="1:14" x14ac:dyDescent="0.25">
      <c r="A6" s="196"/>
    </row>
    <row r="7" spans="1:14" s="348" customFormat="1" ht="12.75" x14ac:dyDescent="0.2">
      <c r="B7" s="349" t="s">
        <v>144</v>
      </c>
      <c r="C7" s="350"/>
      <c r="D7" s="350"/>
      <c r="E7" s="350"/>
      <c r="F7" s="350"/>
      <c r="G7" s="350"/>
      <c r="H7" s="350"/>
      <c r="I7" s="350"/>
      <c r="J7" s="350"/>
      <c r="K7" s="350"/>
      <c r="L7" s="350"/>
      <c r="M7" s="350"/>
      <c r="N7" s="351"/>
    </row>
    <row r="8" spans="1:14" s="348" customFormat="1" ht="12.75" x14ac:dyDescent="0.2">
      <c r="B8" s="359" t="s">
        <v>639</v>
      </c>
      <c r="C8" s="360"/>
      <c r="D8" s="360"/>
      <c r="E8" s="360"/>
      <c r="F8" s="360"/>
      <c r="G8" s="360"/>
      <c r="H8" s="360"/>
      <c r="I8" s="360"/>
      <c r="J8" s="360"/>
      <c r="K8" s="360"/>
      <c r="L8" s="360"/>
      <c r="M8" s="360"/>
      <c r="N8" s="361"/>
    </row>
    <row r="9" spans="1:14" s="348" customFormat="1" ht="12.75" x14ac:dyDescent="0.2">
      <c r="B9" s="362" t="s">
        <v>591</v>
      </c>
      <c r="C9" s="352"/>
      <c r="D9" s="352"/>
      <c r="E9" s="352"/>
      <c r="F9" s="352"/>
      <c r="G9" s="352"/>
      <c r="H9" s="352"/>
      <c r="I9" s="352"/>
      <c r="J9" s="352"/>
      <c r="K9" s="352"/>
      <c r="L9" s="352"/>
      <c r="M9" s="352"/>
      <c r="N9" s="353"/>
    </row>
    <row r="10" spans="1:14" s="348" customFormat="1" ht="12.75" x14ac:dyDescent="0.2">
      <c r="B10" s="360"/>
      <c r="C10" s="360"/>
      <c r="D10" s="360"/>
      <c r="E10" s="360"/>
      <c r="F10" s="360"/>
      <c r="G10" s="360"/>
      <c r="H10" s="360"/>
      <c r="I10" s="360"/>
      <c r="J10" s="360"/>
      <c r="K10" s="360"/>
      <c r="L10" s="360"/>
      <c r="M10" s="360"/>
      <c r="N10" s="360"/>
    </row>
    <row r="11" spans="1:14" s="348" customFormat="1" ht="12.75" x14ac:dyDescent="0.2">
      <c r="B11" s="227" t="s">
        <v>542</v>
      </c>
      <c r="C11" s="360"/>
      <c r="D11" s="360"/>
      <c r="E11" s="360"/>
      <c r="F11" s="360"/>
      <c r="G11" s="360"/>
      <c r="H11" s="360"/>
      <c r="I11" s="360"/>
      <c r="J11" s="360"/>
      <c r="K11" s="360"/>
      <c r="L11" s="360"/>
      <c r="M11" s="360"/>
      <c r="N11" s="360"/>
    </row>
    <row r="12" spans="1:14" s="348" customFormat="1" ht="12.75" x14ac:dyDescent="0.2">
      <c r="B12" s="363" t="s">
        <v>640</v>
      </c>
    </row>
    <row r="13" spans="1:14" s="348" customFormat="1" ht="12.75" x14ac:dyDescent="0.2">
      <c r="B13" s="354" t="s">
        <v>641</v>
      </c>
    </row>
    <row r="14" spans="1:14" s="348" customFormat="1" ht="12.75" x14ac:dyDescent="0.2">
      <c r="B14" s="354" t="s">
        <v>642</v>
      </c>
    </row>
    <row r="15" spans="1:14" s="348" customFormat="1" ht="12.75" x14ac:dyDescent="0.2">
      <c r="B15" s="354" t="s">
        <v>643</v>
      </c>
    </row>
    <row r="16" spans="1:14" s="348" customFormat="1" ht="12.75" x14ac:dyDescent="0.2">
      <c r="B16" s="354" t="s">
        <v>644</v>
      </c>
    </row>
  </sheetData>
  <hyperlinks>
    <hyperlink ref="B12" location="'Contratación Solicitudes'!A1" display="'Contratación Solicitudes'!A1" xr:uid="{00000000-0004-0000-1B00-000000000000}"/>
    <hyperlink ref="B13" location="'Contratación Trámite'!A1" display="'Contratación Trámite'!A1" xr:uid="{00000000-0004-0000-1B00-000001000000}"/>
    <hyperlink ref="B14" location="'Cotización Solicitudes'!A1" display="'Cotización Solicitudes'!A1" xr:uid="{00000000-0004-0000-1B00-000002000000}"/>
    <hyperlink ref="B15" location="'Cotización Trámite'!A1" display="'Cotización Trámite'!A1" xr:uid="{00000000-0004-0000-1B00-000003000000}"/>
    <hyperlink ref="B16" location="'Subsidios Pagados'!A1" display="'Subsidios Pagados'!A1" xr:uid="{00000000-0004-0000-1B00-000004000000}"/>
    <hyperlink ref="N5" location="Índice!A1" display="Volver" xr:uid="{00000000-0004-0000-1B00-000005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H100"/>
  <sheetViews>
    <sheetView showGridLines="0" zoomScaleNormal="100" workbookViewId="0">
      <selection activeCell="B7" sqref="B7"/>
    </sheetView>
  </sheetViews>
  <sheetFormatPr baseColWidth="10" defaultColWidth="11.42578125" defaultRowHeight="12" x14ac:dyDescent="0.2"/>
  <cols>
    <col min="1" max="1" width="6" style="167" customWidth="1"/>
    <col min="2" max="16384" width="11.42578125" style="167"/>
  </cols>
  <sheetData>
    <row r="2" spans="1:8" x14ac:dyDescent="0.2">
      <c r="A2" s="196" t="s">
        <v>121</v>
      </c>
    </row>
    <row r="3" spans="1:8" x14ac:dyDescent="0.2">
      <c r="A3" s="196" t="s">
        <v>122</v>
      </c>
    </row>
    <row r="5" spans="1:8" ht="28.5" customHeight="1" x14ac:dyDescent="0.2">
      <c r="B5" s="474" t="s">
        <v>543</v>
      </c>
      <c r="C5" s="474"/>
      <c r="D5" s="474"/>
      <c r="E5" s="474"/>
      <c r="F5" s="474"/>
      <c r="H5" s="358" t="s">
        <v>596</v>
      </c>
    </row>
    <row r="6" spans="1:8" ht="12.75" x14ac:dyDescent="0.2">
      <c r="B6" s="418" t="s">
        <v>648</v>
      </c>
      <c r="C6" s="418"/>
      <c r="D6" s="418"/>
      <c r="E6" s="418"/>
      <c r="F6" s="418"/>
    </row>
    <row r="8" spans="1:8" ht="27" customHeight="1" x14ac:dyDescent="0.2">
      <c r="B8" s="475" t="s">
        <v>544</v>
      </c>
      <c r="C8" s="476" t="s">
        <v>545</v>
      </c>
      <c r="D8" s="476"/>
      <c r="E8" s="476"/>
      <c r="F8" s="477"/>
    </row>
    <row r="9" spans="1:8" x14ac:dyDescent="0.2">
      <c r="B9" s="475"/>
      <c r="C9" s="478" t="s">
        <v>498</v>
      </c>
      <c r="D9" s="480" t="s">
        <v>546</v>
      </c>
      <c r="E9" s="481"/>
      <c r="F9" s="482" t="s">
        <v>547</v>
      </c>
    </row>
    <row r="10" spans="1:8" x14ac:dyDescent="0.2">
      <c r="B10" s="475"/>
      <c r="C10" s="479"/>
      <c r="D10" s="249" t="s">
        <v>548</v>
      </c>
      <c r="E10" s="250" t="s">
        <v>549</v>
      </c>
      <c r="F10" s="483"/>
    </row>
    <row r="11" spans="1:8" x14ac:dyDescent="0.2">
      <c r="B11" s="251" t="s">
        <v>550</v>
      </c>
      <c r="C11" s="252">
        <v>333</v>
      </c>
      <c r="D11" s="253"/>
      <c r="E11" s="254"/>
      <c r="F11" s="254"/>
    </row>
    <row r="12" spans="1:8" x14ac:dyDescent="0.2">
      <c r="B12" s="255">
        <v>2009</v>
      </c>
      <c r="C12" s="252">
        <v>2105</v>
      </c>
      <c r="D12" s="253"/>
      <c r="E12" s="254"/>
      <c r="F12" s="254"/>
    </row>
    <row r="13" spans="1:8" x14ac:dyDescent="0.2">
      <c r="B13" s="255">
        <v>2010</v>
      </c>
      <c r="C13" s="252">
        <v>1759</v>
      </c>
      <c r="D13" s="253"/>
      <c r="E13" s="254"/>
      <c r="F13" s="254"/>
    </row>
    <row r="14" spans="1:8" x14ac:dyDescent="0.2">
      <c r="B14" s="255">
        <v>2011</v>
      </c>
      <c r="C14" s="256">
        <v>1026</v>
      </c>
      <c r="D14" s="257"/>
      <c r="E14" s="258"/>
      <c r="F14" s="258"/>
    </row>
    <row r="15" spans="1:8" x14ac:dyDescent="0.2">
      <c r="B15" s="255">
        <v>2012</v>
      </c>
      <c r="C15" s="256">
        <v>807</v>
      </c>
      <c r="D15" s="257"/>
      <c r="E15" s="258"/>
      <c r="F15" s="258">
        <f>4799+6387+5277+4788+3887+4506+3139+8888+9643+3804+9793+10267</f>
        <v>75178</v>
      </c>
    </row>
    <row r="16" spans="1:8" x14ac:dyDescent="0.2">
      <c r="B16" s="259">
        <v>41275</v>
      </c>
      <c r="C16" s="260">
        <v>58</v>
      </c>
      <c r="D16" s="261"/>
      <c r="E16" s="262"/>
      <c r="F16" s="262">
        <v>10513</v>
      </c>
    </row>
    <row r="17" spans="2:6" x14ac:dyDescent="0.2">
      <c r="B17" s="259">
        <v>41306</v>
      </c>
      <c r="C17" s="260">
        <v>55</v>
      </c>
      <c r="D17" s="261"/>
      <c r="E17" s="262"/>
      <c r="F17" s="262">
        <v>8811</v>
      </c>
    </row>
    <row r="18" spans="2:6" x14ac:dyDescent="0.2">
      <c r="B18" s="259">
        <v>41334</v>
      </c>
      <c r="C18" s="260">
        <v>64</v>
      </c>
      <c r="D18" s="261"/>
      <c r="E18" s="262"/>
      <c r="F18" s="262">
        <v>11072</v>
      </c>
    </row>
    <row r="19" spans="2:6" x14ac:dyDescent="0.2">
      <c r="B19" s="259">
        <v>41365</v>
      </c>
      <c r="C19" s="260">
        <v>66</v>
      </c>
      <c r="D19" s="261"/>
      <c r="E19" s="262"/>
      <c r="F19" s="262">
        <v>9568</v>
      </c>
    </row>
    <row r="20" spans="2:6" x14ac:dyDescent="0.2">
      <c r="B20" s="259">
        <v>41395</v>
      </c>
      <c r="C20" s="260">
        <v>60</v>
      </c>
      <c r="D20" s="261"/>
      <c r="E20" s="262"/>
      <c r="F20" s="262">
        <v>9423</v>
      </c>
    </row>
    <row r="21" spans="2:6" x14ac:dyDescent="0.2">
      <c r="B21" s="259">
        <v>41426</v>
      </c>
      <c r="C21" s="260">
        <v>54</v>
      </c>
      <c r="D21" s="261"/>
      <c r="E21" s="262"/>
      <c r="F21" s="262">
        <v>10541</v>
      </c>
    </row>
    <row r="22" spans="2:6" x14ac:dyDescent="0.2">
      <c r="B22" s="259">
        <v>41456</v>
      </c>
      <c r="C22" s="260">
        <v>58</v>
      </c>
      <c r="D22" s="261"/>
      <c r="E22" s="262"/>
      <c r="F22" s="262">
        <v>10315</v>
      </c>
    </row>
    <row r="23" spans="2:6" x14ac:dyDescent="0.2">
      <c r="B23" s="259">
        <v>41487</v>
      </c>
      <c r="C23" s="260">
        <v>58</v>
      </c>
      <c r="D23" s="261"/>
      <c r="E23" s="262"/>
      <c r="F23" s="262">
        <v>9741</v>
      </c>
    </row>
    <row r="24" spans="2:6" x14ac:dyDescent="0.2">
      <c r="B24" s="259">
        <v>41518</v>
      </c>
      <c r="C24" s="260">
        <v>50</v>
      </c>
      <c r="D24" s="261"/>
      <c r="E24" s="262"/>
      <c r="F24" s="262">
        <v>9232</v>
      </c>
    </row>
    <row r="25" spans="2:6" x14ac:dyDescent="0.2">
      <c r="B25" s="259">
        <v>41548</v>
      </c>
      <c r="C25" s="260">
        <v>48</v>
      </c>
      <c r="D25" s="261"/>
      <c r="E25" s="262"/>
      <c r="F25" s="262">
        <v>9928</v>
      </c>
    </row>
    <row r="26" spans="2:6" x14ac:dyDescent="0.2">
      <c r="B26" s="259">
        <v>41579</v>
      </c>
      <c r="C26" s="260">
        <v>28</v>
      </c>
      <c r="D26" s="261"/>
      <c r="E26" s="262"/>
      <c r="F26" s="262">
        <v>6195</v>
      </c>
    </row>
    <row r="27" spans="2:6" x14ac:dyDescent="0.2">
      <c r="B27" s="259">
        <v>41609</v>
      </c>
      <c r="C27" s="263">
        <v>55</v>
      </c>
      <c r="D27" s="264"/>
      <c r="E27" s="265"/>
      <c r="F27" s="265">
        <v>8859</v>
      </c>
    </row>
    <row r="28" spans="2:6" x14ac:dyDescent="0.2">
      <c r="B28" s="255">
        <v>2013</v>
      </c>
      <c r="C28" s="252">
        <f>SUM(C16:C27)</f>
        <v>654</v>
      </c>
      <c r="D28" s="253"/>
      <c r="E28" s="254"/>
      <c r="F28" s="254">
        <f>SUM(F16:F27)</f>
        <v>114198</v>
      </c>
    </row>
    <row r="29" spans="2:6" x14ac:dyDescent="0.2">
      <c r="B29" s="259">
        <v>41640</v>
      </c>
      <c r="C29" s="263">
        <v>57</v>
      </c>
      <c r="D29" s="264"/>
      <c r="E29" s="265"/>
      <c r="F29" s="265">
        <v>10003</v>
      </c>
    </row>
    <row r="30" spans="2:6" x14ac:dyDescent="0.2">
      <c r="B30" s="259">
        <v>41671</v>
      </c>
      <c r="C30" s="263">
        <v>36</v>
      </c>
      <c r="D30" s="264"/>
      <c r="E30" s="265"/>
      <c r="F30" s="265">
        <v>8116</v>
      </c>
    </row>
    <row r="31" spans="2:6" x14ac:dyDescent="0.2">
      <c r="B31" s="259">
        <v>41699</v>
      </c>
      <c r="C31" s="263">
        <v>43</v>
      </c>
      <c r="D31" s="264"/>
      <c r="E31" s="265"/>
      <c r="F31" s="265">
        <v>3794</v>
      </c>
    </row>
    <row r="32" spans="2:6" x14ac:dyDescent="0.2">
      <c r="B32" s="259">
        <v>41730</v>
      </c>
      <c r="C32" s="263">
        <v>44</v>
      </c>
      <c r="D32" s="264"/>
      <c r="E32" s="265"/>
      <c r="F32" s="265">
        <v>5833</v>
      </c>
    </row>
    <row r="33" spans="2:6" x14ac:dyDescent="0.2">
      <c r="B33" s="259">
        <v>41760</v>
      </c>
      <c r="C33" s="263">
        <v>47</v>
      </c>
      <c r="D33" s="264"/>
      <c r="E33" s="265"/>
      <c r="F33" s="265">
        <v>3916</v>
      </c>
    </row>
    <row r="34" spans="2:6" x14ac:dyDescent="0.2">
      <c r="B34" s="259">
        <v>41791</v>
      </c>
      <c r="C34" s="263">
        <v>48</v>
      </c>
      <c r="D34" s="264"/>
      <c r="E34" s="265"/>
      <c r="F34" s="265">
        <v>3251</v>
      </c>
    </row>
    <row r="35" spans="2:6" x14ac:dyDescent="0.2">
      <c r="B35" s="259">
        <v>41821</v>
      </c>
      <c r="C35" s="263">
        <v>47</v>
      </c>
      <c r="D35" s="264"/>
      <c r="E35" s="265"/>
      <c r="F35" s="265">
        <v>3190</v>
      </c>
    </row>
    <row r="36" spans="2:6" x14ac:dyDescent="0.2">
      <c r="B36" s="259">
        <v>41852</v>
      </c>
      <c r="C36" s="263">
        <v>44</v>
      </c>
      <c r="D36" s="264"/>
      <c r="E36" s="265"/>
      <c r="F36" s="265">
        <v>3136</v>
      </c>
    </row>
    <row r="37" spans="2:6" x14ac:dyDescent="0.2">
      <c r="B37" s="259">
        <v>41883</v>
      </c>
      <c r="C37" s="263">
        <v>41</v>
      </c>
      <c r="D37" s="264"/>
      <c r="E37" s="265"/>
      <c r="F37" s="265">
        <v>2928</v>
      </c>
    </row>
    <row r="38" spans="2:6" x14ac:dyDescent="0.2">
      <c r="B38" s="259">
        <v>41913</v>
      </c>
      <c r="C38" s="263">
        <v>34</v>
      </c>
      <c r="D38" s="264"/>
      <c r="E38" s="265"/>
      <c r="F38" s="265">
        <v>2732</v>
      </c>
    </row>
    <row r="39" spans="2:6" x14ac:dyDescent="0.2">
      <c r="B39" s="259">
        <v>41944</v>
      </c>
      <c r="C39" s="263">
        <v>25</v>
      </c>
      <c r="D39" s="264"/>
      <c r="E39" s="265"/>
      <c r="F39" s="265">
        <v>3936</v>
      </c>
    </row>
    <row r="40" spans="2:6" x14ac:dyDescent="0.2">
      <c r="B40" s="259">
        <v>41974</v>
      </c>
      <c r="C40" s="263">
        <v>47</v>
      </c>
      <c r="D40" s="264"/>
      <c r="E40" s="265"/>
      <c r="F40" s="265">
        <v>3018</v>
      </c>
    </row>
    <row r="41" spans="2:6" x14ac:dyDescent="0.2">
      <c r="B41" s="255">
        <v>2014</v>
      </c>
      <c r="C41" s="252">
        <f>SUM(C29:C40)</f>
        <v>513</v>
      </c>
      <c r="D41" s="253"/>
      <c r="E41" s="254"/>
      <c r="F41" s="254">
        <f>SUM(F29:F40)</f>
        <v>53853</v>
      </c>
    </row>
    <row r="42" spans="2:6" x14ac:dyDescent="0.2">
      <c r="B42" s="259">
        <v>42005</v>
      </c>
      <c r="C42" s="263">
        <v>40</v>
      </c>
      <c r="D42" s="264"/>
      <c r="E42" s="265"/>
      <c r="F42" s="265">
        <v>2343</v>
      </c>
    </row>
    <row r="43" spans="2:6" x14ac:dyDescent="0.2">
      <c r="B43" s="259">
        <v>42036</v>
      </c>
      <c r="C43" s="263">
        <v>37</v>
      </c>
      <c r="D43" s="264"/>
      <c r="E43" s="265"/>
      <c r="F43" s="265">
        <v>2758</v>
      </c>
    </row>
    <row r="44" spans="2:6" x14ac:dyDescent="0.2">
      <c r="B44" s="259">
        <v>42064</v>
      </c>
      <c r="C44" s="263">
        <v>39</v>
      </c>
      <c r="D44" s="264"/>
      <c r="E44" s="265"/>
      <c r="F44" s="265">
        <v>2319</v>
      </c>
    </row>
    <row r="45" spans="2:6" x14ac:dyDescent="0.2">
      <c r="B45" s="259">
        <v>42095</v>
      </c>
      <c r="C45" s="263">
        <v>33</v>
      </c>
      <c r="D45" s="264"/>
      <c r="E45" s="265"/>
      <c r="F45" s="265">
        <v>1250</v>
      </c>
    </row>
    <row r="46" spans="2:6" x14ac:dyDescent="0.2">
      <c r="B46" s="259">
        <v>42125</v>
      </c>
      <c r="C46" s="263">
        <v>31</v>
      </c>
      <c r="D46" s="264"/>
      <c r="E46" s="265"/>
      <c r="F46" s="265">
        <v>1952</v>
      </c>
    </row>
    <row r="47" spans="2:6" x14ac:dyDescent="0.2">
      <c r="B47" s="259">
        <v>42156</v>
      </c>
      <c r="C47" s="263">
        <v>38</v>
      </c>
      <c r="D47" s="264"/>
      <c r="E47" s="265"/>
      <c r="F47" s="265">
        <v>1536</v>
      </c>
    </row>
    <row r="48" spans="2:6" x14ac:dyDescent="0.2">
      <c r="B48" s="259">
        <v>42186</v>
      </c>
      <c r="C48" s="263">
        <v>33</v>
      </c>
      <c r="D48" s="264"/>
      <c r="E48" s="265"/>
      <c r="F48" s="265">
        <v>2640</v>
      </c>
    </row>
    <row r="49" spans="2:6" x14ac:dyDescent="0.2">
      <c r="B49" s="259">
        <v>42217</v>
      </c>
      <c r="C49" s="263">
        <v>37</v>
      </c>
      <c r="D49" s="264"/>
      <c r="E49" s="265"/>
      <c r="F49" s="265">
        <v>1723</v>
      </c>
    </row>
    <row r="50" spans="2:6" x14ac:dyDescent="0.2">
      <c r="B50" s="259">
        <v>42248</v>
      </c>
      <c r="C50" s="263">
        <v>40</v>
      </c>
      <c r="D50" s="264"/>
      <c r="E50" s="265"/>
      <c r="F50" s="265">
        <v>2602</v>
      </c>
    </row>
    <row r="51" spans="2:6" x14ac:dyDescent="0.2">
      <c r="B51" s="259">
        <v>42278</v>
      </c>
      <c r="C51" s="263">
        <v>39</v>
      </c>
      <c r="D51" s="264"/>
      <c r="E51" s="265"/>
      <c r="F51" s="265">
        <v>2691</v>
      </c>
    </row>
    <row r="52" spans="2:6" x14ac:dyDescent="0.2">
      <c r="B52" s="259">
        <v>42309</v>
      </c>
      <c r="C52" s="263">
        <v>37</v>
      </c>
      <c r="D52" s="264"/>
      <c r="E52" s="265"/>
      <c r="F52" s="265">
        <v>2518</v>
      </c>
    </row>
    <row r="53" spans="2:6" x14ac:dyDescent="0.2">
      <c r="B53" s="259">
        <v>42339</v>
      </c>
      <c r="C53" s="263">
        <v>33</v>
      </c>
      <c r="D53" s="264"/>
      <c r="E53" s="265"/>
      <c r="F53" s="265">
        <v>2358</v>
      </c>
    </row>
    <row r="54" spans="2:6" x14ac:dyDescent="0.2">
      <c r="B54" s="255">
        <v>2015</v>
      </c>
      <c r="C54" s="252">
        <f>SUM(C42:C53)</f>
        <v>437</v>
      </c>
      <c r="D54" s="253"/>
      <c r="E54" s="254"/>
      <c r="F54" s="254">
        <f>SUM(F42:F53)</f>
        <v>26690</v>
      </c>
    </row>
    <row r="55" spans="2:6" x14ac:dyDescent="0.2">
      <c r="B55" s="259">
        <v>42370</v>
      </c>
      <c r="C55" s="263">
        <v>33</v>
      </c>
      <c r="D55" s="264"/>
      <c r="E55" s="265"/>
      <c r="F55" s="265">
        <v>3308</v>
      </c>
    </row>
    <row r="56" spans="2:6" x14ac:dyDescent="0.2">
      <c r="B56" s="259">
        <v>42401</v>
      </c>
      <c r="C56" s="263">
        <v>33</v>
      </c>
      <c r="D56" s="264"/>
      <c r="E56" s="265"/>
      <c r="F56" s="265">
        <v>2327</v>
      </c>
    </row>
    <row r="57" spans="2:6" x14ac:dyDescent="0.2">
      <c r="B57" s="259">
        <v>42430</v>
      </c>
      <c r="C57" s="263">
        <v>40</v>
      </c>
      <c r="D57" s="264"/>
      <c r="E57" s="265"/>
      <c r="F57" s="265">
        <v>2621</v>
      </c>
    </row>
    <row r="58" spans="2:6" x14ac:dyDescent="0.2">
      <c r="B58" s="259">
        <v>42461</v>
      </c>
      <c r="C58" s="263">
        <v>39</v>
      </c>
      <c r="D58" s="264"/>
      <c r="E58" s="265"/>
      <c r="F58" s="265">
        <v>2495</v>
      </c>
    </row>
    <row r="59" spans="2:6" x14ac:dyDescent="0.2">
      <c r="B59" s="259">
        <v>42491</v>
      </c>
      <c r="C59" s="263">
        <v>40</v>
      </c>
      <c r="D59" s="264">
        <v>1000</v>
      </c>
      <c r="E59" s="265">
        <v>1038</v>
      </c>
      <c r="F59" s="265">
        <f>D59+E59</f>
        <v>2038</v>
      </c>
    </row>
    <row r="60" spans="2:6" x14ac:dyDescent="0.2">
      <c r="B60" s="259">
        <v>42522</v>
      </c>
      <c r="C60" s="263">
        <v>37</v>
      </c>
      <c r="D60" s="266" t="s">
        <v>499</v>
      </c>
      <c r="E60" s="267" t="s">
        <v>499</v>
      </c>
      <c r="F60" s="265">
        <v>1960</v>
      </c>
    </row>
    <row r="61" spans="2:6" x14ac:dyDescent="0.2">
      <c r="B61" s="259">
        <v>42552</v>
      </c>
      <c r="C61" s="263">
        <v>46</v>
      </c>
      <c r="D61" s="264">
        <v>1739</v>
      </c>
      <c r="E61" s="265">
        <v>1498</v>
      </c>
      <c r="F61" s="265">
        <f t="shared" ref="F61:F66" si="0">D61+E61</f>
        <v>3237</v>
      </c>
    </row>
    <row r="62" spans="2:6" x14ac:dyDescent="0.2">
      <c r="B62" s="259">
        <v>42583</v>
      </c>
      <c r="C62" s="263">
        <v>47</v>
      </c>
      <c r="D62" s="264">
        <v>1262</v>
      </c>
      <c r="E62" s="265">
        <v>1077</v>
      </c>
      <c r="F62" s="265">
        <f t="shared" si="0"/>
        <v>2339</v>
      </c>
    </row>
    <row r="63" spans="2:6" x14ac:dyDescent="0.2">
      <c r="B63" s="259">
        <v>42614</v>
      </c>
      <c r="C63" s="263">
        <v>38</v>
      </c>
      <c r="D63" s="264">
        <v>1119</v>
      </c>
      <c r="E63" s="265">
        <v>1309</v>
      </c>
      <c r="F63" s="265">
        <f t="shared" si="0"/>
        <v>2428</v>
      </c>
    </row>
    <row r="64" spans="2:6" x14ac:dyDescent="0.2">
      <c r="B64" s="259">
        <v>42644</v>
      </c>
      <c r="C64" s="263">
        <v>36</v>
      </c>
      <c r="D64" s="264">
        <v>943</v>
      </c>
      <c r="E64" s="265">
        <v>705</v>
      </c>
      <c r="F64" s="265">
        <f t="shared" si="0"/>
        <v>1648</v>
      </c>
    </row>
    <row r="65" spans="2:6" x14ac:dyDescent="0.2">
      <c r="B65" s="259">
        <v>42675</v>
      </c>
      <c r="C65" s="263">
        <v>42</v>
      </c>
      <c r="D65" s="264">
        <v>2225</v>
      </c>
      <c r="E65" s="265">
        <v>1770</v>
      </c>
      <c r="F65" s="265">
        <f t="shared" si="0"/>
        <v>3995</v>
      </c>
    </row>
    <row r="66" spans="2:6" x14ac:dyDescent="0.2">
      <c r="B66" s="259">
        <v>42705</v>
      </c>
      <c r="C66" s="263">
        <v>50</v>
      </c>
      <c r="D66" s="264">
        <v>3021</v>
      </c>
      <c r="E66" s="265">
        <v>2296</v>
      </c>
      <c r="F66" s="265">
        <f t="shared" si="0"/>
        <v>5317</v>
      </c>
    </row>
    <row r="67" spans="2:6" x14ac:dyDescent="0.2">
      <c r="B67" s="255">
        <v>2016</v>
      </c>
      <c r="C67" s="252">
        <f>SUM(C55:C66)</f>
        <v>481</v>
      </c>
      <c r="D67" s="253"/>
      <c r="E67" s="254"/>
      <c r="F67" s="254">
        <f>SUM(F55:F66)</f>
        <v>33713</v>
      </c>
    </row>
    <row r="68" spans="2:6" x14ac:dyDescent="0.2">
      <c r="B68" s="259">
        <v>42736</v>
      </c>
      <c r="C68" s="263">
        <v>40</v>
      </c>
      <c r="D68" s="264">
        <v>2335</v>
      </c>
      <c r="E68" s="265">
        <v>1830</v>
      </c>
      <c r="F68" s="265">
        <f t="shared" ref="F68:F79" si="1">D68+E68</f>
        <v>4165</v>
      </c>
    </row>
    <row r="69" spans="2:6" x14ac:dyDescent="0.2">
      <c r="B69" s="259">
        <v>42767</v>
      </c>
      <c r="C69" s="263">
        <v>32</v>
      </c>
      <c r="D69" s="264">
        <v>2075</v>
      </c>
      <c r="E69" s="265">
        <v>1511</v>
      </c>
      <c r="F69" s="265">
        <f t="shared" si="1"/>
        <v>3586</v>
      </c>
    </row>
    <row r="70" spans="2:6" x14ac:dyDescent="0.2">
      <c r="B70" s="259">
        <v>42795</v>
      </c>
      <c r="C70" s="263">
        <v>37</v>
      </c>
      <c r="D70" s="264">
        <v>922</v>
      </c>
      <c r="E70" s="265">
        <v>763</v>
      </c>
      <c r="F70" s="265">
        <f t="shared" si="1"/>
        <v>1685</v>
      </c>
    </row>
    <row r="71" spans="2:6" x14ac:dyDescent="0.2">
      <c r="B71" s="259">
        <v>42826</v>
      </c>
      <c r="C71" s="263">
        <v>27</v>
      </c>
      <c r="D71" s="264">
        <v>464</v>
      </c>
      <c r="E71" s="264">
        <v>377</v>
      </c>
      <c r="F71" s="264">
        <f t="shared" si="1"/>
        <v>841</v>
      </c>
    </row>
    <row r="72" spans="2:6" x14ac:dyDescent="0.2">
      <c r="B72" s="259">
        <v>42856</v>
      </c>
      <c r="C72" s="263">
        <v>36</v>
      </c>
      <c r="D72" s="264">
        <v>870</v>
      </c>
      <c r="E72" s="265">
        <v>555</v>
      </c>
      <c r="F72" s="265">
        <f t="shared" si="1"/>
        <v>1425</v>
      </c>
    </row>
    <row r="73" spans="2:6" x14ac:dyDescent="0.2">
      <c r="B73" s="259">
        <v>42887</v>
      </c>
      <c r="C73" s="263">
        <v>38</v>
      </c>
      <c r="D73" s="264">
        <v>479</v>
      </c>
      <c r="E73" s="265">
        <v>437</v>
      </c>
      <c r="F73" s="265">
        <f t="shared" si="1"/>
        <v>916</v>
      </c>
    </row>
    <row r="74" spans="2:6" x14ac:dyDescent="0.2">
      <c r="B74" s="259">
        <v>42917</v>
      </c>
      <c r="C74" s="263">
        <v>31</v>
      </c>
      <c r="D74" s="264">
        <v>544</v>
      </c>
      <c r="E74" s="264">
        <v>385</v>
      </c>
      <c r="F74" s="264">
        <f t="shared" si="1"/>
        <v>929</v>
      </c>
    </row>
    <row r="75" spans="2:6" x14ac:dyDescent="0.2">
      <c r="B75" s="259">
        <v>42948</v>
      </c>
      <c r="C75" s="263">
        <v>34</v>
      </c>
      <c r="D75" s="264">
        <v>715</v>
      </c>
      <c r="E75" s="264">
        <v>414</v>
      </c>
      <c r="F75" s="264">
        <f t="shared" si="1"/>
        <v>1129</v>
      </c>
    </row>
    <row r="76" spans="2:6" x14ac:dyDescent="0.2">
      <c r="B76" s="259">
        <v>42979</v>
      </c>
      <c r="C76" s="263">
        <v>36</v>
      </c>
      <c r="D76" s="264">
        <v>680</v>
      </c>
      <c r="E76" s="264">
        <v>537</v>
      </c>
      <c r="F76" s="264">
        <f t="shared" si="1"/>
        <v>1217</v>
      </c>
    </row>
    <row r="77" spans="2:6" x14ac:dyDescent="0.2">
      <c r="B77" s="259">
        <v>43009</v>
      </c>
      <c r="C77" s="263">
        <v>33</v>
      </c>
      <c r="D77" s="264">
        <v>503</v>
      </c>
      <c r="E77" s="264">
        <v>374</v>
      </c>
      <c r="F77" s="264">
        <f t="shared" si="1"/>
        <v>877</v>
      </c>
    </row>
    <row r="78" spans="2:6" x14ac:dyDescent="0.2">
      <c r="B78" s="259">
        <v>43040</v>
      </c>
      <c r="C78" s="263">
        <v>40</v>
      </c>
      <c r="D78" s="264">
        <v>676</v>
      </c>
      <c r="E78" s="264">
        <v>640</v>
      </c>
      <c r="F78" s="264">
        <f t="shared" si="1"/>
        <v>1316</v>
      </c>
    </row>
    <row r="79" spans="2:6" x14ac:dyDescent="0.2">
      <c r="B79" s="259">
        <v>43070</v>
      </c>
      <c r="C79" s="263">
        <v>56</v>
      </c>
      <c r="D79" s="264">
        <v>742</v>
      </c>
      <c r="E79" s="264">
        <v>697</v>
      </c>
      <c r="F79" s="264">
        <f t="shared" si="1"/>
        <v>1439</v>
      </c>
    </row>
    <row r="80" spans="2:6" x14ac:dyDescent="0.2">
      <c r="B80" s="255">
        <v>2017</v>
      </c>
      <c r="C80" s="252">
        <f>SUM(C68:C79)</f>
        <v>440</v>
      </c>
      <c r="D80" s="268">
        <f>SUM(D68:D79)</f>
        <v>11005</v>
      </c>
      <c r="E80" s="268">
        <f>SUM(E68:E79)</f>
        <v>8520</v>
      </c>
      <c r="F80" s="268">
        <f>SUM(F68:F79)</f>
        <v>19525</v>
      </c>
    </row>
    <row r="81" spans="2:6" x14ac:dyDescent="0.2">
      <c r="B81" s="259">
        <v>43101</v>
      </c>
      <c r="C81" s="263">
        <v>46</v>
      </c>
      <c r="D81" s="264">
        <v>1310</v>
      </c>
      <c r="E81" s="264">
        <v>1294</v>
      </c>
      <c r="F81" s="264">
        <f>D81+E81</f>
        <v>2604</v>
      </c>
    </row>
    <row r="82" spans="2:6" x14ac:dyDescent="0.2">
      <c r="B82" s="259">
        <v>43132</v>
      </c>
      <c r="C82" s="263">
        <v>61</v>
      </c>
      <c r="D82" s="264">
        <v>1107</v>
      </c>
      <c r="E82" s="264">
        <v>809</v>
      </c>
      <c r="F82" s="264">
        <f>D82+E82</f>
        <v>1916</v>
      </c>
    </row>
    <row r="83" spans="2:6" x14ac:dyDescent="0.2">
      <c r="B83" s="259">
        <v>43160</v>
      </c>
      <c r="C83" s="263">
        <v>44</v>
      </c>
      <c r="D83" s="264">
        <v>861</v>
      </c>
      <c r="E83" s="264">
        <v>608</v>
      </c>
      <c r="F83" s="264">
        <f>D83+E83</f>
        <v>1469</v>
      </c>
    </row>
    <row r="84" spans="2:6" x14ac:dyDescent="0.2">
      <c r="B84" s="259">
        <v>43191</v>
      </c>
      <c r="C84" s="263">
        <v>39</v>
      </c>
      <c r="D84" s="264">
        <v>653</v>
      </c>
      <c r="E84" s="264">
        <v>498</v>
      </c>
      <c r="F84" s="264">
        <f t="shared" ref="F84" si="2">D84+E84</f>
        <v>1151</v>
      </c>
    </row>
    <row r="85" spans="2:6" x14ac:dyDescent="0.2">
      <c r="B85" s="259">
        <v>43221</v>
      </c>
      <c r="C85" s="263">
        <v>40</v>
      </c>
      <c r="D85" s="264">
        <v>965</v>
      </c>
      <c r="E85" s="264">
        <v>663</v>
      </c>
      <c r="F85" s="264">
        <v>1628</v>
      </c>
    </row>
    <row r="86" spans="2:6" x14ac:dyDescent="0.2">
      <c r="B86" s="259">
        <v>43252</v>
      </c>
      <c r="C86" s="263">
        <v>55</v>
      </c>
      <c r="D86" s="264">
        <v>836</v>
      </c>
      <c r="E86" s="264">
        <v>774</v>
      </c>
      <c r="F86" s="264">
        <f t="shared" ref="F86:F91" si="3">D86+E86</f>
        <v>1610</v>
      </c>
    </row>
    <row r="87" spans="2:6" x14ac:dyDescent="0.2">
      <c r="B87" s="259">
        <v>43282</v>
      </c>
      <c r="C87" s="263">
        <v>54</v>
      </c>
      <c r="D87" s="264">
        <v>1124</v>
      </c>
      <c r="E87" s="264">
        <v>980</v>
      </c>
      <c r="F87" s="264">
        <f t="shared" si="3"/>
        <v>2104</v>
      </c>
    </row>
    <row r="88" spans="2:6" x14ac:dyDescent="0.2">
      <c r="B88" s="259">
        <v>43313</v>
      </c>
      <c r="C88" s="263">
        <v>74</v>
      </c>
      <c r="D88" s="264">
        <v>1725</v>
      </c>
      <c r="E88" s="264">
        <v>1398</v>
      </c>
      <c r="F88" s="264">
        <f t="shared" si="3"/>
        <v>3123</v>
      </c>
    </row>
    <row r="89" spans="2:6" x14ac:dyDescent="0.2">
      <c r="B89" s="259">
        <v>43344</v>
      </c>
      <c r="C89" s="263">
        <v>50</v>
      </c>
      <c r="D89" s="264">
        <v>1229</v>
      </c>
      <c r="E89" s="264">
        <v>1067</v>
      </c>
      <c r="F89" s="264">
        <f t="shared" si="3"/>
        <v>2296</v>
      </c>
    </row>
    <row r="90" spans="2:6" x14ac:dyDescent="0.2">
      <c r="B90" s="259">
        <v>43374</v>
      </c>
      <c r="C90" s="263">
        <v>31</v>
      </c>
      <c r="D90" s="264">
        <v>1359</v>
      </c>
      <c r="E90" s="264">
        <v>477</v>
      </c>
      <c r="F90" s="264">
        <f t="shared" si="3"/>
        <v>1836</v>
      </c>
    </row>
    <row r="91" spans="2:6" x14ac:dyDescent="0.2">
      <c r="B91" s="259">
        <v>43405</v>
      </c>
      <c r="C91" s="263">
        <v>21</v>
      </c>
      <c r="D91" s="264">
        <v>1224</v>
      </c>
      <c r="E91" s="264">
        <v>699</v>
      </c>
      <c r="F91" s="264">
        <f t="shared" si="3"/>
        <v>1923</v>
      </c>
    </row>
    <row r="92" spans="2:6" x14ac:dyDescent="0.2">
      <c r="B92" s="255" t="s">
        <v>638</v>
      </c>
      <c r="C92" s="252">
        <f>SUM(C81:C91)</f>
        <v>515</v>
      </c>
      <c r="D92" s="268">
        <f>SUM(D81:D91)</f>
        <v>12393</v>
      </c>
      <c r="E92" s="268">
        <f>SUM(E81:E91)</f>
        <v>9267</v>
      </c>
      <c r="F92" s="268">
        <f t="shared" ref="F92" si="4">SUM(F81:F90)</f>
        <v>19737</v>
      </c>
    </row>
    <row r="93" spans="2:6" x14ac:dyDescent="0.2">
      <c r="B93" s="269" t="s">
        <v>43</v>
      </c>
      <c r="C93" s="270">
        <f>C11+C12+C13+C14+C15+C28+C41+C54+C67+C80+C92</f>
        <v>9070</v>
      </c>
      <c r="D93" s="271"/>
      <c r="E93" s="272"/>
      <c r="F93" s="272">
        <f>F11+F12+F13+F14+F15+F28+F41+F54+F67+F80+F92</f>
        <v>342894</v>
      </c>
    </row>
    <row r="95" spans="2:6" x14ac:dyDescent="0.2">
      <c r="B95" s="167" t="s">
        <v>493</v>
      </c>
    </row>
    <row r="96" spans="2:6" ht="12" customHeight="1" x14ac:dyDescent="0.2">
      <c r="B96" s="427" t="s">
        <v>551</v>
      </c>
      <c r="C96" s="427"/>
      <c r="D96" s="427"/>
      <c r="E96" s="427"/>
      <c r="F96" s="427"/>
    </row>
    <row r="97" spans="2:6" x14ac:dyDescent="0.2">
      <c r="B97" s="427"/>
      <c r="C97" s="427"/>
      <c r="D97" s="427"/>
      <c r="E97" s="427"/>
      <c r="F97" s="427"/>
    </row>
    <row r="98" spans="2:6" x14ac:dyDescent="0.2">
      <c r="B98" s="427"/>
      <c r="C98" s="427"/>
      <c r="D98" s="427"/>
      <c r="E98" s="427"/>
      <c r="F98" s="427"/>
    </row>
    <row r="99" spans="2:6" x14ac:dyDescent="0.2">
      <c r="B99" s="427"/>
      <c r="C99" s="427"/>
      <c r="D99" s="427"/>
      <c r="E99" s="427"/>
      <c r="F99" s="427"/>
    </row>
    <row r="100" spans="2:6" x14ac:dyDescent="0.2">
      <c r="B100" s="427"/>
      <c r="C100" s="427"/>
      <c r="D100" s="427"/>
      <c r="E100" s="427"/>
      <c r="F100" s="427"/>
    </row>
  </sheetData>
  <mergeCells count="8">
    <mergeCell ref="B96:F100"/>
    <mergeCell ref="B5:F5"/>
    <mergeCell ref="B6:F6"/>
    <mergeCell ref="B8:B10"/>
    <mergeCell ref="C8:F8"/>
    <mergeCell ref="C9:C10"/>
    <mergeCell ref="D9:E9"/>
    <mergeCell ref="F9:F10"/>
  </mergeCells>
  <hyperlinks>
    <hyperlink ref="H5" location="'Índice STJ'!A1" display="'Índice STJ'!A1"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H90"/>
  <sheetViews>
    <sheetView showGridLines="0" zoomScaleNormal="100" workbookViewId="0">
      <selection activeCell="B7" sqref="B7"/>
    </sheetView>
  </sheetViews>
  <sheetFormatPr baseColWidth="10" defaultColWidth="11.42578125" defaultRowHeight="12" x14ac:dyDescent="0.2"/>
  <cols>
    <col min="1" max="1" width="6" style="167" customWidth="1"/>
    <col min="2" max="2" width="12.28515625" style="167" bestFit="1" customWidth="1"/>
    <col min="3" max="16384" width="11.42578125" style="167"/>
  </cols>
  <sheetData>
    <row r="2" spans="1:8" x14ac:dyDescent="0.2">
      <c r="A2" s="196" t="s">
        <v>121</v>
      </c>
    </row>
    <row r="3" spans="1:8" x14ac:dyDescent="0.2">
      <c r="A3" s="196" t="s">
        <v>122</v>
      </c>
    </row>
    <row r="5" spans="1:8" ht="28.5" customHeight="1" x14ac:dyDescent="0.2">
      <c r="B5" s="484" t="s">
        <v>552</v>
      </c>
      <c r="C5" s="484"/>
      <c r="D5" s="484"/>
      <c r="E5" s="484"/>
      <c r="F5" s="484"/>
      <c r="H5" s="358" t="s">
        <v>596</v>
      </c>
    </row>
    <row r="6" spans="1:8" ht="12.75" x14ac:dyDescent="0.2">
      <c r="B6" s="485" t="s">
        <v>647</v>
      </c>
      <c r="C6" s="485"/>
      <c r="D6" s="485"/>
      <c r="E6" s="485"/>
      <c r="F6" s="485"/>
    </row>
    <row r="8" spans="1:8" ht="27.75" customHeight="1" x14ac:dyDescent="0.2">
      <c r="B8" s="477" t="s">
        <v>544</v>
      </c>
      <c r="C8" s="486" t="s">
        <v>553</v>
      </c>
      <c r="D8" s="487"/>
      <c r="E8" s="487"/>
      <c r="F8" s="488"/>
    </row>
    <row r="9" spans="1:8" x14ac:dyDescent="0.2">
      <c r="B9" s="477"/>
      <c r="C9" s="273" t="s">
        <v>554</v>
      </c>
      <c r="D9" s="273" t="s">
        <v>555</v>
      </c>
      <c r="E9" s="273" t="s">
        <v>556</v>
      </c>
      <c r="F9" s="273" t="s">
        <v>43</v>
      </c>
    </row>
    <row r="10" spans="1:8" x14ac:dyDescent="0.2">
      <c r="B10" s="274" t="s">
        <v>557</v>
      </c>
      <c r="C10" s="275">
        <v>114</v>
      </c>
      <c r="D10" s="275">
        <v>539</v>
      </c>
      <c r="E10" s="276">
        <v>154</v>
      </c>
      <c r="F10" s="277">
        <f t="shared" ref="F10:F22" si="0">SUM(C10:E10)</f>
        <v>807</v>
      </c>
    </row>
    <row r="11" spans="1:8" x14ac:dyDescent="0.2">
      <c r="B11" s="259">
        <v>41275</v>
      </c>
      <c r="C11" s="267">
        <v>8</v>
      </c>
      <c r="D11" s="267">
        <v>38</v>
      </c>
      <c r="E11" s="278">
        <v>12</v>
      </c>
      <c r="F11" s="279">
        <f t="shared" si="0"/>
        <v>58</v>
      </c>
    </row>
    <row r="12" spans="1:8" x14ac:dyDescent="0.2">
      <c r="B12" s="259">
        <v>41306</v>
      </c>
      <c r="C12" s="267">
        <v>5</v>
      </c>
      <c r="D12" s="267">
        <v>35</v>
      </c>
      <c r="E12" s="278">
        <v>15</v>
      </c>
      <c r="F12" s="279">
        <f t="shared" si="0"/>
        <v>55</v>
      </c>
    </row>
    <row r="13" spans="1:8" x14ac:dyDescent="0.2">
      <c r="B13" s="259">
        <v>41334</v>
      </c>
      <c r="C13" s="267">
        <v>10</v>
      </c>
      <c r="D13" s="267">
        <v>42</v>
      </c>
      <c r="E13" s="278">
        <v>12</v>
      </c>
      <c r="F13" s="279">
        <f t="shared" si="0"/>
        <v>64</v>
      </c>
    </row>
    <row r="14" spans="1:8" x14ac:dyDescent="0.2">
      <c r="B14" s="259">
        <v>41365</v>
      </c>
      <c r="C14" s="267">
        <v>10</v>
      </c>
      <c r="D14" s="267">
        <v>41</v>
      </c>
      <c r="E14" s="278">
        <v>15</v>
      </c>
      <c r="F14" s="279">
        <f t="shared" si="0"/>
        <v>66</v>
      </c>
    </row>
    <row r="15" spans="1:8" x14ac:dyDescent="0.2">
      <c r="B15" s="259">
        <v>41395</v>
      </c>
      <c r="C15" s="267">
        <v>6</v>
      </c>
      <c r="D15" s="267">
        <v>43</v>
      </c>
      <c r="E15" s="278">
        <v>11</v>
      </c>
      <c r="F15" s="279">
        <f t="shared" si="0"/>
        <v>60</v>
      </c>
    </row>
    <row r="16" spans="1:8" x14ac:dyDescent="0.2">
      <c r="B16" s="259">
        <v>41426</v>
      </c>
      <c r="C16" s="267">
        <v>6</v>
      </c>
      <c r="D16" s="267">
        <v>34</v>
      </c>
      <c r="E16" s="278">
        <v>14</v>
      </c>
      <c r="F16" s="279">
        <f t="shared" si="0"/>
        <v>54</v>
      </c>
    </row>
    <row r="17" spans="2:6" x14ac:dyDescent="0.2">
      <c r="B17" s="259">
        <v>41456</v>
      </c>
      <c r="C17" s="267">
        <v>4</v>
      </c>
      <c r="D17" s="267">
        <v>42</v>
      </c>
      <c r="E17" s="278">
        <v>12</v>
      </c>
      <c r="F17" s="279">
        <f t="shared" si="0"/>
        <v>58</v>
      </c>
    </row>
    <row r="18" spans="2:6" x14ac:dyDescent="0.2">
      <c r="B18" s="259">
        <v>41487</v>
      </c>
      <c r="C18" s="267">
        <v>7</v>
      </c>
      <c r="D18" s="267">
        <v>39</v>
      </c>
      <c r="E18" s="278">
        <v>12</v>
      </c>
      <c r="F18" s="279">
        <f t="shared" si="0"/>
        <v>58</v>
      </c>
    </row>
    <row r="19" spans="2:6" x14ac:dyDescent="0.2">
      <c r="B19" s="259">
        <v>41518</v>
      </c>
      <c r="C19" s="267">
        <v>5</v>
      </c>
      <c r="D19" s="267">
        <v>33</v>
      </c>
      <c r="E19" s="278">
        <v>12</v>
      </c>
      <c r="F19" s="279">
        <f t="shared" si="0"/>
        <v>50</v>
      </c>
    </row>
    <row r="20" spans="2:6" x14ac:dyDescent="0.2">
      <c r="B20" s="259">
        <v>41548</v>
      </c>
      <c r="C20" s="267">
        <v>3</v>
      </c>
      <c r="D20" s="267">
        <v>28</v>
      </c>
      <c r="E20" s="278">
        <v>17</v>
      </c>
      <c r="F20" s="279">
        <f t="shared" si="0"/>
        <v>48</v>
      </c>
    </row>
    <row r="21" spans="2:6" x14ac:dyDescent="0.2">
      <c r="B21" s="259">
        <v>41579</v>
      </c>
      <c r="C21" s="267">
        <v>3</v>
      </c>
      <c r="D21" s="267">
        <v>18</v>
      </c>
      <c r="E21" s="278">
        <v>7</v>
      </c>
      <c r="F21" s="279">
        <f t="shared" si="0"/>
        <v>28</v>
      </c>
    </row>
    <row r="22" spans="2:6" x14ac:dyDescent="0.2">
      <c r="B22" s="259">
        <v>41609</v>
      </c>
      <c r="C22" s="267">
        <v>7</v>
      </c>
      <c r="D22" s="267">
        <v>37</v>
      </c>
      <c r="E22" s="278">
        <v>11</v>
      </c>
      <c r="F22" s="279">
        <f t="shared" si="0"/>
        <v>55</v>
      </c>
    </row>
    <row r="23" spans="2:6" x14ac:dyDescent="0.2">
      <c r="B23" s="274" t="s">
        <v>558</v>
      </c>
      <c r="C23" s="275">
        <f>SUM(C11:C22)</f>
        <v>74</v>
      </c>
      <c r="D23" s="275">
        <f t="shared" ref="D23:E23" si="1">SUM(D11:D22)</f>
        <v>430</v>
      </c>
      <c r="E23" s="276">
        <f t="shared" si="1"/>
        <v>150</v>
      </c>
      <c r="F23" s="280">
        <f>SUM(F11:F22)</f>
        <v>654</v>
      </c>
    </row>
    <row r="24" spans="2:6" x14ac:dyDescent="0.2">
      <c r="B24" s="281">
        <v>41640</v>
      </c>
      <c r="C24" s="267">
        <v>7</v>
      </c>
      <c r="D24" s="267">
        <v>32</v>
      </c>
      <c r="E24" s="278">
        <v>18</v>
      </c>
      <c r="F24" s="279">
        <f>SUM(C24:E24)</f>
        <v>57</v>
      </c>
    </row>
    <row r="25" spans="2:6" x14ac:dyDescent="0.2">
      <c r="B25" s="281">
        <v>41671</v>
      </c>
      <c r="C25" s="267">
        <v>3</v>
      </c>
      <c r="D25" s="267">
        <v>24</v>
      </c>
      <c r="E25" s="278">
        <v>9</v>
      </c>
      <c r="F25" s="279">
        <f t="shared" ref="F25:F48" si="2">C25+D25+E25</f>
        <v>36</v>
      </c>
    </row>
    <row r="26" spans="2:6" x14ac:dyDescent="0.2">
      <c r="B26" s="281">
        <v>41699</v>
      </c>
      <c r="C26" s="267">
        <v>7</v>
      </c>
      <c r="D26" s="267">
        <v>21</v>
      </c>
      <c r="E26" s="278">
        <v>15</v>
      </c>
      <c r="F26" s="279">
        <f t="shared" si="2"/>
        <v>43</v>
      </c>
    </row>
    <row r="27" spans="2:6" x14ac:dyDescent="0.2">
      <c r="B27" s="281">
        <v>41730</v>
      </c>
      <c r="C27" s="267">
        <v>9</v>
      </c>
      <c r="D27" s="267">
        <v>25</v>
      </c>
      <c r="E27" s="278">
        <v>10</v>
      </c>
      <c r="F27" s="279">
        <f t="shared" si="2"/>
        <v>44</v>
      </c>
    </row>
    <row r="28" spans="2:6" x14ac:dyDescent="0.2">
      <c r="B28" s="281">
        <v>41760</v>
      </c>
      <c r="C28" s="267">
        <v>7</v>
      </c>
      <c r="D28" s="267">
        <v>29</v>
      </c>
      <c r="E28" s="278">
        <v>11</v>
      </c>
      <c r="F28" s="279">
        <f t="shared" si="2"/>
        <v>47</v>
      </c>
    </row>
    <row r="29" spans="2:6" x14ac:dyDescent="0.2">
      <c r="B29" s="281">
        <v>41791</v>
      </c>
      <c r="C29" s="267">
        <v>0</v>
      </c>
      <c r="D29" s="267">
        <v>31</v>
      </c>
      <c r="E29" s="278">
        <v>17</v>
      </c>
      <c r="F29" s="279">
        <f t="shared" si="2"/>
        <v>48</v>
      </c>
    </row>
    <row r="30" spans="2:6" x14ac:dyDescent="0.2">
      <c r="B30" s="281">
        <v>41821</v>
      </c>
      <c r="C30" s="267">
        <v>3</v>
      </c>
      <c r="D30" s="267">
        <v>29</v>
      </c>
      <c r="E30" s="278">
        <v>15</v>
      </c>
      <c r="F30" s="279">
        <f t="shared" si="2"/>
        <v>47</v>
      </c>
    </row>
    <row r="31" spans="2:6" x14ac:dyDescent="0.2">
      <c r="B31" s="281">
        <v>41852</v>
      </c>
      <c r="C31" s="267">
        <v>5</v>
      </c>
      <c r="D31" s="267">
        <v>30</v>
      </c>
      <c r="E31" s="278">
        <v>9</v>
      </c>
      <c r="F31" s="279">
        <f t="shared" si="2"/>
        <v>44</v>
      </c>
    </row>
    <row r="32" spans="2:6" x14ac:dyDescent="0.2">
      <c r="B32" s="281">
        <v>41883</v>
      </c>
      <c r="C32" s="267">
        <v>2</v>
      </c>
      <c r="D32" s="267">
        <v>39</v>
      </c>
      <c r="E32" s="278"/>
      <c r="F32" s="279">
        <f t="shared" si="2"/>
        <v>41</v>
      </c>
    </row>
    <row r="33" spans="2:6" x14ac:dyDescent="0.2">
      <c r="B33" s="281">
        <v>41913</v>
      </c>
      <c r="C33" s="267">
        <v>5</v>
      </c>
      <c r="D33" s="267">
        <v>29</v>
      </c>
      <c r="E33" s="278"/>
      <c r="F33" s="279">
        <f t="shared" si="2"/>
        <v>34</v>
      </c>
    </row>
    <row r="34" spans="2:6" x14ac:dyDescent="0.2">
      <c r="B34" s="281">
        <v>41944</v>
      </c>
      <c r="C34" s="267">
        <v>1</v>
      </c>
      <c r="D34" s="267">
        <v>20</v>
      </c>
      <c r="E34" s="278">
        <v>4</v>
      </c>
      <c r="F34" s="279">
        <f t="shared" si="2"/>
        <v>25</v>
      </c>
    </row>
    <row r="35" spans="2:6" x14ac:dyDescent="0.2">
      <c r="B35" s="281">
        <v>41974</v>
      </c>
      <c r="C35" s="267">
        <v>4</v>
      </c>
      <c r="D35" s="267">
        <v>38</v>
      </c>
      <c r="E35" s="278">
        <v>5</v>
      </c>
      <c r="F35" s="279">
        <f t="shared" si="2"/>
        <v>47</v>
      </c>
    </row>
    <row r="36" spans="2:6" x14ac:dyDescent="0.2">
      <c r="B36" s="274" t="s">
        <v>559</v>
      </c>
      <c r="C36" s="275">
        <f>SUM(C24:C35)</f>
        <v>53</v>
      </c>
      <c r="D36" s="275">
        <f>SUM(D24:D35)</f>
        <v>347</v>
      </c>
      <c r="E36" s="276">
        <f>SUM(E24:E35)</f>
        <v>113</v>
      </c>
      <c r="F36" s="277">
        <f t="shared" si="2"/>
        <v>513</v>
      </c>
    </row>
    <row r="37" spans="2:6" x14ac:dyDescent="0.2">
      <c r="B37" s="281">
        <v>42005</v>
      </c>
      <c r="C37" s="267">
        <v>2</v>
      </c>
      <c r="D37" s="267">
        <v>26</v>
      </c>
      <c r="E37" s="278">
        <v>12</v>
      </c>
      <c r="F37" s="279">
        <f t="shared" si="2"/>
        <v>40</v>
      </c>
    </row>
    <row r="38" spans="2:6" x14ac:dyDescent="0.2">
      <c r="B38" s="281">
        <v>42036</v>
      </c>
      <c r="C38" s="267">
        <v>1</v>
      </c>
      <c r="D38" s="267">
        <v>21</v>
      </c>
      <c r="E38" s="278">
        <v>15</v>
      </c>
      <c r="F38" s="279">
        <f t="shared" si="2"/>
        <v>37</v>
      </c>
    </row>
    <row r="39" spans="2:6" x14ac:dyDescent="0.2">
      <c r="B39" s="281">
        <v>42064</v>
      </c>
      <c r="C39" s="267">
        <v>7</v>
      </c>
      <c r="D39" s="267">
        <v>24</v>
      </c>
      <c r="E39" s="278">
        <v>8</v>
      </c>
      <c r="F39" s="279">
        <f t="shared" si="2"/>
        <v>39</v>
      </c>
    </row>
    <row r="40" spans="2:6" x14ac:dyDescent="0.2">
      <c r="B40" s="281">
        <v>42095</v>
      </c>
      <c r="C40" s="267">
        <v>7</v>
      </c>
      <c r="D40" s="267">
        <v>21</v>
      </c>
      <c r="E40" s="278">
        <v>5</v>
      </c>
      <c r="F40" s="279">
        <f t="shared" si="2"/>
        <v>33</v>
      </c>
    </row>
    <row r="41" spans="2:6" x14ac:dyDescent="0.2">
      <c r="B41" s="281">
        <v>42125</v>
      </c>
      <c r="C41" s="267"/>
      <c r="D41" s="267">
        <v>18</v>
      </c>
      <c r="E41" s="278">
        <v>13</v>
      </c>
      <c r="F41" s="279">
        <f t="shared" si="2"/>
        <v>31</v>
      </c>
    </row>
    <row r="42" spans="2:6" x14ac:dyDescent="0.2">
      <c r="B42" s="281">
        <v>42156</v>
      </c>
      <c r="C42" s="267">
        <v>5</v>
      </c>
      <c r="D42" s="267">
        <v>22</v>
      </c>
      <c r="E42" s="278">
        <v>11</v>
      </c>
      <c r="F42" s="279">
        <f t="shared" si="2"/>
        <v>38</v>
      </c>
    </row>
    <row r="43" spans="2:6" x14ac:dyDescent="0.2">
      <c r="B43" s="281">
        <v>42186</v>
      </c>
      <c r="C43" s="267">
        <v>1</v>
      </c>
      <c r="D43" s="267">
        <v>22</v>
      </c>
      <c r="E43" s="278">
        <v>10</v>
      </c>
      <c r="F43" s="279">
        <f t="shared" si="2"/>
        <v>33</v>
      </c>
    </row>
    <row r="44" spans="2:6" x14ac:dyDescent="0.2">
      <c r="B44" s="281">
        <v>42217</v>
      </c>
      <c r="C44" s="267">
        <v>4</v>
      </c>
      <c r="D44" s="267">
        <v>27</v>
      </c>
      <c r="E44" s="278">
        <v>6</v>
      </c>
      <c r="F44" s="279">
        <f t="shared" si="2"/>
        <v>37</v>
      </c>
    </row>
    <row r="45" spans="2:6" x14ac:dyDescent="0.2">
      <c r="B45" s="281">
        <v>42248</v>
      </c>
      <c r="C45" s="267">
        <v>1</v>
      </c>
      <c r="D45" s="267">
        <v>32</v>
      </c>
      <c r="E45" s="278">
        <v>7</v>
      </c>
      <c r="F45" s="279">
        <f t="shared" si="2"/>
        <v>40</v>
      </c>
    </row>
    <row r="46" spans="2:6" x14ac:dyDescent="0.2">
      <c r="B46" s="281">
        <v>42278</v>
      </c>
      <c r="C46" s="267">
        <v>9</v>
      </c>
      <c r="D46" s="267">
        <v>21</v>
      </c>
      <c r="E46" s="278">
        <v>9</v>
      </c>
      <c r="F46" s="279">
        <f t="shared" si="2"/>
        <v>39</v>
      </c>
    </row>
    <row r="47" spans="2:6" x14ac:dyDescent="0.2">
      <c r="B47" s="281">
        <v>42309</v>
      </c>
      <c r="C47" s="267">
        <v>7</v>
      </c>
      <c r="D47" s="267">
        <v>26</v>
      </c>
      <c r="E47" s="278">
        <v>4</v>
      </c>
      <c r="F47" s="279">
        <f t="shared" si="2"/>
        <v>37</v>
      </c>
    </row>
    <row r="48" spans="2:6" x14ac:dyDescent="0.2">
      <c r="B48" s="281">
        <v>42339</v>
      </c>
      <c r="C48" s="267">
        <v>6</v>
      </c>
      <c r="D48" s="267">
        <v>21</v>
      </c>
      <c r="E48" s="278">
        <v>6</v>
      </c>
      <c r="F48" s="279">
        <f t="shared" si="2"/>
        <v>33</v>
      </c>
    </row>
    <row r="49" spans="2:6" x14ac:dyDescent="0.2">
      <c r="B49" s="274" t="s">
        <v>560</v>
      </c>
      <c r="C49" s="275">
        <f>SUM(C37:C48)</f>
        <v>50</v>
      </c>
      <c r="D49" s="275">
        <f t="shared" ref="D49:F49" si="3">SUM(D37:D48)</f>
        <v>281</v>
      </c>
      <c r="E49" s="275">
        <f t="shared" si="3"/>
        <v>106</v>
      </c>
      <c r="F49" s="277">
        <f t="shared" si="3"/>
        <v>437</v>
      </c>
    </row>
    <row r="50" spans="2:6" x14ac:dyDescent="0.2">
      <c r="B50" s="281">
        <v>42370</v>
      </c>
      <c r="C50" s="267">
        <v>4</v>
      </c>
      <c r="D50" s="267">
        <v>19</v>
      </c>
      <c r="E50" s="278">
        <v>10</v>
      </c>
      <c r="F50" s="279">
        <f t="shared" ref="F50:F86" si="4">C50+D50+E50</f>
        <v>33</v>
      </c>
    </row>
    <row r="51" spans="2:6" x14ac:dyDescent="0.2">
      <c r="B51" s="281">
        <v>42401</v>
      </c>
      <c r="C51" s="267">
        <v>17</v>
      </c>
      <c r="D51" s="267">
        <v>16</v>
      </c>
      <c r="E51" s="278">
        <v>0</v>
      </c>
      <c r="F51" s="279">
        <f t="shared" si="4"/>
        <v>33</v>
      </c>
    </row>
    <row r="52" spans="2:6" x14ac:dyDescent="0.2">
      <c r="B52" s="281">
        <v>42430</v>
      </c>
      <c r="C52" s="267">
        <v>14</v>
      </c>
      <c r="D52" s="267">
        <v>13</v>
      </c>
      <c r="E52" s="278">
        <v>13</v>
      </c>
      <c r="F52" s="279">
        <f t="shared" si="4"/>
        <v>40</v>
      </c>
    </row>
    <row r="53" spans="2:6" x14ac:dyDescent="0.2">
      <c r="B53" s="281">
        <v>42461</v>
      </c>
      <c r="C53" s="267">
        <v>8</v>
      </c>
      <c r="D53" s="267">
        <v>19</v>
      </c>
      <c r="E53" s="278">
        <v>12</v>
      </c>
      <c r="F53" s="279">
        <f t="shared" si="4"/>
        <v>39</v>
      </c>
    </row>
    <row r="54" spans="2:6" x14ac:dyDescent="0.2">
      <c r="B54" s="281">
        <v>42491</v>
      </c>
      <c r="C54" s="267">
        <v>7</v>
      </c>
      <c r="D54" s="267">
        <v>21</v>
      </c>
      <c r="E54" s="278">
        <v>12</v>
      </c>
      <c r="F54" s="279">
        <f t="shared" si="4"/>
        <v>40</v>
      </c>
    </row>
    <row r="55" spans="2:6" x14ac:dyDescent="0.2">
      <c r="B55" s="281">
        <v>42522</v>
      </c>
      <c r="C55" s="267">
        <v>7</v>
      </c>
      <c r="D55" s="267">
        <v>19</v>
      </c>
      <c r="E55" s="278">
        <v>11</v>
      </c>
      <c r="F55" s="279">
        <f t="shared" si="4"/>
        <v>37</v>
      </c>
    </row>
    <row r="56" spans="2:6" x14ac:dyDescent="0.2">
      <c r="B56" s="281">
        <v>42552</v>
      </c>
      <c r="C56" s="267">
        <v>18</v>
      </c>
      <c r="D56" s="267">
        <v>16</v>
      </c>
      <c r="E56" s="278">
        <v>12</v>
      </c>
      <c r="F56" s="279">
        <f t="shared" si="4"/>
        <v>46</v>
      </c>
    </row>
    <row r="57" spans="2:6" x14ac:dyDescent="0.2">
      <c r="B57" s="281">
        <v>42583</v>
      </c>
      <c r="C57" s="267">
        <v>12</v>
      </c>
      <c r="D57" s="267">
        <v>18</v>
      </c>
      <c r="E57" s="278">
        <v>17</v>
      </c>
      <c r="F57" s="279">
        <f t="shared" si="4"/>
        <v>47</v>
      </c>
    </row>
    <row r="58" spans="2:6" x14ac:dyDescent="0.2">
      <c r="B58" s="281">
        <v>42614</v>
      </c>
      <c r="C58" s="267">
        <v>6</v>
      </c>
      <c r="D58" s="267">
        <v>19</v>
      </c>
      <c r="E58" s="278">
        <v>13</v>
      </c>
      <c r="F58" s="279">
        <f t="shared" si="4"/>
        <v>38</v>
      </c>
    </row>
    <row r="59" spans="2:6" x14ac:dyDescent="0.2">
      <c r="B59" s="281">
        <v>42644</v>
      </c>
      <c r="C59" s="267">
        <v>10</v>
      </c>
      <c r="D59" s="267">
        <v>15</v>
      </c>
      <c r="E59" s="278">
        <v>11</v>
      </c>
      <c r="F59" s="279">
        <f t="shared" si="4"/>
        <v>36</v>
      </c>
    </row>
    <row r="60" spans="2:6" x14ac:dyDescent="0.2">
      <c r="B60" s="281">
        <v>42675</v>
      </c>
      <c r="C60" s="267">
        <v>14</v>
      </c>
      <c r="D60" s="267">
        <v>16</v>
      </c>
      <c r="E60" s="278">
        <v>12</v>
      </c>
      <c r="F60" s="279">
        <f t="shared" si="4"/>
        <v>42</v>
      </c>
    </row>
    <row r="61" spans="2:6" x14ac:dyDescent="0.2">
      <c r="B61" s="281">
        <v>42705</v>
      </c>
      <c r="C61" s="267">
        <v>14</v>
      </c>
      <c r="D61" s="267">
        <v>16</v>
      </c>
      <c r="E61" s="278">
        <v>20</v>
      </c>
      <c r="F61" s="279">
        <f t="shared" si="4"/>
        <v>50</v>
      </c>
    </row>
    <row r="62" spans="2:6" x14ac:dyDescent="0.2">
      <c r="B62" s="274" t="s">
        <v>561</v>
      </c>
      <c r="C62" s="275">
        <f>SUM(C50:C61)</f>
        <v>131</v>
      </c>
      <c r="D62" s="275">
        <f t="shared" ref="D62:F62" si="5">SUM(D50:D61)</f>
        <v>207</v>
      </c>
      <c r="E62" s="275">
        <f t="shared" si="5"/>
        <v>143</v>
      </c>
      <c r="F62" s="277">
        <f t="shared" si="5"/>
        <v>481</v>
      </c>
    </row>
    <row r="63" spans="2:6" x14ac:dyDescent="0.2">
      <c r="B63" s="281">
        <v>42736</v>
      </c>
      <c r="C63" s="267">
        <v>8</v>
      </c>
      <c r="D63" s="267">
        <v>17</v>
      </c>
      <c r="E63" s="278">
        <v>15</v>
      </c>
      <c r="F63" s="279">
        <f t="shared" si="4"/>
        <v>40</v>
      </c>
    </row>
    <row r="64" spans="2:6" x14ac:dyDescent="0.2">
      <c r="B64" s="281">
        <v>42767</v>
      </c>
      <c r="C64" s="267">
        <v>9</v>
      </c>
      <c r="D64" s="267">
        <v>11</v>
      </c>
      <c r="E64" s="278">
        <v>12</v>
      </c>
      <c r="F64" s="279">
        <f t="shared" si="4"/>
        <v>32</v>
      </c>
    </row>
    <row r="65" spans="2:6" x14ac:dyDescent="0.2">
      <c r="B65" s="281">
        <v>42795</v>
      </c>
      <c r="C65" s="267">
        <v>9</v>
      </c>
      <c r="D65" s="267">
        <v>13</v>
      </c>
      <c r="E65" s="278">
        <v>15</v>
      </c>
      <c r="F65" s="279">
        <f t="shared" si="4"/>
        <v>37</v>
      </c>
    </row>
    <row r="66" spans="2:6" x14ac:dyDescent="0.2">
      <c r="B66" s="281">
        <v>42826</v>
      </c>
      <c r="C66" s="267">
        <v>3</v>
      </c>
      <c r="D66" s="267">
        <v>17</v>
      </c>
      <c r="E66" s="278">
        <v>7</v>
      </c>
      <c r="F66" s="279">
        <f t="shared" si="4"/>
        <v>27</v>
      </c>
    </row>
    <row r="67" spans="2:6" x14ac:dyDescent="0.2">
      <c r="B67" s="281">
        <v>42856</v>
      </c>
      <c r="C67" s="267">
        <v>8</v>
      </c>
      <c r="D67" s="267">
        <v>18</v>
      </c>
      <c r="E67" s="278">
        <v>10</v>
      </c>
      <c r="F67" s="279">
        <f t="shared" si="4"/>
        <v>36</v>
      </c>
    </row>
    <row r="68" spans="2:6" x14ac:dyDescent="0.2">
      <c r="B68" s="281">
        <v>42887</v>
      </c>
      <c r="C68" s="267">
        <v>12</v>
      </c>
      <c r="D68" s="267">
        <v>19</v>
      </c>
      <c r="E68" s="278">
        <v>7</v>
      </c>
      <c r="F68" s="279">
        <f t="shared" si="4"/>
        <v>38</v>
      </c>
    </row>
    <row r="69" spans="2:6" x14ac:dyDescent="0.2">
      <c r="B69" s="281">
        <v>42917</v>
      </c>
      <c r="C69" s="267">
        <v>8</v>
      </c>
      <c r="D69" s="267">
        <v>12</v>
      </c>
      <c r="E69" s="278">
        <v>11</v>
      </c>
      <c r="F69" s="279">
        <f t="shared" si="4"/>
        <v>31</v>
      </c>
    </row>
    <row r="70" spans="2:6" x14ac:dyDescent="0.2">
      <c r="B70" s="281">
        <v>42948</v>
      </c>
      <c r="C70" s="267">
        <v>10</v>
      </c>
      <c r="D70" s="267">
        <v>13</v>
      </c>
      <c r="E70" s="278">
        <v>11</v>
      </c>
      <c r="F70" s="279">
        <f t="shared" si="4"/>
        <v>34</v>
      </c>
    </row>
    <row r="71" spans="2:6" x14ac:dyDescent="0.2">
      <c r="B71" s="281">
        <v>42979</v>
      </c>
      <c r="C71" s="267">
        <v>10</v>
      </c>
      <c r="D71" s="267">
        <v>9</v>
      </c>
      <c r="E71" s="278">
        <v>17</v>
      </c>
      <c r="F71" s="279">
        <f t="shared" si="4"/>
        <v>36</v>
      </c>
    </row>
    <row r="72" spans="2:6" x14ac:dyDescent="0.2">
      <c r="B72" s="281">
        <v>43009</v>
      </c>
      <c r="C72" s="267">
        <v>6</v>
      </c>
      <c r="D72" s="267">
        <v>14</v>
      </c>
      <c r="E72" s="278">
        <v>13</v>
      </c>
      <c r="F72" s="279">
        <f t="shared" si="4"/>
        <v>33</v>
      </c>
    </row>
    <row r="73" spans="2:6" x14ac:dyDescent="0.2">
      <c r="B73" s="281">
        <v>43040</v>
      </c>
      <c r="C73" s="267">
        <v>5</v>
      </c>
      <c r="D73" s="267">
        <v>23</v>
      </c>
      <c r="E73" s="278">
        <v>12</v>
      </c>
      <c r="F73" s="279">
        <f t="shared" si="4"/>
        <v>40</v>
      </c>
    </row>
    <row r="74" spans="2:6" x14ac:dyDescent="0.2">
      <c r="B74" s="281">
        <v>43070</v>
      </c>
      <c r="C74" s="267">
        <v>19</v>
      </c>
      <c r="D74" s="267">
        <v>22</v>
      </c>
      <c r="E74" s="278">
        <v>15</v>
      </c>
      <c r="F74" s="279">
        <f t="shared" si="4"/>
        <v>56</v>
      </c>
    </row>
    <row r="75" spans="2:6" x14ac:dyDescent="0.2">
      <c r="B75" s="282" t="s">
        <v>562</v>
      </c>
      <c r="C75" s="275">
        <f>SUM(C63:C74)</f>
        <v>107</v>
      </c>
      <c r="D75" s="275">
        <f t="shared" ref="D75:E75" si="6">SUM(D63:D74)</f>
        <v>188</v>
      </c>
      <c r="E75" s="275">
        <f t="shared" si="6"/>
        <v>145</v>
      </c>
      <c r="F75" s="277">
        <f t="shared" si="4"/>
        <v>440</v>
      </c>
    </row>
    <row r="76" spans="2:6" x14ac:dyDescent="0.2">
      <c r="B76" s="281">
        <v>43101</v>
      </c>
      <c r="C76" s="267">
        <v>13</v>
      </c>
      <c r="D76" s="267">
        <v>23</v>
      </c>
      <c r="E76" s="278">
        <v>10</v>
      </c>
      <c r="F76" s="279">
        <f t="shared" si="4"/>
        <v>46</v>
      </c>
    </row>
    <row r="77" spans="2:6" x14ac:dyDescent="0.2">
      <c r="B77" s="281">
        <v>43132</v>
      </c>
      <c r="C77" s="267">
        <v>16</v>
      </c>
      <c r="D77" s="267">
        <v>22</v>
      </c>
      <c r="E77" s="278">
        <v>23</v>
      </c>
      <c r="F77" s="279">
        <f t="shared" si="4"/>
        <v>61</v>
      </c>
    </row>
    <row r="78" spans="2:6" x14ac:dyDescent="0.2">
      <c r="B78" s="281">
        <v>43160</v>
      </c>
      <c r="C78" s="267">
        <v>14</v>
      </c>
      <c r="D78" s="267">
        <v>19</v>
      </c>
      <c r="E78" s="278">
        <v>11</v>
      </c>
      <c r="F78" s="279">
        <f t="shared" si="4"/>
        <v>44</v>
      </c>
    </row>
    <row r="79" spans="2:6" x14ac:dyDescent="0.2">
      <c r="B79" s="281">
        <v>43191</v>
      </c>
      <c r="C79" s="267">
        <v>10</v>
      </c>
      <c r="D79" s="267">
        <v>18</v>
      </c>
      <c r="E79" s="278">
        <v>11</v>
      </c>
      <c r="F79" s="279">
        <f t="shared" si="4"/>
        <v>39</v>
      </c>
    </row>
    <row r="80" spans="2:6" x14ac:dyDescent="0.2">
      <c r="B80" s="281">
        <v>43221</v>
      </c>
      <c r="C80" s="267">
        <v>22</v>
      </c>
      <c r="D80" s="267">
        <v>9</v>
      </c>
      <c r="E80" s="278">
        <v>9</v>
      </c>
      <c r="F80" s="279">
        <f t="shared" si="4"/>
        <v>40</v>
      </c>
    </row>
    <row r="81" spans="2:6" x14ac:dyDescent="0.2">
      <c r="B81" s="281">
        <v>43252</v>
      </c>
      <c r="C81" s="267">
        <v>27</v>
      </c>
      <c r="D81" s="267">
        <v>18</v>
      </c>
      <c r="E81" s="278">
        <v>10</v>
      </c>
      <c r="F81" s="279">
        <f t="shared" si="4"/>
        <v>55</v>
      </c>
    </row>
    <row r="82" spans="2:6" x14ac:dyDescent="0.2">
      <c r="B82" s="281">
        <v>43282</v>
      </c>
      <c r="C82" s="267">
        <v>15</v>
      </c>
      <c r="D82" s="267">
        <v>20</v>
      </c>
      <c r="E82" s="278">
        <v>19</v>
      </c>
      <c r="F82" s="279">
        <f t="shared" si="4"/>
        <v>54</v>
      </c>
    </row>
    <row r="83" spans="2:6" x14ac:dyDescent="0.2">
      <c r="B83" s="281">
        <v>43313</v>
      </c>
      <c r="C83" s="267">
        <v>17</v>
      </c>
      <c r="D83" s="267">
        <v>40</v>
      </c>
      <c r="E83" s="278">
        <v>17</v>
      </c>
      <c r="F83" s="279">
        <f t="shared" si="4"/>
        <v>74</v>
      </c>
    </row>
    <row r="84" spans="2:6" x14ac:dyDescent="0.2">
      <c r="B84" s="281">
        <v>43344</v>
      </c>
      <c r="C84" s="267">
        <v>16</v>
      </c>
      <c r="D84" s="267">
        <v>31</v>
      </c>
      <c r="E84" s="278">
        <v>3</v>
      </c>
      <c r="F84" s="279">
        <f t="shared" si="4"/>
        <v>50</v>
      </c>
    </row>
    <row r="85" spans="2:6" x14ac:dyDescent="0.2">
      <c r="B85" s="281">
        <v>43374</v>
      </c>
      <c r="C85" s="267">
        <v>4</v>
      </c>
      <c r="D85" s="267">
        <v>22</v>
      </c>
      <c r="E85" s="278">
        <v>5</v>
      </c>
      <c r="F85" s="279">
        <f t="shared" si="4"/>
        <v>31</v>
      </c>
    </row>
    <row r="86" spans="2:6" x14ac:dyDescent="0.2">
      <c r="B86" s="281">
        <v>43405</v>
      </c>
      <c r="C86" s="267">
        <v>3</v>
      </c>
      <c r="D86" s="267">
        <v>16</v>
      </c>
      <c r="E86" s="278">
        <v>2</v>
      </c>
      <c r="F86" s="279">
        <f t="shared" si="4"/>
        <v>21</v>
      </c>
    </row>
    <row r="87" spans="2:6" x14ac:dyDescent="0.2">
      <c r="B87" s="282" t="s">
        <v>638</v>
      </c>
      <c r="C87" s="275">
        <f>SUM(C76:C86)</f>
        <v>157</v>
      </c>
      <c r="D87" s="275">
        <f>SUM(D76:D86)</f>
        <v>238</v>
      </c>
      <c r="E87" s="275">
        <f>SUM(E76:E86)</f>
        <v>120</v>
      </c>
      <c r="F87" s="277">
        <f>SUM(F76:F86)</f>
        <v>515</v>
      </c>
    </row>
    <row r="89" spans="2:6" x14ac:dyDescent="0.2">
      <c r="B89" s="167" t="s">
        <v>493</v>
      </c>
    </row>
    <row r="90" spans="2:6" x14ac:dyDescent="0.2">
      <c r="B90" s="167" t="s">
        <v>501</v>
      </c>
    </row>
  </sheetData>
  <mergeCells count="4">
    <mergeCell ref="B5:F5"/>
    <mergeCell ref="B6:F6"/>
    <mergeCell ref="B8:B9"/>
    <mergeCell ref="C8:F8"/>
  </mergeCells>
  <hyperlinks>
    <hyperlink ref="H5" location="'Índice STJ'!A1" display="'Índice STJ'!A1" xr:uid="{00000000-0004-0000-1D00-000000000000}"/>
  </hyperlinks>
  <pageMargins left="0.7" right="0.7" top="0.75" bottom="0.75" header="0.3" footer="0.3"/>
  <ignoredErrors>
    <ignoredError sqref="F11:F22 F24 C23:E23" formulaRange="1"/>
    <ignoredError sqref="F23 F49 F62" formula="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G90"/>
  <sheetViews>
    <sheetView showGridLines="0" zoomScaleNormal="100" workbookViewId="0">
      <selection activeCell="B6" sqref="B6:E6"/>
    </sheetView>
  </sheetViews>
  <sheetFormatPr baseColWidth="10" defaultColWidth="11.42578125" defaultRowHeight="12" x14ac:dyDescent="0.2"/>
  <cols>
    <col min="1" max="1" width="6" style="167" customWidth="1"/>
    <col min="2" max="16384" width="11.42578125" style="167"/>
  </cols>
  <sheetData>
    <row r="2" spans="1:7" x14ac:dyDescent="0.2">
      <c r="A2" s="196" t="s">
        <v>121</v>
      </c>
    </row>
    <row r="3" spans="1:7" x14ac:dyDescent="0.2">
      <c r="A3" s="196" t="s">
        <v>122</v>
      </c>
    </row>
    <row r="5" spans="1:7" ht="27.75" customHeight="1" x14ac:dyDescent="0.2">
      <c r="B5" s="484" t="s">
        <v>563</v>
      </c>
      <c r="C5" s="484"/>
      <c r="D5" s="484"/>
      <c r="E5" s="484"/>
      <c r="G5" s="358" t="s">
        <v>596</v>
      </c>
    </row>
    <row r="6" spans="1:7" ht="12.75" x14ac:dyDescent="0.2">
      <c r="B6" s="418" t="s">
        <v>646</v>
      </c>
      <c r="C6" s="418"/>
      <c r="D6" s="418"/>
      <c r="E6" s="418"/>
    </row>
    <row r="8" spans="1:7" ht="27.75" customHeight="1" x14ac:dyDescent="0.2">
      <c r="B8" s="489" t="s">
        <v>544</v>
      </c>
      <c r="C8" s="486" t="s">
        <v>564</v>
      </c>
      <c r="D8" s="480"/>
      <c r="E8" s="481"/>
    </row>
    <row r="9" spans="1:7" x14ac:dyDescent="0.2">
      <c r="B9" s="490"/>
      <c r="C9" s="283" t="s">
        <v>548</v>
      </c>
      <c r="D9" s="283" t="s">
        <v>549</v>
      </c>
      <c r="E9" s="284" t="s">
        <v>115</v>
      </c>
    </row>
    <row r="10" spans="1:7" x14ac:dyDescent="0.2">
      <c r="B10" s="491" t="s">
        <v>565</v>
      </c>
      <c r="C10" s="492"/>
      <c r="D10" s="493"/>
      <c r="E10" s="64">
        <f>105378+4602+2837+2889+4557+2387</f>
        <v>122650</v>
      </c>
    </row>
    <row r="11" spans="1:7" x14ac:dyDescent="0.2">
      <c r="B11" s="494">
        <v>2012</v>
      </c>
      <c r="C11" s="495"/>
      <c r="D11" s="496"/>
      <c r="E11" s="64">
        <v>32605</v>
      </c>
    </row>
    <row r="12" spans="1:7" x14ac:dyDescent="0.2">
      <c r="B12" s="259">
        <v>41275</v>
      </c>
      <c r="C12" s="259"/>
      <c r="D12" s="259"/>
      <c r="E12" s="265">
        <v>2532</v>
      </c>
    </row>
    <row r="13" spans="1:7" x14ac:dyDescent="0.2">
      <c r="B13" s="259">
        <v>41306</v>
      </c>
      <c r="C13" s="259"/>
      <c r="D13" s="259"/>
      <c r="E13" s="265">
        <v>2439</v>
      </c>
    </row>
    <row r="14" spans="1:7" x14ac:dyDescent="0.2">
      <c r="B14" s="259">
        <v>41334</v>
      </c>
      <c r="C14" s="259"/>
      <c r="D14" s="259"/>
      <c r="E14" s="265">
        <v>2431</v>
      </c>
    </row>
    <row r="15" spans="1:7" x14ac:dyDescent="0.2">
      <c r="B15" s="259">
        <v>41365</v>
      </c>
      <c r="C15" s="259"/>
      <c r="D15" s="259"/>
      <c r="E15" s="265">
        <v>1851</v>
      </c>
    </row>
    <row r="16" spans="1:7" x14ac:dyDescent="0.2">
      <c r="B16" s="259">
        <v>41395</v>
      </c>
      <c r="C16" s="259"/>
      <c r="D16" s="259"/>
      <c r="E16" s="265">
        <v>2369</v>
      </c>
    </row>
    <row r="17" spans="2:5" x14ac:dyDescent="0.2">
      <c r="B17" s="259">
        <v>41426</v>
      </c>
      <c r="C17" s="259"/>
      <c r="D17" s="259"/>
      <c r="E17" s="265">
        <v>2281</v>
      </c>
    </row>
    <row r="18" spans="2:5" x14ac:dyDescent="0.2">
      <c r="B18" s="259">
        <v>41456</v>
      </c>
      <c r="C18" s="259"/>
      <c r="D18" s="259"/>
      <c r="E18" s="265">
        <v>2297</v>
      </c>
    </row>
    <row r="19" spans="2:5" x14ac:dyDescent="0.2">
      <c r="B19" s="259">
        <v>41487</v>
      </c>
      <c r="C19" s="259"/>
      <c r="D19" s="259"/>
      <c r="E19" s="265">
        <v>1478</v>
      </c>
    </row>
    <row r="20" spans="2:5" x14ac:dyDescent="0.2">
      <c r="B20" s="259">
        <v>41518</v>
      </c>
      <c r="C20" s="259"/>
      <c r="D20" s="259"/>
      <c r="E20" s="265">
        <v>1310</v>
      </c>
    </row>
    <row r="21" spans="2:5" x14ac:dyDescent="0.2">
      <c r="B21" s="259">
        <v>41548</v>
      </c>
      <c r="C21" s="259"/>
      <c r="D21" s="259"/>
      <c r="E21" s="265">
        <v>1141</v>
      </c>
    </row>
    <row r="22" spans="2:5" x14ac:dyDescent="0.2">
      <c r="B22" s="259">
        <v>41579</v>
      </c>
      <c r="C22" s="259"/>
      <c r="D22" s="259"/>
      <c r="E22" s="265">
        <v>925</v>
      </c>
    </row>
    <row r="23" spans="2:5" x14ac:dyDescent="0.2">
      <c r="B23" s="259">
        <v>41609</v>
      </c>
      <c r="C23" s="259"/>
      <c r="D23" s="259"/>
      <c r="E23" s="265">
        <v>2271</v>
      </c>
    </row>
    <row r="24" spans="2:5" x14ac:dyDescent="0.2">
      <c r="B24" s="494">
        <v>2013</v>
      </c>
      <c r="C24" s="495"/>
      <c r="D24" s="496"/>
      <c r="E24" s="64">
        <f>SUM(E12:E23)</f>
        <v>23325</v>
      </c>
    </row>
    <row r="25" spans="2:5" x14ac:dyDescent="0.2">
      <c r="B25" s="259">
        <v>41640</v>
      </c>
      <c r="C25" s="259"/>
      <c r="D25" s="259"/>
      <c r="E25" s="265">
        <v>2624</v>
      </c>
    </row>
    <row r="26" spans="2:5" x14ac:dyDescent="0.2">
      <c r="B26" s="259">
        <v>41671</v>
      </c>
      <c r="C26" s="259"/>
      <c r="D26" s="259"/>
      <c r="E26" s="265">
        <v>1598</v>
      </c>
    </row>
    <row r="27" spans="2:5" x14ac:dyDescent="0.2">
      <c r="B27" s="259">
        <v>41699</v>
      </c>
      <c r="C27" s="259"/>
      <c r="D27" s="259"/>
      <c r="E27" s="265">
        <v>1914</v>
      </c>
    </row>
    <row r="28" spans="2:5" x14ac:dyDescent="0.2">
      <c r="B28" s="259">
        <v>41730</v>
      </c>
      <c r="C28" s="259"/>
      <c r="D28" s="259"/>
      <c r="E28" s="265">
        <v>1065</v>
      </c>
    </row>
    <row r="29" spans="2:5" x14ac:dyDescent="0.2">
      <c r="B29" s="259">
        <v>41760</v>
      </c>
      <c r="C29" s="259"/>
      <c r="D29" s="259"/>
      <c r="E29" s="265">
        <v>1919</v>
      </c>
    </row>
    <row r="30" spans="2:5" x14ac:dyDescent="0.2">
      <c r="B30" s="259">
        <v>41791</v>
      </c>
      <c r="C30" s="259"/>
      <c r="D30" s="259"/>
      <c r="E30" s="265">
        <v>1580</v>
      </c>
    </row>
    <row r="31" spans="2:5" x14ac:dyDescent="0.2">
      <c r="B31" s="259">
        <v>41821</v>
      </c>
      <c r="C31" s="259"/>
      <c r="D31" s="259"/>
      <c r="E31" s="265">
        <v>1542</v>
      </c>
    </row>
    <row r="32" spans="2:5" x14ac:dyDescent="0.2">
      <c r="B32" s="259">
        <v>41852</v>
      </c>
      <c r="C32" s="259"/>
      <c r="D32" s="259"/>
      <c r="E32" s="265">
        <v>1606</v>
      </c>
    </row>
    <row r="33" spans="2:5" x14ac:dyDescent="0.2">
      <c r="B33" s="259">
        <v>41883</v>
      </c>
      <c r="C33" s="259"/>
      <c r="D33" s="259"/>
      <c r="E33" s="265">
        <v>2676</v>
      </c>
    </row>
    <row r="34" spans="2:5" x14ac:dyDescent="0.2">
      <c r="B34" s="285">
        <v>41913</v>
      </c>
      <c r="C34" s="285"/>
      <c r="D34" s="285"/>
      <c r="E34" s="265">
        <v>2626</v>
      </c>
    </row>
    <row r="35" spans="2:5" x14ac:dyDescent="0.2">
      <c r="B35" s="281">
        <v>41944</v>
      </c>
      <c r="C35" s="281"/>
      <c r="D35" s="281"/>
      <c r="E35" s="265">
        <v>2422</v>
      </c>
    </row>
    <row r="36" spans="2:5" x14ac:dyDescent="0.2">
      <c r="B36" s="281">
        <v>41974</v>
      </c>
      <c r="C36" s="281"/>
      <c r="D36" s="281"/>
      <c r="E36" s="265">
        <v>1349</v>
      </c>
    </row>
    <row r="37" spans="2:5" x14ac:dyDescent="0.2">
      <c r="B37" s="494">
        <v>2014</v>
      </c>
      <c r="C37" s="495"/>
      <c r="D37" s="496"/>
      <c r="E37" s="64">
        <f>SUM(E25:E36)</f>
        <v>22921</v>
      </c>
    </row>
    <row r="38" spans="2:5" x14ac:dyDescent="0.2">
      <c r="B38" s="285">
        <v>42005</v>
      </c>
      <c r="C38" s="285"/>
      <c r="D38" s="285"/>
      <c r="E38" s="265">
        <v>2382</v>
      </c>
    </row>
    <row r="39" spans="2:5" x14ac:dyDescent="0.2">
      <c r="B39" s="259">
        <v>42036</v>
      </c>
      <c r="C39" s="259"/>
      <c r="D39" s="259"/>
      <c r="E39" s="265">
        <v>3962</v>
      </c>
    </row>
    <row r="40" spans="2:5" x14ac:dyDescent="0.2">
      <c r="B40" s="259">
        <v>42064</v>
      </c>
      <c r="C40" s="259"/>
      <c r="D40" s="259"/>
      <c r="E40" s="265">
        <v>2652</v>
      </c>
    </row>
    <row r="41" spans="2:5" x14ac:dyDescent="0.2">
      <c r="B41" s="259">
        <v>42095</v>
      </c>
      <c r="C41" s="259"/>
      <c r="D41" s="259"/>
      <c r="E41" s="265">
        <v>3302</v>
      </c>
    </row>
    <row r="42" spans="2:5" x14ac:dyDescent="0.2">
      <c r="B42" s="259">
        <v>42125</v>
      </c>
      <c r="C42" s="259"/>
      <c r="D42" s="259"/>
      <c r="E42" s="265">
        <v>1564</v>
      </c>
    </row>
    <row r="43" spans="2:5" x14ac:dyDescent="0.2">
      <c r="B43" s="259">
        <v>42156</v>
      </c>
      <c r="C43" s="259"/>
      <c r="D43" s="259"/>
      <c r="E43" s="265">
        <v>2459</v>
      </c>
    </row>
    <row r="44" spans="2:5" x14ac:dyDescent="0.2">
      <c r="B44" s="259">
        <v>42186</v>
      </c>
      <c r="C44" s="259"/>
      <c r="D44" s="259"/>
      <c r="E44" s="265">
        <v>1307</v>
      </c>
    </row>
    <row r="45" spans="2:5" x14ac:dyDescent="0.2">
      <c r="B45" s="259">
        <v>42217</v>
      </c>
      <c r="C45" s="259"/>
      <c r="D45" s="259"/>
      <c r="E45" s="265">
        <v>2005</v>
      </c>
    </row>
    <row r="46" spans="2:5" x14ac:dyDescent="0.2">
      <c r="B46" s="259">
        <v>42248</v>
      </c>
      <c r="C46" s="259"/>
      <c r="D46" s="259"/>
      <c r="E46" s="265">
        <v>1605</v>
      </c>
    </row>
    <row r="47" spans="2:5" x14ac:dyDescent="0.2">
      <c r="B47" s="259">
        <v>42278</v>
      </c>
      <c r="C47" s="259"/>
      <c r="D47" s="259"/>
      <c r="E47" s="265">
        <v>5170</v>
      </c>
    </row>
    <row r="48" spans="2:5" x14ac:dyDescent="0.2">
      <c r="B48" s="259">
        <v>42309</v>
      </c>
      <c r="C48" s="259"/>
      <c r="D48" s="259"/>
      <c r="E48" s="265">
        <v>2737</v>
      </c>
    </row>
    <row r="49" spans="2:5" x14ac:dyDescent="0.2">
      <c r="B49" s="259">
        <v>42339</v>
      </c>
      <c r="C49" s="259"/>
      <c r="D49" s="259"/>
      <c r="E49" s="265">
        <v>1802</v>
      </c>
    </row>
    <row r="50" spans="2:5" x14ac:dyDescent="0.2">
      <c r="B50" s="494">
        <v>2015</v>
      </c>
      <c r="C50" s="495"/>
      <c r="D50" s="496"/>
      <c r="E50" s="286">
        <f>SUM(E38:E49)</f>
        <v>30947</v>
      </c>
    </row>
    <row r="51" spans="2:5" x14ac:dyDescent="0.2">
      <c r="B51" s="259">
        <v>42370</v>
      </c>
      <c r="C51" s="259"/>
      <c r="D51" s="259"/>
      <c r="E51" s="265">
        <v>3979</v>
      </c>
    </row>
    <row r="52" spans="2:5" x14ac:dyDescent="0.2">
      <c r="B52" s="259">
        <v>42401</v>
      </c>
      <c r="C52" s="259"/>
      <c r="D52" s="259"/>
      <c r="E52" s="265">
        <v>4366</v>
      </c>
    </row>
    <row r="53" spans="2:5" x14ac:dyDescent="0.2">
      <c r="B53" s="259">
        <v>42430</v>
      </c>
      <c r="C53" s="259"/>
      <c r="D53" s="259"/>
      <c r="E53" s="265">
        <v>2056</v>
      </c>
    </row>
    <row r="54" spans="2:5" x14ac:dyDescent="0.2">
      <c r="B54" s="259">
        <v>42461</v>
      </c>
      <c r="C54" s="259"/>
      <c r="D54" s="259"/>
      <c r="E54" s="265">
        <v>2454</v>
      </c>
    </row>
    <row r="55" spans="2:5" x14ac:dyDescent="0.2">
      <c r="B55" s="259">
        <v>42491</v>
      </c>
      <c r="C55" s="265">
        <v>1021</v>
      </c>
      <c r="D55" s="265">
        <v>834</v>
      </c>
      <c r="E55" s="265">
        <f t="shared" ref="E55:E62" si="0">C55+D55</f>
        <v>1855</v>
      </c>
    </row>
    <row r="56" spans="2:5" x14ac:dyDescent="0.2">
      <c r="B56" s="259">
        <v>42522</v>
      </c>
      <c r="C56" s="265">
        <v>983</v>
      </c>
      <c r="D56" s="265">
        <v>924</v>
      </c>
      <c r="E56" s="265">
        <f t="shared" si="0"/>
        <v>1907</v>
      </c>
    </row>
    <row r="57" spans="2:5" x14ac:dyDescent="0.2">
      <c r="B57" s="259">
        <v>42552</v>
      </c>
      <c r="C57" s="265">
        <v>1011</v>
      </c>
      <c r="D57" s="265">
        <v>872</v>
      </c>
      <c r="E57" s="265">
        <f t="shared" si="0"/>
        <v>1883</v>
      </c>
    </row>
    <row r="58" spans="2:5" x14ac:dyDescent="0.2">
      <c r="B58" s="259">
        <v>42583</v>
      </c>
      <c r="C58" s="265">
        <v>2375</v>
      </c>
      <c r="D58" s="265">
        <v>1728</v>
      </c>
      <c r="E58" s="265">
        <f t="shared" si="0"/>
        <v>4103</v>
      </c>
    </row>
    <row r="59" spans="2:5" x14ac:dyDescent="0.2">
      <c r="B59" s="259">
        <v>42614</v>
      </c>
      <c r="C59" s="265">
        <v>993</v>
      </c>
      <c r="D59" s="265">
        <v>820</v>
      </c>
      <c r="E59" s="265">
        <f t="shared" si="0"/>
        <v>1813</v>
      </c>
    </row>
    <row r="60" spans="2:5" x14ac:dyDescent="0.2">
      <c r="B60" s="259">
        <v>42644</v>
      </c>
      <c r="C60" s="265">
        <v>783</v>
      </c>
      <c r="D60" s="265">
        <v>848</v>
      </c>
      <c r="E60" s="265">
        <f t="shared" si="0"/>
        <v>1631</v>
      </c>
    </row>
    <row r="61" spans="2:5" x14ac:dyDescent="0.2">
      <c r="B61" s="259">
        <v>42675</v>
      </c>
      <c r="C61" s="265">
        <v>497</v>
      </c>
      <c r="D61" s="265">
        <v>326</v>
      </c>
      <c r="E61" s="265">
        <f t="shared" si="0"/>
        <v>823</v>
      </c>
    </row>
    <row r="62" spans="2:5" x14ac:dyDescent="0.2">
      <c r="B62" s="259">
        <v>42705</v>
      </c>
      <c r="C62" s="265">
        <v>1219</v>
      </c>
      <c r="D62" s="265">
        <v>923</v>
      </c>
      <c r="E62" s="265">
        <f t="shared" si="0"/>
        <v>2142</v>
      </c>
    </row>
    <row r="63" spans="2:5" x14ac:dyDescent="0.2">
      <c r="B63" s="494">
        <v>2016</v>
      </c>
      <c r="C63" s="495"/>
      <c r="D63" s="496"/>
      <c r="E63" s="64">
        <f>SUM(E51:E62)</f>
        <v>29012</v>
      </c>
    </row>
    <row r="64" spans="2:5" x14ac:dyDescent="0.2">
      <c r="B64" s="259">
        <v>42736</v>
      </c>
      <c r="C64" s="265">
        <v>1817</v>
      </c>
      <c r="D64" s="265">
        <v>1272</v>
      </c>
      <c r="E64" s="265">
        <f t="shared" ref="E64:E75" si="1">C64+D64</f>
        <v>3089</v>
      </c>
    </row>
    <row r="65" spans="2:5" x14ac:dyDescent="0.2">
      <c r="B65" s="259">
        <v>42767</v>
      </c>
      <c r="C65" s="265">
        <v>1645</v>
      </c>
      <c r="D65" s="265">
        <v>1289</v>
      </c>
      <c r="E65" s="265">
        <f t="shared" si="1"/>
        <v>2934</v>
      </c>
    </row>
    <row r="66" spans="2:5" x14ac:dyDescent="0.2">
      <c r="B66" s="259">
        <v>42795</v>
      </c>
      <c r="C66" s="265">
        <v>1362</v>
      </c>
      <c r="D66" s="265">
        <v>1006</v>
      </c>
      <c r="E66" s="265">
        <f t="shared" si="1"/>
        <v>2368</v>
      </c>
    </row>
    <row r="67" spans="2:5" x14ac:dyDescent="0.2">
      <c r="B67" s="259">
        <v>42826</v>
      </c>
      <c r="C67" s="265">
        <v>718</v>
      </c>
      <c r="D67" s="265">
        <v>604</v>
      </c>
      <c r="E67" s="265">
        <f t="shared" si="1"/>
        <v>1322</v>
      </c>
    </row>
    <row r="68" spans="2:5" x14ac:dyDescent="0.2">
      <c r="B68" s="259">
        <v>42856</v>
      </c>
      <c r="C68" s="265">
        <v>762</v>
      </c>
      <c r="D68" s="265">
        <v>531</v>
      </c>
      <c r="E68" s="265">
        <f t="shared" si="1"/>
        <v>1293</v>
      </c>
    </row>
    <row r="69" spans="2:5" x14ac:dyDescent="0.2">
      <c r="B69" s="259">
        <v>42887</v>
      </c>
      <c r="C69" s="265">
        <v>919</v>
      </c>
      <c r="D69" s="265">
        <v>611</v>
      </c>
      <c r="E69" s="265">
        <f t="shared" si="1"/>
        <v>1530</v>
      </c>
    </row>
    <row r="70" spans="2:5" x14ac:dyDescent="0.2">
      <c r="B70" s="259">
        <v>42917</v>
      </c>
      <c r="C70" s="265">
        <v>956</v>
      </c>
      <c r="D70" s="265">
        <v>639</v>
      </c>
      <c r="E70" s="265">
        <f t="shared" si="1"/>
        <v>1595</v>
      </c>
    </row>
    <row r="71" spans="2:5" x14ac:dyDescent="0.2">
      <c r="B71" s="259">
        <v>42948</v>
      </c>
      <c r="C71" s="265">
        <v>751</v>
      </c>
      <c r="D71" s="265">
        <v>503</v>
      </c>
      <c r="E71" s="265">
        <f t="shared" si="1"/>
        <v>1254</v>
      </c>
    </row>
    <row r="72" spans="2:5" x14ac:dyDescent="0.2">
      <c r="B72" s="259">
        <v>42979</v>
      </c>
      <c r="C72" s="265">
        <v>863</v>
      </c>
      <c r="D72" s="265">
        <v>564</v>
      </c>
      <c r="E72" s="265">
        <f t="shared" si="1"/>
        <v>1427</v>
      </c>
    </row>
    <row r="73" spans="2:5" x14ac:dyDescent="0.2">
      <c r="B73" s="259">
        <v>43009</v>
      </c>
      <c r="C73" s="265">
        <v>352</v>
      </c>
      <c r="D73" s="265">
        <v>264</v>
      </c>
      <c r="E73" s="265">
        <f t="shared" si="1"/>
        <v>616</v>
      </c>
    </row>
    <row r="74" spans="2:5" x14ac:dyDescent="0.2">
      <c r="B74" s="259">
        <v>43040</v>
      </c>
      <c r="C74" s="265">
        <v>561</v>
      </c>
      <c r="D74" s="265">
        <v>386</v>
      </c>
      <c r="E74" s="265">
        <f t="shared" si="1"/>
        <v>947</v>
      </c>
    </row>
    <row r="75" spans="2:5" x14ac:dyDescent="0.2">
      <c r="B75" s="259">
        <v>43070</v>
      </c>
      <c r="C75" s="265">
        <v>660</v>
      </c>
      <c r="D75" s="265">
        <v>615</v>
      </c>
      <c r="E75" s="265">
        <f t="shared" si="1"/>
        <v>1275</v>
      </c>
    </row>
    <row r="76" spans="2:5" x14ac:dyDescent="0.2">
      <c r="B76" s="287">
        <v>2017</v>
      </c>
      <c r="C76" s="288">
        <f>SUM(C64:C75)</f>
        <v>11366</v>
      </c>
      <c r="D76" s="288">
        <f t="shared" ref="D76:E76" si="2">SUM(D64:D75)</f>
        <v>8284</v>
      </c>
      <c r="E76" s="288">
        <f t="shared" si="2"/>
        <v>19650</v>
      </c>
    </row>
    <row r="77" spans="2:5" x14ac:dyDescent="0.2">
      <c r="B77" s="259">
        <v>43101</v>
      </c>
      <c r="C77" s="265">
        <v>777</v>
      </c>
      <c r="D77" s="265">
        <v>678</v>
      </c>
      <c r="E77" s="265">
        <f>C77+D77</f>
        <v>1455</v>
      </c>
    </row>
    <row r="78" spans="2:5" x14ac:dyDescent="0.2">
      <c r="B78" s="259">
        <v>43132</v>
      </c>
      <c r="C78" s="265">
        <v>979</v>
      </c>
      <c r="D78" s="265">
        <v>837</v>
      </c>
      <c r="E78" s="265">
        <f>C78+D78</f>
        <v>1816</v>
      </c>
    </row>
    <row r="79" spans="2:5" x14ac:dyDescent="0.2">
      <c r="B79" s="259">
        <v>43160</v>
      </c>
      <c r="C79" s="265">
        <v>1375</v>
      </c>
      <c r="D79" s="265">
        <v>894</v>
      </c>
      <c r="E79" s="265">
        <f>C79+D79</f>
        <v>2269</v>
      </c>
    </row>
    <row r="80" spans="2:5" x14ac:dyDescent="0.2">
      <c r="B80" s="259">
        <v>43191</v>
      </c>
      <c r="C80" s="265">
        <v>1043</v>
      </c>
      <c r="D80" s="265">
        <v>596</v>
      </c>
      <c r="E80" s="265">
        <f t="shared" ref="E80" si="3">C80+D80</f>
        <v>1639</v>
      </c>
    </row>
    <row r="81" spans="2:5" x14ac:dyDescent="0.2">
      <c r="B81" s="259">
        <v>43221</v>
      </c>
      <c r="C81" s="265">
        <v>760</v>
      </c>
      <c r="D81" s="265">
        <v>451</v>
      </c>
      <c r="E81" s="265">
        <f>C81+D81</f>
        <v>1211</v>
      </c>
    </row>
    <row r="82" spans="2:5" x14ac:dyDescent="0.2">
      <c r="B82" s="259">
        <v>43252</v>
      </c>
      <c r="C82" s="265">
        <v>1059</v>
      </c>
      <c r="D82" s="265">
        <v>680</v>
      </c>
      <c r="E82" s="265">
        <f t="shared" ref="E82:E87" si="4">C82+D82</f>
        <v>1739</v>
      </c>
    </row>
    <row r="83" spans="2:5" x14ac:dyDescent="0.2">
      <c r="B83" s="259">
        <v>43282</v>
      </c>
      <c r="C83" s="265">
        <v>968</v>
      </c>
      <c r="D83" s="265">
        <v>597</v>
      </c>
      <c r="E83" s="265">
        <f t="shared" si="4"/>
        <v>1565</v>
      </c>
    </row>
    <row r="84" spans="2:5" x14ac:dyDescent="0.2">
      <c r="B84" s="259">
        <v>43313</v>
      </c>
      <c r="C84" s="265">
        <v>1231</v>
      </c>
      <c r="D84" s="265">
        <v>879</v>
      </c>
      <c r="E84" s="265">
        <f t="shared" si="4"/>
        <v>2110</v>
      </c>
    </row>
    <row r="85" spans="2:5" x14ac:dyDescent="0.2">
      <c r="B85" s="259">
        <v>43344</v>
      </c>
      <c r="C85" s="265">
        <v>1614</v>
      </c>
      <c r="D85" s="265">
        <v>1116</v>
      </c>
      <c r="E85" s="265">
        <f t="shared" si="4"/>
        <v>2730</v>
      </c>
    </row>
    <row r="86" spans="2:5" x14ac:dyDescent="0.2">
      <c r="B86" s="259">
        <v>43374</v>
      </c>
      <c r="C86" s="265">
        <v>1026</v>
      </c>
      <c r="D86" s="265">
        <v>810</v>
      </c>
      <c r="E86" s="265">
        <f t="shared" si="4"/>
        <v>1836</v>
      </c>
    </row>
    <row r="87" spans="2:5" x14ac:dyDescent="0.2">
      <c r="B87" s="259">
        <v>43405</v>
      </c>
      <c r="C87" s="265">
        <v>655</v>
      </c>
      <c r="D87" s="265">
        <v>330</v>
      </c>
      <c r="E87" s="265">
        <f t="shared" si="4"/>
        <v>985</v>
      </c>
    </row>
    <row r="88" spans="2:5" x14ac:dyDescent="0.2">
      <c r="B88" s="287" t="s">
        <v>638</v>
      </c>
      <c r="C88" s="288">
        <f>SUM(C77:C87)</f>
        <v>11487</v>
      </c>
      <c r="D88" s="288">
        <f>SUM(D77:D87)</f>
        <v>7868</v>
      </c>
      <c r="E88" s="288">
        <f>SUM(E77:E87)</f>
        <v>19355</v>
      </c>
    </row>
    <row r="89" spans="2:5" x14ac:dyDescent="0.2">
      <c r="B89" s="497" t="s">
        <v>43</v>
      </c>
      <c r="C89" s="497"/>
      <c r="D89" s="497"/>
      <c r="E89" s="289">
        <f>E10+E11+E24+E37+E50+E63+E76+E88</f>
        <v>300465</v>
      </c>
    </row>
    <row r="90" spans="2:5" ht="54" customHeight="1" x14ac:dyDescent="0.2">
      <c r="B90" s="427" t="s">
        <v>566</v>
      </c>
      <c r="C90" s="427"/>
      <c r="D90" s="427"/>
      <c r="E90" s="427"/>
    </row>
  </sheetData>
  <mergeCells count="12">
    <mergeCell ref="B90:E90"/>
    <mergeCell ref="B5:E5"/>
    <mergeCell ref="B6:E6"/>
    <mergeCell ref="B8:B9"/>
    <mergeCell ref="C8:E8"/>
    <mergeCell ref="B10:D10"/>
    <mergeCell ref="B11:D11"/>
    <mergeCell ref="B24:D24"/>
    <mergeCell ref="B37:D37"/>
    <mergeCell ref="B50:D50"/>
    <mergeCell ref="B63:D63"/>
    <mergeCell ref="B89:D89"/>
  </mergeCells>
  <hyperlinks>
    <hyperlink ref="G5" location="'Índice STJ'!A1" display="'Índice STJ'!A1" xr:uid="{00000000-0004-0000-1E00-000000000000}"/>
  </hyperlinks>
  <pageMargins left="0.7" right="0.7" top="0.75" bottom="0.75" header="0.3" footer="0.3"/>
  <ignoredErrors>
    <ignoredError sqref="E24" formulaRange="1"/>
    <ignoredError sqref="E63 E76" formula="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N90"/>
  <sheetViews>
    <sheetView showGridLines="0" zoomScaleNormal="100" workbookViewId="0">
      <selection activeCell="B7" sqref="B7"/>
    </sheetView>
  </sheetViews>
  <sheetFormatPr baseColWidth="10" defaultColWidth="11.42578125" defaultRowHeight="12" x14ac:dyDescent="0.2"/>
  <cols>
    <col min="1" max="1" width="6" style="167" customWidth="1"/>
    <col min="2" max="16384" width="11.42578125" style="167"/>
  </cols>
  <sheetData>
    <row r="2" spans="1:14" x14ac:dyDescent="0.2">
      <c r="A2" s="196" t="s">
        <v>121</v>
      </c>
    </row>
    <row r="3" spans="1:14" x14ac:dyDescent="0.2">
      <c r="A3" s="196" t="s">
        <v>122</v>
      </c>
    </row>
    <row r="5" spans="1:14" ht="12.75" x14ac:dyDescent="0.2">
      <c r="B5" s="418" t="s">
        <v>567</v>
      </c>
      <c r="C5" s="418"/>
      <c r="D5" s="418"/>
      <c r="E5" s="418"/>
      <c r="F5" s="418"/>
      <c r="G5" s="418"/>
      <c r="H5" s="418"/>
      <c r="I5" s="418"/>
      <c r="J5" s="418"/>
      <c r="K5" s="418"/>
      <c r="L5" s="418"/>
      <c r="N5" s="358" t="s">
        <v>596</v>
      </c>
    </row>
    <row r="6" spans="1:14" ht="12.75" x14ac:dyDescent="0.2">
      <c r="B6" s="418" t="s">
        <v>646</v>
      </c>
      <c r="C6" s="418"/>
      <c r="D6" s="418"/>
      <c r="E6" s="418"/>
      <c r="F6" s="418"/>
      <c r="G6" s="418"/>
      <c r="H6" s="418"/>
      <c r="I6" s="418"/>
      <c r="J6" s="418"/>
      <c r="K6" s="418"/>
      <c r="L6" s="418"/>
    </row>
    <row r="8" spans="1:14" ht="29.25" customHeight="1" x14ac:dyDescent="0.2">
      <c r="B8" s="498" t="s">
        <v>1</v>
      </c>
      <c r="C8" s="486" t="s">
        <v>568</v>
      </c>
      <c r="D8" s="480"/>
      <c r="E8" s="480"/>
      <c r="F8" s="480"/>
      <c r="G8" s="480"/>
      <c r="H8" s="480"/>
      <c r="I8" s="480"/>
      <c r="J8" s="480"/>
      <c r="K8" s="480"/>
      <c r="L8" s="481"/>
    </row>
    <row r="9" spans="1:14" x14ac:dyDescent="0.2">
      <c r="B9" s="499"/>
      <c r="C9" s="477" t="s">
        <v>554</v>
      </c>
      <c r="D9" s="477"/>
      <c r="E9" s="477"/>
      <c r="F9" s="463" t="s">
        <v>555</v>
      </c>
      <c r="G9" s="463"/>
      <c r="H9" s="463"/>
      <c r="I9" s="463" t="s">
        <v>556</v>
      </c>
      <c r="J9" s="463"/>
      <c r="K9" s="463"/>
      <c r="L9" s="477" t="s">
        <v>43</v>
      </c>
    </row>
    <row r="10" spans="1:14" x14ac:dyDescent="0.2">
      <c r="B10" s="500"/>
      <c r="C10" s="374" t="s">
        <v>548</v>
      </c>
      <c r="D10" s="374" t="s">
        <v>549</v>
      </c>
      <c r="E10" s="373" t="s">
        <v>507</v>
      </c>
      <c r="F10" s="374" t="s">
        <v>548</v>
      </c>
      <c r="G10" s="374" t="s">
        <v>549</v>
      </c>
      <c r="H10" s="373" t="s">
        <v>507</v>
      </c>
      <c r="I10" s="374" t="s">
        <v>548</v>
      </c>
      <c r="J10" s="374" t="s">
        <v>549</v>
      </c>
      <c r="K10" s="373" t="s">
        <v>507</v>
      </c>
      <c r="L10" s="477"/>
    </row>
    <row r="11" spans="1:14" x14ac:dyDescent="0.2">
      <c r="B11" s="274" t="s">
        <v>565</v>
      </c>
      <c r="C11" s="274"/>
      <c r="D11" s="274"/>
      <c r="E11" s="290">
        <f>104069+4050+2362+2539+4084+2107</f>
        <v>119211</v>
      </c>
      <c r="F11" s="291"/>
      <c r="G11" s="292"/>
      <c r="H11" s="290">
        <f>1303+54+38+22+19+21</f>
        <v>1457</v>
      </c>
      <c r="I11" s="293"/>
      <c r="J11" s="292"/>
      <c r="K11" s="294">
        <f>6+498+437+328+454+259</f>
        <v>1982</v>
      </c>
      <c r="L11" s="295">
        <f t="shared" ref="L11:L24" si="0">E11+H11+K11</f>
        <v>122650</v>
      </c>
    </row>
    <row r="12" spans="1:14" x14ac:dyDescent="0.2">
      <c r="B12" s="296">
        <v>2012</v>
      </c>
      <c r="C12" s="274"/>
      <c r="D12" s="274"/>
      <c r="E12" s="290">
        <v>24495</v>
      </c>
      <c r="F12" s="291"/>
      <c r="G12" s="292"/>
      <c r="H12" s="290">
        <v>248</v>
      </c>
      <c r="I12" s="293"/>
      <c r="J12" s="292"/>
      <c r="K12" s="294">
        <v>7862</v>
      </c>
      <c r="L12" s="295">
        <f t="shared" si="0"/>
        <v>32605</v>
      </c>
    </row>
    <row r="13" spans="1:14" x14ac:dyDescent="0.2">
      <c r="B13" s="259">
        <v>41275</v>
      </c>
      <c r="C13" s="259"/>
      <c r="D13" s="259"/>
      <c r="E13" s="263">
        <v>1593</v>
      </c>
      <c r="F13" s="297"/>
      <c r="G13" s="265"/>
      <c r="H13" s="263">
        <v>15</v>
      </c>
      <c r="I13" s="298"/>
      <c r="J13" s="265"/>
      <c r="K13" s="299">
        <v>924</v>
      </c>
      <c r="L13" s="264">
        <f t="shared" si="0"/>
        <v>2532</v>
      </c>
    </row>
    <row r="14" spans="1:14" x14ac:dyDescent="0.2">
      <c r="B14" s="259">
        <v>41306</v>
      </c>
      <c r="C14" s="259"/>
      <c r="D14" s="259"/>
      <c r="E14" s="263">
        <v>1468</v>
      </c>
      <c r="F14" s="297"/>
      <c r="G14" s="265"/>
      <c r="H14" s="263">
        <v>22</v>
      </c>
      <c r="I14" s="298"/>
      <c r="J14" s="265"/>
      <c r="K14" s="299">
        <v>949</v>
      </c>
      <c r="L14" s="264">
        <f t="shared" si="0"/>
        <v>2439</v>
      </c>
    </row>
    <row r="15" spans="1:14" x14ac:dyDescent="0.2">
      <c r="B15" s="259">
        <v>41334</v>
      </c>
      <c r="C15" s="259"/>
      <c r="D15" s="259"/>
      <c r="E15" s="263">
        <v>1784</v>
      </c>
      <c r="F15" s="297"/>
      <c r="G15" s="265"/>
      <c r="H15" s="263">
        <v>16</v>
      </c>
      <c r="I15" s="298"/>
      <c r="J15" s="265"/>
      <c r="K15" s="299">
        <v>631</v>
      </c>
      <c r="L15" s="264">
        <f t="shared" si="0"/>
        <v>2431</v>
      </c>
    </row>
    <row r="16" spans="1:14" x14ac:dyDescent="0.2">
      <c r="B16" s="259">
        <v>41365</v>
      </c>
      <c r="C16" s="259"/>
      <c r="D16" s="259"/>
      <c r="E16" s="300">
        <v>1305</v>
      </c>
      <c r="F16" s="301"/>
      <c r="G16" s="12"/>
      <c r="H16" s="302">
        <v>44</v>
      </c>
      <c r="I16" s="303"/>
      <c r="J16" s="304"/>
      <c r="K16" s="305">
        <v>502</v>
      </c>
      <c r="L16" s="264">
        <f t="shared" si="0"/>
        <v>1851</v>
      </c>
    </row>
    <row r="17" spans="2:12" x14ac:dyDescent="0.2">
      <c r="B17" s="259">
        <v>41395</v>
      </c>
      <c r="C17" s="259"/>
      <c r="D17" s="259"/>
      <c r="E17" s="300">
        <v>1777</v>
      </c>
      <c r="F17" s="301"/>
      <c r="G17" s="12"/>
      <c r="H17" s="302">
        <v>10</v>
      </c>
      <c r="I17" s="303"/>
      <c r="J17" s="304"/>
      <c r="K17" s="305">
        <v>582</v>
      </c>
      <c r="L17" s="264">
        <f t="shared" si="0"/>
        <v>2369</v>
      </c>
    </row>
    <row r="18" spans="2:12" x14ac:dyDescent="0.2">
      <c r="B18" s="259">
        <v>41426</v>
      </c>
      <c r="C18" s="259"/>
      <c r="D18" s="259"/>
      <c r="E18" s="300">
        <v>1540</v>
      </c>
      <c r="F18" s="301"/>
      <c r="G18" s="12"/>
      <c r="H18" s="302">
        <v>16</v>
      </c>
      <c r="I18" s="303"/>
      <c r="J18" s="304"/>
      <c r="K18" s="305">
        <v>725</v>
      </c>
      <c r="L18" s="264">
        <f t="shared" si="0"/>
        <v>2281</v>
      </c>
    </row>
    <row r="19" spans="2:12" x14ac:dyDescent="0.2">
      <c r="B19" s="259">
        <v>41456</v>
      </c>
      <c r="C19" s="259"/>
      <c r="D19" s="259"/>
      <c r="E19" s="300">
        <v>1026</v>
      </c>
      <c r="F19" s="301"/>
      <c r="G19" s="12"/>
      <c r="H19" s="302">
        <v>10</v>
      </c>
      <c r="I19" s="303"/>
      <c r="J19" s="304"/>
      <c r="K19" s="305">
        <v>1261</v>
      </c>
      <c r="L19" s="264">
        <f t="shared" si="0"/>
        <v>2297</v>
      </c>
    </row>
    <row r="20" spans="2:12" x14ac:dyDescent="0.2">
      <c r="B20" s="259">
        <v>41487</v>
      </c>
      <c r="C20" s="259"/>
      <c r="D20" s="259"/>
      <c r="E20" s="300">
        <v>610</v>
      </c>
      <c r="F20" s="301"/>
      <c r="G20" s="12"/>
      <c r="H20" s="302">
        <v>14</v>
      </c>
      <c r="I20" s="303"/>
      <c r="J20" s="304"/>
      <c r="K20" s="305">
        <v>854</v>
      </c>
      <c r="L20" s="264">
        <f t="shared" si="0"/>
        <v>1478</v>
      </c>
    </row>
    <row r="21" spans="2:12" x14ac:dyDescent="0.2">
      <c r="B21" s="259">
        <v>41518</v>
      </c>
      <c r="C21" s="259"/>
      <c r="D21" s="259"/>
      <c r="E21" s="300">
        <v>816</v>
      </c>
      <c r="F21" s="301"/>
      <c r="G21" s="12"/>
      <c r="H21" s="302">
        <v>1</v>
      </c>
      <c r="I21" s="303"/>
      <c r="J21" s="304"/>
      <c r="K21" s="305">
        <v>493</v>
      </c>
      <c r="L21" s="264">
        <f t="shared" si="0"/>
        <v>1310</v>
      </c>
    </row>
    <row r="22" spans="2:12" x14ac:dyDescent="0.2">
      <c r="B22" s="259">
        <v>41548</v>
      </c>
      <c r="C22" s="259"/>
      <c r="D22" s="259"/>
      <c r="E22" s="300">
        <v>485</v>
      </c>
      <c r="F22" s="301"/>
      <c r="G22" s="12"/>
      <c r="H22" s="302">
        <v>2</v>
      </c>
      <c r="I22" s="303"/>
      <c r="J22" s="304"/>
      <c r="K22" s="305">
        <v>654</v>
      </c>
      <c r="L22" s="264">
        <f t="shared" si="0"/>
        <v>1141</v>
      </c>
    </row>
    <row r="23" spans="2:12" x14ac:dyDescent="0.2">
      <c r="B23" s="259">
        <v>41579</v>
      </c>
      <c r="C23" s="259"/>
      <c r="D23" s="259"/>
      <c r="E23" s="300">
        <v>480</v>
      </c>
      <c r="F23" s="301"/>
      <c r="G23" s="12"/>
      <c r="H23" s="302">
        <v>2</v>
      </c>
      <c r="I23" s="303"/>
      <c r="J23" s="304"/>
      <c r="K23" s="305">
        <v>443</v>
      </c>
      <c r="L23" s="264">
        <f t="shared" si="0"/>
        <v>925</v>
      </c>
    </row>
    <row r="24" spans="2:12" x14ac:dyDescent="0.2">
      <c r="B24" s="259">
        <v>41609</v>
      </c>
      <c r="C24" s="259"/>
      <c r="D24" s="259"/>
      <c r="E24" s="300">
        <v>1157</v>
      </c>
      <c r="F24" s="301"/>
      <c r="G24" s="12"/>
      <c r="H24" s="302">
        <v>6</v>
      </c>
      <c r="I24" s="303"/>
      <c r="J24" s="304"/>
      <c r="K24" s="305">
        <v>1108</v>
      </c>
      <c r="L24" s="264">
        <f t="shared" si="0"/>
        <v>2271</v>
      </c>
    </row>
    <row r="25" spans="2:12" x14ac:dyDescent="0.2">
      <c r="B25" s="296">
        <v>2013</v>
      </c>
      <c r="C25" s="274"/>
      <c r="D25" s="274"/>
      <c r="E25" s="306">
        <f>SUM(E13:E24)</f>
        <v>14041</v>
      </c>
      <c r="F25" s="307"/>
      <c r="G25" s="308"/>
      <c r="H25" s="306">
        <f t="shared" ref="H25:L25" si="1">SUM(H13:H24)</f>
        <v>158</v>
      </c>
      <c r="I25" s="309"/>
      <c r="J25" s="308"/>
      <c r="K25" s="310">
        <f t="shared" si="1"/>
        <v>9126</v>
      </c>
      <c r="L25" s="311">
        <f t="shared" si="1"/>
        <v>23325</v>
      </c>
    </row>
    <row r="26" spans="2:12" x14ac:dyDescent="0.2">
      <c r="B26" s="259">
        <v>41640</v>
      </c>
      <c r="C26" s="259"/>
      <c r="D26" s="259"/>
      <c r="E26" s="300">
        <v>1358</v>
      </c>
      <c r="F26" s="301"/>
      <c r="G26" s="12"/>
      <c r="H26" s="312">
        <v>5</v>
      </c>
      <c r="I26" s="313"/>
      <c r="J26" s="13"/>
      <c r="K26" s="305">
        <v>1261</v>
      </c>
      <c r="L26" s="264">
        <f t="shared" ref="L26:L32" si="2">E26+H26+K26</f>
        <v>2624</v>
      </c>
    </row>
    <row r="27" spans="2:12" x14ac:dyDescent="0.2">
      <c r="B27" s="259">
        <v>41671</v>
      </c>
      <c r="C27" s="259"/>
      <c r="D27" s="259"/>
      <c r="E27" s="300">
        <v>746</v>
      </c>
      <c r="F27" s="301"/>
      <c r="G27" s="12"/>
      <c r="H27" s="312">
        <v>4</v>
      </c>
      <c r="I27" s="313"/>
      <c r="J27" s="13"/>
      <c r="K27" s="305">
        <v>848</v>
      </c>
      <c r="L27" s="264">
        <f t="shared" si="2"/>
        <v>1598</v>
      </c>
    </row>
    <row r="28" spans="2:12" x14ac:dyDescent="0.2">
      <c r="B28" s="314">
        <v>41699</v>
      </c>
      <c r="C28" s="314"/>
      <c r="D28" s="314"/>
      <c r="E28" s="300">
        <v>1052</v>
      </c>
      <c r="F28" s="301"/>
      <c r="G28" s="12"/>
      <c r="H28" s="312">
        <v>10</v>
      </c>
      <c r="I28" s="313"/>
      <c r="J28" s="13"/>
      <c r="K28" s="305">
        <v>852</v>
      </c>
      <c r="L28" s="264">
        <f t="shared" si="2"/>
        <v>1914</v>
      </c>
    </row>
    <row r="29" spans="2:12" x14ac:dyDescent="0.2">
      <c r="B29" s="314">
        <v>41730</v>
      </c>
      <c r="C29" s="314"/>
      <c r="D29" s="314"/>
      <c r="E29" s="300">
        <v>549</v>
      </c>
      <c r="F29" s="301"/>
      <c r="G29" s="12"/>
      <c r="H29" s="312">
        <v>4</v>
      </c>
      <c r="I29" s="313"/>
      <c r="J29" s="13"/>
      <c r="K29" s="305">
        <v>512</v>
      </c>
      <c r="L29" s="264">
        <f t="shared" si="2"/>
        <v>1065</v>
      </c>
    </row>
    <row r="30" spans="2:12" x14ac:dyDescent="0.2">
      <c r="B30" s="314">
        <v>41760</v>
      </c>
      <c r="C30" s="314"/>
      <c r="D30" s="314"/>
      <c r="E30" s="300">
        <v>773</v>
      </c>
      <c r="F30" s="301"/>
      <c r="G30" s="12"/>
      <c r="H30" s="312">
        <v>9</v>
      </c>
      <c r="I30" s="313"/>
      <c r="J30" s="13"/>
      <c r="K30" s="305">
        <v>1137</v>
      </c>
      <c r="L30" s="264">
        <f t="shared" si="2"/>
        <v>1919</v>
      </c>
    </row>
    <row r="31" spans="2:12" x14ac:dyDescent="0.2">
      <c r="B31" s="314">
        <v>41791</v>
      </c>
      <c r="C31" s="314"/>
      <c r="D31" s="314"/>
      <c r="E31" s="300">
        <v>660</v>
      </c>
      <c r="F31" s="301"/>
      <c r="G31" s="12"/>
      <c r="H31" s="312">
        <v>15</v>
      </c>
      <c r="I31" s="313"/>
      <c r="J31" s="13"/>
      <c r="K31" s="305">
        <v>905</v>
      </c>
      <c r="L31" s="264">
        <f t="shared" si="2"/>
        <v>1580</v>
      </c>
    </row>
    <row r="32" spans="2:12" x14ac:dyDescent="0.2">
      <c r="B32" s="314">
        <v>41821</v>
      </c>
      <c r="C32" s="314"/>
      <c r="D32" s="314"/>
      <c r="E32" s="300">
        <v>881</v>
      </c>
      <c r="F32" s="301"/>
      <c r="G32" s="12"/>
      <c r="H32" s="312">
        <v>15</v>
      </c>
      <c r="I32" s="313"/>
      <c r="J32" s="13"/>
      <c r="K32" s="305">
        <v>646</v>
      </c>
      <c r="L32" s="264">
        <f t="shared" si="2"/>
        <v>1542</v>
      </c>
    </row>
    <row r="33" spans="2:12" x14ac:dyDescent="0.2">
      <c r="B33" s="259">
        <v>41852</v>
      </c>
      <c r="C33" s="259"/>
      <c r="D33" s="259"/>
      <c r="E33" s="300">
        <v>825</v>
      </c>
      <c r="F33" s="301"/>
      <c r="G33" s="12"/>
      <c r="H33" s="312">
        <v>28</v>
      </c>
      <c r="I33" s="313"/>
      <c r="J33" s="13"/>
      <c r="K33" s="305">
        <v>753</v>
      </c>
      <c r="L33" s="264">
        <f>E33+H33+K33</f>
        <v>1606</v>
      </c>
    </row>
    <row r="34" spans="2:12" x14ac:dyDescent="0.2">
      <c r="B34" s="259">
        <v>41883</v>
      </c>
      <c r="C34" s="259"/>
      <c r="D34" s="259"/>
      <c r="E34" s="312">
        <v>1489</v>
      </c>
      <c r="F34" s="315"/>
      <c r="G34" s="13"/>
      <c r="H34" s="312">
        <v>41</v>
      </c>
      <c r="I34" s="313"/>
      <c r="J34" s="13"/>
      <c r="K34" s="305">
        <v>1146</v>
      </c>
      <c r="L34" s="14">
        <f>E34+H34+K34</f>
        <v>2676</v>
      </c>
    </row>
    <row r="35" spans="2:12" x14ac:dyDescent="0.2">
      <c r="B35" s="281">
        <v>41913</v>
      </c>
      <c r="C35" s="281"/>
      <c r="D35" s="281"/>
      <c r="E35" s="312">
        <v>1667</v>
      </c>
      <c r="F35" s="315"/>
      <c r="G35" s="13"/>
      <c r="H35" s="312">
        <v>132</v>
      </c>
      <c r="I35" s="313"/>
      <c r="J35" s="13"/>
      <c r="K35" s="305">
        <v>827</v>
      </c>
      <c r="L35" s="14">
        <f>E35+H35+K35</f>
        <v>2626</v>
      </c>
    </row>
    <row r="36" spans="2:12" x14ac:dyDescent="0.2">
      <c r="B36" s="281">
        <v>41944</v>
      </c>
      <c r="C36" s="281"/>
      <c r="D36" s="281"/>
      <c r="E36" s="312">
        <v>1332</v>
      </c>
      <c r="F36" s="315"/>
      <c r="G36" s="13"/>
      <c r="H36" s="312">
        <v>22</v>
      </c>
      <c r="I36" s="313"/>
      <c r="J36" s="13"/>
      <c r="K36" s="305">
        <v>1068</v>
      </c>
      <c r="L36" s="14">
        <f>E36+H36+K36</f>
        <v>2422</v>
      </c>
    </row>
    <row r="37" spans="2:12" x14ac:dyDescent="0.2">
      <c r="B37" s="281">
        <v>41974</v>
      </c>
      <c r="C37" s="281"/>
      <c r="D37" s="281"/>
      <c r="E37" s="312">
        <v>500</v>
      </c>
      <c r="F37" s="315"/>
      <c r="G37" s="13"/>
      <c r="H37" s="312">
        <v>14</v>
      </c>
      <c r="I37" s="313"/>
      <c r="J37" s="13"/>
      <c r="K37" s="305">
        <v>835</v>
      </c>
      <c r="L37" s="14">
        <f>E37+H37+K37</f>
        <v>1349</v>
      </c>
    </row>
    <row r="38" spans="2:12" x14ac:dyDescent="0.2">
      <c r="B38" s="296">
        <v>2014</v>
      </c>
      <c r="C38" s="274"/>
      <c r="D38" s="274"/>
      <c r="E38" s="316">
        <f>SUM(E26:E37)</f>
        <v>11832</v>
      </c>
      <c r="F38" s="317"/>
      <c r="G38" s="69"/>
      <c r="H38" s="316">
        <f t="shared" ref="H38:L38" si="3">SUM(H26:H37)</f>
        <v>299</v>
      </c>
      <c r="I38" s="318"/>
      <c r="J38" s="69"/>
      <c r="K38" s="319">
        <f t="shared" si="3"/>
        <v>10790</v>
      </c>
      <c r="L38" s="68">
        <f t="shared" si="3"/>
        <v>22921</v>
      </c>
    </row>
    <row r="39" spans="2:12" x14ac:dyDescent="0.2">
      <c r="B39" s="281">
        <v>42005</v>
      </c>
      <c r="C39" s="281"/>
      <c r="D39" s="281"/>
      <c r="E39" s="312">
        <v>38</v>
      </c>
      <c r="F39" s="315"/>
      <c r="G39" s="13"/>
      <c r="H39" s="312">
        <v>896</v>
      </c>
      <c r="I39" s="313"/>
      <c r="J39" s="13"/>
      <c r="K39" s="305">
        <v>1448</v>
      </c>
      <c r="L39" s="14">
        <f t="shared" ref="L39:L50" si="4">E39+H39+K39</f>
        <v>2382</v>
      </c>
    </row>
    <row r="40" spans="2:12" x14ac:dyDescent="0.2">
      <c r="B40" s="281">
        <v>42036</v>
      </c>
      <c r="C40" s="281"/>
      <c r="D40" s="281"/>
      <c r="E40" s="312">
        <v>1411</v>
      </c>
      <c r="F40" s="315"/>
      <c r="G40" s="13"/>
      <c r="H40" s="312">
        <v>90</v>
      </c>
      <c r="I40" s="313"/>
      <c r="J40" s="13"/>
      <c r="K40" s="305">
        <v>2461</v>
      </c>
      <c r="L40" s="14">
        <f t="shared" si="4"/>
        <v>3962</v>
      </c>
    </row>
    <row r="41" spans="2:12" x14ac:dyDescent="0.2">
      <c r="B41" s="281">
        <v>42064</v>
      </c>
      <c r="C41" s="281"/>
      <c r="D41" s="281"/>
      <c r="E41" s="312">
        <v>1147</v>
      </c>
      <c r="F41" s="315"/>
      <c r="G41" s="13"/>
      <c r="H41" s="312">
        <v>78</v>
      </c>
      <c r="I41" s="313"/>
      <c r="J41" s="13"/>
      <c r="K41" s="305">
        <v>1427</v>
      </c>
      <c r="L41" s="14">
        <f t="shared" si="4"/>
        <v>2652</v>
      </c>
    </row>
    <row r="42" spans="2:12" x14ac:dyDescent="0.2">
      <c r="B42" s="281">
        <v>42095</v>
      </c>
      <c r="C42" s="281"/>
      <c r="D42" s="281"/>
      <c r="E42" s="312">
        <v>1650</v>
      </c>
      <c r="F42" s="315"/>
      <c r="G42" s="13"/>
      <c r="H42" s="312">
        <v>172</v>
      </c>
      <c r="I42" s="313"/>
      <c r="J42" s="13"/>
      <c r="K42" s="305">
        <v>1480</v>
      </c>
      <c r="L42" s="14">
        <f t="shared" si="4"/>
        <v>3302</v>
      </c>
    </row>
    <row r="43" spans="2:12" x14ac:dyDescent="0.2">
      <c r="B43" s="281">
        <v>42125</v>
      </c>
      <c r="C43" s="281"/>
      <c r="D43" s="281"/>
      <c r="E43" s="312">
        <v>1272</v>
      </c>
      <c r="F43" s="315"/>
      <c r="G43" s="13"/>
      <c r="H43" s="312">
        <v>123</v>
      </c>
      <c r="I43" s="313"/>
      <c r="J43" s="13"/>
      <c r="K43" s="305">
        <v>169</v>
      </c>
      <c r="L43" s="14">
        <f t="shared" si="4"/>
        <v>1564</v>
      </c>
    </row>
    <row r="44" spans="2:12" x14ac:dyDescent="0.2">
      <c r="B44" s="281">
        <v>42156</v>
      </c>
      <c r="C44" s="281"/>
      <c r="D44" s="281"/>
      <c r="E44" s="312">
        <v>1877</v>
      </c>
      <c r="F44" s="315"/>
      <c r="G44" s="13"/>
      <c r="H44" s="312">
        <v>135</v>
      </c>
      <c r="I44" s="313"/>
      <c r="J44" s="13"/>
      <c r="K44" s="305">
        <v>447</v>
      </c>
      <c r="L44" s="14">
        <f t="shared" si="4"/>
        <v>2459</v>
      </c>
    </row>
    <row r="45" spans="2:12" x14ac:dyDescent="0.2">
      <c r="B45" s="281">
        <v>42186</v>
      </c>
      <c r="C45" s="281"/>
      <c r="D45" s="281"/>
      <c r="E45" s="312">
        <v>1030</v>
      </c>
      <c r="F45" s="315"/>
      <c r="G45" s="13"/>
      <c r="H45" s="312">
        <v>110</v>
      </c>
      <c r="I45" s="313"/>
      <c r="J45" s="13"/>
      <c r="K45" s="305">
        <v>167</v>
      </c>
      <c r="L45" s="14">
        <f t="shared" si="4"/>
        <v>1307</v>
      </c>
    </row>
    <row r="46" spans="2:12" x14ac:dyDescent="0.2">
      <c r="B46" s="281">
        <v>42217</v>
      </c>
      <c r="C46" s="281"/>
      <c r="D46" s="281"/>
      <c r="E46" s="312">
        <v>1674</v>
      </c>
      <c r="F46" s="315"/>
      <c r="G46" s="13"/>
      <c r="H46" s="312">
        <v>113</v>
      </c>
      <c r="I46" s="313"/>
      <c r="J46" s="13"/>
      <c r="K46" s="305">
        <v>218</v>
      </c>
      <c r="L46" s="14">
        <f t="shared" si="4"/>
        <v>2005</v>
      </c>
    </row>
    <row r="47" spans="2:12" x14ac:dyDescent="0.2">
      <c r="B47" s="281">
        <v>42248</v>
      </c>
      <c r="C47" s="281"/>
      <c r="D47" s="281"/>
      <c r="E47" s="312">
        <v>1313</v>
      </c>
      <c r="F47" s="315"/>
      <c r="G47" s="13"/>
      <c r="H47" s="312">
        <v>136</v>
      </c>
      <c r="I47" s="313"/>
      <c r="J47" s="13"/>
      <c r="K47" s="305">
        <v>156</v>
      </c>
      <c r="L47" s="14">
        <f t="shared" si="4"/>
        <v>1605</v>
      </c>
    </row>
    <row r="48" spans="2:12" x14ac:dyDescent="0.2">
      <c r="B48" s="281">
        <v>42278</v>
      </c>
      <c r="C48" s="281"/>
      <c r="D48" s="281"/>
      <c r="E48" s="312">
        <v>5045</v>
      </c>
      <c r="F48" s="315"/>
      <c r="G48" s="13"/>
      <c r="H48" s="312">
        <v>104</v>
      </c>
      <c r="I48" s="313"/>
      <c r="J48" s="13"/>
      <c r="K48" s="305">
        <v>21</v>
      </c>
      <c r="L48" s="14">
        <f t="shared" si="4"/>
        <v>5170</v>
      </c>
    </row>
    <row r="49" spans="2:12" x14ac:dyDescent="0.2">
      <c r="B49" s="281">
        <v>42309</v>
      </c>
      <c r="C49" s="281"/>
      <c r="D49" s="281"/>
      <c r="E49" s="312">
        <v>1924</v>
      </c>
      <c r="F49" s="315"/>
      <c r="G49" s="13"/>
      <c r="H49" s="312">
        <v>764</v>
      </c>
      <c r="I49" s="313"/>
      <c r="J49" s="13"/>
      <c r="K49" s="305">
        <v>49</v>
      </c>
      <c r="L49" s="14">
        <f t="shared" si="4"/>
        <v>2737</v>
      </c>
    </row>
    <row r="50" spans="2:12" x14ac:dyDescent="0.2">
      <c r="B50" s="281">
        <v>42339</v>
      </c>
      <c r="C50" s="281"/>
      <c r="D50" s="281"/>
      <c r="E50" s="312">
        <v>1346</v>
      </c>
      <c r="F50" s="315"/>
      <c r="G50" s="13"/>
      <c r="H50" s="312">
        <v>239</v>
      </c>
      <c r="I50" s="313"/>
      <c r="J50" s="13"/>
      <c r="K50" s="305">
        <v>217</v>
      </c>
      <c r="L50" s="14">
        <f t="shared" si="4"/>
        <v>1802</v>
      </c>
    </row>
    <row r="51" spans="2:12" x14ac:dyDescent="0.2">
      <c r="B51" s="296">
        <v>2015</v>
      </c>
      <c r="C51" s="320"/>
      <c r="D51" s="320"/>
      <c r="E51" s="290">
        <f>SUM(E39:E50)</f>
        <v>19727</v>
      </c>
      <c r="F51" s="291"/>
      <c r="G51" s="292"/>
      <c r="H51" s="290">
        <f t="shared" ref="H51:K51" si="5">SUM(H39:H50)</f>
        <v>2960</v>
      </c>
      <c r="I51" s="293"/>
      <c r="J51" s="292"/>
      <c r="K51" s="294">
        <f t="shared" si="5"/>
        <v>8260</v>
      </c>
      <c r="L51" s="295">
        <f>SUM(L39:L50)</f>
        <v>30947</v>
      </c>
    </row>
    <row r="52" spans="2:12" x14ac:dyDescent="0.2">
      <c r="B52" s="281">
        <v>42370</v>
      </c>
      <c r="C52" s="281"/>
      <c r="D52" s="281"/>
      <c r="E52" s="312">
        <v>3773</v>
      </c>
      <c r="F52" s="315"/>
      <c r="G52" s="13"/>
      <c r="H52" s="312">
        <v>149</v>
      </c>
      <c r="I52" s="313"/>
      <c r="J52" s="13"/>
      <c r="K52" s="305">
        <v>57</v>
      </c>
      <c r="L52" s="14">
        <f t="shared" ref="L52:L76" si="6">E52+H52+K52</f>
        <v>3979</v>
      </c>
    </row>
    <row r="53" spans="2:12" x14ac:dyDescent="0.2">
      <c r="B53" s="281">
        <v>42401</v>
      </c>
      <c r="C53" s="281"/>
      <c r="D53" s="281"/>
      <c r="E53" s="312">
        <v>4253</v>
      </c>
      <c r="F53" s="315"/>
      <c r="G53" s="13"/>
      <c r="H53" s="312">
        <v>113</v>
      </c>
      <c r="I53" s="313"/>
      <c r="J53" s="13"/>
      <c r="K53" s="305">
        <v>0</v>
      </c>
      <c r="L53" s="14">
        <f t="shared" si="6"/>
        <v>4366</v>
      </c>
    </row>
    <row r="54" spans="2:12" x14ac:dyDescent="0.2">
      <c r="B54" s="281">
        <v>42430</v>
      </c>
      <c r="C54" s="281"/>
      <c r="D54" s="281"/>
      <c r="E54" s="312">
        <v>2016</v>
      </c>
      <c r="F54" s="315"/>
      <c r="G54" s="13"/>
      <c r="H54" s="312">
        <v>25</v>
      </c>
      <c r="I54" s="313"/>
      <c r="J54" s="13"/>
      <c r="K54" s="305">
        <v>15</v>
      </c>
      <c r="L54" s="14">
        <f t="shared" si="6"/>
        <v>2056</v>
      </c>
    </row>
    <row r="55" spans="2:12" x14ac:dyDescent="0.2">
      <c r="B55" s="281">
        <v>42461</v>
      </c>
      <c r="C55" s="281"/>
      <c r="D55" s="281"/>
      <c r="E55" s="312">
        <v>2405</v>
      </c>
      <c r="F55" s="315"/>
      <c r="G55" s="13"/>
      <c r="H55" s="312">
        <v>33</v>
      </c>
      <c r="I55" s="313"/>
      <c r="J55" s="13"/>
      <c r="K55" s="305">
        <v>16</v>
      </c>
      <c r="L55" s="14">
        <f t="shared" si="6"/>
        <v>2454</v>
      </c>
    </row>
    <row r="56" spans="2:12" x14ac:dyDescent="0.2">
      <c r="B56" s="281">
        <v>42491</v>
      </c>
      <c r="C56" s="13">
        <v>996</v>
      </c>
      <c r="D56" s="13">
        <v>817</v>
      </c>
      <c r="E56" s="305">
        <f t="shared" ref="E56:E76" si="7">C56+D56</f>
        <v>1813</v>
      </c>
      <c r="F56" s="315">
        <v>17</v>
      </c>
      <c r="G56" s="13">
        <v>17</v>
      </c>
      <c r="H56" s="312">
        <f t="shared" ref="H56:H76" si="8">F56+G56</f>
        <v>34</v>
      </c>
      <c r="I56" s="313">
        <v>8</v>
      </c>
      <c r="J56" s="13">
        <v>0</v>
      </c>
      <c r="K56" s="305">
        <f t="shared" ref="K56:K76" si="9">I56+J56</f>
        <v>8</v>
      </c>
      <c r="L56" s="14">
        <f t="shared" si="6"/>
        <v>1855</v>
      </c>
    </row>
    <row r="57" spans="2:12" x14ac:dyDescent="0.2">
      <c r="B57" s="281">
        <v>42522</v>
      </c>
      <c r="C57" s="13">
        <v>957</v>
      </c>
      <c r="D57" s="13">
        <v>898</v>
      </c>
      <c r="E57" s="305">
        <f t="shared" si="7"/>
        <v>1855</v>
      </c>
      <c r="F57" s="315">
        <v>15</v>
      </c>
      <c r="G57" s="13">
        <v>21</v>
      </c>
      <c r="H57" s="312">
        <f t="shared" si="8"/>
        <v>36</v>
      </c>
      <c r="I57" s="313">
        <v>11</v>
      </c>
      <c r="J57" s="13">
        <v>5</v>
      </c>
      <c r="K57" s="305">
        <f t="shared" si="9"/>
        <v>16</v>
      </c>
      <c r="L57" s="14">
        <f t="shared" si="6"/>
        <v>1907</v>
      </c>
    </row>
    <row r="58" spans="2:12" x14ac:dyDescent="0.2">
      <c r="B58" s="281">
        <v>42552</v>
      </c>
      <c r="C58" s="13">
        <v>977</v>
      </c>
      <c r="D58" s="13">
        <v>835</v>
      </c>
      <c r="E58" s="305">
        <f t="shared" si="7"/>
        <v>1812</v>
      </c>
      <c r="F58" s="315">
        <v>24</v>
      </c>
      <c r="G58" s="13">
        <v>24</v>
      </c>
      <c r="H58" s="312">
        <f t="shared" si="8"/>
        <v>48</v>
      </c>
      <c r="I58" s="313">
        <v>10</v>
      </c>
      <c r="J58" s="13">
        <v>13</v>
      </c>
      <c r="K58" s="305">
        <f t="shared" si="9"/>
        <v>23</v>
      </c>
      <c r="L58" s="14">
        <f t="shared" si="6"/>
        <v>1883</v>
      </c>
    </row>
    <row r="59" spans="2:12" x14ac:dyDescent="0.2">
      <c r="B59" s="281">
        <v>42583</v>
      </c>
      <c r="C59" s="13">
        <v>2266</v>
      </c>
      <c r="D59" s="13">
        <v>1640</v>
      </c>
      <c r="E59" s="305">
        <f t="shared" si="7"/>
        <v>3906</v>
      </c>
      <c r="F59" s="315">
        <v>90</v>
      </c>
      <c r="G59" s="13">
        <v>73</v>
      </c>
      <c r="H59" s="312">
        <f t="shared" si="8"/>
        <v>163</v>
      </c>
      <c r="I59" s="313">
        <v>19</v>
      </c>
      <c r="J59" s="13">
        <v>15</v>
      </c>
      <c r="K59" s="305">
        <f t="shared" si="9"/>
        <v>34</v>
      </c>
      <c r="L59" s="14">
        <f t="shared" si="6"/>
        <v>4103</v>
      </c>
    </row>
    <row r="60" spans="2:12" x14ac:dyDescent="0.2">
      <c r="B60" s="281">
        <v>42614</v>
      </c>
      <c r="C60" s="13">
        <v>948</v>
      </c>
      <c r="D60" s="13">
        <v>779</v>
      </c>
      <c r="E60" s="305">
        <f t="shared" si="7"/>
        <v>1727</v>
      </c>
      <c r="F60" s="315">
        <v>42</v>
      </c>
      <c r="G60" s="13">
        <v>41</v>
      </c>
      <c r="H60" s="312">
        <f t="shared" si="8"/>
        <v>83</v>
      </c>
      <c r="I60" s="313">
        <v>3</v>
      </c>
      <c r="J60" s="13">
        <v>0</v>
      </c>
      <c r="K60" s="305">
        <f t="shared" si="9"/>
        <v>3</v>
      </c>
      <c r="L60" s="14">
        <f t="shared" si="6"/>
        <v>1813</v>
      </c>
    </row>
    <row r="61" spans="2:12" x14ac:dyDescent="0.2">
      <c r="B61" s="281">
        <v>42644</v>
      </c>
      <c r="C61" s="13">
        <v>770</v>
      </c>
      <c r="D61" s="13">
        <v>832</v>
      </c>
      <c r="E61" s="305">
        <f t="shared" si="7"/>
        <v>1602</v>
      </c>
      <c r="F61" s="315">
        <v>13</v>
      </c>
      <c r="G61" s="13">
        <v>16</v>
      </c>
      <c r="H61" s="312">
        <f t="shared" si="8"/>
        <v>29</v>
      </c>
      <c r="I61" s="313">
        <v>0</v>
      </c>
      <c r="J61" s="13">
        <v>0</v>
      </c>
      <c r="K61" s="305">
        <f t="shared" si="9"/>
        <v>0</v>
      </c>
      <c r="L61" s="14">
        <f t="shared" si="6"/>
        <v>1631</v>
      </c>
    </row>
    <row r="62" spans="2:12" x14ac:dyDescent="0.2">
      <c r="B62" s="281">
        <v>42675</v>
      </c>
      <c r="C62" s="13">
        <v>484</v>
      </c>
      <c r="D62" s="13">
        <v>317</v>
      </c>
      <c r="E62" s="305">
        <f t="shared" si="7"/>
        <v>801</v>
      </c>
      <c r="F62" s="315">
        <v>12</v>
      </c>
      <c r="G62" s="13">
        <v>9</v>
      </c>
      <c r="H62" s="312">
        <f t="shared" si="8"/>
        <v>21</v>
      </c>
      <c r="I62" s="313">
        <v>0</v>
      </c>
      <c r="J62" s="13">
        <v>0</v>
      </c>
      <c r="K62" s="305">
        <f t="shared" si="9"/>
        <v>0</v>
      </c>
      <c r="L62" s="14">
        <f t="shared" si="6"/>
        <v>822</v>
      </c>
    </row>
    <row r="63" spans="2:12" x14ac:dyDescent="0.2">
      <c r="B63" s="281">
        <v>42705</v>
      </c>
      <c r="C63" s="13">
        <v>1057</v>
      </c>
      <c r="D63" s="13">
        <v>797</v>
      </c>
      <c r="E63" s="305">
        <f t="shared" si="7"/>
        <v>1854</v>
      </c>
      <c r="F63" s="315">
        <v>156</v>
      </c>
      <c r="G63" s="13">
        <v>126</v>
      </c>
      <c r="H63" s="312">
        <f t="shared" si="8"/>
        <v>282</v>
      </c>
      <c r="I63" s="313">
        <v>6</v>
      </c>
      <c r="J63" s="13">
        <v>0</v>
      </c>
      <c r="K63" s="305">
        <f t="shared" si="9"/>
        <v>6</v>
      </c>
      <c r="L63" s="14">
        <f t="shared" si="6"/>
        <v>2142</v>
      </c>
    </row>
    <row r="64" spans="2:12" x14ac:dyDescent="0.2">
      <c r="B64" s="296">
        <v>2016</v>
      </c>
      <c r="C64" s="13"/>
      <c r="D64" s="13"/>
      <c r="E64" s="321">
        <f>SUM(E52:E63)</f>
        <v>27817</v>
      </c>
      <c r="F64" s="322"/>
      <c r="G64" s="70"/>
      <c r="H64" s="321">
        <f>SUM(H52:H63)</f>
        <v>1016</v>
      </c>
      <c r="I64" s="323"/>
      <c r="J64" s="70"/>
      <c r="K64" s="321">
        <f>SUM(K52:K63)</f>
        <v>178</v>
      </c>
      <c r="L64" s="71">
        <f>SUM(L52:L63)</f>
        <v>29011</v>
      </c>
    </row>
    <row r="65" spans="2:12" x14ac:dyDescent="0.2">
      <c r="B65" s="281">
        <v>42736</v>
      </c>
      <c r="C65" s="13">
        <v>1709</v>
      </c>
      <c r="D65" s="13">
        <v>1188</v>
      </c>
      <c r="E65" s="305">
        <f t="shared" si="7"/>
        <v>2897</v>
      </c>
      <c r="F65" s="315">
        <v>87</v>
      </c>
      <c r="G65" s="13">
        <v>62</v>
      </c>
      <c r="H65" s="312">
        <f t="shared" si="8"/>
        <v>149</v>
      </c>
      <c r="I65" s="313">
        <v>21</v>
      </c>
      <c r="J65" s="13">
        <v>22</v>
      </c>
      <c r="K65" s="305">
        <f t="shared" si="9"/>
        <v>43</v>
      </c>
      <c r="L65" s="14">
        <f t="shared" si="6"/>
        <v>3089</v>
      </c>
    </row>
    <row r="66" spans="2:12" x14ac:dyDescent="0.2">
      <c r="B66" s="281">
        <v>42767</v>
      </c>
      <c r="C66" s="13">
        <v>1599</v>
      </c>
      <c r="D66" s="13">
        <v>1237</v>
      </c>
      <c r="E66" s="305">
        <f t="shared" si="7"/>
        <v>2836</v>
      </c>
      <c r="F66" s="315">
        <v>35</v>
      </c>
      <c r="G66" s="13">
        <v>42</v>
      </c>
      <c r="H66" s="312">
        <f t="shared" si="8"/>
        <v>77</v>
      </c>
      <c r="I66" s="313">
        <v>11</v>
      </c>
      <c r="J66" s="13">
        <v>10</v>
      </c>
      <c r="K66" s="305">
        <f t="shared" si="9"/>
        <v>21</v>
      </c>
      <c r="L66" s="14">
        <f t="shared" si="6"/>
        <v>2934</v>
      </c>
    </row>
    <row r="67" spans="2:12" x14ac:dyDescent="0.2">
      <c r="B67" s="281">
        <v>42795</v>
      </c>
      <c r="C67" s="13">
        <v>1281</v>
      </c>
      <c r="D67" s="13">
        <v>949</v>
      </c>
      <c r="E67" s="305">
        <f t="shared" si="7"/>
        <v>2230</v>
      </c>
      <c r="F67" s="315">
        <v>63</v>
      </c>
      <c r="G67" s="13">
        <v>47</v>
      </c>
      <c r="H67" s="305">
        <f t="shared" si="8"/>
        <v>110</v>
      </c>
      <c r="I67" s="313">
        <v>18</v>
      </c>
      <c r="J67" s="13">
        <v>10</v>
      </c>
      <c r="K67" s="305">
        <f t="shared" si="9"/>
        <v>28</v>
      </c>
      <c r="L67" s="14">
        <f t="shared" si="6"/>
        <v>2368</v>
      </c>
    </row>
    <row r="68" spans="2:12" x14ac:dyDescent="0.2">
      <c r="B68" s="281">
        <v>42826</v>
      </c>
      <c r="C68" s="13">
        <v>694</v>
      </c>
      <c r="D68" s="13">
        <v>578</v>
      </c>
      <c r="E68" s="305">
        <f t="shared" si="7"/>
        <v>1272</v>
      </c>
      <c r="F68" s="315">
        <v>16</v>
      </c>
      <c r="G68" s="13">
        <v>19</v>
      </c>
      <c r="H68" s="305">
        <f t="shared" si="8"/>
        <v>35</v>
      </c>
      <c r="I68" s="313">
        <v>8</v>
      </c>
      <c r="J68" s="13">
        <v>7</v>
      </c>
      <c r="K68" s="305">
        <f t="shared" si="9"/>
        <v>15</v>
      </c>
      <c r="L68" s="14">
        <f t="shared" si="6"/>
        <v>1322</v>
      </c>
    </row>
    <row r="69" spans="2:12" x14ac:dyDescent="0.2">
      <c r="B69" s="281">
        <v>42856</v>
      </c>
      <c r="C69" s="13">
        <v>698</v>
      </c>
      <c r="D69" s="13">
        <v>493</v>
      </c>
      <c r="E69" s="305">
        <f t="shared" si="7"/>
        <v>1191</v>
      </c>
      <c r="F69" s="315">
        <v>13</v>
      </c>
      <c r="G69" s="13">
        <v>3</v>
      </c>
      <c r="H69" s="305">
        <f t="shared" si="8"/>
        <v>16</v>
      </c>
      <c r="I69" s="313">
        <v>45</v>
      </c>
      <c r="J69" s="13">
        <v>41</v>
      </c>
      <c r="K69" s="305">
        <f t="shared" si="9"/>
        <v>86</v>
      </c>
      <c r="L69" s="14">
        <f t="shared" si="6"/>
        <v>1293</v>
      </c>
    </row>
    <row r="70" spans="2:12" x14ac:dyDescent="0.2">
      <c r="B70" s="281">
        <v>42887</v>
      </c>
      <c r="C70" s="13">
        <v>891</v>
      </c>
      <c r="D70" s="13">
        <v>581</v>
      </c>
      <c r="E70" s="305">
        <f t="shared" si="7"/>
        <v>1472</v>
      </c>
      <c r="F70" s="315">
        <v>18</v>
      </c>
      <c r="G70" s="13">
        <v>18</v>
      </c>
      <c r="H70" s="305">
        <f t="shared" si="8"/>
        <v>36</v>
      </c>
      <c r="I70" s="313">
        <v>10</v>
      </c>
      <c r="J70" s="13">
        <v>12</v>
      </c>
      <c r="K70" s="305">
        <f t="shared" si="9"/>
        <v>22</v>
      </c>
      <c r="L70" s="14">
        <f t="shared" si="6"/>
        <v>1530</v>
      </c>
    </row>
    <row r="71" spans="2:12" x14ac:dyDescent="0.2">
      <c r="B71" s="281">
        <v>42917</v>
      </c>
      <c r="C71" s="13">
        <v>857</v>
      </c>
      <c r="D71" s="13">
        <v>571</v>
      </c>
      <c r="E71" s="305">
        <f t="shared" si="7"/>
        <v>1428</v>
      </c>
      <c r="F71" s="315">
        <v>15</v>
      </c>
      <c r="G71" s="13">
        <v>14</v>
      </c>
      <c r="H71" s="305">
        <f t="shared" si="8"/>
        <v>29</v>
      </c>
      <c r="I71" s="313">
        <v>84</v>
      </c>
      <c r="J71" s="13">
        <v>54</v>
      </c>
      <c r="K71" s="305">
        <f t="shared" si="9"/>
        <v>138</v>
      </c>
      <c r="L71" s="14">
        <f t="shared" si="6"/>
        <v>1595</v>
      </c>
    </row>
    <row r="72" spans="2:12" x14ac:dyDescent="0.2">
      <c r="B72" s="281">
        <v>42948</v>
      </c>
      <c r="C72" s="13">
        <v>697</v>
      </c>
      <c r="D72" s="13">
        <v>460</v>
      </c>
      <c r="E72" s="305">
        <f t="shared" si="7"/>
        <v>1157</v>
      </c>
      <c r="F72" s="315">
        <v>11</v>
      </c>
      <c r="G72" s="13">
        <v>9</v>
      </c>
      <c r="H72" s="305">
        <f t="shared" si="8"/>
        <v>20</v>
      </c>
      <c r="I72" s="313">
        <v>43</v>
      </c>
      <c r="J72" s="13">
        <v>34</v>
      </c>
      <c r="K72" s="305">
        <f t="shared" si="9"/>
        <v>77</v>
      </c>
      <c r="L72" s="14">
        <f t="shared" si="6"/>
        <v>1254</v>
      </c>
    </row>
    <row r="73" spans="2:12" x14ac:dyDescent="0.2">
      <c r="B73" s="281">
        <v>42979</v>
      </c>
      <c r="C73" s="13">
        <v>850</v>
      </c>
      <c r="D73" s="13">
        <v>547</v>
      </c>
      <c r="E73" s="305">
        <f t="shared" si="7"/>
        <v>1397</v>
      </c>
      <c r="F73" s="315">
        <v>1</v>
      </c>
      <c r="G73" s="13">
        <v>3</v>
      </c>
      <c r="H73" s="305">
        <f t="shared" si="8"/>
        <v>4</v>
      </c>
      <c r="I73" s="313">
        <v>12</v>
      </c>
      <c r="J73" s="13">
        <v>14</v>
      </c>
      <c r="K73" s="305">
        <f t="shared" si="9"/>
        <v>26</v>
      </c>
      <c r="L73" s="14">
        <f t="shared" si="6"/>
        <v>1427</v>
      </c>
    </row>
    <row r="74" spans="2:12" x14ac:dyDescent="0.2">
      <c r="B74" s="281">
        <v>43009</v>
      </c>
      <c r="C74" s="13">
        <v>305</v>
      </c>
      <c r="D74" s="13">
        <v>234</v>
      </c>
      <c r="E74" s="305">
        <f t="shared" si="7"/>
        <v>539</v>
      </c>
      <c r="F74" s="315">
        <v>11</v>
      </c>
      <c r="G74" s="13">
        <v>11</v>
      </c>
      <c r="H74" s="305">
        <f t="shared" si="8"/>
        <v>22</v>
      </c>
      <c r="I74" s="313">
        <v>36</v>
      </c>
      <c r="J74" s="13">
        <v>19</v>
      </c>
      <c r="K74" s="305">
        <f t="shared" si="9"/>
        <v>55</v>
      </c>
      <c r="L74" s="14">
        <f t="shared" si="6"/>
        <v>616</v>
      </c>
    </row>
    <row r="75" spans="2:12" x14ac:dyDescent="0.2">
      <c r="B75" s="281">
        <v>43040</v>
      </c>
      <c r="C75" s="13">
        <v>524</v>
      </c>
      <c r="D75" s="13">
        <v>369</v>
      </c>
      <c r="E75" s="305">
        <f t="shared" si="7"/>
        <v>893</v>
      </c>
      <c r="F75" s="315">
        <v>15</v>
      </c>
      <c r="G75" s="13">
        <v>6</v>
      </c>
      <c r="H75" s="305">
        <f t="shared" si="8"/>
        <v>21</v>
      </c>
      <c r="I75" s="313">
        <v>22</v>
      </c>
      <c r="J75" s="13">
        <v>11</v>
      </c>
      <c r="K75" s="305">
        <f t="shared" si="9"/>
        <v>33</v>
      </c>
      <c r="L75" s="14">
        <f t="shared" si="6"/>
        <v>947</v>
      </c>
    </row>
    <row r="76" spans="2:12" x14ac:dyDescent="0.2">
      <c r="B76" s="281">
        <v>43070</v>
      </c>
      <c r="C76" s="13">
        <v>638</v>
      </c>
      <c r="D76" s="13">
        <v>595</v>
      </c>
      <c r="E76" s="305">
        <f t="shared" si="7"/>
        <v>1233</v>
      </c>
      <c r="F76" s="315">
        <v>17</v>
      </c>
      <c r="G76" s="13">
        <v>15</v>
      </c>
      <c r="H76" s="305">
        <f t="shared" si="8"/>
        <v>32</v>
      </c>
      <c r="I76" s="313">
        <v>5</v>
      </c>
      <c r="J76" s="13">
        <v>5</v>
      </c>
      <c r="K76" s="305">
        <f t="shared" si="9"/>
        <v>10</v>
      </c>
      <c r="L76" s="14">
        <f t="shared" si="6"/>
        <v>1275</v>
      </c>
    </row>
    <row r="77" spans="2:12" x14ac:dyDescent="0.2">
      <c r="B77" s="296">
        <v>2017</v>
      </c>
      <c r="C77" s="70"/>
      <c r="D77" s="70"/>
      <c r="E77" s="321">
        <f>SUM(E65:E76)</f>
        <v>18545</v>
      </c>
      <c r="F77" s="322"/>
      <c r="G77" s="70"/>
      <c r="H77" s="321">
        <f>SUM(H65:H76)</f>
        <v>551</v>
      </c>
      <c r="I77" s="323"/>
      <c r="J77" s="70"/>
      <c r="K77" s="321">
        <f>SUM(K65:K76)</f>
        <v>554</v>
      </c>
      <c r="L77" s="71">
        <f>SUM(L65:L76)</f>
        <v>19650</v>
      </c>
    </row>
    <row r="78" spans="2:12" x14ac:dyDescent="0.2">
      <c r="B78" s="281">
        <v>43101</v>
      </c>
      <c r="C78" s="13">
        <v>755</v>
      </c>
      <c r="D78" s="13">
        <v>663</v>
      </c>
      <c r="E78" s="305">
        <f t="shared" ref="E78:E88" si="10">C78+D78</f>
        <v>1418</v>
      </c>
      <c r="F78" s="315">
        <v>14</v>
      </c>
      <c r="G78" s="13">
        <v>12</v>
      </c>
      <c r="H78" s="305">
        <f t="shared" ref="H78:H88" si="11">F78+G78</f>
        <v>26</v>
      </c>
      <c r="I78" s="313">
        <v>8</v>
      </c>
      <c r="J78" s="13">
        <v>3</v>
      </c>
      <c r="K78" s="305">
        <f t="shared" ref="K78:K85" si="12">I78+J78</f>
        <v>11</v>
      </c>
      <c r="L78" s="14">
        <f t="shared" ref="L78:L85" si="13">E78+H78+K78</f>
        <v>1455</v>
      </c>
    </row>
    <row r="79" spans="2:12" x14ac:dyDescent="0.2">
      <c r="B79" s="281">
        <v>43132</v>
      </c>
      <c r="C79" s="13">
        <v>908</v>
      </c>
      <c r="D79" s="13">
        <v>778</v>
      </c>
      <c r="E79" s="305">
        <f t="shared" si="10"/>
        <v>1686</v>
      </c>
      <c r="F79" s="315">
        <v>16</v>
      </c>
      <c r="G79" s="13">
        <v>9</v>
      </c>
      <c r="H79" s="305">
        <f t="shared" si="11"/>
        <v>25</v>
      </c>
      <c r="I79" s="313">
        <v>55</v>
      </c>
      <c r="J79" s="13">
        <v>50</v>
      </c>
      <c r="K79" s="305">
        <f t="shared" si="12"/>
        <v>105</v>
      </c>
      <c r="L79" s="14">
        <f t="shared" si="13"/>
        <v>1816</v>
      </c>
    </row>
    <row r="80" spans="2:12" x14ac:dyDescent="0.2">
      <c r="B80" s="281">
        <v>43160</v>
      </c>
      <c r="C80" s="13">
        <v>1306</v>
      </c>
      <c r="D80" s="13">
        <v>853</v>
      </c>
      <c r="E80" s="305">
        <f t="shared" si="10"/>
        <v>2159</v>
      </c>
      <c r="F80" s="315">
        <v>34</v>
      </c>
      <c r="G80" s="13">
        <v>26</v>
      </c>
      <c r="H80" s="305">
        <f t="shared" si="11"/>
        <v>60</v>
      </c>
      <c r="I80" s="313">
        <v>35</v>
      </c>
      <c r="J80" s="13">
        <v>15</v>
      </c>
      <c r="K80" s="305">
        <f t="shared" si="12"/>
        <v>50</v>
      </c>
      <c r="L80" s="14">
        <f t="shared" si="13"/>
        <v>2269</v>
      </c>
    </row>
    <row r="81" spans="2:12" x14ac:dyDescent="0.2">
      <c r="B81" s="281">
        <v>43191</v>
      </c>
      <c r="C81" s="13">
        <v>1004</v>
      </c>
      <c r="D81" s="13">
        <v>564</v>
      </c>
      <c r="E81" s="305">
        <f t="shared" si="10"/>
        <v>1568</v>
      </c>
      <c r="F81" s="315">
        <v>19</v>
      </c>
      <c r="G81" s="13">
        <v>14</v>
      </c>
      <c r="H81" s="305">
        <f t="shared" si="11"/>
        <v>33</v>
      </c>
      <c r="I81" s="313">
        <v>20</v>
      </c>
      <c r="J81" s="13">
        <v>18</v>
      </c>
      <c r="K81" s="305">
        <f t="shared" si="12"/>
        <v>38</v>
      </c>
      <c r="L81" s="14">
        <f t="shared" si="13"/>
        <v>1639</v>
      </c>
    </row>
    <row r="82" spans="2:12" x14ac:dyDescent="0.2">
      <c r="B82" s="281">
        <v>43221</v>
      </c>
      <c r="C82" s="13">
        <v>717</v>
      </c>
      <c r="D82" s="13">
        <v>410</v>
      </c>
      <c r="E82" s="305">
        <f t="shared" si="10"/>
        <v>1127</v>
      </c>
      <c r="F82" s="315">
        <v>17</v>
      </c>
      <c r="G82" s="13">
        <v>15</v>
      </c>
      <c r="H82" s="305">
        <f t="shared" si="11"/>
        <v>32</v>
      </c>
      <c r="I82" s="313">
        <v>26</v>
      </c>
      <c r="J82" s="13">
        <v>26</v>
      </c>
      <c r="K82" s="305">
        <f t="shared" si="12"/>
        <v>52</v>
      </c>
      <c r="L82" s="14">
        <f t="shared" si="13"/>
        <v>1211</v>
      </c>
    </row>
    <row r="83" spans="2:12" x14ac:dyDescent="0.2">
      <c r="B83" s="281">
        <v>43252</v>
      </c>
      <c r="C83" s="13">
        <v>1018</v>
      </c>
      <c r="D83" s="13">
        <v>658</v>
      </c>
      <c r="E83" s="305">
        <f t="shared" si="10"/>
        <v>1676</v>
      </c>
      <c r="F83" s="315">
        <v>18</v>
      </c>
      <c r="G83" s="13">
        <v>12</v>
      </c>
      <c r="H83" s="305">
        <f t="shared" si="11"/>
        <v>30</v>
      </c>
      <c r="I83" s="313">
        <v>23</v>
      </c>
      <c r="J83" s="13">
        <v>10</v>
      </c>
      <c r="K83" s="305">
        <f t="shared" si="12"/>
        <v>33</v>
      </c>
      <c r="L83" s="14">
        <f t="shared" si="13"/>
        <v>1739</v>
      </c>
    </row>
    <row r="84" spans="2:12" x14ac:dyDescent="0.2">
      <c r="B84" s="281">
        <v>43282</v>
      </c>
      <c r="C84" s="13">
        <v>845</v>
      </c>
      <c r="D84" s="13">
        <v>604</v>
      </c>
      <c r="E84" s="305">
        <f t="shared" si="10"/>
        <v>1449</v>
      </c>
      <c r="F84" s="315">
        <v>17</v>
      </c>
      <c r="G84" s="13">
        <v>33</v>
      </c>
      <c r="H84" s="305">
        <f t="shared" si="11"/>
        <v>50</v>
      </c>
      <c r="I84" s="313">
        <v>35</v>
      </c>
      <c r="J84" s="13">
        <v>31</v>
      </c>
      <c r="K84" s="305">
        <f t="shared" si="12"/>
        <v>66</v>
      </c>
      <c r="L84" s="14">
        <f t="shared" si="13"/>
        <v>1565</v>
      </c>
    </row>
    <row r="85" spans="2:12" x14ac:dyDescent="0.2">
      <c r="B85" s="281">
        <v>43313</v>
      </c>
      <c r="C85" s="13">
        <v>1178</v>
      </c>
      <c r="D85" s="13">
        <v>821</v>
      </c>
      <c r="E85" s="305">
        <f t="shared" si="10"/>
        <v>1999</v>
      </c>
      <c r="F85" s="315">
        <v>20</v>
      </c>
      <c r="G85" s="13">
        <v>30</v>
      </c>
      <c r="H85" s="305">
        <f t="shared" si="11"/>
        <v>50</v>
      </c>
      <c r="I85" s="313">
        <v>33</v>
      </c>
      <c r="J85" s="13">
        <v>28</v>
      </c>
      <c r="K85" s="305">
        <f t="shared" si="12"/>
        <v>61</v>
      </c>
      <c r="L85" s="14">
        <f t="shared" si="13"/>
        <v>2110</v>
      </c>
    </row>
    <row r="86" spans="2:12" x14ac:dyDescent="0.2">
      <c r="B86" s="281">
        <v>43344</v>
      </c>
      <c r="C86" s="13">
        <v>1529</v>
      </c>
      <c r="D86" s="13">
        <v>1059</v>
      </c>
      <c r="E86" s="305">
        <f t="shared" si="10"/>
        <v>2588</v>
      </c>
      <c r="F86" s="315">
        <v>40</v>
      </c>
      <c r="G86" s="13">
        <v>42</v>
      </c>
      <c r="H86" s="305">
        <f t="shared" si="11"/>
        <v>82</v>
      </c>
      <c r="I86" s="313">
        <v>45</v>
      </c>
      <c r="J86" s="13">
        <v>15</v>
      </c>
      <c r="K86" s="305">
        <f t="shared" ref="K86:K88" si="14">I86+J86</f>
        <v>60</v>
      </c>
      <c r="L86" s="14">
        <f t="shared" ref="L86:L88" si="15">E86+H86+K86</f>
        <v>2730</v>
      </c>
    </row>
    <row r="87" spans="2:12" ht="12.75" x14ac:dyDescent="0.2">
      <c r="B87" s="402">
        <v>43374</v>
      </c>
      <c r="C87" s="403">
        <v>978</v>
      </c>
      <c r="D87" s="403">
        <v>757</v>
      </c>
      <c r="E87" s="404">
        <f t="shared" si="10"/>
        <v>1735</v>
      </c>
      <c r="F87" s="405">
        <v>21</v>
      </c>
      <c r="G87" s="403">
        <v>40</v>
      </c>
      <c r="H87" s="404">
        <f t="shared" si="11"/>
        <v>61</v>
      </c>
      <c r="I87" s="406">
        <v>27</v>
      </c>
      <c r="J87" s="403">
        <v>13</v>
      </c>
      <c r="K87" s="404">
        <f t="shared" si="14"/>
        <v>40</v>
      </c>
      <c r="L87" s="407">
        <f t="shared" si="15"/>
        <v>1836</v>
      </c>
    </row>
    <row r="88" spans="2:12" ht="12.75" x14ac:dyDescent="0.2">
      <c r="B88" s="402">
        <v>43405</v>
      </c>
      <c r="C88" s="403">
        <v>583</v>
      </c>
      <c r="D88" s="403">
        <v>278</v>
      </c>
      <c r="E88" s="404">
        <f t="shared" si="10"/>
        <v>861</v>
      </c>
      <c r="F88" s="405">
        <v>9</v>
      </c>
      <c r="G88" s="403">
        <v>8</v>
      </c>
      <c r="H88" s="404">
        <f t="shared" si="11"/>
        <v>17</v>
      </c>
      <c r="I88" s="406">
        <v>63</v>
      </c>
      <c r="J88" s="403">
        <v>44</v>
      </c>
      <c r="K88" s="404">
        <f t="shared" si="14"/>
        <v>107</v>
      </c>
      <c r="L88" s="407">
        <f t="shared" si="15"/>
        <v>985</v>
      </c>
    </row>
    <row r="89" spans="2:12" ht="12.75" x14ac:dyDescent="0.2">
      <c r="B89" s="408" t="s">
        <v>638</v>
      </c>
      <c r="C89" s="409"/>
      <c r="D89" s="409"/>
      <c r="E89" s="410">
        <f>SUM(E78:E88)</f>
        <v>18266</v>
      </c>
      <c r="F89" s="411"/>
      <c r="G89" s="409"/>
      <c r="H89" s="410">
        <f>SUM(H78:H88)</f>
        <v>466</v>
      </c>
      <c r="I89" s="412"/>
      <c r="J89" s="409"/>
      <c r="K89" s="410">
        <f>SUM(K78:K88)</f>
        <v>623</v>
      </c>
      <c r="L89" s="411">
        <f>SUM(L78:LL88)</f>
        <v>19355</v>
      </c>
    </row>
    <row r="90" spans="2:12" x14ac:dyDescent="0.2">
      <c r="B90" s="167" t="s">
        <v>493</v>
      </c>
    </row>
  </sheetData>
  <mergeCells count="8">
    <mergeCell ref="B5:L5"/>
    <mergeCell ref="B6:L6"/>
    <mergeCell ref="B8:B10"/>
    <mergeCell ref="C8:L8"/>
    <mergeCell ref="C9:E9"/>
    <mergeCell ref="F9:H9"/>
    <mergeCell ref="I9:K9"/>
    <mergeCell ref="L9:L10"/>
  </mergeCells>
  <hyperlinks>
    <hyperlink ref="N5" location="'Índice STJ'!A1" display="'Índice STJ'!A1" xr:uid="{00000000-0004-0000-1F00-000000000000}"/>
  </hyperlinks>
  <pageMargins left="0.7" right="0.7" top="0.75" bottom="0.75" header="0.3" footer="0.3"/>
  <ignoredErrors>
    <ignoredError sqref="E25 H25 K25" formulaRange="1"/>
    <ignoredError sqref="L25 L38 L51 E64 H64 K64:L64 E77 H77 K77:L77" formula="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2:J135"/>
  <sheetViews>
    <sheetView showGridLines="0" zoomScaleNormal="100" workbookViewId="0">
      <selection activeCell="B6" sqref="B6:H6"/>
    </sheetView>
  </sheetViews>
  <sheetFormatPr baseColWidth="10" defaultColWidth="11.42578125" defaultRowHeight="12" x14ac:dyDescent="0.2"/>
  <cols>
    <col min="1" max="1" width="6" style="167" customWidth="1"/>
    <col min="2" max="16384" width="11.42578125" style="167"/>
  </cols>
  <sheetData>
    <row r="2" spans="1:10" x14ac:dyDescent="0.2">
      <c r="A2" s="196" t="s">
        <v>121</v>
      </c>
    </row>
    <row r="3" spans="1:10" x14ac:dyDescent="0.2">
      <c r="A3" s="196" t="s">
        <v>122</v>
      </c>
    </row>
    <row r="5" spans="1:10" ht="12.75" x14ac:dyDescent="0.2">
      <c r="B5" s="418" t="s">
        <v>569</v>
      </c>
      <c r="C5" s="418"/>
      <c r="D5" s="418"/>
      <c r="E5" s="418"/>
      <c r="F5" s="418"/>
      <c r="G5" s="418"/>
      <c r="H5" s="418"/>
      <c r="J5" s="358" t="s">
        <v>596</v>
      </c>
    </row>
    <row r="6" spans="1:10" ht="12.75" x14ac:dyDescent="0.2">
      <c r="B6" s="418" t="s">
        <v>645</v>
      </c>
      <c r="C6" s="418"/>
      <c r="D6" s="418"/>
      <c r="E6" s="418"/>
      <c r="F6" s="418"/>
      <c r="G6" s="418"/>
      <c r="H6" s="418"/>
    </row>
    <row r="8" spans="1:10" x14ac:dyDescent="0.2">
      <c r="B8" s="504" t="s">
        <v>483</v>
      </c>
      <c r="C8" s="460" t="s">
        <v>570</v>
      </c>
      <c r="D8" s="462"/>
      <c r="E8" s="507" t="s">
        <v>571</v>
      </c>
      <c r="F8" s="508"/>
      <c r="G8" s="508"/>
      <c r="H8" s="509"/>
    </row>
    <row r="9" spans="1:10" ht="26.25" customHeight="1" x14ac:dyDescent="0.2">
      <c r="B9" s="505"/>
      <c r="C9" s="457" t="s">
        <v>572</v>
      </c>
      <c r="D9" s="457" t="s">
        <v>573</v>
      </c>
      <c r="E9" s="510" t="s">
        <v>572</v>
      </c>
      <c r="F9" s="512" t="s">
        <v>574</v>
      </c>
      <c r="G9" s="513"/>
      <c r="H9" s="514"/>
    </row>
    <row r="10" spans="1:10" ht="36" customHeight="1" x14ac:dyDescent="0.2">
      <c r="B10" s="506"/>
      <c r="C10" s="459"/>
      <c r="D10" s="459"/>
      <c r="E10" s="511"/>
      <c r="F10" s="324" t="s">
        <v>575</v>
      </c>
      <c r="G10" s="324" t="s">
        <v>576</v>
      </c>
      <c r="H10" s="325" t="s">
        <v>546</v>
      </c>
    </row>
    <row r="11" spans="1:10" x14ac:dyDescent="0.2">
      <c r="B11" s="326">
        <v>39873</v>
      </c>
      <c r="C11" s="327">
        <v>10625</v>
      </c>
      <c r="D11" s="328">
        <v>174</v>
      </c>
      <c r="E11" s="328" t="s">
        <v>577</v>
      </c>
      <c r="F11" s="328"/>
      <c r="G11" s="328"/>
      <c r="H11" s="328"/>
    </row>
    <row r="12" spans="1:10" x14ac:dyDescent="0.2">
      <c r="B12" s="326">
        <v>39904</v>
      </c>
      <c r="C12" s="327">
        <v>6095</v>
      </c>
      <c r="D12" s="328">
        <v>194</v>
      </c>
      <c r="E12" s="328" t="s">
        <v>577</v>
      </c>
      <c r="F12" s="328"/>
      <c r="G12" s="328"/>
      <c r="H12" s="328"/>
    </row>
    <row r="13" spans="1:10" x14ac:dyDescent="0.2">
      <c r="B13" s="326">
        <v>39934</v>
      </c>
      <c r="C13" s="327">
        <v>7497</v>
      </c>
      <c r="D13" s="328">
        <v>290</v>
      </c>
      <c r="E13" s="328" t="s">
        <v>577</v>
      </c>
      <c r="F13" s="328"/>
      <c r="G13" s="328"/>
      <c r="H13" s="328"/>
    </row>
    <row r="14" spans="1:10" x14ac:dyDescent="0.2">
      <c r="B14" s="326">
        <v>39965</v>
      </c>
      <c r="C14" s="327">
        <v>8878</v>
      </c>
      <c r="D14" s="328">
        <v>241</v>
      </c>
      <c r="E14" s="328" t="s">
        <v>577</v>
      </c>
      <c r="F14" s="328"/>
      <c r="G14" s="328"/>
      <c r="H14" s="328"/>
    </row>
    <row r="15" spans="1:10" x14ac:dyDescent="0.2">
      <c r="B15" s="326">
        <v>39995</v>
      </c>
      <c r="C15" s="327">
        <v>13580</v>
      </c>
      <c r="D15" s="328">
        <v>349</v>
      </c>
      <c r="E15" s="328" t="s">
        <v>577</v>
      </c>
      <c r="F15" s="328"/>
      <c r="G15" s="328"/>
      <c r="H15" s="328"/>
    </row>
    <row r="16" spans="1:10" x14ac:dyDescent="0.2">
      <c r="B16" s="326">
        <v>40026</v>
      </c>
      <c r="C16" s="327">
        <v>9451</v>
      </c>
      <c r="D16" s="328">
        <v>290</v>
      </c>
      <c r="E16" s="328" t="s">
        <v>577</v>
      </c>
      <c r="F16" s="328"/>
      <c r="G16" s="328"/>
      <c r="H16" s="328"/>
    </row>
    <row r="17" spans="2:8" x14ac:dyDescent="0.2">
      <c r="B17" s="326">
        <v>40057</v>
      </c>
      <c r="C17" s="327">
        <v>16175</v>
      </c>
      <c r="D17" s="328">
        <v>423</v>
      </c>
      <c r="E17" s="328" t="s">
        <v>577</v>
      </c>
      <c r="F17" s="328"/>
      <c r="G17" s="328"/>
      <c r="H17" s="328"/>
    </row>
    <row r="18" spans="2:8" x14ac:dyDescent="0.2">
      <c r="B18" s="326">
        <v>40087</v>
      </c>
      <c r="C18" s="327">
        <v>21738</v>
      </c>
      <c r="D18" s="328">
        <v>442</v>
      </c>
      <c r="E18" s="328" t="s">
        <v>577</v>
      </c>
      <c r="F18" s="328"/>
      <c r="G18" s="328"/>
      <c r="H18" s="328"/>
    </row>
    <row r="19" spans="2:8" x14ac:dyDescent="0.2">
      <c r="B19" s="326">
        <v>40118</v>
      </c>
      <c r="C19" s="327">
        <v>20687</v>
      </c>
      <c r="D19" s="328">
        <v>464</v>
      </c>
      <c r="E19" s="328" t="s">
        <v>577</v>
      </c>
      <c r="F19" s="328"/>
      <c r="G19" s="328"/>
      <c r="H19" s="328"/>
    </row>
    <row r="20" spans="2:8" x14ac:dyDescent="0.2">
      <c r="B20" s="326">
        <v>40148</v>
      </c>
      <c r="C20" s="327">
        <v>19925</v>
      </c>
      <c r="D20" s="328">
        <v>464</v>
      </c>
      <c r="E20" s="328" t="s">
        <v>577</v>
      </c>
      <c r="F20" s="328"/>
      <c r="G20" s="328"/>
      <c r="H20" s="328"/>
    </row>
    <row r="21" spans="2:8" x14ac:dyDescent="0.2">
      <c r="B21" s="326">
        <v>40179</v>
      </c>
      <c r="C21" s="327">
        <v>14517</v>
      </c>
      <c r="D21" s="328">
        <v>460</v>
      </c>
      <c r="E21" s="328" t="s">
        <v>577</v>
      </c>
      <c r="F21" s="328"/>
      <c r="G21" s="328"/>
      <c r="H21" s="328"/>
    </row>
    <row r="22" spans="2:8" x14ac:dyDescent="0.2">
      <c r="B22" s="326">
        <v>40210</v>
      </c>
      <c r="C22" s="327">
        <v>21073</v>
      </c>
      <c r="D22" s="328">
        <v>461</v>
      </c>
      <c r="E22" s="328" t="s">
        <v>577</v>
      </c>
      <c r="F22" s="328"/>
      <c r="G22" s="328"/>
      <c r="H22" s="328"/>
    </row>
    <row r="23" spans="2:8" x14ac:dyDescent="0.2">
      <c r="B23" s="326">
        <v>40238</v>
      </c>
      <c r="C23" s="327">
        <v>1853</v>
      </c>
      <c r="D23" s="328">
        <v>230</v>
      </c>
      <c r="E23" s="328" t="s">
        <v>577</v>
      </c>
      <c r="F23" s="328"/>
      <c r="G23" s="328"/>
      <c r="H23" s="328"/>
    </row>
    <row r="24" spans="2:8" x14ac:dyDescent="0.2">
      <c r="B24" s="326">
        <v>40269</v>
      </c>
      <c r="C24" s="327">
        <v>34023</v>
      </c>
      <c r="D24" s="328">
        <v>448</v>
      </c>
      <c r="E24" s="328" t="s">
        <v>577</v>
      </c>
      <c r="F24" s="328"/>
      <c r="G24" s="328"/>
      <c r="H24" s="328"/>
    </row>
    <row r="25" spans="2:8" x14ac:dyDescent="0.2">
      <c r="B25" s="326">
        <v>40299</v>
      </c>
      <c r="C25" s="327">
        <v>12204</v>
      </c>
      <c r="D25" s="328">
        <v>424</v>
      </c>
      <c r="E25" s="328" t="s">
        <v>577</v>
      </c>
      <c r="F25" s="328"/>
      <c r="G25" s="328"/>
      <c r="H25" s="328"/>
    </row>
    <row r="26" spans="2:8" x14ac:dyDescent="0.2">
      <c r="B26" s="326">
        <v>40330</v>
      </c>
      <c r="C26" s="327">
        <v>1575</v>
      </c>
      <c r="D26" s="328">
        <v>167</v>
      </c>
      <c r="E26" s="328" t="s">
        <v>577</v>
      </c>
      <c r="F26" s="328"/>
      <c r="G26" s="328"/>
      <c r="H26" s="328"/>
    </row>
    <row r="27" spans="2:8" x14ac:dyDescent="0.2">
      <c r="B27" s="326">
        <v>40360</v>
      </c>
      <c r="C27" s="327">
        <v>1875</v>
      </c>
      <c r="D27" s="328">
        <v>166</v>
      </c>
      <c r="E27" s="328" t="s">
        <v>577</v>
      </c>
      <c r="F27" s="328"/>
      <c r="G27" s="328"/>
      <c r="H27" s="328"/>
    </row>
    <row r="28" spans="2:8" x14ac:dyDescent="0.2">
      <c r="B28" s="326">
        <v>40391</v>
      </c>
      <c r="C28" s="327">
        <v>7627</v>
      </c>
      <c r="D28" s="328">
        <v>189</v>
      </c>
      <c r="E28" s="328" t="s">
        <v>577</v>
      </c>
      <c r="F28" s="328"/>
      <c r="G28" s="328"/>
      <c r="H28" s="328"/>
    </row>
    <row r="29" spans="2:8" x14ac:dyDescent="0.2">
      <c r="B29" s="326">
        <v>40422</v>
      </c>
      <c r="C29" s="327">
        <v>1802</v>
      </c>
      <c r="D29" s="328">
        <v>151</v>
      </c>
      <c r="E29" s="328" t="s">
        <v>577</v>
      </c>
      <c r="F29" s="328"/>
      <c r="G29" s="328"/>
      <c r="H29" s="328"/>
    </row>
    <row r="30" spans="2:8" x14ac:dyDescent="0.2">
      <c r="B30" s="326">
        <v>40452</v>
      </c>
      <c r="C30" s="327">
        <v>3251</v>
      </c>
      <c r="D30" s="328">
        <v>152</v>
      </c>
      <c r="E30" s="328" t="s">
        <v>577</v>
      </c>
      <c r="F30" s="328"/>
      <c r="G30" s="328"/>
      <c r="H30" s="328"/>
    </row>
    <row r="31" spans="2:8" x14ac:dyDescent="0.2">
      <c r="B31" s="326">
        <v>40483</v>
      </c>
      <c r="C31" s="328">
        <v>986</v>
      </c>
      <c r="D31" s="328">
        <v>122</v>
      </c>
      <c r="E31" s="328" t="s">
        <v>577</v>
      </c>
      <c r="F31" s="328"/>
      <c r="G31" s="328"/>
      <c r="H31" s="328"/>
    </row>
    <row r="32" spans="2:8" x14ac:dyDescent="0.2">
      <c r="B32" s="326">
        <v>40513</v>
      </c>
      <c r="C32" s="327">
        <v>1370</v>
      </c>
      <c r="D32" s="328">
        <v>102</v>
      </c>
      <c r="E32" s="328" t="s">
        <v>577</v>
      </c>
      <c r="F32" s="328"/>
      <c r="G32" s="328"/>
      <c r="H32" s="328"/>
    </row>
    <row r="33" spans="2:8" x14ac:dyDescent="0.2">
      <c r="B33" s="326">
        <v>40544</v>
      </c>
      <c r="C33" s="328">
        <v>547</v>
      </c>
      <c r="D33" s="328">
        <v>96</v>
      </c>
      <c r="E33" s="328" t="s">
        <v>577</v>
      </c>
      <c r="F33" s="328"/>
      <c r="G33" s="328"/>
      <c r="H33" s="328"/>
    </row>
    <row r="34" spans="2:8" x14ac:dyDescent="0.2">
      <c r="B34" s="326">
        <v>40575</v>
      </c>
      <c r="C34" s="328">
        <v>986</v>
      </c>
      <c r="D34" s="328">
        <v>105</v>
      </c>
      <c r="E34" s="328" t="s">
        <v>577</v>
      </c>
      <c r="F34" s="328"/>
      <c r="G34" s="328"/>
      <c r="H34" s="328"/>
    </row>
    <row r="35" spans="2:8" x14ac:dyDescent="0.2">
      <c r="B35" s="326">
        <v>40603</v>
      </c>
      <c r="C35" s="328">
        <v>531</v>
      </c>
      <c r="D35" s="328">
        <v>76</v>
      </c>
      <c r="E35" s="328" t="s">
        <v>577</v>
      </c>
      <c r="F35" s="328"/>
      <c r="G35" s="328"/>
      <c r="H35" s="328"/>
    </row>
    <row r="36" spans="2:8" x14ac:dyDescent="0.2">
      <c r="B36" s="326">
        <v>40634</v>
      </c>
      <c r="C36" s="327">
        <v>1064</v>
      </c>
      <c r="D36" s="328">
        <v>129</v>
      </c>
      <c r="E36" s="328" t="s">
        <v>577</v>
      </c>
      <c r="F36" s="328"/>
      <c r="G36" s="328"/>
      <c r="H36" s="328"/>
    </row>
    <row r="37" spans="2:8" x14ac:dyDescent="0.2">
      <c r="B37" s="326">
        <v>40664</v>
      </c>
      <c r="C37" s="327">
        <v>1100</v>
      </c>
      <c r="D37" s="328">
        <v>91</v>
      </c>
      <c r="E37" s="328" t="s">
        <v>577</v>
      </c>
      <c r="F37" s="328"/>
      <c r="G37" s="328"/>
      <c r="H37" s="328"/>
    </row>
    <row r="38" spans="2:8" x14ac:dyDescent="0.2">
      <c r="B38" s="326">
        <v>40695</v>
      </c>
      <c r="C38" s="327">
        <v>1238</v>
      </c>
      <c r="D38" s="328">
        <v>106</v>
      </c>
      <c r="E38" s="328" t="s">
        <v>577</v>
      </c>
      <c r="F38" s="328"/>
      <c r="G38" s="328"/>
      <c r="H38" s="328"/>
    </row>
    <row r="39" spans="2:8" x14ac:dyDescent="0.2">
      <c r="B39" s="326">
        <v>40725</v>
      </c>
      <c r="C39" s="328">
        <v>173</v>
      </c>
      <c r="D39" s="328">
        <v>25</v>
      </c>
      <c r="E39" s="328" t="s">
        <v>577</v>
      </c>
      <c r="F39" s="328"/>
      <c r="G39" s="328"/>
      <c r="H39" s="328"/>
    </row>
    <row r="40" spans="2:8" x14ac:dyDescent="0.2">
      <c r="B40" s="326">
        <v>40756</v>
      </c>
      <c r="C40" s="328">
        <v>810</v>
      </c>
      <c r="D40" s="328">
        <v>59</v>
      </c>
      <c r="E40" s="328" t="s">
        <v>577</v>
      </c>
      <c r="F40" s="328"/>
      <c r="G40" s="328"/>
      <c r="H40" s="328"/>
    </row>
    <row r="41" spans="2:8" x14ac:dyDescent="0.2">
      <c r="B41" s="326">
        <v>40787</v>
      </c>
      <c r="C41" s="328">
        <v>476</v>
      </c>
      <c r="D41" s="328">
        <v>65</v>
      </c>
      <c r="E41" s="327">
        <v>1634</v>
      </c>
      <c r="F41" s="327"/>
      <c r="G41" s="327"/>
      <c r="H41" s="327">
        <v>1620</v>
      </c>
    </row>
    <row r="42" spans="2:8" x14ac:dyDescent="0.2">
      <c r="B42" s="326">
        <v>40817</v>
      </c>
      <c r="C42" s="327">
        <v>1568</v>
      </c>
      <c r="D42" s="328">
        <v>75</v>
      </c>
      <c r="E42" s="327">
        <v>5036</v>
      </c>
      <c r="F42" s="327"/>
      <c r="G42" s="327"/>
      <c r="H42" s="327">
        <v>4518</v>
      </c>
    </row>
    <row r="43" spans="2:8" x14ac:dyDescent="0.2">
      <c r="B43" s="326">
        <v>40848</v>
      </c>
      <c r="C43" s="328">
        <v>906</v>
      </c>
      <c r="D43" s="328">
        <v>39</v>
      </c>
      <c r="E43" s="327">
        <v>12015</v>
      </c>
      <c r="F43" s="327"/>
      <c r="G43" s="327"/>
      <c r="H43" s="327">
        <v>10939</v>
      </c>
    </row>
    <row r="44" spans="2:8" x14ac:dyDescent="0.2">
      <c r="B44" s="326">
        <v>40878</v>
      </c>
      <c r="C44" s="327">
        <v>1270</v>
      </c>
      <c r="D44" s="328">
        <v>71</v>
      </c>
      <c r="E44" s="327">
        <v>22261</v>
      </c>
      <c r="F44" s="327"/>
      <c r="G44" s="327"/>
      <c r="H44" s="327">
        <v>21512</v>
      </c>
    </row>
    <row r="45" spans="2:8" x14ac:dyDescent="0.2">
      <c r="B45" s="326">
        <v>40909</v>
      </c>
      <c r="C45" s="327">
        <v>1221</v>
      </c>
      <c r="D45" s="328">
        <v>65</v>
      </c>
      <c r="E45" s="327">
        <v>24129</v>
      </c>
      <c r="F45" s="327"/>
      <c r="G45" s="327"/>
      <c r="H45" s="327">
        <v>20099</v>
      </c>
    </row>
    <row r="46" spans="2:8" x14ac:dyDescent="0.2">
      <c r="B46" s="326">
        <v>40940</v>
      </c>
      <c r="C46" s="328">
        <v>902</v>
      </c>
      <c r="D46" s="328">
        <v>58</v>
      </c>
      <c r="E46" s="327">
        <v>22063</v>
      </c>
      <c r="F46" s="327"/>
      <c r="G46" s="327"/>
      <c r="H46" s="327">
        <v>19781</v>
      </c>
    </row>
    <row r="47" spans="2:8" x14ac:dyDescent="0.2">
      <c r="B47" s="326">
        <v>40969</v>
      </c>
      <c r="C47" s="327">
        <v>2605</v>
      </c>
      <c r="D47" s="328">
        <v>58</v>
      </c>
      <c r="E47" s="327">
        <v>36966</v>
      </c>
      <c r="F47" s="327"/>
      <c r="G47" s="327"/>
      <c r="H47" s="327">
        <v>28773</v>
      </c>
    </row>
    <row r="48" spans="2:8" x14ac:dyDescent="0.2">
      <c r="B48" s="326">
        <v>41000</v>
      </c>
      <c r="C48" s="328">
        <v>982</v>
      </c>
      <c r="D48" s="328">
        <v>44</v>
      </c>
      <c r="E48" s="327">
        <v>16479</v>
      </c>
      <c r="F48" s="327"/>
      <c r="G48" s="327"/>
      <c r="H48" s="327">
        <v>16232</v>
      </c>
    </row>
    <row r="49" spans="2:8" x14ac:dyDescent="0.2">
      <c r="B49" s="326">
        <v>41030</v>
      </c>
      <c r="C49" s="327">
        <v>3220</v>
      </c>
      <c r="D49" s="328">
        <v>72</v>
      </c>
      <c r="E49" s="327">
        <v>28814</v>
      </c>
      <c r="F49" s="327"/>
      <c r="G49" s="327"/>
      <c r="H49" s="327">
        <v>23849</v>
      </c>
    </row>
    <row r="50" spans="2:8" x14ac:dyDescent="0.2">
      <c r="B50" s="326">
        <v>41061</v>
      </c>
      <c r="C50" s="327">
        <v>1267</v>
      </c>
      <c r="D50" s="328">
        <v>49</v>
      </c>
      <c r="E50" s="327">
        <v>25375</v>
      </c>
      <c r="F50" s="327"/>
      <c r="G50" s="327"/>
      <c r="H50" s="327">
        <v>22057</v>
      </c>
    </row>
    <row r="51" spans="2:8" x14ac:dyDescent="0.2">
      <c r="B51" s="326">
        <v>41091</v>
      </c>
      <c r="C51" s="327">
        <v>1000</v>
      </c>
      <c r="D51" s="328">
        <v>53</v>
      </c>
      <c r="E51" s="327">
        <v>23209</v>
      </c>
      <c r="F51" s="327"/>
      <c r="G51" s="327"/>
      <c r="H51" s="327">
        <v>21672</v>
      </c>
    </row>
    <row r="52" spans="2:8" x14ac:dyDescent="0.2">
      <c r="B52" s="326">
        <v>41122</v>
      </c>
      <c r="C52" s="327">
        <v>1130</v>
      </c>
      <c r="D52" s="328">
        <v>58</v>
      </c>
      <c r="E52" s="327">
        <v>21429</v>
      </c>
      <c r="F52" s="327"/>
      <c r="G52" s="327"/>
      <c r="H52" s="327">
        <v>20285</v>
      </c>
    </row>
    <row r="53" spans="2:8" x14ac:dyDescent="0.2">
      <c r="B53" s="326">
        <v>41153</v>
      </c>
      <c r="C53" s="327">
        <v>1082</v>
      </c>
      <c r="D53" s="328">
        <v>56</v>
      </c>
      <c r="E53" s="327">
        <v>26360</v>
      </c>
      <c r="F53" s="327"/>
      <c r="G53" s="327"/>
      <c r="H53" s="327">
        <v>23448</v>
      </c>
    </row>
    <row r="54" spans="2:8" x14ac:dyDescent="0.2">
      <c r="B54" s="326">
        <v>41183</v>
      </c>
      <c r="C54" s="327">
        <v>1205</v>
      </c>
      <c r="D54" s="328">
        <v>63</v>
      </c>
      <c r="E54" s="327">
        <v>24056</v>
      </c>
      <c r="F54" s="327"/>
      <c r="G54" s="327"/>
      <c r="H54" s="327">
        <v>22693</v>
      </c>
    </row>
    <row r="55" spans="2:8" x14ac:dyDescent="0.2">
      <c r="B55" s="326">
        <v>41214</v>
      </c>
      <c r="C55" s="328">
        <v>637</v>
      </c>
      <c r="D55" s="328">
        <v>47</v>
      </c>
      <c r="E55" s="327">
        <v>19225</v>
      </c>
      <c r="F55" s="327"/>
      <c r="G55" s="327"/>
      <c r="H55" s="327">
        <v>18399</v>
      </c>
    </row>
    <row r="56" spans="2:8" x14ac:dyDescent="0.2">
      <c r="B56" s="326">
        <v>41244</v>
      </c>
      <c r="C56" s="328">
        <v>840</v>
      </c>
      <c r="D56" s="328">
        <v>32</v>
      </c>
      <c r="E56" s="327">
        <v>11256</v>
      </c>
      <c r="F56" s="327"/>
      <c r="G56" s="327"/>
      <c r="H56" s="327">
        <v>10911</v>
      </c>
    </row>
    <row r="57" spans="2:8" x14ac:dyDescent="0.2">
      <c r="B57" s="326">
        <v>41275</v>
      </c>
      <c r="C57" s="328">
        <v>931</v>
      </c>
      <c r="D57" s="328">
        <v>56</v>
      </c>
      <c r="E57" s="327">
        <v>40005</v>
      </c>
      <c r="F57" s="327"/>
      <c r="G57" s="327"/>
      <c r="H57" s="327">
        <v>27853</v>
      </c>
    </row>
    <row r="58" spans="2:8" x14ac:dyDescent="0.2">
      <c r="B58" s="326">
        <v>41306</v>
      </c>
      <c r="C58" s="327">
        <v>1270</v>
      </c>
      <c r="D58" s="328">
        <v>64</v>
      </c>
      <c r="E58" s="327">
        <v>24170</v>
      </c>
      <c r="F58" s="327"/>
      <c r="G58" s="327"/>
      <c r="H58" s="327">
        <v>22694</v>
      </c>
    </row>
    <row r="59" spans="2:8" x14ac:dyDescent="0.2">
      <c r="B59" s="326">
        <v>41334</v>
      </c>
      <c r="C59" s="328">
        <v>826</v>
      </c>
      <c r="D59" s="328">
        <v>41</v>
      </c>
      <c r="E59" s="327">
        <v>23845</v>
      </c>
      <c r="F59" s="327"/>
      <c r="G59" s="327"/>
      <c r="H59" s="327">
        <v>22309</v>
      </c>
    </row>
    <row r="60" spans="2:8" x14ac:dyDescent="0.2">
      <c r="B60" s="326">
        <v>41365</v>
      </c>
      <c r="C60" s="327">
        <v>1037</v>
      </c>
      <c r="D60" s="328">
        <v>51</v>
      </c>
      <c r="E60" s="327">
        <v>26008</v>
      </c>
      <c r="F60" s="327"/>
      <c r="G60" s="327"/>
      <c r="H60" s="327">
        <v>23693</v>
      </c>
    </row>
    <row r="61" spans="2:8" x14ac:dyDescent="0.2">
      <c r="B61" s="326">
        <v>41395</v>
      </c>
      <c r="C61" s="328">
        <v>436</v>
      </c>
      <c r="D61" s="328">
        <v>34</v>
      </c>
      <c r="E61" s="327">
        <v>21038</v>
      </c>
      <c r="F61" s="327"/>
      <c r="G61" s="327"/>
      <c r="H61" s="327">
        <v>19845</v>
      </c>
    </row>
    <row r="62" spans="2:8" x14ac:dyDescent="0.2">
      <c r="B62" s="326">
        <v>41426</v>
      </c>
      <c r="C62" s="328">
        <v>848</v>
      </c>
      <c r="D62" s="328">
        <v>44</v>
      </c>
      <c r="E62" s="327">
        <v>22037</v>
      </c>
      <c r="F62" s="327"/>
      <c r="G62" s="327"/>
      <c r="H62" s="327">
        <v>20065</v>
      </c>
    </row>
    <row r="63" spans="2:8" x14ac:dyDescent="0.2">
      <c r="B63" s="326">
        <v>41456</v>
      </c>
      <c r="C63" s="328">
        <v>747</v>
      </c>
      <c r="D63" s="328">
        <v>36</v>
      </c>
      <c r="E63" s="327">
        <v>22506</v>
      </c>
      <c r="F63" s="327"/>
      <c r="G63" s="327"/>
      <c r="H63" s="327">
        <v>20780</v>
      </c>
    </row>
    <row r="64" spans="2:8" x14ac:dyDescent="0.2">
      <c r="B64" s="326">
        <v>41487</v>
      </c>
      <c r="C64" s="328">
        <v>719</v>
      </c>
      <c r="D64" s="328">
        <v>35</v>
      </c>
      <c r="E64" s="327">
        <v>23869</v>
      </c>
      <c r="F64" s="327"/>
      <c r="G64" s="327"/>
      <c r="H64" s="327">
        <v>21924</v>
      </c>
    </row>
    <row r="65" spans="2:8" x14ac:dyDescent="0.2">
      <c r="B65" s="326">
        <v>41518</v>
      </c>
      <c r="C65" s="328">
        <v>908</v>
      </c>
      <c r="D65" s="328">
        <v>30</v>
      </c>
      <c r="E65" s="327">
        <v>22797</v>
      </c>
      <c r="F65" s="327"/>
      <c r="G65" s="327"/>
      <c r="H65" s="327">
        <v>21715</v>
      </c>
    </row>
    <row r="66" spans="2:8" x14ac:dyDescent="0.2">
      <c r="B66" s="326">
        <v>41548</v>
      </c>
      <c r="C66" s="328">
        <v>907</v>
      </c>
      <c r="D66" s="328">
        <v>34</v>
      </c>
      <c r="E66" s="327">
        <v>23258</v>
      </c>
      <c r="F66" s="327"/>
      <c r="G66" s="327"/>
      <c r="H66" s="327">
        <v>22266</v>
      </c>
    </row>
    <row r="67" spans="2:8" x14ac:dyDescent="0.2">
      <c r="B67" s="326">
        <v>41579</v>
      </c>
      <c r="C67" s="328">
        <v>684</v>
      </c>
      <c r="D67" s="328">
        <v>32</v>
      </c>
      <c r="E67" s="327">
        <v>21758</v>
      </c>
      <c r="F67" s="327"/>
      <c r="G67" s="327"/>
      <c r="H67" s="327">
        <v>20561</v>
      </c>
    </row>
    <row r="68" spans="2:8" x14ac:dyDescent="0.2">
      <c r="B68" s="326">
        <v>41609</v>
      </c>
      <c r="C68" s="328">
        <v>731</v>
      </c>
      <c r="D68" s="328">
        <v>40</v>
      </c>
      <c r="E68" s="327">
        <v>21567</v>
      </c>
      <c r="F68" s="327"/>
      <c r="G68" s="327"/>
      <c r="H68" s="327">
        <v>20466</v>
      </c>
    </row>
    <row r="69" spans="2:8" x14ac:dyDescent="0.2">
      <c r="B69" s="326">
        <v>41640</v>
      </c>
      <c r="C69" s="328">
        <v>642</v>
      </c>
      <c r="D69" s="328">
        <v>27</v>
      </c>
      <c r="E69" s="327">
        <v>16702</v>
      </c>
      <c r="F69" s="327"/>
      <c r="G69" s="327"/>
      <c r="H69" s="327">
        <v>15794</v>
      </c>
    </row>
    <row r="70" spans="2:8" x14ac:dyDescent="0.2">
      <c r="B70" s="326">
        <v>41671</v>
      </c>
      <c r="C70" s="329">
        <v>687</v>
      </c>
      <c r="D70" s="329">
        <v>25</v>
      </c>
      <c r="E70" s="330">
        <v>23938</v>
      </c>
      <c r="F70" s="330"/>
      <c r="G70" s="330"/>
      <c r="H70" s="327">
        <v>20912</v>
      </c>
    </row>
    <row r="71" spans="2:8" x14ac:dyDescent="0.2">
      <c r="B71" s="326">
        <v>41699</v>
      </c>
      <c r="C71" s="327">
        <v>1022</v>
      </c>
      <c r="D71" s="328">
        <v>47</v>
      </c>
      <c r="E71" s="327">
        <v>28622</v>
      </c>
      <c r="F71" s="327"/>
      <c r="G71" s="327"/>
      <c r="H71" s="327">
        <v>24920</v>
      </c>
    </row>
    <row r="72" spans="2:8" x14ac:dyDescent="0.2">
      <c r="B72" s="326">
        <v>41730</v>
      </c>
      <c r="C72" s="328">
        <v>645</v>
      </c>
      <c r="D72" s="328">
        <v>29</v>
      </c>
      <c r="E72" s="327">
        <v>22470</v>
      </c>
      <c r="F72" s="327"/>
      <c r="G72" s="327"/>
      <c r="H72" s="327">
        <v>20858</v>
      </c>
    </row>
    <row r="73" spans="2:8" x14ac:dyDescent="0.2">
      <c r="B73" s="326">
        <v>41760</v>
      </c>
      <c r="C73" s="328">
        <v>697</v>
      </c>
      <c r="D73" s="328">
        <v>31</v>
      </c>
      <c r="E73" s="327">
        <v>14929</v>
      </c>
      <c r="F73" s="327"/>
      <c r="G73" s="327"/>
      <c r="H73" s="327">
        <v>13783</v>
      </c>
    </row>
    <row r="74" spans="2:8" x14ac:dyDescent="0.2">
      <c r="B74" s="326">
        <v>41791</v>
      </c>
      <c r="C74" s="328">
        <v>708</v>
      </c>
      <c r="D74" s="328">
        <v>29</v>
      </c>
      <c r="E74" s="327">
        <v>28107</v>
      </c>
      <c r="F74" s="327"/>
      <c r="G74" s="327"/>
      <c r="H74" s="327">
        <v>22029</v>
      </c>
    </row>
    <row r="75" spans="2:8" x14ac:dyDescent="0.2">
      <c r="B75" s="326">
        <v>41821</v>
      </c>
      <c r="C75" s="328">
        <v>848</v>
      </c>
      <c r="D75" s="328">
        <v>30</v>
      </c>
      <c r="E75" s="327">
        <v>20305</v>
      </c>
      <c r="F75" s="327"/>
      <c r="G75" s="327"/>
      <c r="H75" s="327">
        <v>18703</v>
      </c>
    </row>
    <row r="76" spans="2:8" x14ac:dyDescent="0.2">
      <c r="B76" s="326">
        <v>41852</v>
      </c>
      <c r="C76" s="328">
        <v>418</v>
      </c>
      <c r="D76" s="328">
        <v>21</v>
      </c>
      <c r="E76" s="327">
        <v>20026</v>
      </c>
      <c r="F76" s="327"/>
      <c r="G76" s="327"/>
      <c r="H76" s="327">
        <v>17896</v>
      </c>
    </row>
    <row r="77" spans="2:8" x14ac:dyDescent="0.2">
      <c r="B77" s="326">
        <v>41883</v>
      </c>
      <c r="C77" s="328">
        <v>449</v>
      </c>
      <c r="D77" s="328">
        <v>20</v>
      </c>
      <c r="E77" s="327">
        <v>17518</v>
      </c>
      <c r="F77" s="327"/>
      <c r="G77" s="327"/>
      <c r="H77" s="327">
        <v>15614</v>
      </c>
    </row>
    <row r="78" spans="2:8" x14ac:dyDescent="0.2">
      <c r="B78" s="326">
        <v>41913</v>
      </c>
      <c r="C78" s="328">
        <v>386</v>
      </c>
      <c r="D78" s="328">
        <v>21</v>
      </c>
      <c r="E78" s="327">
        <v>25867</v>
      </c>
      <c r="F78" s="327"/>
      <c r="G78" s="327"/>
      <c r="H78" s="327">
        <v>21002</v>
      </c>
    </row>
    <row r="79" spans="2:8" x14ac:dyDescent="0.2">
      <c r="B79" s="326">
        <v>41944</v>
      </c>
      <c r="C79" s="328">
        <v>614</v>
      </c>
      <c r="D79" s="328">
        <v>17</v>
      </c>
      <c r="E79" s="327">
        <v>16769</v>
      </c>
      <c r="F79" s="327"/>
      <c r="G79" s="327"/>
      <c r="H79" s="327">
        <v>15842</v>
      </c>
    </row>
    <row r="80" spans="2:8" x14ac:dyDescent="0.2">
      <c r="B80" s="326">
        <v>41974</v>
      </c>
      <c r="C80" s="328">
        <v>534</v>
      </c>
      <c r="D80" s="328">
        <v>22</v>
      </c>
      <c r="E80" s="327">
        <v>23318</v>
      </c>
      <c r="F80" s="327"/>
      <c r="G80" s="327"/>
      <c r="H80" s="327">
        <v>20226</v>
      </c>
    </row>
    <row r="81" spans="2:8" x14ac:dyDescent="0.2">
      <c r="B81" s="326">
        <v>42005</v>
      </c>
      <c r="C81" s="328">
        <v>478</v>
      </c>
      <c r="D81" s="328">
        <v>21</v>
      </c>
      <c r="E81" s="327">
        <v>23056</v>
      </c>
      <c r="F81" s="327"/>
      <c r="G81" s="327"/>
      <c r="H81" s="327">
        <v>21061</v>
      </c>
    </row>
    <row r="82" spans="2:8" x14ac:dyDescent="0.2">
      <c r="B82" s="326">
        <v>42036</v>
      </c>
      <c r="C82" s="328">
        <v>361</v>
      </c>
      <c r="D82" s="328">
        <v>24</v>
      </c>
      <c r="E82" s="327">
        <v>18524</v>
      </c>
      <c r="F82" s="327"/>
      <c r="G82" s="327"/>
      <c r="H82" s="327">
        <v>17192</v>
      </c>
    </row>
    <row r="83" spans="2:8" x14ac:dyDescent="0.2">
      <c r="B83" s="326">
        <v>42064</v>
      </c>
      <c r="C83" s="328">
        <v>712</v>
      </c>
      <c r="D83" s="328">
        <v>28</v>
      </c>
      <c r="E83" s="327">
        <v>26002</v>
      </c>
      <c r="F83" s="327"/>
      <c r="G83" s="327"/>
      <c r="H83" s="327">
        <v>22027</v>
      </c>
    </row>
    <row r="84" spans="2:8" x14ac:dyDescent="0.2">
      <c r="B84" s="326">
        <v>42095</v>
      </c>
      <c r="C84" s="328">
        <v>255</v>
      </c>
      <c r="D84" s="328">
        <v>22</v>
      </c>
      <c r="E84" s="327">
        <v>23093</v>
      </c>
      <c r="F84" s="327"/>
      <c r="G84" s="327"/>
      <c r="H84" s="327">
        <v>21546</v>
      </c>
    </row>
    <row r="85" spans="2:8" x14ac:dyDescent="0.2">
      <c r="B85" s="326">
        <v>42125</v>
      </c>
      <c r="C85" s="328">
        <v>891</v>
      </c>
      <c r="D85" s="328">
        <v>21</v>
      </c>
      <c r="E85" s="327">
        <v>22362</v>
      </c>
      <c r="F85" s="327"/>
      <c r="G85" s="327"/>
      <c r="H85" s="327">
        <v>20850</v>
      </c>
    </row>
    <row r="86" spans="2:8" x14ac:dyDescent="0.2">
      <c r="B86" s="326">
        <v>42156</v>
      </c>
      <c r="C86" s="328">
        <v>117</v>
      </c>
      <c r="D86" s="328">
        <v>14</v>
      </c>
      <c r="E86" s="327">
        <v>12627</v>
      </c>
      <c r="F86" s="327"/>
      <c r="G86" s="327"/>
      <c r="H86" s="327">
        <v>11681</v>
      </c>
    </row>
    <row r="87" spans="2:8" x14ac:dyDescent="0.2">
      <c r="B87" s="326">
        <v>42186</v>
      </c>
      <c r="C87" s="328">
        <v>181</v>
      </c>
      <c r="D87" s="328">
        <v>18</v>
      </c>
      <c r="E87" s="327">
        <v>19638</v>
      </c>
      <c r="F87" s="327"/>
      <c r="G87" s="327"/>
      <c r="H87" s="327">
        <v>18282</v>
      </c>
    </row>
    <row r="88" spans="2:8" x14ac:dyDescent="0.2">
      <c r="B88" s="326">
        <v>42217</v>
      </c>
      <c r="C88" s="328">
        <v>128</v>
      </c>
      <c r="D88" s="328">
        <v>14</v>
      </c>
      <c r="E88" s="327">
        <v>21146</v>
      </c>
      <c r="F88" s="327"/>
      <c r="G88" s="327"/>
      <c r="H88" s="327">
        <v>19598</v>
      </c>
    </row>
    <row r="89" spans="2:8" x14ac:dyDescent="0.2">
      <c r="B89" s="326">
        <v>42248</v>
      </c>
      <c r="C89" s="328">
        <v>161</v>
      </c>
      <c r="D89" s="328">
        <v>18</v>
      </c>
      <c r="E89" s="327">
        <v>27499</v>
      </c>
      <c r="F89" s="327"/>
      <c r="G89" s="327"/>
      <c r="H89" s="327">
        <v>21738</v>
      </c>
    </row>
    <row r="90" spans="2:8" x14ac:dyDescent="0.2">
      <c r="B90" s="326">
        <v>42278</v>
      </c>
      <c r="C90" s="328">
        <v>195</v>
      </c>
      <c r="D90" s="328">
        <v>21</v>
      </c>
      <c r="E90" s="327">
        <v>25195</v>
      </c>
      <c r="F90" s="327"/>
      <c r="G90" s="327"/>
      <c r="H90" s="327">
        <v>20911</v>
      </c>
    </row>
    <row r="91" spans="2:8" x14ac:dyDescent="0.2">
      <c r="B91" s="326">
        <v>42309</v>
      </c>
      <c r="C91" s="328">
        <v>225</v>
      </c>
      <c r="D91" s="328">
        <v>20</v>
      </c>
      <c r="E91" s="327">
        <v>22695</v>
      </c>
      <c r="F91" s="327"/>
      <c r="G91" s="327"/>
      <c r="H91" s="327">
        <v>19610</v>
      </c>
    </row>
    <row r="92" spans="2:8" x14ac:dyDescent="0.2">
      <c r="B92" s="326">
        <v>42339</v>
      </c>
      <c r="C92" s="328">
        <v>212</v>
      </c>
      <c r="D92" s="328">
        <v>27</v>
      </c>
      <c r="E92" s="327">
        <v>22984</v>
      </c>
      <c r="F92" s="327"/>
      <c r="G92" s="327"/>
      <c r="H92" s="327">
        <v>20973</v>
      </c>
    </row>
    <row r="93" spans="2:8" x14ac:dyDescent="0.2">
      <c r="B93" s="326">
        <v>42370</v>
      </c>
      <c r="C93" s="328">
        <v>352</v>
      </c>
      <c r="D93" s="328">
        <v>37</v>
      </c>
      <c r="E93" s="327">
        <v>22006</v>
      </c>
      <c r="F93" s="327"/>
      <c r="G93" s="327"/>
      <c r="H93" s="327">
        <v>20462</v>
      </c>
    </row>
    <row r="94" spans="2:8" x14ac:dyDescent="0.2">
      <c r="B94" s="326">
        <v>42401</v>
      </c>
      <c r="C94" s="328">
        <v>370</v>
      </c>
      <c r="D94" s="328">
        <v>34</v>
      </c>
      <c r="E94" s="327">
        <v>21509</v>
      </c>
      <c r="F94" s="327"/>
      <c r="G94" s="327"/>
      <c r="H94" s="327">
        <v>20333</v>
      </c>
    </row>
    <row r="95" spans="2:8" x14ac:dyDescent="0.2">
      <c r="B95" s="326">
        <v>42430</v>
      </c>
      <c r="C95" s="328">
        <v>389</v>
      </c>
      <c r="D95" s="328">
        <v>23</v>
      </c>
      <c r="E95" s="327">
        <v>21336</v>
      </c>
      <c r="F95" s="327"/>
      <c r="G95" s="327"/>
      <c r="H95" s="327">
        <v>19910</v>
      </c>
    </row>
    <row r="96" spans="2:8" x14ac:dyDescent="0.2">
      <c r="B96" s="326">
        <v>42461</v>
      </c>
      <c r="C96" s="328">
        <v>285</v>
      </c>
      <c r="D96" s="328">
        <v>18</v>
      </c>
      <c r="E96" s="327">
        <v>5659</v>
      </c>
      <c r="F96" s="327"/>
      <c r="G96" s="327"/>
      <c r="H96" s="327">
        <v>5480</v>
      </c>
    </row>
    <row r="97" spans="2:8" x14ac:dyDescent="0.2">
      <c r="B97" s="326">
        <v>42491</v>
      </c>
      <c r="C97" s="328">
        <v>288</v>
      </c>
      <c r="D97" s="328">
        <v>16</v>
      </c>
      <c r="E97" s="327">
        <v>6651</v>
      </c>
      <c r="F97" s="327">
        <v>2372</v>
      </c>
      <c r="G97" s="327">
        <v>3426</v>
      </c>
      <c r="H97" s="327">
        <f t="shared" ref="H97:H122" si="0">F97+G97</f>
        <v>5798</v>
      </c>
    </row>
    <row r="98" spans="2:8" x14ac:dyDescent="0.2">
      <c r="B98" s="326" t="s">
        <v>578</v>
      </c>
      <c r="C98" s="328">
        <v>21</v>
      </c>
      <c r="D98" s="328">
        <v>15</v>
      </c>
      <c r="E98" s="327">
        <v>5426</v>
      </c>
      <c r="F98" s="327">
        <v>2742</v>
      </c>
      <c r="G98" s="327">
        <v>2014</v>
      </c>
      <c r="H98" s="327">
        <f t="shared" si="0"/>
        <v>4756</v>
      </c>
    </row>
    <row r="99" spans="2:8" x14ac:dyDescent="0.2">
      <c r="B99" s="326">
        <v>42552</v>
      </c>
      <c r="C99" s="328">
        <v>9</v>
      </c>
      <c r="D99" s="328">
        <v>9</v>
      </c>
      <c r="E99" s="327">
        <v>3253</v>
      </c>
      <c r="F99" s="327">
        <v>1620</v>
      </c>
      <c r="G99" s="327">
        <v>1416</v>
      </c>
      <c r="H99" s="327">
        <f t="shared" si="0"/>
        <v>3036</v>
      </c>
    </row>
    <row r="100" spans="2:8" x14ac:dyDescent="0.2">
      <c r="B100" s="326">
        <v>42583</v>
      </c>
      <c r="C100" s="328">
        <v>13</v>
      </c>
      <c r="D100" s="328">
        <v>10</v>
      </c>
      <c r="E100" s="327">
        <v>3343</v>
      </c>
      <c r="F100" s="327">
        <v>1688</v>
      </c>
      <c r="G100" s="327">
        <v>1336</v>
      </c>
      <c r="H100" s="327">
        <f t="shared" si="0"/>
        <v>3024</v>
      </c>
    </row>
    <row r="101" spans="2:8" x14ac:dyDescent="0.2">
      <c r="B101" s="326">
        <v>42614</v>
      </c>
      <c r="C101" s="328">
        <v>16</v>
      </c>
      <c r="D101" s="328">
        <v>11</v>
      </c>
      <c r="E101" s="327">
        <v>3298</v>
      </c>
      <c r="F101" s="327">
        <v>1715</v>
      </c>
      <c r="G101" s="327">
        <v>1358</v>
      </c>
      <c r="H101" s="327">
        <f t="shared" si="0"/>
        <v>3073</v>
      </c>
    </row>
    <row r="102" spans="2:8" x14ac:dyDescent="0.2">
      <c r="B102" s="326">
        <v>42644</v>
      </c>
      <c r="C102" s="328">
        <v>28</v>
      </c>
      <c r="D102" s="328">
        <v>12</v>
      </c>
      <c r="E102" s="327">
        <v>3465</v>
      </c>
      <c r="F102" s="327">
        <v>1819</v>
      </c>
      <c r="G102" s="327">
        <v>1455</v>
      </c>
      <c r="H102" s="327">
        <f t="shared" si="0"/>
        <v>3274</v>
      </c>
    </row>
    <row r="103" spans="2:8" x14ac:dyDescent="0.2">
      <c r="B103" s="326">
        <v>42675</v>
      </c>
      <c r="C103" s="328">
        <v>38</v>
      </c>
      <c r="D103" s="328">
        <v>13</v>
      </c>
      <c r="E103" s="327">
        <v>3225</v>
      </c>
      <c r="F103" s="327">
        <v>1699</v>
      </c>
      <c r="G103" s="327">
        <v>1369</v>
      </c>
      <c r="H103" s="327">
        <f t="shared" si="0"/>
        <v>3068</v>
      </c>
    </row>
    <row r="104" spans="2:8" x14ac:dyDescent="0.2">
      <c r="B104" s="326">
        <v>42705</v>
      </c>
      <c r="C104" s="328">
        <v>48</v>
      </c>
      <c r="D104" s="328">
        <v>20</v>
      </c>
      <c r="E104" s="327">
        <v>2951</v>
      </c>
      <c r="F104" s="327">
        <v>1530</v>
      </c>
      <c r="G104" s="327">
        <v>1273</v>
      </c>
      <c r="H104" s="327">
        <f t="shared" si="0"/>
        <v>2803</v>
      </c>
    </row>
    <row r="105" spans="2:8" x14ac:dyDescent="0.2">
      <c r="B105" s="326">
        <v>42736</v>
      </c>
      <c r="C105" s="328">
        <v>28</v>
      </c>
      <c r="D105" s="328">
        <v>16</v>
      </c>
      <c r="E105" s="327">
        <v>4231</v>
      </c>
      <c r="F105" s="327">
        <v>2288</v>
      </c>
      <c r="G105" s="327">
        <v>1377</v>
      </c>
      <c r="H105" s="327">
        <f t="shared" si="0"/>
        <v>3665</v>
      </c>
    </row>
    <row r="106" spans="2:8" x14ac:dyDescent="0.2">
      <c r="B106" s="326">
        <v>42767</v>
      </c>
      <c r="C106" s="328">
        <v>40</v>
      </c>
      <c r="D106" s="328">
        <v>21</v>
      </c>
      <c r="E106" s="327">
        <v>2725</v>
      </c>
      <c r="F106" s="327">
        <v>1411</v>
      </c>
      <c r="G106" s="327">
        <v>1152</v>
      </c>
      <c r="H106" s="327">
        <f t="shared" si="0"/>
        <v>2563</v>
      </c>
    </row>
    <row r="107" spans="2:8" x14ac:dyDescent="0.2">
      <c r="B107" s="326">
        <v>42795</v>
      </c>
      <c r="C107" s="328">
        <v>51</v>
      </c>
      <c r="D107" s="328">
        <v>19</v>
      </c>
      <c r="E107" s="327">
        <v>2482</v>
      </c>
      <c r="F107" s="327">
        <v>1321</v>
      </c>
      <c r="G107" s="327">
        <v>1042</v>
      </c>
      <c r="H107" s="327">
        <f t="shared" si="0"/>
        <v>2363</v>
      </c>
    </row>
    <row r="108" spans="2:8" x14ac:dyDescent="0.2">
      <c r="B108" s="326">
        <v>42826</v>
      </c>
      <c r="C108" s="328">
        <v>52</v>
      </c>
      <c r="D108" s="328">
        <v>16</v>
      </c>
      <c r="E108" s="327">
        <v>2908</v>
      </c>
      <c r="F108" s="327">
        <v>1304</v>
      </c>
      <c r="G108" s="327">
        <v>1301</v>
      </c>
      <c r="H108" s="327">
        <f t="shared" si="0"/>
        <v>2605</v>
      </c>
    </row>
    <row r="109" spans="2:8" x14ac:dyDescent="0.2">
      <c r="B109" s="326">
        <v>42856</v>
      </c>
      <c r="C109" s="328">
        <v>33</v>
      </c>
      <c r="D109" s="328">
        <v>11</v>
      </c>
      <c r="E109" s="327">
        <v>2762</v>
      </c>
      <c r="F109" s="327">
        <v>1396</v>
      </c>
      <c r="G109" s="327">
        <v>1203</v>
      </c>
      <c r="H109" s="327">
        <f t="shared" si="0"/>
        <v>2599</v>
      </c>
    </row>
    <row r="110" spans="2:8" x14ac:dyDescent="0.2">
      <c r="B110" s="326" t="s">
        <v>579</v>
      </c>
      <c r="C110" s="327">
        <v>4096</v>
      </c>
      <c r="D110" s="328">
        <v>40</v>
      </c>
      <c r="E110" s="327">
        <v>176735</v>
      </c>
      <c r="F110" s="327">
        <v>29918</v>
      </c>
      <c r="G110" s="327">
        <v>21206</v>
      </c>
      <c r="H110" s="327">
        <f t="shared" si="0"/>
        <v>51124</v>
      </c>
    </row>
    <row r="111" spans="2:8" x14ac:dyDescent="0.2">
      <c r="B111" s="326">
        <v>42917</v>
      </c>
      <c r="C111" s="327">
        <v>6517</v>
      </c>
      <c r="D111" s="328">
        <v>46</v>
      </c>
      <c r="E111" s="327">
        <v>93102</v>
      </c>
      <c r="F111" s="327">
        <v>22383</v>
      </c>
      <c r="G111" s="327">
        <v>16060</v>
      </c>
      <c r="H111" s="327">
        <f t="shared" si="0"/>
        <v>38443</v>
      </c>
    </row>
    <row r="112" spans="2:8" x14ac:dyDescent="0.2">
      <c r="B112" s="326">
        <v>42948</v>
      </c>
      <c r="C112" s="327">
        <v>7909</v>
      </c>
      <c r="D112" s="328">
        <v>49</v>
      </c>
      <c r="E112" s="327">
        <v>2314</v>
      </c>
      <c r="F112" s="327">
        <v>999</v>
      </c>
      <c r="G112" s="327">
        <v>1181</v>
      </c>
      <c r="H112" s="327">
        <f t="shared" si="0"/>
        <v>2180</v>
      </c>
    </row>
    <row r="113" spans="2:8" x14ac:dyDescent="0.2">
      <c r="B113" s="326">
        <v>42979</v>
      </c>
      <c r="C113" s="327">
        <v>2045</v>
      </c>
      <c r="D113" s="328">
        <v>33</v>
      </c>
      <c r="E113" s="327">
        <v>37486</v>
      </c>
      <c r="F113" s="327">
        <v>14569</v>
      </c>
      <c r="G113" s="327">
        <v>9638</v>
      </c>
      <c r="H113" s="327">
        <f t="shared" si="0"/>
        <v>24207</v>
      </c>
    </row>
    <row r="114" spans="2:8" x14ac:dyDescent="0.2">
      <c r="B114" s="326">
        <v>43009</v>
      </c>
      <c r="C114" s="327">
        <v>1138</v>
      </c>
      <c r="D114" s="328">
        <v>31</v>
      </c>
      <c r="E114" s="327">
        <v>33256</v>
      </c>
      <c r="F114" s="327">
        <v>15883</v>
      </c>
      <c r="G114" s="327">
        <v>9130</v>
      </c>
      <c r="H114" s="327">
        <f t="shared" si="0"/>
        <v>25013</v>
      </c>
    </row>
    <row r="115" spans="2:8" x14ac:dyDescent="0.2">
      <c r="B115" s="326">
        <v>43040</v>
      </c>
      <c r="C115" s="327">
        <v>989</v>
      </c>
      <c r="D115" s="328">
        <v>32</v>
      </c>
      <c r="E115" s="327">
        <v>26590</v>
      </c>
      <c r="F115" s="327">
        <v>12842</v>
      </c>
      <c r="G115" s="327">
        <v>8080</v>
      </c>
      <c r="H115" s="327">
        <f t="shared" si="0"/>
        <v>20922</v>
      </c>
    </row>
    <row r="116" spans="2:8" x14ac:dyDescent="0.2">
      <c r="B116" s="326">
        <v>43070</v>
      </c>
      <c r="C116" s="327">
        <v>1027</v>
      </c>
      <c r="D116" s="328">
        <v>26</v>
      </c>
      <c r="E116" s="327">
        <v>18586</v>
      </c>
      <c r="F116" s="327">
        <v>10315</v>
      </c>
      <c r="G116" s="327">
        <v>7147</v>
      </c>
      <c r="H116" s="327">
        <f t="shared" si="0"/>
        <v>17462</v>
      </c>
    </row>
    <row r="117" spans="2:8" x14ac:dyDescent="0.2">
      <c r="B117" s="326">
        <v>43101</v>
      </c>
      <c r="C117" s="327">
        <v>1354</v>
      </c>
      <c r="D117" s="328">
        <v>30</v>
      </c>
      <c r="E117" s="327">
        <v>18570</v>
      </c>
      <c r="F117" s="327">
        <v>10476</v>
      </c>
      <c r="G117" s="327">
        <v>7039</v>
      </c>
      <c r="H117" s="327">
        <f t="shared" si="0"/>
        <v>17515</v>
      </c>
    </row>
    <row r="118" spans="2:8" x14ac:dyDescent="0.2">
      <c r="B118" s="326">
        <v>43132</v>
      </c>
      <c r="C118" s="327">
        <v>1044</v>
      </c>
      <c r="D118" s="371">
        <v>26</v>
      </c>
      <c r="E118" s="327">
        <v>12624</v>
      </c>
      <c r="F118" s="327">
        <v>4546</v>
      </c>
      <c r="G118" s="327">
        <v>7245</v>
      </c>
      <c r="H118" s="327">
        <f t="shared" si="0"/>
        <v>11791</v>
      </c>
    </row>
    <row r="119" spans="2:8" x14ac:dyDescent="0.2">
      <c r="B119" s="326">
        <v>43160</v>
      </c>
      <c r="C119" s="327">
        <v>923</v>
      </c>
      <c r="D119" s="371">
        <v>42</v>
      </c>
      <c r="E119" s="327">
        <v>19233</v>
      </c>
      <c r="F119" s="327">
        <v>10727</v>
      </c>
      <c r="G119" s="327">
        <v>7306</v>
      </c>
      <c r="H119" s="327">
        <f t="shared" si="0"/>
        <v>18033</v>
      </c>
    </row>
    <row r="120" spans="2:8" x14ac:dyDescent="0.2">
      <c r="B120" s="326">
        <v>43191</v>
      </c>
      <c r="C120" s="327">
        <v>1496</v>
      </c>
      <c r="D120" s="371">
        <v>53</v>
      </c>
      <c r="E120" s="327">
        <v>27469</v>
      </c>
      <c r="F120" s="327">
        <v>9262</v>
      </c>
      <c r="G120" s="327">
        <v>12706</v>
      </c>
      <c r="H120" s="327">
        <f t="shared" si="0"/>
        <v>21968</v>
      </c>
    </row>
    <row r="121" spans="2:8" x14ac:dyDescent="0.2">
      <c r="B121" s="326">
        <v>43221</v>
      </c>
      <c r="C121" s="327">
        <v>1099</v>
      </c>
      <c r="D121" s="327">
        <v>44</v>
      </c>
      <c r="E121" s="327">
        <v>19923</v>
      </c>
      <c r="F121" s="327">
        <v>11003</v>
      </c>
      <c r="G121" s="327">
        <v>7814</v>
      </c>
      <c r="H121" s="327">
        <f t="shared" si="0"/>
        <v>18817</v>
      </c>
    </row>
    <row r="122" spans="2:8" x14ac:dyDescent="0.2">
      <c r="B122" s="326">
        <v>43252</v>
      </c>
      <c r="C122" s="327">
        <v>2919</v>
      </c>
      <c r="D122" s="377">
        <v>53</v>
      </c>
      <c r="E122" s="327">
        <v>33135</v>
      </c>
      <c r="F122" s="327">
        <v>12977</v>
      </c>
      <c r="G122" s="327">
        <v>8927</v>
      </c>
      <c r="H122" s="327">
        <f t="shared" si="0"/>
        <v>21904</v>
      </c>
    </row>
    <row r="123" spans="2:8" x14ac:dyDescent="0.2">
      <c r="B123" s="326">
        <v>43282</v>
      </c>
      <c r="C123" s="327">
        <v>643</v>
      </c>
      <c r="D123" s="377">
        <v>53</v>
      </c>
      <c r="E123" s="327">
        <v>16559</v>
      </c>
      <c r="F123" s="327">
        <v>9397</v>
      </c>
      <c r="G123" s="327">
        <v>6259</v>
      </c>
      <c r="H123" s="327">
        <f>F123+G123</f>
        <v>15656</v>
      </c>
    </row>
    <row r="124" spans="2:8" x14ac:dyDescent="0.2">
      <c r="B124" s="326">
        <v>43313</v>
      </c>
      <c r="C124" s="327">
        <v>542</v>
      </c>
      <c r="D124" s="377">
        <v>55</v>
      </c>
      <c r="E124" s="327">
        <v>16468</v>
      </c>
      <c r="F124" s="327">
        <v>6293</v>
      </c>
      <c r="G124" s="327">
        <v>9380</v>
      </c>
      <c r="H124" s="327">
        <f>F124+G124</f>
        <v>15673</v>
      </c>
    </row>
    <row r="125" spans="2:8" x14ac:dyDescent="0.2">
      <c r="B125" s="326">
        <v>43344</v>
      </c>
      <c r="C125" s="327">
        <v>542</v>
      </c>
      <c r="D125" s="377">
        <v>47</v>
      </c>
      <c r="E125" s="327">
        <v>20636</v>
      </c>
      <c r="F125" s="327">
        <v>7467</v>
      </c>
      <c r="G125" s="327">
        <v>10966</v>
      </c>
      <c r="H125" s="327">
        <f t="shared" ref="H125:H126" si="1">F125+G125</f>
        <v>18433</v>
      </c>
    </row>
    <row r="126" spans="2:8" x14ac:dyDescent="0.2">
      <c r="B126" s="326">
        <v>43374</v>
      </c>
      <c r="C126" s="327">
        <v>1166</v>
      </c>
      <c r="D126" s="377">
        <v>64</v>
      </c>
      <c r="E126" s="327">
        <v>18153</v>
      </c>
      <c r="F126" s="327">
        <v>9884</v>
      </c>
      <c r="G126" s="327">
        <v>6728</v>
      </c>
      <c r="H126" s="327">
        <f t="shared" si="1"/>
        <v>16612</v>
      </c>
    </row>
    <row r="127" spans="2:8" x14ac:dyDescent="0.2">
      <c r="B127" s="331">
        <v>43405</v>
      </c>
      <c r="C127" s="332">
        <v>684</v>
      </c>
      <c r="D127" s="378" t="s">
        <v>499</v>
      </c>
      <c r="E127" s="332">
        <v>22023</v>
      </c>
      <c r="F127" s="332">
        <v>7542</v>
      </c>
      <c r="G127" s="332">
        <v>10985</v>
      </c>
      <c r="H127" s="332">
        <f>F127+G127</f>
        <v>18527</v>
      </c>
    </row>
    <row r="129" spans="2:8" x14ac:dyDescent="0.2">
      <c r="B129" s="196" t="s">
        <v>580</v>
      </c>
    </row>
    <row r="130" spans="2:8" x14ac:dyDescent="0.2">
      <c r="B130" s="501" t="s">
        <v>581</v>
      </c>
      <c r="C130" s="501"/>
      <c r="D130" s="501"/>
      <c r="E130" s="501"/>
      <c r="F130" s="501"/>
      <c r="G130" s="501"/>
      <c r="H130" s="501"/>
    </row>
    <row r="131" spans="2:8" ht="41.25" customHeight="1" x14ac:dyDescent="0.2">
      <c r="B131" s="502" t="s">
        <v>582</v>
      </c>
      <c r="C131" s="502"/>
      <c r="D131" s="502"/>
      <c r="E131" s="502"/>
      <c r="F131" s="502"/>
      <c r="G131" s="502"/>
      <c r="H131" s="502"/>
    </row>
    <row r="132" spans="2:8" x14ac:dyDescent="0.2">
      <c r="B132" s="364" t="s">
        <v>583</v>
      </c>
      <c r="C132" s="333"/>
      <c r="D132" s="333"/>
      <c r="E132" s="333"/>
      <c r="F132" s="333"/>
      <c r="G132" s="333"/>
      <c r="H132" s="333"/>
    </row>
    <row r="133" spans="2:8" x14ac:dyDescent="0.2">
      <c r="B133" s="365" t="s">
        <v>599</v>
      </c>
    </row>
    <row r="134" spans="2:8" ht="75" customHeight="1" x14ac:dyDescent="0.2">
      <c r="B134" s="503" t="s">
        <v>584</v>
      </c>
      <c r="C134" s="503"/>
      <c r="D134" s="503"/>
      <c r="E134" s="503"/>
      <c r="F134" s="503"/>
      <c r="G134" s="503"/>
      <c r="H134" s="503"/>
    </row>
    <row r="135" spans="2:8" ht="38.25" customHeight="1" x14ac:dyDescent="0.2">
      <c r="B135" s="503" t="s">
        <v>585</v>
      </c>
      <c r="C135" s="503"/>
      <c r="D135" s="503"/>
      <c r="E135" s="503"/>
      <c r="F135" s="503"/>
      <c r="G135" s="503"/>
      <c r="H135" s="503"/>
    </row>
  </sheetData>
  <mergeCells count="13">
    <mergeCell ref="B130:H130"/>
    <mergeCell ref="B131:H131"/>
    <mergeCell ref="B134:H134"/>
    <mergeCell ref="B135:H135"/>
    <mergeCell ref="B5:H5"/>
    <mergeCell ref="B6:H6"/>
    <mergeCell ref="B8:B10"/>
    <mergeCell ref="C8:D8"/>
    <mergeCell ref="E8:H8"/>
    <mergeCell ref="C9:C10"/>
    <mergeCell ref="D9:D10"/>
    <mergeCell ref="E9:E10"/>
    <mergeCell ref="F9:H9"/>
  </mergeCells>
  <hyperlinks>
    <hyperlink ref="J5" location="'Índice STJ'!A1" display="'Índice STJ'!A1" xr:uid="{00000000-0004-0000-2000-000000000000}"/>
  </hyperlink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15</vt:i4>
      </vt:variant>
    </vt:vector>
  </HeadingPairs>
  <TitlesOfParts>
    <vt:vector size="48" baseType="lpstr">
      <vt:lpstr>datos</vt:lpstr>
      <vt:lpstr>Índice</vt:lpstr>
      <vt:lpstr>Índice Pensiones Solidarias</vt:lpstr>
      <vt:lpstr>Solicitudes Nacional</vt:lpstr>
      <vt:lpstr>Concesiones Nacional</vt:lpstr>
      <vt:lpstr>Solicitudes Regiones</vt:lpstr>
      <vt:lpstr>Concesiones Regiones</vt:lpstr>
      <vt:lpstr>XV</vt:lpstr>
      <vt:lpstr>I</vt:lpstr>
      <vt:lpstr>II</vt:lpstr>
      <vt:lpstr>III</vt:lpstr>
      <vt:lpstr>IV</vt:lpstr>
      <vt:lpstr>V</vt:lpstr>
      <vt:lpstr>VI</vt:lpstr>
      <vt:lpstr>VII</vt:lpstr>
      <vt:lpstr>XVI</vt:lpstr>
      <vt:lpstr>VIII</vt:lpstr>
      <vt:lpstr>IX</vt:lpstr>
      <vt:lpstr>XIV</vt:lpstr>
      <vt:lpstr>X</vt:lpstr>
      <vt:lpstr>XI</vt:lpstr>
      <vt:lpstr>XII</vt:lpstr>
      <vt:lpstr>XIII</vt:lpstr>
      <vt:lpstr>Índice BxH</vt:lpstr>
      <vt:lpstr>Concesiones Mensuales BxH</vt:lpstr>
      <vt:lpstr>Solicitudes y Rechazos BxH</vt:lpstr>
      <vt:lpstr>Concesiones Mensuales Regional</vt:lpstr>
      <vt:lpstr>Índice STJ</vt:lpstr>
      <vt:lpstr>Contratación Solicitudes</vt:lpstr>
      <vt:lpstr>Contratación Trámite</vt:lpstr>
      <vt:lpstr>Cotización Solicitudes</vt:lpstr>
      <vt:lpstr>Cotización Trámite</vt:lpstr>
      <vt:lpstr>Subsidios Pagados</vt:lpstr>
      <vt:lpstr>I!Área_de_impresión</vt:lpstr>
      <vt:lpstr>II!Área_de_impresión</vt:lpstr>
      <vt:lpstr>III!Área_de_impresión</vt:lpstr>
      <vt:lpstr>IV!Área_de_impresión</vt:lpstr>
      <vt:lpstr>IX!Área_de_impresión</vt:lpstr>
      <vt:lpstr>V!Área_de_impresión</vt:lpstr>
      <vt:lpstr>VI!Área_de_impresión</vt:lpstr>
      <vt:lpstr>VII!Área_de_impresión</vt:lpstr>
      <vt:lpstr>VIII!Área_de_impresión</vt:lpstr>
      <vt:lpstr>X!Área_de_impresión</vt:lpstr>
      <vt:lpstr>XI!Área_de_impresión</vt:lpstr>
      <vt:lpstr>XII!Área_de_impresión</vt:lpstr>
      <vt:lpstr>XIII!Área_de_impresión</vt:lpstr>
      <vt:lpstr>XIV!Área_de_impresión</vt:lpstr>
      <vt:lpstr>XVI!Área_de_impresión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Margarita Martinez Becerra</dc:creator>
  <cp:lastModifiedBy>Maria Hadad Plate</cp:lastModifiedBy>
  <dcterms:created xsi:type="dcterms:W3CDTF">2018-05-04T15:44:38Z</dcterms:created>
  <dcterms:modified xsi:type="dcterms:W3CDTF">2019-01-07T14:44:33Z</dcterms:modified>
</cp:coreProperties>
</file>