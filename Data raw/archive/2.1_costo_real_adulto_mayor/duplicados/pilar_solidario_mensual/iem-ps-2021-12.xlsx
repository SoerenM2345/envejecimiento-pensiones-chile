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codeName="ThisWorkbook"/>
  <mc:AlternateContent xmlns:mc="http://schemas.openxmlformats.org/markup-compatibility/2006">
    <mc:Choice Requires="x15">
      <x15ac:absPath xmlns:x15ac="http://schemas.microsoft.com/office/spreadsheetml/2010/11/ac" url="https://previsionsocial-my.sharepoint.com/personal/amanda_martinez_previsionsocial_gob_cl/Documents/12. Diciembre 2021/"/>
    </mc:Choice>
  </mc:AlternateContent>
  <xr:revisionPtr revIDLastSave="38" documentId="8_{16E39B1F-73CD-4978-949E-2A33F47036F8}" xr6:coauthVersionLast="47" xr6:coauthVersionMax="47" xr10:uidLastSave="{F0A8A9D9-321D-4795-A7D2-556903916E27}"/>
  <bookViews>
    <workbookView xWindow="-120" yWindow="-120" windowWidth="20730" windowHeight="11160" tabRatio="941" firstSheet="1" activeTab="1" xr2:uid="{00000000-000D-0000-FFFF-FFFF00000000}"/>
  </bookViews>
  <sheets>
    <sheet name="datos" sheetId="21" state="hidden" r:id="rId1"/>
    <sheet name="Índice" sheetId="23" r:id="rId2"/>
    <sheet name="Índice Pensiones Solidarias" sheetId="20" r:id="rId3"/>
    <sheet name="Solicitudes Nacional" sheetId="1" r:id="rId4"/>
    <sheet name="Concesiones Nacional" sheetId="2" r:id="rId5"/>
    <sheet name="Solicitudes Regiones" sheetId="3" r:id="rId6"/>
    <sheet name="Concesiones Regiones" sheetId="4" r:id="rId7"/>
    <sheet name="XV" sheetId="5" r:id="rId8"/>
    <sheet name="I" sheetId="6" r:id="rId9"/>
    <sheet name="II" sheetId="7" r:id="rId10"/>
    <sheet name="III" sheetId="8" r:id="rId11"/>
    <sheet name="IV" sheetId="9" r:id="rId12"/>
    <sheet name="V" sheetId="10" r:id="rId13"/>
    <sheet name="VI" sheetId="11" r:id="rId14"/>
    <sheet name="VII" sheetId="12" r:id="rId15"/>
    <sheet name="XVI" sheetId="34" r:id="rId16"/>
    <sheet name="VIII" sheetId="13" r:id="rId17"/>
    <sheet name="IX" sheetId="14" r:id="rId18"/>
    <sheet name="XIV" sheetId="15" r:id="rId19"/>
    <sheet name="X" sheetId="16" r:id="rId20"/>
    <sheet name="XI" sheetId="17" r:id="rId21"/>
    <sheet name="XII" sheetId="18" r:id="rId22"/>
    <sheet name="XIII" sheetId="19" r:id="rId23"/>
    <sheet name="Índice BxH" sheetId="22" r:id="rId24"/>
    <sheet name="Concesiones Mensuales BxH" sheetId="25" r:id="rId25"/>
    <sheet name="Solicitudes y Rechazos BxH" sheetId="26" r:id="rId26"/>
    <sheet name="Concesiones Mensuales Regional" sheetId="27" r:id="rId27"/>
    <sheet name="Índice STJ" sheetId="24" r:id="rId28"/>
    <sheet name="Contratación Solicitudes" sheetId="29" r:id="rId29"/>
    <sheet name="Contratación Trámite" sheetId="30" r:id="rId30"/>
    <sheet name="Cotización Solicitudes" sheetId="31" r:id="rId31"/>
    <sheet name="Cotización Trámite" sheetId="32" r:id="rId32"/>
    <sheet name="Subsidios Pagados" sheetId="33" r:id="rId33"/>
  </sheets>
  <definedNames>
    <definedName name="_xlnm.Print_Area" localSheetId="8">I!$B$1:$L$37</definedName>
    <definedName name="_xlnm.Print_Area" localSheetId="9">II!$B$1:$L$41</definedName>
    <definedName name="_xlnm.Print_Area" localSheetId="10">III!$B$1:$L$41</definedName>
    <definedName name="_xlnm.Print_Area" localSheetId="11">IV!$B$1:$L$53</definedName>
    <definedName name="_xlnm.Print_Area" localSheetId="17">IX!$B$1:$L$86</definedName>
    <definedName name="_xlnm.Print_Area" localSheetId="12">V!$B$1:$L$99</definedName>
    <definedName name="_xlnm.Print_Area" localSheetId="13">VI!$B$1:$L$89</definedName>
    <definedName name="_xlnm.Print_Area" localSheetId="14">VII!$B$1:$L$82</definedName>
    <definedName name="_xlnm.Print_Area" localSheetId="16">VIII!$B$1:$L$88</definedName>
    <definedName name="_xlnm.Print_Area" localSheetId="19">X!$B$1:$L$82</definedName>
    <definedName name="_xlnm.Print_Area" localSheetId="20">XI!$B$1:$L$42</definedName>
    <definedName name="_xlnm.Print_Area" localSheetId="21">XII!$B$1:$L$44</definedName>
    <definedName name="_xlnm.Print_Area" localSheetId="22">XIII!$B$1:$L$127</definedName>
    <definedName name="_xlnm.Print_Area" localSheetId="18">XIV!$B$1:$L$46</definedName>
    <definedName name="_xlnm.Print_Area" localSheetId="15">XVI!$B$1:$L$64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131" i="25" l="1"/>
  <c r="H164" i="33" l="1"/>
  <c r="K129" i="32"/>
  <c r="H129" i="32"/>
  <c r="E129" i="32"/>
  <c r="K128" i="32"/>
  <c r="H128" i="32"/>
  <c r="E128" i="32"/>
  <c r="L128" i="32" s="1"/>
  <c r="D128" i="31"/>
  <c r="C128" i="31"/>
  <c r="E127" i="31"/>
  <c r="D127" i="30"/>
  <c r="E127" i="30"/>
  <c r="C127" i="30"/>
  <c r="F126" i="30"/>
  <c r="D132" i="29"/>
  <c r="E132" i="29"/>
  <c r="C132" i="29"/>
  <c r="F131" i="29"/>
  <c r="D118" i="26" l="1"/>
  <c r="C118" i="26"/>
  <c r="H131" i="25"/>
  <c r="G131" i="25"/>
  <c r="F131" i="25"/>
  <c r="E131" i="25"/>
  <c r="D131" i="25"/>
  <c r="J131" i="25" s="1"/>
  <c r="E117" i="26"/>
  <c r="I130" i="25"/>
  <c r="J130" i="25"/>
  <c r="I131" i="25" l="1"/>
  <c r="H163" i="33" l="1"/>
  <c r="K127" i="32"/>
  <c r="H127" i="32"/>
  <c r="E127" i="32"/>
  <c r="L127" i="32" s="1"/>
  <c r="E126" i="31"/>
  <c r="F125" i="30"/>
  <c r="F130" i="29"/>
  <c r="E116" i="26"/>
  <c r="J129" i="25"/>
  <c r="I129" i="25"/>
  <c r="H162" i="33" l="1"/>
  <c r="H161" i="33"/>
  <c r="H160" i="33"/>
  <c r="K126" i="32"/>
  <c r="H126" i="32"/>
  <c r="E126" i="32"/>
  <c r="E125" i="31"/>
  <c r="F124" i="30"/>
  <c r="F129" i="29"/>
  <c r="L126" i="32" l="1"/>
  <c r="E115" i="26" l="1"/>
  <c r="I128" i="25"/>
  <c r="J128" i="25"/>
  <c r="H159" i="33"/>
  <c r="H158" i="33"/>
  <c r="K125" i="32"/>
  <c r="H125" i="32"/>
  <c r="E125" i="32"/>
  <c r="E124" i="31"/>
  <c r="F123" i="30"/>
  <c r="F128" i="29"/>
  <c r="L125" i="32" l="1"/>
  <c r="E114" i="26" l="1"/>
  <c r="I127" i="25"/>
  <c r="J127" i="25"/>
  <c r="K124" i="32" l="1"/>
  <c r="H124" i="32"/>
  <c r="E124" i="32"/>
  <c r="E123" i="31"/>
  <c r="F122" i="30"/>
  <c r="L124" i="32" l="1"/>
  <c r="F127" i="29"/>
  <c r="E113" i="26"/>
  <c r="J126" i="25"/>
  <c r="I126" i="25"/>
  <c r="K123" i="32" l="1"/>
  <c r="H123" i="32"/>
  <c r="E123" i="32"/>
  <c r="L123" i="32" s="1"/>
  <c r="E122" i="31"/>
  <c r="F121" i="30"/>
  <c r="F126" i="29"/>
  <c r="E112" i="26"/>
  <c r="J125" i="25"/>
  <c r="I125" i="25"/>
  <c r="H157" i="33"/>
  <c r="H156" i="33"/>
  <c r="H155" i="33"/>
  <c r="H154" i="33"/>
  <c r="H153" i="33"/>
  <c r="H152" i="33"/>
  <c r="H151" i="33"/>
  <c r="H150" i="33"/>
  <c r="H149" i="33"/>
  <c r="H148" i="33"/>
  <c r="H147" i="33"/>
  <c r="H146" i="33"/>
  <c r="H145" i="33"/>
  <c r="H144" i="33"/>
  <c r="H127" i="33"/>
  <c r="H126" i="33"/>
  <c r="H125" i="33"/>
  <c r="H124" i="33"/>
  <c r="H123" i="33"/>
  <c r="H122" i="33"/>
  <c r="H121" i="33"/>
  <c r="H120" i="33"/>
  <c r="H119" i="33"/>
  <c r="H118" i="33"/>
  <c r="H117" i="33"/>
  <c r="H116" i="33"/>
  <c r="H115" i="33"/>
  <c r="H114" i="33"/>
  <c r="H113" i="33"/>
  <c r="H112" i="33"/>
  <c r="H111" i="33"/>
  <c r="H110" i="33"/>
  <c r="H109" i="33"/>
  <c r="H108" i="33"/>
  <c r="H107" i="33"/>
  <c r="H106" i="33"/>
  <c r="H105" i="33"/>
  <c r="H104" i="33"/>
  <c r="H103" i="33"/>
  <c r="H102" i="33"/>
  <c r="H101" i="33"/>
  <c r="H100" i="33"/>
  <c r="H99" i="33"/>
  <c r="H98" i="33"/>
  <c r="H97" i="33"/>
  <c r="K122" i="32" l="1"/>
  <c r="H122" i="32"/>
  <c r="E122" i="32"/>
  <c r="E121" i="31"/>
  <c r="F120" i="30"/>
  <c r="L122" i="32" l="1"/>
  <c r="F125" i="29" l="1"/>
  <c r="E111" i="26"/>
  <c r="I124" i="25" l="1"/>
  <c r="J124" i="25"/>
  <c r="K121" i="32" l="1"/>
  <c r="H121" i="32"/>
  <c r="E121" i="32"/>
  <c r="E120" i="31"/>
  <c r="F119" i="30"/>
  <c r="F124" i="29"/>
  <c r="E110" i="26"/>
  <c r="I123" i="25"/>
  <c r="J123" i="25"/>
  <c r="L121" i="32" l="1"/>
  <c r="K120" i="32"/>
  <c r="H120" i="32"/>
  <c r="E120" i="32"/>
  <c r="E119" i="31"/>
  <c r="F118" i="30"/>
  <c r="F123" i="29"/>
  <c r="L120" i="32" l="1"/>
  <c r="E109" i="26" l="1"/>
  <c r="J122" i="25"/>
  <c r="I122" i="25"/>
  <c r="E118" i="26" l="1"/>
  <c r="E108" i="26"/>
  <c r="J121" i="25"/>
  <c r="I121" i="25"/>
  <c r="K119" i="32" l="1"/>
  <c r="H119" i="32"/>
  <c r="E119" i="32"/>
  <c r="E128" i="31"/>
  <c r="E118" i="31"/>
  <c r="F127" i="30"/>
  <c r="F117" i="30"/>
  <c r="F132" i="29"/>
  <c r="F122" i="29"/>
  <c r="K118" i="32"/>
  <c r="H118" i="32"/>
  <c r="E118" i="32"/>
  <c r="E117" i="31"/>
  <c r="F116" i="30"/>
  <c r="F121" i="29"/>
  <c r="E107" i="26"/>
  <c r="J120" i="25"/>
  <c r="I120" i="25"/>
  <c r="L119" i="32" l="1"/>
  <c r="L118" i="32"/>
  <c r="B129" i="32"/>
  <c r="K117" i="32"/>
  <c r="H117" i="32"/>
  <c r="E117" i="32"/>
  <c r="B128" i="31"/>
  <c r="E116" i="31"/>
  <c r="F115" i="30"/>
  <c r="F120" i="29"/>
  <c r="L129" i="32" l="1"/>
  <c r="L117" i="32"/>
  <c r="B118" i="26"/>
  <c r="E106" i="26"/>
  <c r="J119" i="25"/>
  <c r="I119" i="25"/>
  <c r="K115" i="32" l="1"/>
  <c r="H115" i="32"/>
  <c r="E115" i="32"/>
  <c r="D115" i="31"/>
  <c r="C115" i="31"/>
  <c r="E114" i="31"/>
  <c r="D114" i="30"/>
  <c r="E114" i="30"/>
  <c r="C114" i="30"/>
  <c r="F113" i="30"/>
  <c r="D119" i="29"/>
  <c r="E119" i="29"/>
  <c r="C119" i="29"/>
  <c r="F118" i="29"/>
  <c r="L115" i="32" l="1"/>
  <c r="D105" i="26"/>
  <c r="C105" i="26"/>
  <c r="E104" i="26"/>
  <c r="H118" i="25"/>
  <c r="G118" i="25"/>
  <c r="F118" i="25"/>
  <c r="E118" i="25"/>
  <c r="D118" i="25"/>
  <c r="C118" i="25"/>
  <c r="J117" i="25"/>
  <c r="I117" i="25"/>
  <c r="K114" i="32"/>
  <c r="H114" i="32"/>
  <c r="E114" i="32"/>
  <c r="L114" i="32" s="1"/>
  <c r="E113" i="31"/>
  <c r="F112" i="30"/>
  <c r="F117" i="29"/>
  <c r="E103" i="26" l="1"/>
  <c r="J116" i="25"/>
  <c r="I116" i="25"/>
  <c r="K113" i="32" l="1"/>
  <c r="H113" i="32"/>
  <c r="E113" i="32"/>
  <c r="L113" i="32" s="1"/>
  <c r="E112" i="31"/>
  <c r="F111" i="30"/>
  <c r="B115" i="31"/>
  <c r="F116" i="29"/>
  <c r="H43" i="27"/>
  <c r="G43" i="27"/>
  <c r="F43" i="27"/>
  <c r="E43" i="27"/>
  <c r="H42" i="27"/>
  <c r="G42" i="27"/>
  <c r="F42" i="27"/>
  <c r="E42" i="27"/>
  <c r="I41" i="27"/>
  <c r="I40" i="27"/>
  <c r="I39" i="27"/>
  <c r="I38" i="27"/>
  <c r="I37" i="27"/>
  <c r="I36" i="27"/>
  <c r="I35" i="27"/>
  <c r="I34" i="27"/>
  <c r="I33" i="27"/>
  <c r="I32" i="27"/>
  <c r="I31" i="27"/>
  <c r="I30" i="27"/>
  <c r="I29" i="27"/>
  <c r="I28" i="27"/>
  <c r="I27" i="27"/>
  <c r="I26" i="27"/>
  <c r="I25" i="27"/>
  <c r="I24" i="27"/>
  <c r="I23" i="27"/>
  <c r="I22" i="27"/>
  <c r="I21" i="27"/>
  <c r="I20" i="27"/>
  <c r="I19" i="27"/>
  <c r="I18" i="27"/>
  <c r="I17" i="27"/>
  <c r="I16" i="27"/>
  <c r="I15" i="27"/>
  <c r="I14" i="27"/>
  <c r="I13" i="27"/>
  <c r="I12" i="27"/>
  <c r="I11" i="27"/>
  <c r="I10" i="27"/>
  <c r="E102" i="26"/>
  <c r="I115" i="25"/>
  <c r="J115" i="25"/>
  <c r="I43" i="27" l="1"/>
  <c r="I42" i="27"/>
  <c r="K112" i="32" l="1"/>
  <c r="H112" i="32"/>
  <c r="E112" i="32"/>
  <c r="E111" i="31"/>
  <c r="E115" i="31"/>
  <c r="F110" i="30"/>
  <c r="L112" i="32" l="1"/>
  <c r="F115" i="29"/>
  <c r="E101" i="26"/>
  <c r="I114" i="25"/>
  <c r="J114" i="25"/>
  <c r="K111" i="32" l="1"/>
  <c r="H111" i="32"/>
  <c r="E111" i="32"/>
  <c r="E110" i="31"/>
  <c r="F109" i="30"/>
  <c r="F114" i="29"/>
  <c r="L111" i="32" l="1"/>
  <c r="E100" i="26"/>
  <c r="J113" i="25"/>
  <c r="I113" i="25"/>
  <c r="K110" i="32" l="1"/>
  <c r="H110" i="32"/>
  <c r="E110" i="32"/>
  <c r="E109" i="31"/>
  <c r="F108" i="30"/>
  <c r="F113" i="29"/>
  <c r="L110" i="32" l="1"/>
  <c r="E99" i="26"/>
  <c r="I112" i="25"/>
  <c r="J112" i="25"/>
  <c r="K109" i="32" l="1"/>
  <c r="H109" i="32"/>
  <c r="E109" i="32"/>
  <c r="E108" i="31"/>
  <c r="F107" i="30"/>
  <c r="F119" i="29"/>
  <c r="F112" i="29"/>
  <c r="L109" i="32" l="1"/>
  <c r="E105" i="26"/>
  <c r="E98" i="26"/>
  <c r="J111" i="25"/>
  <c r="I111" i="25"/>
  <c r="K108" i="32" l="1"/>
  <c r="H108" i="32"/>
  <c r="E108" i="32"/>
  <c r="E107" i="31"/>
  <c r="F106" i="30"/>
  <c r="F111" i="29"/>
  <c r="L108" i="32" l="1"/>
  <c r="E97" i="26"/>
  <c r="J110" i="25"/>
  <c r="I110" i="25"/>
  <c r="K107" i="32" l="1"/>
  <c r="H107" i="32"/>
  <c r="E107" i="32"/>
  <c r="B116" i="32"/>
  <c r="E106" i="31"/>
  <c r="F105" i="30"/>
  <c r="F110" i="29"/>
  <c r="L107" i="32" l="1"/>
  <c r="B105" i="26"/>
  <c r="E96" i="26"/>
  <c r="J109" i="25"/>
  <c r="I109" i="25"/>
  <c r="K106" i="32" l="1"/>
  <c r="H106" i="32"/>
  <c r="E106" i="32"/>
  <c r="E105" i="31"/>
  <c r="F104" i="30"/>
  <c r="F109" i="29"/>
  <c r="L106" i="32" l="1"/>
  <c r="E95" i="26"/>
  <c r="I108" i="25"/>
  <c r="J108" i="25"/>
  <c r="S28" i="4" l="1"/>
  <c r="L38" i="7" l="1"/>
  <c r="L29" i="5"/>
  <c r="L80" i="12"/>
  <c r="L44" i="13"/>
  <c r="S28" i="3"/>
  <c r="R28" i="3"/>
  <c r="M25" i="5"/>
  <c r="L20" i="8"/>
  <c r="L26" i="9"/>
  <c r="L50" i="9"/>
  <c r="L34" i="6"/>
  <c r="L38" i="8"/>
  <c r="L15" i="5"/>
  <c r="L18" i="6"/>
  <c r="L20" i="7"/>
  <c r="L49" i="10"/>
  <c r="L96" i="10"/>
  <c r="L44" i="11"/>
  <c r="L41" i="12"/>
  <c r="L32" i="34"/>
  <c r="L86" i="11"/>
  <c r="L62" i="34"/>
  <c r="L86" i="13"/>
  <c r="L42" i="18"/>
  <c r="L22" i="18"/>
  <c r="L124" i="19"/>
  <c r="L63" i="19"/>
  <c r="L40" i="17"/>
  <c r="L21" i="17"/>
  <c r="L80" i="16"/>
  <c r="L41" i="16"/>
  <c r="L44" i="15"/>
  <c r="L23" i="15"/>
  <c r="L84" i="14"/>
  <c r="L43" i="14"/>
  <c r="K105" i="32"/>
  <c r="H105" i="32"/>
  <c r="E105" i="32"/>
  <c r="E104" i="31"/>
  <c r="F114" i="30"/>
  <c r="F103" i="30"/>
  <c r="F108" i="29"/>
  <c r="L105" i="32" l="1"/>
  <c r="E94" i="26"/>
  <c r="J107" i="25"/>
  <c r="I107" i="25"/>
  <c r="K104" i="32" l="1"/>
  <c r="H104" i="32"/>
  <c r="H116" i="32" s="1"/>
  <c r="E104" i="32"/>
  <c r="E116" i="32" s="1"/>
  <c r="K103" i="32"/>
  <c r="H103" i="32"/>
  <c r="E103" i="32"/>
  <c r="L102" i="32"/>
  <c r="L101" i="32"/>
  <c r="L100" i="32"/>
  <c r="L99" i="32"/>
  <c r="L98" i="32"/>
  <c r="L97" i="32"/>
  <c r="L96" i="32"/>
  <c r="L95" i="32"/>
  <c r="L94" i="32"/>
  <c r="L93" i="32"/>
  <c r="L92" i="32"/>
  <c r="L91" i="32"/>
  <c r="L89" i="32"/>
  <c r="K88" i="32"/>
  <c r="H88" i="32"/>
  <c r="E88" i="32"/>
  <c r="K87" i="32"/>
  <c r="H87" i="32"/>
  <c r="E87" i="32"/>
  <c r="K86" i="32"/>
  <c r="H86" i="32"/>
  <c r="E86" i="32"/>
  <c r="K85" i="32"/>
  <c r="H85" i="32"/>
  <c r="E85" i="32"/>
  <c r="K84" i="32"/>
  <c r="H84" i="32"/>
  <c r="E84" i="32"/>
  <c r="K83" i="32"/>
  <c r="H83" i="32"/>
  <c r="E83" i="32"/>
  <c r="K82" i="32"/>
  <c r="H82" i="32"/>
  <c r="E82" i="32"/>
  <c r="K81" i="32"/>
  <c r="H81" i="32"/>
  <c r="E81" i="32"/>
  <c r="K80" i="32"/>
  <c r="H80" i="32"/>
  <c r="E80" i="32"/>
  <c r="K79" i="32"/>
  <c r="H79" i="32"/>
  <c r="E79" i="32"/>
  <c r="K78" i="32"/>
  <c r="H78" i="32"/>
  <c r="E78" i="32"/>
  <c r="K76" i="32"/>
  <c r="H76" i="32"/>
  <c r="E76" i="32"/>
  <c r="K75" i="32"/>
  <c r="H75" i="32"/>
  <c r="E75" i="32"/>
  <c r="K74" i="32"/>
  <c r="H74" i="32"/>
  <c r="E74" i="32"/>
  <c r="K73" i="32"/>
  <c r="H73" i="32"/>
  <c r="E73" i="32"/>
  <c r="K72" i="32"/>
  <c r="H72" i="32"/>
  <c r="E72" i="32"/>
  <c r="K71" i="32"/>
  <c r="H71" i="32"/>
  <c r="E71" i="32"/>
  <c r="K70" i="32"/>
  <c r="H70" i="32"/>
  <c r="E70" i="32"/>
  <c r="K69" i="32"/>
  <c r="H69" i="32"/>
  <c r="E69" i="32"/>
  <c r="K68" i="32"/>
  <c r="H68" i="32"/>
  <c r="E68" i="32"/>
  <c r="K67" i="32"/>
  <c r="H67" i="32"/>
  <c r="E67" i="32"/>
  <c r="K66" i="32"/>
  <c r="H66" i="32"/>
  <c r="E66" i="32"/>
  <c r="K65" i="32"/>
  <c r="H65" i="32"/>
  <c r="E65" i="32"/>
  <c r="K63" i="32"/>
  <c r="H63" i="32"/>
  <c r="E63" i="32"/>
  <c r="L63" i="32" s="1"/>
  <c r="K62" i="32"/>
  <c r="H62" i="32"/>
  <c r="E62" i="32"/>
  <c r="K61" i="32"/>
  <c r="H61" i="32"/>
  <c r="E61" i="32"/>
  <c r="K60" i="32"/>
  <c r="H60" i="32"/>
  <c r="E60" i="32"/>
  <c r="K59" i="32"/>
  <c r="H59" i="32"/>
  <c r="E59" i="32"/>
  <c r="L59" i="32" s="1"/>
  <c r="K58" i="32"/>
  <c r="H58" i="32"/>
  <c r="E58" i="32"/>
  <c r="K57" i="32"/>
  <c r="H57" i="32"/>
  <c r="E57" i="32"/>
  <c r="K56" i="32"/>
  <c r="H56" i="32"/>
  <c r="E56" i="32"/>
  <c r="L55" i="32"/>
  <c r="L54" i="32"/>
  <c r="L53" i="32"/>
  <c r="L52" i="32"/>
  <c r="K51" i="32"/>
  <c r="H51" i="32"/>
  <c r="E51" i="32"/>
  <c r="L50" i="32"/>
  <c r="L49" i="32"/>
  <c r="L48" i="32"/>
  <c r="L47" i="32"/>
  <c r="L46" i="32"/>
  <c r="L45" i="32"/>
  <c r="L44" i="32"/>
  <c r="L43" i="32"/>
  <c r="L42" i="32"/>
  <c r="L41" i="32"/>
  <c r="L40" i="32"/>
  <c r="L39" i="32"/>
  <c r="K38" i="32"/>
  <c r="H38" i="32"/>
  <c r="E38" i="32"/>
  <c r="L37" i="32"/>
  <c r="L36" i="32"/>
  <c r="L35" i="32"/>
  <c r="L34" i="32"/>
  <c r="L33" i="32"/>
  <c r="L32" i="32"/>
  <c r="L31" i="32"/>
  <c r="L30" i="32"/>
  <c r="L29" i="32"/>
  <c r="L28" i="32"/>
  <c r="L27" i="32"/>
  <c r="L26" i="32"/>
  <c r="K25" i="32"/>
  <c r="H25" i="32"/>
  <c r="E25" i="32"/>
  <c r="L24" i="32"/>
  <c r="L23" i="32"/>
  <c r="L22" i="32"/>
  <c r="L21" i="32"/>
  <c r="L20" i="32"/>
  <c r="L19" i="32"/>
  <c r="L18" i="32"/>
  <c r="L17" i="32"/>
  <c r="L16" i="32"/>
  <c r="L15" i="32"/>
  <c r="L14" i="32"/>
  <c r="L13" i="32"/>
  <c r="L12" i="32"/>
  <c r="K11" i="32"/>
  <c r="H11" i="32"/>
  <c r="E11" i="32"/>
  <c r="E103" i="31"/>
  <c r="E102" i="31"/>
  <c r="D102" i="31"/>
  <c r="C102" i="31"/>
  <c r="F102" i="30"/>
  <c r="E101" i="30"/>
  <c r="D101" i="30"/>
  <c r="C101" i="30"/>
  <c r="F107" i="29"/>
  <c r="F106" i="29"/>
  <c r="E106" i="29"/>
  <c r="D106" i="29"/>
  <c r="C106" i="29"/>
  <c r="F15" i="29"/>
  <c r="C28" i="29"/>
  <c r="F28" i="29"/>
  <c r="C41" i="29"/>
  <c r="F41" i="29"/>
  <c r="C54" i="29"/>
  <c r="F54" i="29"/>
  <c r="F59" i="29"/>
  <c r="F61" i="29"/>
  <c r="F62" i="29"/>
  <c r="F63" i="29"/>
  <c r="F64" i="29"/>
  <c r="F65" i="29"/>
  <c r="F66" i="29"/>
  <c r="C67" i="29"/>
  <c r="F68" i="29"/>
  <c r="F69" i="29"/>
  <c r="F70" i="29"/>
  <c r="F71" i="29"/>
  <c r="F72" i="29"/>
  <c r="F73" i="29"/>
  <c r="F74" i="29"/>
  <c r="F75" i="29"/>
  <c r="F76" i="29"/>
  <c r="F77" i="29"/>
  <c r="F78" i="29"/>
  <c r="F79" i="29"/>
  <c r="C80" i="29"/>
  <c r="D80" i="29"/>
  <c r="E80" i="29"/>
  <c r="F81" i="29"/>
  <c r="F82" i="29"/>
  <c r="F83" i="29"/>
  <c r="F84" i="29"/>
  <c r="F85" i="29"/>
  <c r="F86" i="29"/>
  <c r="F87" i="29"/>
  <c r="F88" i="29"/>
  <c r="F89" i="29"/>
  <c r="F90" i="29"/>
  <c r="F91" i="29"/>
  <c r="C93" i="29"/>
  <c r="D93" i="29"/>
  <c r="E93" i="29"/>
  <c r="L68" i="32" l="1"/>
  <c r="E64" i="32"/>
  <c r="L60" i="32"/>
  <c r="E77" i="32"/>
  <c r="L69" i="32"/>
  <c r="L73" i="32"/>
  <c r="E90" i="32"/>
  <c r="L83" i="32"/>
  <c r="L87" i="32"/>
  <c r="L72" i="32"/>
  <c r="L76" i="32"/>
  <c r="L81" i="32"/>
  <c r="C133" i="29"/>
  <c r="H64" i="32"/>
  <c r="H77" i="32"/>
  <c r="H90" i="32"/>
  <c r="L82" i="32"/>
  <c r="L86" i="32"/>
  <c r="K64" i="32"/>
  <c r="L58" i="32"/>
  <c r="L62" i="32"/>
  <c r="K77" i="32"/>
  <c r="L67" i="32"/>
  <c r="L71" i="32"/>
  <c r="L75" i="32"/>
  <c r="K90" i="32"/>
  <c r="L80" i="32"/>
  <c r="L85" i="32"/>
  <c r="L57" i="32"/>
  <c r="L61" i="32"/>
  <c r="L66" i="32"/>
  <c r="L70" i="32"/>
  <c r="L74" i="32"/>
  <c r="L79" i="32"/>
  <c r="L84" i="32"/>
  <c r="L88" i="32"/>
  <c r="F80" i="29"/>
  <c r="F67" i="29"/>
  <c r="L38" i="32"/>
  <c r="F93" i="29"/>
  <c r="L25" i="32"/>
  <c r="L104" i="32"/>
  <c r="L116" i="32" s="1"/>
  <c r="L11" i="32"/>
  <c r="L56" i="32"/>
  <c r="L65" i="32"/>
  <c r="L78" i="32"/>
  <c r="L103" i="32"/>
  <c r="F101" i="30"/>
  <c r="L51" i="32"/>
  <c r="E93" i="26"/>
  <c r="E92" i="26"/>
  <c r="D92" i="26"/>
  <c r="C92" i="26"/>
  <c r="D79" i="26"/>
  <c r="C79" i="26"/>
  <c r="E76" i="26"/>
  <c r="E75" i="26"/>
  <c r="E74" i="26"/>
  <c r="E73" i="26"/>
  <c r="E72" i="26"/>
  <c r="E71" i="26"/>
  <c r="E70" i="26"/>
  <c r="E68" i="26"/>
  <c r="E67" i="26"/>
  <c r="D66" i="26"/>
  <c r="E65" i="26"/>
  <c r="E64" i="26"/>
  <c r="E63" i="26"/>
  <c r="E62" i="26"/>
  <c r="E61" i="26"/>
  <c r="E60" i="26"/>
  <c r="C66" i="26"/>
  <c r="E58" i="26"/>
  <c r="E57" i="26"/>
  <c r="E56" i="26"/>
  <c r="E55" i="26"/>
  <c r="E54" i="26"/>
  <c r="D53" i="26"/>
  <c r="C53" i="26"/>
  <c r="E52" i="26"/>
  <c r="E51" i="26"/>
  <c r="E50" i="26"/>
  <c r="E49" i="26"/>
  <c r="E48" i="26"/>
  <c r="E47" i="26"/>
  <c r="E46" i="26"/>
  <c r="E45" i="26"/>
  <c r="E44" i="26"/>
  <c r="E43" i="26"/>
  <c r="E42" i="26"/>
  <c r="E41" i="26"/>
  <c r="D40" i="26"/>
  <c r="C40" i="26"/>
  <c r="E39" i="26"/>
  <c r="E38" i="26"/>
  <c r="E37" i="26"/>
  <c r="E36" i="26"/>
  <c r="E35" i="26"/>
  <c r="E34" i="26"/>
  <c r="E33" i="26"/>
  <c r="E32" i="26"/>
  <c r="E31" i="26"/>
  <c r="E30" i="26"/>
  <c r="E29" i="26"/>
  <c r="E28" i="26"/>
  <c r="E27" i="26"/>
  <c r="D27" i="26"/>
  <c r="C27" i="26"/>
  <c r="E14" i="26"/>
  <c r="E13" i="26"/>
  <c r="E12" i="26"/>
  <c r="E11" i="26"/>
  <c r="E10" i="26"/>
  <c r="J106" i="25"/>
  <c r="J118" i="25" s="1"/>
  <c r="I106" i="25"/>
  <c r="I118" i="25" s="1"/>
  <c r="J105" i="25"/>
  <c r="I105" i="25"/>
  <c r="H105" i="25"/>
  <c r="G105" i="25"/>
  <c r="F105" i="25"/>
  <c r="E105" i="25"/>
  <c r="D105" i="25"/>
  <c r="C105" i="25"/>
  <c r="H92" i="25"/>
  <c r="G92" i="25"/>
  <c r="F92" i="25"/>
  <c r="E92" i="25"/>
  <c r="D92" i="25"/>
  <c r="C92" i="25"/>
  <c r="J89" i="25"/>
  <c r="I89" i="25"/>
  <c r="J88" i="25"/>
  <c r="I88" i="25"/>
  <c r="J87" i="25"/>
  <c r="I87" i="25"/>
  <c r="J86" i="25"/>
  <c r="I86" i="25"/>
  <c r="J85" i="25"/>
  <c r="I85" i="25"/>
  <c r="J84" i="25"/>
  <c r="I84" i="25"/>
  <c r="J83" i="25"/>
  <c r="I83" i="25"/>
  <c r="J82" i="25"/>
  <c r="I82" i="25"/>
  <c r="J81" i="25"/>
  <c r="I81" i="25"/>
  <c r="J80" i="25"/>
  <c r="I80" i="25"/>
  <c r="H79" i="25"/>
  <c r="G79" i="25"/>
  <c r="F79" i="25"/>
  <c r="E79" i="25"/>
  <c r="D79" i="25"/>
  <c r="C79" i="25"/>
  <c r="J78" i="25"/>
  <c r="I78" i="25"/>
  <c r="J77" i="25"/>
  <c r="I77" i="25"/>
  <c r="J76" i="25"/>
  <c r="I76" i="25"/>
  <c r="J75" i="25"/>
  <c r="I75" i="25"/>
  <c r="J74" i="25"/>
  <c r="I74" i="25"/>
  <c r="J73" i="25"/>
  <c r="I73" i="25"/>
  <c r="J72" i="25"/>
  <c r="I72" i="25"/>
  <c r="J71" i="25"/>
  <c r="I71" i="25"/>
  <c r="J70" i="25"/>
  <c r="I70" i="25"/>
  <c r="J69" i="25"/>
  <c r="I69" i="25"/>
  <c r="J68" i="25"/>
  <c r="I68" i="25"/>
  <c r="J67" i="25"/>
  <c r="I67" i="25"/>
  <c r="H66" i="25"/>
  <c r="G66" i="25"/>
  <c r="F66" i="25"/>
  <c r="E66" i="25"/>
  <c r="D66" i="25"/>
  <c r="C66" i="25"/>
  <c r="J65" i="25"/>
  <c r="I65" i="25"/>
  <c r="J64" i="25"/>
  <c r="I64" i="25"/>
  <c r="J63" i="25"/>
  <c r="I63" i="25"/>
  <c r="J62" i="25"/>
  <c r="I62" i="25"/>
  <c r="J61" i="25"/>
  <c r="I61" i="25"/>
  <c r="J60" i="25"/>
  <c r="I60" i="25"/>
  <c r="J59" i="25"/>
  <c r="I59" i="25"/>
  <c r="J58" i="25"/>
  <c r="I58" i="25"/>
  <c r="J57" i="25"/>
  <c r="I57" i="25"/>
  <c r="J56" i="25"/>
  <c r="I56" i="25"/>
  <c r="J55" i="25"/>
  <c r="I55" i="25"/>
  <c r="J54" i="25"/>
  <c r="I54" i="25"/>
  <c r="H53" i="25"/>
  <c r="G53" i="25"/>
  <c r="F53" i="25"/>
  <c r="E53" i="25"/>
  <c r="D53" i="25"/>
  <c r="C53" i="25"/>
  <c r="J52" i="25"/>
  <c r="I52" i="25"/>
  <c r="J51" i="25"/>
  <c r="I51" i="25"/>
  <c r="J50" i="25"/>
  <c r="I50" i="25"/>
  <c r="J49" i="25"/>
  <c r="I49" i="25"/>
  <c r="J48" i="25"/>
  <c r="I48" i="25"/>
  <c r="J47" i="25"/>
  <c r="I47" i="25"/>
  <c r="J46" i="25"/>
  <c r="I46" i="25"/>
  <c r="J45" i="25"/>
  <c r="I45" i="25"/>
  <c r="J44" i="25"/>
  <c r="I44" i="25"/>
  <c r="J43" i="25"/>
  <c r="I43" i="25"/>
  <c r="J42" i="25"/>
  <c r="I42" i="25"/>
  <c r="J41" i="25"/>
  <c r="I41" i="25"/>
  <c r="H40" i="25"/>
  <c r="G40" i="25"/>
  <c r="F40" i="25"/>
  <c r="E40" i="25"/>
  <c r="D40" i="25"/>
  <c r="C40" i="25"/>
  <c r="J39" i="25"/>
  <c r="I39" i="25"/>
  <c r="J38" i="25"/>
  <c r="I38" i="25"/>
  <c r="J37" i="25"/>
  <c r="I37" i="25"/>
  <c r="J36" i="25"/>
  <c r="I36" i="25"/>
  <c r="J35" i="25"/>
  <c r="I35" i="25"/>
  <c r="J27" i="25"/>
  <c r="I27" i="25"/>
  <c r="L64" i="32" l="1"/>
  <c r="F133" i="29"/>
  <c r="D119" i="26"/>
  <c r="C119" i="26"/>
  <c r="I40" i="25"/>
  <c r="I79" i="25"/>
  <c r="I53" i="25"/>
  <c r="L90" i="32"/>
  <c r="L77" i="32"/>
  <c r="J66" i="25"/>
  <c r="J92" i="25"/>
  <c r="E79" i="26"/>
  <c r="E40" i="26"/>
  <c r="E53" i="26"/>
  <c r="J53" i="25"/>
  <c r="J79" i="25"/>
  <c r="J40" i="25"/>
  <c r="I66" i="25"/>
  <c r="I92" i="25"/>
  <c r="E59" i="26"/>
  <c r="E66" i="26" s="1"/>
  <c r="I132" i="25" l="1"/>
  <c r="J132" i="25"/>
  <c r="E119" i="26"/>
  <c r="F100" i="30"/>
  <c r="F97" i="30" l="1"/>
  <c r="F96" i="30" l="1"/>
  <c r="F95" i="30" l="1"/>
  <c r="F94" i="30" l="1"/>
  <c r="F93" i="30"/>
  <c r="D89" i="31" l="1"/>
  <c r="C89" i="31"/>
  <c r="E87" i="31"/>
  <c r="E86" i="31"/>
  <c r="E85" i="31"/>
  <c r="E84" i="31"/>
  <c r="E83" i="31"/>
  <c r="E82" i="31"/>
  <c r="E81" i="31"/>
  <c r="E80" i="31"/>
  <c r="E79" i="31"/>
  <c r="E78" i="31"/>
  <c r="E77" i="31"/>
  <c r="D76" i="31"/>
  <c r="C76" i="31"/>
  <c r="E75" i="31"/>
  <c r="E74" i="31"/>
  <c r="E73" i="31"/>
  <c r="E72" i="31"/>
  <c r="E71" i="31"/>
  <c r="E70" i="31"/>
  <c r="E69" i="31"/>
  <c r="E68" i="31"/>
  <c r="E67" i="31"/>
  <c r="E66" i="31"/>
  <c r="E65" i="31"/>
  <c r="E64" i="31"/>
  <c r="E62" i="31"/>
  <c r="E61" i="31"/>
  <c r="E60" i="31"/>
  <c r="E59" i="31"/>
  <c r="E58" i="31"/>
  <c r="E57" i="31"/>
  <c r="E56" i="31"/>
  <c r="E55" i="31"/>
  <c r="E50" i="31"/>
  <c r="E37" i="31"/>
  <c r="E24" i="31"/>
  <c r="E10" i="31"/>
  <c r="F89" i="30"/>
  <c r="E88" i="30"/>
  <c r="D88" i="30"/>
  <c r="C88" i="30"/>
  <c r="F87" i="30"/>
  <c r="F86" i="30"/>
  <c r="F85" i="30"/>
  <c r="F84" i="30"/>
  <c r="F83" i="30"/>
  <c r="F82" i="30"/>
  <c r="F81" i="30"/>
  <c r="F80" i="30"/>
  <c r="F79" i="30"/>
  <c r="F78" i="30"/>
  <c r="F77" i="30"/>
  <c r="F76" i="30"/>
  <c r="E75" i="30"/>
  <c r="D75" i="30"/>
  <c r="C75" i="30"/>
  <c r="F74" i="30"/>
  <c r="F73" i="30"/>
  <c r="F72" i="30"/>
  <c r="F71" i="30"/>
  <c r="F70" i="30"/>
  <c r="F69" i="30"/>
  <c r="F68" i="30"/>
  <c r="F67" i="30"/>
  <c r="F66" i="30"/>
  <c r="F65" i="30"/>
  <c r="F64" i="30"/>
  <c r="F63" i="30"/>
  <c r="E62" i="30"/>
  <c r="D62" i="30"/>
  <c r="C62" i="30"/>
  <c r="F61" i="30"/>
  <c r="F60" i="30"/>
  <c r="F59" i="30"/>
  <c r="F58" i="30"/>
  <c r="F57" i="30"/>
  <c r="F56" i="30"/>
  <c r="F55" i="30"/>
  <c r="F54" i="30"/>
  <c r="F53" i="30"/>
  <c r="F52" i="30"/>
  <c r="F51" i="30"/>
  <c r="F50" i="30"/>
  <c r="E49" i="30"/>
  <c r="D49" i="30"/>
  <c r="C49" i="30"/>
  <c r="F48" i="30"/>
  <c r="F47" i="30"/>
  <c r="F46" i="30"/>
  <c r="F45" i="30"/>
  <c r="F44" i="30"/>
  <c r="F43" i="30"/>
  <c r="F42" i="30"/>
  <c r="F41" i="30"/>
  <c r="F40" i="30"/>
  <c r="F39" i="30"/>
  <c r="F38" i="30"/>
  <c r="F37" i="30"/>
  <c r="E36" i="30"/>
  <c r="D36" i="30"/>
  <c r="C36" i="30"/>
  <c r="F35" i="30"/>
  <c r="F34" i="30"/>
  <c r="F33" i="30"/>
  <c r="F32" i="30"/>
  <c r="F31" i="30"/>
  <c r="F30" i="30"/>
  <c r="F29" i="30"/>
  <c r="F28" i="30"/>
  <c r="F27" i="30"/>
  <c r="F26" i="30"/>
  <c r="F25" i="30"/>
  <c r="F24" i="30"/>
  <c r="E23" i="30"/>
  <c r="D23" i="30"/>
  <c r="C23" i="30"/>
  <c r="F22" i="30"/>
  <c r="F21" i="30"/>
  <c r="F20" i="30"/>
  <c r="F19" i="30"/>
  <c r="F18" i="30"/>
  <c r="F17" i="30"/>
  <c r="F16" i="30"/>
  <c r="F15" i="30"/>
  <c r="F14" i="30"/>
  <c r="F13" i="30"/>
  <c r="F12" i="30"/>
  <c r="F11" i="30"/>
  <c r="F10" i="30"/>
  <c r="F49" i="30" l="1"/>
  <c r="E63" i="31"/>
  <c r="E76" i="31"/>
  <c r="E89" i="31"/>
  <c r="F36" i="30"/>
  <c r="F75" i="30"/>
  <c r="F88" i="30"/>
  <c r="F23" i="30"/>
  <c r="F62" i="30"/>
  <c r="E129" i="31" l="1"/>
  <c r="E61" i="34"/>
  <c r="E60" i="34"/>
  <c r="E59" i="34"/>
  <c r="E58" i="34"/>
  <c r="E57" i="34"/>
  <c r="E56" i="34"/>
  <c r="E55" i="34"/>
  <c r="E54" i="34"/>
  <c r="E53" i="34"/>
  <c r="E52" i="34"/>
  <c r="E51" i="34"/>
  <c r="E50" i="34"/>
  <c r="E49" i="34"/>
  <c r="E48" i="34"/>
  <c r="E47" i="34"/>
  <c r="E46" i="34"/>
  <c r="E45" i="34"/>
  <c r="E44" i="34"/>
  <c r="E43" i="34"/>
  <c r="E42" i="34"/>
  <c r="E41" i="34"/>
  <c r="E79" i="12"/>
  <c r="E78" i="12"/>
  <c r="E77" i="12"/>
  <c r="E76" i="12"/>
  <c r="E75" i="12"/>
  <c r="E74" i="12"/>
  <c r="E73" i="12"/>
  <c r="E72" i="12"/>
  <c r="E71" i="12"/>
  <c r="E70" i="12"/>
  <c r="E69" i="12"/>
  <c r="E68" i="12"/>
  <c r="E67" i="12"/>
  <c r="E66" i="12"/>
  <c r="E65" i="12"/>
  <c r="E64" i="12"/>
  <c r="E63" i="12"/>
  <c r="E62" i="12"/>
  <c r="E61" i="12"/>
  <c r="E60" i="12"/>
  <c r="E59" i="12"/>
  <c r="E58" i="12"/>
  <c r="E57" i="12"/>
  <c r="E56" i="12"/>
  <c r="E55" i="12"/>
  <c r="E54" i="12"/>
  <c r="E53" i="12"/>
  <c r="E52" i="12"/>
  <c r="E51" i="12"/>
  <c r="E50" i="12"/>
  <c r="I28" i="5"/>
  <c r="I27" i="5"/>
  <c r="I26" i="5"/>
  <c r="I58" i="34" l="1"/>
  <c r="I50" i="34"/>
  <c r="I48" i="34"/>
  <c r="I47" i="34"/>
  <c r="K47" i="34" s="1"/>
  <c r="M47" i="34" s="1"/>
  <c r="I46" i="34"/>
  <c r="I42" i="34"/>
  <c r="I31" i="34"/>
  <c r="I30" i="34"/>
  <c r="I28" i="34"/>
  <c r="I27" i="34"/>
  <c r="I24" i="34"/>
  <c r="I23" i="34"/>
  <c r="I20" i="34"/>
  <c r="I19" i="34"/>
  <c r="I16" i="34"/>
  <c r="I15" i="34"/>
  <c r="I12" i="34"/>
  <c r="I11" i="34"/>
  <c r="E31" i="34"/>
  <c r="E28" i="34"/>
  <c r="E27" i="34"/>
  <c r="E26" i="34"/>
  <c r="E24" i="34"/>
  <c r="E23" i="34"/>
  <c r="E22" i="34"/>
  <c r="E21" i="34"/>
  <c r="E20" i="34"/>
  <c r="E19" i="34"/>
  <c r="E18" i="34"/>
  <c r="E16" i="34"/>
  <c r="E15" i="34"/>
  <c r="E14" i="34"/>
  <c r="E12" i="34"/>
  <c r="B36" i="34"/>
  <c r="B6" i="34"/>
  <c r="D32" i="34" l="1"/>
  <c r="I51" i="34"/>
  <c r="K51" i="34" s="1"/>
  <c r="M51" i="34" s="1"/>
  <c r="I52" i="34"/>
  <c r="K52" i="34" s="1"/>
  <c r="M52" i="34" s="1"/>
  <c r="I53" i="34"/>
  <c r="K53" i="34" s="1"/>
  <c r="M53" i="34" s="1"/>
  <c r="I54" i="34"/>
  <c r="K54" i="34" s="1"/>
  <c r="M54" i="34" s="1"/>
  <c r="I59" i="34"/>
  <c r="K59" i="34" s="1"/>
  <c r="M59" i="34" s="1"/>
  <c r="G62" i="34"/>
  <c r="I43" i="34"/>
  <c r="K43" i="34" s="1"/>
  <c r="M43" i="34" s="1"/>
  <c r="I44" i="34"/>
  <c r="K44" i="34" s="1"/>
  <c r="M44" i="34" s="1"/>
  <c r="I45" i="34"/>
  <c r="K45" i="34" s="1"/>
  <c r="M45" i="34" s="1"/>
  <c r="E11" i="34"/>
  <c r="K11" i="34" s="1"/>
  <c r="M11" i="34" s="1"/>
  <c r="H32" i="34"/>
  <c r="I55" i="34"/>
  <c r="K55" i="34" s="1"/>
  <c r="M55" i="34" s="1"/>
  <c r="I56" i="34"/>
  <c r="K56" i="34" s="1"/>
  <c r="M56" i="34" s="1"/>
  <c r="I57" i="34"/>
  <c r="K57" i="34" s="1"/>
  <c r="M57" i="34" s="1"/>
  <c r="E30" i="34"/>
  <c r="K30" i="34" s="1"/>
  <c r="M30" i="34" s="1"/>
  <c r="E29" i="34"/>
  <c r="I18" i="34"/>
  <c r="K18" i="34" s="1"/>
  <c r="M18" i="34" s="1"/>
  <c r="I17" i="34"/>
  <c r="I14" i="34"/>
  <c r="K14" i="34" s="1"/>
  <c r="M14" i="34" s="1"/>
  <c r="C62" i="34"/>
  <c r="I60" i="34"/>
  <c r="K60" i="34" s="1"/>
  <c r="M60" i="34" s="1"/>
  <c r="I61" i="34"/>
  <c r="K61" i="34" s="1"/>
  <c r="M61" i="34" s="1"/>
  <c r="I26" i="34"/>
  <c r="K26" i="34" s="1"/>
  <c r="M26" i="34" s="1"/>
  <c r="I25" i="34"/>
  <c r="I22" i="34"/>
  <c r="K22" i="34" s="1"/>
  <c r="M22" i="34" s="1"/>
  <c r="I49" i="34"/>
  <c r="K49" i="34" s="1"/>
  <c r="M49" i="34" s="1"/>
  <c r="E13" i="34"/>
  <c r="K20" i="34"/>
  <c r="M20" i="34" s="1"/>
  <c r="K28" i="34"/>
  <c r="M28" i="34" s="1"/>
  <c r="K12" i="34"/>
  <c r="M12" i="34" s="1"/>
  <c r="C32" i="34"/>
  <c r="K31" i="34"/>
  <c r="M31" i="34" s="1"/>
  <c r="I29" i="34"/>
  <c r="E25" i="34"/>
  <c r="K24" i="34"/>
  <c r="M24" i="34" s="1"/>
  <c r="K23" i="34"/>
  <c r="M23" i="34" s="1"/>
  <c r="I21" i="34"/>
  <c r="E17" i="34"/>
  <c r="K16" i="34"/>
  <c r="M16" i="34" s="1"/>
  <c r="K15" i="34"/>
  <c r="M15" i="34" s="1"/>
  <c r="G32" i="34"/>
  <c r="K27" i="34"/>
  <c r="M27" i="34" s="1"/>
  <c r="K19" i="34"/>
  <c r="M19" i="34" s="1"/>
  <c r="I13" i="34"/>
  <c r="K42" i="34"/>
  <c r="M42" i="34" s="1"/>
  <c r="K58" i="34"/>
  <c r="M58" i="34" s="1"/>
  <c r="D62" i="34"/>
  <c r="K48" i="34"/>
  <c r="M48" i="34" s="1"/>
  <c r="K50" i="34"/>
  <c r="M50" i="34" s="1"/>
  <c r="H62" i="34"/>
  <c r="I41" i="34"/>
  <c r="K46" i="34"/>
  <c r="M46" i="34" s="1"/>
  <c r="I62" i="34" l="1"/>
  <c r="K21" i="34"/>
  <c r="M21" i="34" s="1"/>
  <c r="K25" i="34"/>
  <c r="M25" i="34" s="1"/>
  <c r="K29" i="34"/>
  <c r="M29" i="34" s="1"/>
  <c r="K13" i="34"/>
  <c r="M13" i="34" s="1"/>
  <c r="I32" i="34"/>
  <c r="E32" i="34"/>
  <c r="K17" i="34"/>
  <c r="M17" i="34" s="1"/>
  <c r="E62" i="34"/>
  <c r="K41" i="34"/>
  <c r="M41" i="34" s="1"/>
  <c r="J13" i="34" l="1"/>
  <c r="F17" i="34"/>
  <c r="J54" i="34"/>
  <c r="J47" i="34"/>
  <c r="J55" i="34"/>
  <c r="J51" i="34"/>
  <c r="J42" i="34"/>
  <c r="J43" i="34"/>
  <c r="J59" i="34"/>
  <c r="J41" i="34"/>
  <c r="J50" i="34"/>
  <c r="J57" i="34"/>
  <c r="J61" i="34"/>
  <c r="J58" i="34"/>
  <c r="J49" i="34"/>
  <c r="J53" i="34"/>
  <c r="J45" i="34"/>
  <c r="J62" i="34"/>
  <c r="J48" i="34"/>
  <c r="J44" i="34"/>
  <c r="J56" i="34"/>
  <c r="J46" i="34"/>
  <c r="J60" i="34"/>
  <c r="J52" i="34"/>
  <c r="J29" i="34"/>
  <c r="J21" i="34"/>
  <c r="F32" i="34"/>
  <c r="F11" i="34"/>
  <c r="K32" i="34"/>
  <c r="F15" i="34"/>
  <c r="F22" i="34"/>
  <c r="F23" i="34"/>
  <c r="F30" i="34"/>
  <c r="F31" i="34"/>
  <c r="F14" i="34"/>
  <c r="F24" i="34"/>
  <c r="F21" i="34"/>
  <c r="F26" i="34"/>
  <c r="F13" i="34"/>
  <c r="F16" i="34"/>
  <c r="F29" i="34"/>
  <c r="F27" i="34"/>
  <c r="F20" i="34"/>
  <c r="F28" i="34"/>
  <c r="F18" i="34"/>
  <c r="F12" i="34"/>
  <c r="F19" i="34"/>
  <c r="J32" i="34"/>
  <c r="J11" i="34"/>
  <c r="J22" i="34"/>
  <c r="J30" i="34"/>
  <c r="J15" i="34"/>
  <c r="J23" i="34"/>
  <c r="J31" i="34"/>
  <c r="J16" i="34"/>
  <c r="J12" i="34"/>
  <c r="J24" i="34"/>
  <c r="J14" i="34"/>
  <c r="J18" i="34"/>
  <c r="J26" i="34"/>
  <c r="J27" i="34"/>
  <c r="J28" i="34"/>
  <c r="J17" i="34"/>
  <c r="J19" i="34"/>
  <c r="J20" i="34"/>
  <c r="J25" i="34"/>
  <c r="F25" i="34"/>
  <c r="F62" i="34"/>
  <c r="F60" i="34"/>
  <c r="F56" i="34"/>
  <c r="F52" i="34"/>
  <c r="F48" i="34"/>
  <c r="F44" i="34"/>
  <c r="F61" i="34"/>
  <c r="F57" i="34"/>
  <c r="F53" i="34"/>
  <c r="F49" i="34"/>
  <c r="F45" i="34"/>
  <c r="F41" i="34"/>
  <c r="F58" i="34"/>
  <c r="F54" i="34"/>
  <c r="F50" i="34"/>
  <c r="F46" i="34"/>
  <c r="F42" i="34"/>
  <c r="K62" i="34"/>
  <c r="F59" i="34"/>
  <c r="F43" i="34"/>
  <c r="F47" i="34"/>
  <c r="F51" i="34"/>
  <c r="F55" i="34"/>
  <c r="M62" i="34" l="1"/>
  <c r="K63" i="34" s="1"/>
  <c r="M32" i="34"/>
  <c r="K33" i="34" s="1"/>
  <c r="I123" i="19"/>
  <c r="E123" i="19"/>
  <c r="I122" i="19"/>
  <c r="E122" i="19"/>
  <c r="I121" i="19"/>
  <c r="E121" i="19"/>
  <c r="I120" i="19"/>
  <c r="E120" i="19"/>
  <c r="I119" i="19"/>
  <c r="E119" i="19"/>
  <c r="I118" i="19"/>
  <c r="E118" i="19"/>
  <c r="I117" i="19"/>
  <c r="E117" i="19"/>
  <c r="I116" i="19"/>
  <c r="E116" i="19"/>
  <c r="I115" i="19"/>
  <c r="E115" i="19"/>
  <c r="I114" i="19"/>
  <c r="E114" i="19"/>
  <c r="I113" i="19"/>
  <c r="E113" i="19"/>
  <c r="I112" i="19"/>
  <c r="E112" i="19"/>
  <c r="I111" i="19"/>
  <c r="E111" i="19"/>
  <c r="I110" i="19"/>
  <c r="E110" i="19"/>
  <c r="I109" i="19"/>
  <c r="E109" i="19"/>
  <c r="I108" i="19"/>
  <c r="E108" i="19"/>
  <c r="I107" i="19"/>
  <c r="E107" i="19"/>
  <c r="I106" i="19"/>
  <c r="E106" i="19"/>
  <c r="I105" i="19"/>
  <c r="E105" i="19"/>
  <c r="I104" i="19"/>
  <c r="E104" i="19"/>
  <c r="I103" i="19"/>
  <c r="E103" i="19"/>
  <c r="I102" i="19"/>
  <c r="E102" i="19"/>
  <c r="I101" i="19"/>
  <c r="E101" i="19"/>
  <c r="I100" i="19"/>
  <c r="E100" i="19"/>
  <c r="I99" i="19"/>
  <c r="E99" i="19"/>
  <c r="I98" i="19"/>
  <c r="E98" i="19"/>
  <c r="I97" i="19"/>
  <c r="E97" i="19"/>
  <c r="I96" i="19"/>
  <c r="E96" i="19"/>
  <c r="I95" i="19"/>
  <c r="E95" i="19"/>
  <c r="I94" i="19"/>
  <c r="E94" i="19"/>
  <c r="I93" i="19"/>
  <c r="E93" i="19"/>
  <c r="I92" i="19"/>
  <c r="E92" i="19"/>
  <c r="I91" i="19"/>
  <c r="E91" i="19"/>
  <c r="I90" i="19"/>
  <c r="E90" i="19"/>
  <c r="I89" i="19"/>
  <c r="E89" i="19"/>
  <c r="I88" i="19"/>
  <c r="E88" i="19"/>
  <c r="I87" i="19"/>
  <c r="E87" i="19"/>
  <c r="I86" i="19"/>
  <c r="E86" i="19"/>
  <c r="I85" i="19"/>
  <c r="E85" i="19"/>
  <c r="I84" i="19"/>
  <c r="E84" i="19"/>
  <c r="I83" i="19"/>
  <c r="E83" i="19"/>
  <c r="I82" i="19"/>
  <c r="E82" i="19"/>
  <c r="I81" i="19"/>
  <c r="E81" i="19"/>
  <c r="I80" i="19"/>
  <c r="E80" i="19"/>
  <c r="I79" i="19"/>
  <c r="E79" i="19"/>
  <c r="I78" i="19"/>
  <c r="E78" i="19"/>
  <c r="I77" i="19"/>
  <c r="E77" i="19"/>
  <c r="I76" i="19"/>
  <c r="E76" i="19"/>
  <c r="I75" i="19"/>
  <c r="E75" i="19"/>
  <c r="I74" i="19"/>
  <c r="E74" i="19"/>
  <c r="I73" i="19"/>
  <c r="E73" i="19"/>
  <c r="I72" i="19"/>
  <c r="E72" i="19"/>
  <c r="I62" i="19"/>
  <c r="E62" i="19"/>
  <c r="I61" i="19"/>
  <c r="E61" i="19"/>
  <c r="I60" i="19"/>
  <c r="E60" i="19"/>
  <c r="I59" i="19"/>
  <c r="E59" i="19"/>
  <c r="I58" i="19"/>
  <c r="E58" i="19"/>
  <c r="I57" i="19"/>
  <c r="E57" i="19"/>
  <c r="I56" i="19"/>
  <c r="E56" i="19"/>
  <c r="I55" i="19"/>
  <c r="E55" i="19"/>
  <c r="I54" i="19"/>
  <c r="E54" i="19"/>
  <c r="I53" i="19"/>
  <c r="E53" i="19"/>
  <c r="I52" i="19"/>
  <c r="E52" i="19"/>
  <c r="I51" i="19"/>
  <c r="E51" i="19"/>
  <c r="I50" i="19"/>
  <c r="E50" i="19"/>
  <c r="I49" i="19"/>
  <c r="E49" i="19"/>
  <c r="I48" i="19"/>
  <c r="E48" i="19"/>
  <c r="I47" i="19"/>
  <c r="E47" i="19"/>
  <c r="I46" i="19"/>
  <c r="E46" i="19"/>
  <c r="I45" i="19"/>
  <c r="E45" i="19"/>
  <c r="I44" i="19"/>
  <c r="E44" i="19"/>
  <c r="I43" i="19"/>
  <c r="E43" i="19"/>
  <c r="I42" i="19"/>
  <c r="E42" i="19"/>
  <c r="I41" i="19"/>
  <c r="E41" i="19"/>
  <c r="I40" i="19"/>
  <c r="E40" i="19"/>
  <c r="I39" i="19"/>
  <c r="E39" i="19"/>
  <c r="I38" i="19"/>
  <c r="E38" i="19"/>
  <c r="I37" i="19"/>
  <c r="E37" i="19"/>
  <c r="I36" i="19"/>
  <c r="E36" i="19"/>
  <c r="I35" i="19"/>
  <c r="E35" i="19"/>
  <c r="I34" i="19"/>
  <c r="E34" i="19"/>
  <c r="I33" i="19"/>
  <c r="E33" i="19"/>
  <c r="I32" i="19"/>
  <c r="E32" i="19"/>
  <c r="I31" i="19"/>
  <c r="E31" i="19"/>
  <c r="I30" i="19"/>
  <c r="E30" i="19"/>
  <c r="I29" i="19"/>
  <c r="E29" i="19"/>
  <c r="I28" i="19"/>
  <c r="E28" i="19"/>
  <c r="I27" i="19"/>
  <c r="E27" i="19"/>
  <c r="I26" i="19"/>
  <c r="E26" i="19"/>
  <c r="I25" i="19"/>
  <c r="E25" i="19"/>
  <c r="I24" i="19"/>
  <c r="E24" i="19"/>
  <c r="I23" i="19"/>
  <c r="E23" i="19"/>
  <c r="I22" i="19"/>
  <c r="E22" i="19"/>
  <c r="I21" i="19"/>
  <c r="E21" i="19"/>
  <c r="I20" i="19"/>
  <c r="E20" i="19"/>
  <c r="I19" i="19"/>
  <c r="E19" i="19"/>
  <c r="I18" i="19"/>
  <c r="E18" i="19"/>
  <c r="I17" i="19"/>
  <c r="E17" i="19"/>
  <c r="I16" i="19"/>
  <c r="E16" i="19"/>
  <c r="I15" i="19"/>
  <c r="E15" i="19"/>
  <c r="I14" i="19"/>
  <c r="E14" i="19"/>
  <c r="I13" i="19"/>
  <c r="E13" i="19"/>
  <c r="I12" i="19"/>
  <c r="E12" i="19"/>
  <c r="I11" i="19"/>
  <c r="E11" i="19"/>
  <c r="I41" i="18"/>
  <c r="E41" i="18"/>
  <c r="I40" i="18"/>
  <c r="E40" i="18"/>
  <c r="I39" i="18"/>
  <c r="E39" i="18"/>
  <c r="I38" i="18"/>
  <c r="E38" i="18"/>
  <c r="I37" i="18"/>
  <c r="E37" i="18"/>
  <c r="I36" i="18"/>
  <c r="E36" i="18"/>
  <c r="I35" i="18"/>
  <c r="E35" i="18"/>
  <c r="I34" i="18"/>
  <c r="E34" i="18"/>
  <c r="I33" i="18"/>
  <c r="E33" i="18"/>
  <c r="I32" i="18"/>
  <c r="E32" i="18"/>
  <c r="I31" i="18"/>
  <c r="E31" i="18"/>
  <c r="I21" i="18"/>
  <c r="E21" i="18"/>
  <c r="I20" i="18"/>
  <c r="E20" i="18"/>
  <c r="I19" i="18"/>
  <c r="E19" i="18"/>
  <c r="I18" i="18"/>
  <c r="E18" i="18"/>
  <c r="I17" i="18"/>
  <c r="E17" i="18"/>
  <c r="I16" i="18"/>
  <c r="E16" i="18"/>
  <c r="I15" i="18"/>
  <c r="E15" i="18"/>
  <c r="I14" i="18"/>
  <c r="E14" i="18"/>
  <c r="I13" i="18"/>
  <c r="E13" i="18"/>
  <c r="I12" i="18"/>
  <c r="E12" i="18"/>
  <c r="I11" i="18"/>
  <c r="E11" i="18"/>
  <c r="I39" i="17"/>
  <c r="E39" i="17"/>
  <c r="I38" i="17"/>
  <c r="E38" i="17"/>
  <c r="I37" i="17"/>
  <c r="E37" i="17"/>
  <c r="I36" i="17"/>
  <c r="E36" i="17"/>
  <c r="I35" i="17"/>
  <c r="E35" i="17"/>
  <c r="I34" i="17"/>
  <c r="E34" i="17"/>
  <c r="I33" i="17"/>
  <c r="E33" i="17"/>
  <c r="I32" i="17"/>
  <c r="E32" i="17"/>
  <c r="I31" i="17"/>
  <c r="E31" i="17"/>
  <c r="I30" i="17"/>
  <c r="E30" i="17"/>
  <c r="I20" i="17"/>
  <c r="E20" i="17"/>
  <c r="I19" i="17"/>
  <c r="E19" i="17"/>
  <c r="I18" i="17"/>
  <c r="E18" i="17"/>
  <c r="I17" i="17"/>
  <c r="E17" i="17"/>
  <c r="I16" i="17"/>
  <c r="E16" i="17"/>
  <c r="I15" i="17"/>
  <c r="E15" i="17"/>
  <c r="I14" i="17"/>
  <c r="E14" i="17"/>
  <c r="I13" i="17"/>
  <c r="E13" i="17"/>
  <c r="I12" i="17"/>
  <c r="E12" i="17"/>
  <c r="I11" i="17"/>
  <c r="E11" i="17"/>
  <c r="I79" i="16"/>
  <c r="E79" i="16"/>
  <c r="I78" i="16"/>
  <c r="E78" i="16"/>
  <c r="I77" i="16"/>
  <c r="E77" i="16"/>
  <c r="I76" i="16"/>
  <c r="E76" i="16"/>
  <c r="I75" i="16"/>
  <c r="E75" i="16"/>
  <c r="I74" i="16"/>
  <c r="E74" i="16"/>
  <c r="I73" i="16"/>
  <c r="E73" i="16"/>
  <c r="I72" i="16"/>
  <c r="E72" i="16"/>
  <c r="I71" i="16"/>
  <c r="E71" i="16"/>
  <c r="I70" i="16"/>
  <c r="E70" i="16"/>
  <c r="I69" i="16"/>
  <c r="E69" i="16"/>
  <c r="I68" i="16"/>
  <c r="E68" i="16"/>
  <c r="I67" i="16"/>
  <c r="E67" i="16"/>
  <c r="I66" i="16"/>
  <c r="E66" i="16"/>
  <c r="I65" i="16"/>
  <c r="E65" i="16"/>
  <c r="I64" i="16"/>
  <c r="E64" i="16"/>
  <c r="I63" i="16"/>
  <c r="E63" i="16"/>
  <c r="I62" i="16"/>
  <c r="E62" i="16"/>
  <c r="I61" i="16"/>
  <c r="E61" i="16"/>
  <c r="I60" i="16"/>
  <c r="E60" i="16"/>
  <c r="I59" i="16"/>
  <c r="E59" i="16"/>
  <c r="I58" i="16"/>
  <c r="E58" i="16"/>
  <c r="I57" i="16"/>
  <c r="E57" i="16"/>
  <c r="I56" i="16"/>
  <c r="E56" i="16"/>
  <c r="I55" i="16"/>
  <c r="E55" i="16"/>
  <c r="I54" i="16"/>
  <c r="E54" i="16"/>
  <c r="I53" i="16"/>
  <c r="E53" i="16"/>
  <c r="I52" i="16"/>
  <c r="E52" i="16"/>
  <c r="I51" i="16"/>
  <c r="E51" i="16"/>
  <c r="I50" i="16"/>
  <c r="E50" i="16"/>
  <c r="I40" i="16"/>
  <c r="E40" i="16"/>
  <c r="I39" i="16"/>
  <c r="E39" i="16"/>
  <c r="I38" i="16"/>
  <c r="E38" i="16"/>
  <c r="I37" i="16"/>
  <c r="E37" i="16"/>
  <c r="I36" i="16"/>
  <c r="E36" i="16"/>
  <c r="I35" i="16"/>
  <c r="E35" i="16"/>
  <c r="I34" i="16"/>
  <c r="E34" i="16"/>
  <c r="I33" i="16"/>
  <c r="E33" i="16"/>
  <c r="I32" i="16"/>
  <c r="E32" i="16"/>
  <c r="I31" i="16"/>
  <c r="E31" i="16"/>
  <c r="I30" i="16"/>
  <c r="E30" i="16"/>
  <c r="I29" i="16"/>
  <c r="E29" i="16"/>
  <c r="I28" i="16"/>
  <c r="E28" i="16"/>
  <c r="I27" i="16"/>
  <c r="E27" i="16"/>
  <c r="I26" i="16"/>
  <c r="E26" i="16"/>
  <c r="I25" i="16"/>
  <c r="E25" i="16"/>
  <c r="I24" i="16"/>
  <c r="E24" i="16"/>
  <c r="I23" i="16"/>
  <c r="E23" i="16"/>
  <c r="I22" i="16"/>
  <c r="E22" i="16"/>
  <c r="I21" i="16"/>
  <c r="E21" i="16"/>
  <c r="I20" i="16"/>
  <c r="E20" i="16"/>
  <c r="I19" i="16"/>
  <c r="E19" i="16"/>
  <c r="I18" i="16"/>
  <c r="E18" i="16"/>
  <c r="I17" i="16"/>
  <c r="E17" i="16"/>
  <c r="I16" i="16"/>
  <c r="E16" i="16"/>
  <c r="I15" i="16"/>
  <c r="E15" i="16"/>
  <c r="I14" i="16"/>
  <c r="E14" i="16"/>
  <c r="I13" i="16"/>
  <c r="E13" i="16"/>
  <c r="I12" i="16"/>
  <c r="E12" i="16"/>
  <c r="I11" i="16"/>
  <c r="E11" i="16"/>
  <c r="I43" i="15"/>
  <c r="E43" i="15"/>
  <c r="I42" i="15"/>
  <c r="E42" i="15"/>
  <c r="I41" i="15"/>
  <c r="E41" i="15"/>
  <c r="I40" i="15"/>
  <c r="E40" i="15"/>
  <c r="I39" i="15"/>
  <c r="E39" i="15"/>
  <c r="I38" i="15"/>
  <c r="E38" i="15"/>
  <c r="I37" i="15"/>
  <c r="E37" i="15"/>
  <c r="I36" i="15"/>
  <c r="E36" i="15"/>
  <c r="I35" i="15"/>
  <c r="E35" i="15"/>
  <c r="I34" i="15"/>
  <c r="E34" i="15"/>
  <c r="I33" i="15"/>
  <c r="E33" i="15"/>
  <c r="I32" i="15"/>
  <c r="E32" i="15"/>
  <c r="I22" i="15"/>
  <c r="E22" i="15"/>
  <c r="I21" i="15"/>
  <c r="E21" i="15"/>
  <c r="I20" i="15"/>
  <c r="E20" i="15"/>
  <c r="I19" i="15"/>
  <c r="E19" i="15"/>
  <c r="I18" i="15"/>
  <c r="E18" i="15"/>
  <c r="I17" i="15"/>
  <c r="E17" i="15"/>
  <c r="I16" i="15"/>
  <c r="E16" i="15"/>
  <c r="I15" i="15"/>
  <c r="E15" i="15"/>
  <c r="I14" i="15"/>
  <c r="E14" i="15"/>
  <c r="I13" i="15"/>
  <c r="E13" i="15"/>
  <c r="I12" i="15"/>
  <c r="E12" i="15"/>
  <c r="I11" i="15"/>
  <c r="E11" i="15"/>
  <c r="I83" i="14"/>
  <c r="E83" i="14"/>
  <c r="I82" i="14"/>
  <c r="E82" i="14"/>
  <c r="I81" i="14"/>
  <c r="E81" i="14"/>
  <c r="I80" i="14"/>
  <c r="E80" i="14"/>
  <c r="I79" i="14"/>
  <c r="E79" i="14"/>
  <c r="I78" i="14"/>
  <c r="E78" i="14"/>
  <c r="I77" i="14"/>
  <c r="E77" i="14"/>
  <c r="I76" i="14"/>
  <c r="E76" i="14"/>
  <c r="I75" i="14"/>
  <c r="E75" i="14"/>
  <c r="I74" i="14"/>
  <c r="E74" i="14"/>
  <c r="I73" i="14"/>
  <c r="E73" i="14"/>
  <c r="I72" i="14"/>
  <c r="E72" i="14"/>
  <c r="I71" i="14"/>
  <c r="E71" i="14"/>
  <c r="I70" i="14"/>
  <c r="E70" i="14"/>
  <c r="I69" i="14"/>
  <c r="E69" i="14"/>
  <c r="I68" i="14"/>
  <c r="E68" i="14"/>
  <c r="I67" i="14"/>
  <c r="E67" i="14"/>
  <c r="I66" i="14"/>
  <c r="E66" i="14"/>
  <c r="I65" i="14"/>
  <c r="E65" i="14"/>
  <c r="I64" i="14"/>
  <c r="E64" i="14"/>
  <c r="I63" i="14"/>
  <c r="E63" i="14"/>
  <c r="I62" i="14"/>
  <c r="E62" i="14"/>
  <c r="I61" i="14"/>
  <c r="E61" i="14"/>
  <c r="I60" i="14"/>
  <c r="E60" i="14"/>
  <c r="I59" i="14"/>
  <c r="E59" i="14"/>
  <c r="I58" i="14"/>
  <c r="E58" i="14"/>
  <c r="I57" i="14"/>
  <c r="E57" i="14"/>
  <c r="I56" i="14"/>
  <c r="E56" i="14"/>
  <c r="I55" i="14"/>
  <c r="E55" i="14"/>
  <c r="I54" i="14"/>
  <c r="E54" i="14"/>
  <c r="I53" i="14"/>
  <c r="E53" i="14"/>
  <c r="I52" i="14"/>
  <c r="E52" i="14"/>
  <c r="I42" i="14"/>
  <c r="E42" i="14"/>
  <c r="I41" i="14"/>
  <c r="E41" i="14"/>
  <c r="I40" i="14"/>
  <c r="E40" i="14"/>
  <c r="I39" i="14"/>
  <c r="E39" i="14"/>
  <c r="I38" i="14"/>
  <c r="E38" i="14"/>
  <c r="I37" i="14"/>
  <c r="E37" i="14"/>
  <c r="I36" i="14"/>
  <c r="E36" i="14"/>
  <c r="I35" i="14"/>
  <c r="E35" i="14"/>
  <c r="I34" i="14"/>
  <c r="E34" i="14"/>
  <c r="I33" i="14"/>
  <c r="E33" i="14"/>
  <c r="I32" i="14"/>
  <c r="E32" i="14"/>
  <c r="I31" i="14"/>
  <c r="E31" i="14"/>
  <c r="I30" i="14"/>
  <c r="E30" i="14"/>
  <c r="I29" i="14"/>
  <c r="E29" i="14"/>
  <c r="I28" i="14"/>
  <c r="E28" i="14"/>
  <c r="I27" i="14"/>
  <c r="E27" i="14"/>
  <c r="I26" i="14"/>
  <c r="E26" i="14"/>
  <c r="I25" i="14"/>
  <c r="E25" i="14"/>
  <c r="I24" i="14"/>
  <c r="E24" i="14"/>
  <c r="I23" i="14"/>
  <c r="E23" i="14"/>
  <c r="I22" i="14"/>
  <c r="E22" i="14"/>
  <c r="I21" i="14"/>
  <c r="E21" i="14"/>
  <c r="I20" i="14"/>
  <c r="E20" i="14"/>
  <c r="I19" i="14"/>
  <c r="E19" i="14"/>
  <c r="I18" i="14"/>
  <c r="E18" i="14"/>
  <c r="I17" i="14"/>
  <c r="E17" i="14"/>
  <c r="I16" i="14"/>
  <c r="E16" i="14"/>
  <c r="I15" i="14"/>
  <c r="E15" i="14"/>
  <c r="I14" i="14"/>
  <c r="E14" i="14"/>
  <c r="I13" i="14"/>
  <c r="E13" i="14"/>
  <c r="I12" i="14"/>
  <c r="E12" i="14"/>
  <c r="I11" i="14"/>
  <c r="E11" i="14"/>
  <c r="I85" i="13"/>
  <c r="E85" i="13"/>
  <c r="I84" i="13"/>
  <c r="E84" i="13"/>
  <c r="I83" i="13"/>
  <c r="E83" i="13"/>
  <c r="I82" i="13"/>
  <c r="E82" i="13"/>
  <c r="I81" i="13"/>
  <c r="E81" i="13"/>
  <c r="I80" i="13"/>
  <c r="E80" i="13"/>
  <c r="I79" i="13"/>
  <c r="E79" i="13"/>
  <c r="I78" i="13"/>
  <c r="E78" i="13"/>
  <c r="I77" i="13"/>
  <c r="E77" i="13"/>
  <c r="I76" i="13"/>
  <c r="E76" i="13"/>
  <c r="I75" i="13"/>
  <c r="E75" i="13"/>
  <c r="I74" i="13"/>
  <c r="E74" i="13"/>
  <c r="I73" i="13"/>
  <c r="E73" i="13"/>
  <c r="I72" i="13"/>
  <c r="E72" i="13"/>
  <c r="I71" i="13"/>
  <c r="E71" i="13"/>
  <c r="I70" i="13"/>
  <c r="E70" i="13"/>
  <c r="I69" i="13"/>
  <c r="E69" i="13"/>
  <c r="I68" i="13"/>
  <c r="E68" i="13"/>
  <c r="I67" i="13"/>
  <c r="E67" i="13"/>
  <c r="I66" i="13"/>
  <c r="E66" i="13"/>
  <c r="I65" i="13"/>
  <c r="E65" i="13"/>
  <c r="I64" i="13"/>
  <c r="E64" i="13"/>
  <c r="I63" i="13"/>
  <c r="E63" i="13"/>
  <c r="I62" i="13"/>
  <c r="E62" i="13"/>
  <c r="I61" i="13"/>
  <c r="E61" i="13"/>
  <c r="I60" i="13"/>
  <c r="E60" i="13"/>
  <c r="I59" i="13"/>
  <c r="E59" i="13"/>
  <c r="I58" i="13"/>
  <c r="E58" i="13"/>
  <c r="I57" i="13"/>
  <c r="E57" i="13"/>
  <c r="I56" i="13"/>
  <c r="E56" i="13"/>
  <c r="I55" i="13"/>
  <c r="E55" i="13"/>
  <c r="I54" i="13"/>
  <c r="E54" i="13"/>
  <c r="I53" i="13"/>
  <c r="E53" i="13"/>
  <c r="I43" i="13"/>
  <c r="E43" i="13"/>
  <c r="I42" i="13"/>
  <c r="E42" i="13"/>
  <c r="I41" i="13"/>
  <c r="E41" i="13"/>
  <c r="I40" i="13"/>
  <c r="E40" i="13"/>
  <c r="I39" i="13"/>
  <c r="E39" i="13"/>
  <c r="I38" i="13"/>
  <c r="E38" i="13"/>
  <c r="I37" i="13"/>
  <c r="E37" i="13"/>
  <c r="I36" i="13"/>
  <c r="E36" i="13"/>
  <c r="I35" i="13"/>
  <c r="E35" i="13"/>
  <c r="I34" i="13"/>
  <c r="E34" i="13"/>
  <c r="I33" i="13"/>
  <c r="E33" i="13"/>
  <c r="I32" i="13"/>
  <c r="E32" i="13"/>
  <c r="I31" i="13"/>
  <c r="E31" i="13"/>
  <c r="I30" i="13"/>
  <c r="E30" i="13"/>
  <c r="I29" i="13"/>
  <c r="E29" i="13"/>
  <c r="I28" i="13"/>
  <c r="E28" i="13"/>
  <c r="I27" i="13"/>
  <c r="E27" i="13"/>
  <c r="I26" i="13"/>
  <c r="E26" i="13"/>
  <c r="I25" i="13"/>
  <c r="E25" i="13"/>
  <c r="I24" i="13"/>
  <c r="E24" i="13"/>
  <c r="I23" i="13"/>
  <c r="E23" i="13"/>
  <c r="I22" i="13"/>
  <c r="E22" i="13"/>
  <c r="I21" i="13"/>
  <c r="E21" i="13"/>
  <c r="I20" i="13"/>
  <c r="E20" i="13"/>
  <c r="I19" i="13"/>
  <c r="E19" i="13"/>
  <c r="I18" i="13"/>
  <c r="E18" i="13"/>
  <c r="I17" i="13"/>
  <c r="E17" i="13"/>
  <c r="I16" i="13"/>
  <c r="E16" i="13"/>
  <c r="I15" i="13"/>
  <c r="E15" i="13"/>
  <c r="I14" i="13"/>
  <c r="E14" i="13"/>
  <c r="I13" i="13"/>
  <c r="E13" i="13"/>
  <c r="I12" i="13"/>
  <c r="E12" i="13"/>
  <c r="I11" i="13"/>
  <c r="E11" i="13"/>
  <c r="I79" i="12"/>
  <c r="K79" i="12" s="1"/>
  <c r="M79" i="12" s="1"/>
  <c r="I78" i="12"/>
  <c r="K78" i="12" s="1"/>
  <c r="M78" i="12" s="1"/>
  <c r="I77" i="12"/>
  <c r="K77" i="12" s="1"/>
  <c r="M77" i="12" s="1"/>
  <c r="I76" i="12"/>
  <c r="K76" i="12" s="1"/>
  <c r="M76" i="12" s="1"/>
  <c r="I75" i="12"/>
  <c r="K75" i="12" s="1"/>
  <c r="M75" i="12" s="1"/>
  <c r="I74" i="12"/>
  <c r="K74" i="12" s="1"/>
  <c r="M74" i="12" s="1"/>
  <c r="I73" i="12"/>
  <c r="K73" i="12" s="1"/>
  <c r="M73" i="12" s="1"/>
  <c r="I72" i="12"/>
  <c r="K72" i="12" s="1"/>
  <c r="M72" i="12" s="1"/>
  <c r="I71" i="12"/>
  <c r="K71" i="12" s="1"/>
  <c r="M71" i="12" s="1"/>
  <c r="I70" i="12"/>
  <c r="K70" i="12" s="1"/>
  <c r="M70" i="12" s="1"/>
  <c r="I69" i="12"/>
  <c r="K69" i="12" s="1"/>
  <c r="M69" i="12" s="1"/>
  <c r="I68" i="12"/>
  <c r="K68" i="12" s="1"/>
  <c r="M68" i="12" s="1"/>
  <c r="I67" i="12"/>
  <c r="K67" i="12" s="1"/>
  <c r="M67" i="12" s="1"/>
  <c r="I66" i="12"/>
  <c r="K66" i="12" s="1"/>
  <c r="M66" i="12" s="1"/>
  <c r="I65" i="12"/>
  <c r="K65" i="12" s="1"/>
  <c r="M65" i="12" s="1"/>
  <c r="I64" i="12"/>
  <c r="K64" i="12" s="1"/>
  <c r="M64" i="12" s="1"/>
  <c r="I63" i="12"/>
  <c r="K63" i="12" s="1"/>
  <c r="M63" i="12" s="1"/>
  <c r="I62" i="12"/>
  <c r="K62" i="12" s="1"/>
  <c r="M62" i="12" s="1"/>
  <c r="I61" i="12"/>
  <c r="K61" i="12" s="1"/>
  <c r="M61" i="12" s="1"/>
  <c r="I60" i="12"/>
  <c r="K60" i="12" s="1"/>
  <c r="M60" i="12" s="1"/>
  <c r="I59" i="12"/>
  <c r="K59" i="12" s="1"/>
  <c r="M59" i="12" s="1"/>
  <c r="I58" i="12"/>
  <c r="K58" i="12" s="1"/>
  <c r="M58" i="12" s="1"/>
  <c r="I57" i="12"/>
  <c r="K57" i="12" s="1"/>
  <c r="M57" i="12" s="1"/>
  <c r="I56" i="12"/>
  <c r="K56" i="12" s="1"/>
  <c r="M56" i="12" s="1"/>
  <c r="I55" i="12"/>
  <c r="K55" i="12" s="1"/>
  <c r="M55" i="12" s="1"/>
  <c r="I54" i="12"/>
  <c r="K54" i="12" s="1"/>
  <c r="M54" i="12" s="1"/>
  <c r="I53" i="12"/>
  <c r="K53" i="12" s="1"/>
  <c r="M53" i="12" s="1"/>
  <c r="I52" i="12"/>
  <c r="K52" i="12" s="1"/>
  <c r="M52" i="12" s="1"/>
  <c r="I51" i="12"/>
  <c r="K51" i="12" s="1"/>
  <c r="M51" i="12" s="1"/>
  <c r="I50" i="12"/>
  <c r="K50" i="12" s="1"/>
  <c r="M50" i="12" s="1"/>
  <c r="I40" i="12"/>
  <c r="E40" i="12"/>
  <c r="I39" i="12"/>
  <c r="E39" i="12"/>
  <c r="I38" i="12"/>
  <c r="E38" i="12"/>
  <c r="I37" i="12"/>
  <c r="E37" i="12"/>
  <c r="I36" i="12"/>
  <c r="E36" i="12"/>
  <c r="I35" i="12"/>
  <c r="E35" i="12"/>
  <c r="I34" i="12"/>
  <c r="E34" i="12"/>
  <c r="I33" i="12"/>
  <c r="E33" i="12"/>
  <c r="I32" i="12"/>
  <c r="E32" i="12"/>
  <c r="I31" i="12"/>
  <c r="E31" i="12"/>
  <c r="I30" i="12"/>
  <c r="E30" i="12"/>
  <c r="I29" i="12"/>
  <c r="E29" i="12"/>
  <c r="I28" i="12"/>
  <c r="E28" i="12"/>
  <c r="I27" i="12"/>
  <c r="E27" i="12"/>
  <c r="I26" i="12"/>
  <c r="E26" i="12"/>
  <c r="I25" i="12"/>
  <c r="E25" i="12"/>
  <c r="I24" i="12"/>
  <c r="E24" i="12"/>
  <c r="I23" i="12"/>
  <c r="E23" i="12"/>
  <c r="I22" i="12"/>
  <c r="E22" i="12"/>
  <c r="I21" i="12"/>
  <c r="E21" i="12"/>
  <c r="I20" i="12"/>
  <c r="E20" i="12"/>
  <c r="I19" i="12"/>
  <c r="E19" i="12"/>
  <c r="I18" i="12"/>
  <c r="E18" i="12"/>
  <c r="I17" i="12"/>
  <c r="E17" i="12"/>
  <c r="I16" i="12"/>
  <c r="E16" i="12"/>
  <c r="I15" i="12"/>
  <c r="E15" i="12"/>
  <c r="I14" i="12"/>
  <c r="E14" i="12"/>
  <c r="I13" i="12"/>
  <c r="E13" i="12"/>
  <c r="I12" i="12"/>
  <c r="E12" i="12"/>
  <c r="I11" i="12"/>
  <c r="E11" i="12"/>
  <c r="I85" i="11"/>
  <c r="E85" i="11"/>
  <c r="I84" i="11"/>
  <c r="E84" i="11"/>
  <c r="I83" i="11"/>
  <c r="E83" i="11"/>
  <c r="I82" i="11"/>
  <c r="E82" i="11"/>
  <c r="I81" i="11"/>
  <c r="E81" i="11"/>
  <c r="I80" i="11"/>
  <c r="E80" i="11"/>
  <c r="I79" i="11"/>
  <c r="E79" i="11"/>
  <c r="I78" i="11"/>
  <c r="E78" i="11"/>
  <c r="I77" i="11"/>
  <c r="E77" i="11"/>
  <c r="I76" i="11"/>
  <c r="E76" i="11"/>
  <c r="I75" i="11"/>
  <c r="E75" i="11"/>
  <c r="I74" i="11"/>
  <c r="E74" i="11"/>
  <c r="I73" i="11"/>
  <c r="E73" i="11"/>
  <c r="I72" i="11"/>
  <c r="E72" i="11"/>
  <c r="I71" i="11"/>
  <c r="E71" i="11"/>
  <c r="I70" i="11"/>
  <c r="E70" i="11"/>
  <c r="I69" i="11"/>
  <c r="E69" i="11"/>
  <c r="I68" i="11"/>
  <c r="E68" i="11"/>
  <c r="I67" i="11"/>
  <c r="E67" i="11"/>
  <c r="I66" i="11"/>
  <c r="E66" i="11"/>
  <c r="I65" i="11"/>
  <c r="E65" i="11"/>
  <c r="I64" i="11"/>
  <c r="E64" i="11"/>
  <c r="I63" i="11"/>
  <c r="E63" i="11"/>
  <c r="I62" i="11"/>
  <c r="E62" i="11"/>
  <c r="I61" i="11"/>
  <c r="E61" i="11"/>
  <c r="I60" i="11"/>
  <c r="E60" i="11"/>
  <c r="I59" i="11"/>
  <c r="E59" i="11"/>
  <c r="I58" i="11"/>
  <c r="E58" i="11"/>
  <c r="I57" i="11"/>
  <c r="E57" i="11"/>
  <c r="I56" i="11"/>
  <c r="E56" i="11"/>
  <c r="I55" i="11"/>
  <c r="E55" i="11"/>
  <c r="I54" i="11"/>
  <c r="E54" i="11"/>
  <c r="I53" i="11"/>
  <c r="E53" i="11"/>
  <c r="I43" i="11"/>
  <c r="E43" i="11"/>
  <c r="I42" i="11"/>
  <c r="E42" i="11"/>
  <c r="I41" i="11"/>
  <c r="E41" i="11"/>
  <c r="I40" i="11"/>
  <c r="E40" i="11"/>
  <c r="I39" i="11"/>
  <c r="E39" i="11"/>
  <c r="I38" i="11"/>
  <c r="E38" i="11"/>
  <c r="I37" i="11"/>
  <c r="E37" i="11"/>
  <c r="I36" i="11"/>
  <c r="E36" i="11"/>
  <c r="I35" i="11"/>
  <c r="E35" i="11"/>
  <c r="I34" i="11"/>
  <c r="E34" i="11"/>
  <c r="I33" i="11"/>
  <c r="E33" i="11"/>
  <c r="I32" i="11"/>
  <c r="E32" i="11"/>
  <c r="I31" i="11"/>
  <c r="E31" i="11"/>
  <c r="I30" i="11"/>
  <c r="E30" i="11"/>
  <c r="I29" i="11"/>
  <c r="E29" i="11"/>
  <c r="I28" i="11"/>
  <c r="E28" i="11"/>
  <c r="I27" i="11"/>
  <c r="E27" i="11"/>
  <c r="I26" i="11"/>
  <c r="E26" i="11"/>
  <c r="I25" i="11"/>
  <c r="E25" i="11"/>
  <c r="I24" i="11"/>
  <c r="E24" i="11"/>
  <c r="I23" i="11"/>
  <c r="E23" i="11"/>
  <c r="I22" i="11"/>
  <c r="E22" i="11"/>
  <c r="I21" i="11"/>
  <c r="E21" i="11"/>
  <c r="I20" i="11"/>
  <c r="E20" i="11"/>
  <c r="I19" i="11"/>
  <c r="E19" i="11"/>
  <c r="I18" i="11"/>
  <c r="E18" i="11"/>
  <c r="I17" i="11"/>
  <c r="E17" i="11"/>
  <c r="I16" i="11"/>
  <c r="E16" i="11"/>
  <c r="I15" i="11"/>
  <c r="E15" i="11"/>
  <c r="I14" i="11"/>
  <c r="E14" i="11"/>
  <c r="I13" i="11"/>
  <c r="E13" i="11"/>
  <c r="I12" i="11"/>
  <c r="E12" i="11"/>
  <c r="I11" i="11"/>
  <c r="E11" i="11"/>
  <c r="L33" i="34" l="1"/>
  <c r="M33" i="34" s="1"/>
  <c r="H33" i="34"/>
  <c r="C33" i="34"/>
  <c r="G33" i="34"/>
  <c r="D33" i="34"/>
  <c r="I33" i="34"/>
  <c r="E33" i="34"/>
  <c r="L63" i="34"/>
  <c r="M63" i="34" s="1"/>
  <c r="D63" i="34"/>
  <c r="C63" i="34"/>
  <c r="H63" i="34"/>
  <c r="G63" i="34"/>
  <c r="E63" i="34"/>
  <c r="I63" i="34"/>
  <c r="K14" i="11"/>
  <c r="M14" i="11" s="1"/>
  <c r="K38" i="11"/>
  <c r="M38" i="11" s="1"/>
  <c r="K42" i="11"/>
  <c r="M42" i="11" s="1"/>
  <c r="K57" i="11"/>
  <c r="M57" i="11" s="1"/>
  <c r="K16" i="13"/>
  <c r="M16" i="13" s="1"/>
  <c r="K55" i="13"/>
  <c r="M55" i="13" s="1"/>
  <c r="K34" i="15"/>
  <c r="M34" i="15" s="1"/>
  <c r="K36" i="15"/>
  <c r="M36" i="15" s="1"/>
  <c r="K38" i="15"/>
  <c r="M38" i="15" s="1"/>
  <c r="K40" i="15"/>
  <c r="M40" i="15" s="1"/>
  <c r="K11" i="18"/>
  <c r="M11" i="18" s="1"/>
  <c r="K13" i="18"/>
  <c r="M13" i="18" s="1"/>
  <c r="K15" i="18"/>
  <c r="M15" i="18" s="1"/>
  <c r="K17" i="18"/>
  <c r="M17" i="18" s="1"/>
  <c r="K19" i="18"/>
  <c r="M19" i="18" s="1"/>
  <c r="K21" i="18"/>
  <c r="M21" i="18" s="1"/>
  <c r="K58" i="11"/>
  <c r="M58" i="11" s="1"/>
  <c r="K17" i="12"/>
  <c r="M17" i="12" s="1"/>
  <c r="K58" i="13"/>
  <c r="M58" i="13" s="1"/>
  <c r="K60" i="13"/>
  <c r="M60" i="13" s="1"/>
  <c r="K32" i="18"/>
  <c r="M32" i="18" s="1"/>
  <c r="K79" i="13"/>
  <c r="M79" i="13" s="1"/>
  <c r="K54" i="11"/>
  <c r="M54" i="11" s="1"/>
  <c r="K32" i="13"/>
  <c r="M32" i="13" s="1"/>
  <c r="K18" i="11"/>
  <c r="M18" i="11" s="1"/>
  <c r="K22" i="11"/>
  <c r="M22" i="11" s="1"/>
  <c r="K26" i="11"/>
  <c r="M26" i="11" s="1"/>
  <c r="K30" i="11"/>
  <c r="M30" i="11" s="1"/>
  <c r="K34" i="11"/>
  <c r="M34" i="11" s="1"/>
  <c r="K19" i="13"/>
  <c r="M19" i="13" s="1"/>
  <c r="K23" i="13"/>
  <c r="M23" i="13" s="1"/>
  <c r="K64" i="13"/>
  <c r="M64" i="13" s="1"/>
  <c r="K72" i="13"/>
  <c r="M72" i="13" s="1"/>
  <c r="K82" i="13"/>
  <c r="M82" i="13" s="1"/>
  <c r="K84" i="13"/>
  <c r="M84" i="13" s="1"/>
  <c r="K63" i="13"/>
  <c r="M63" i="13" s="1"/>
  <c r="K67" i="13"/>
  <c r="M67" i="13" s="1"/>
  <c r="K71" i="13"/>
  <c r="M71" i="13" s="1"/>
  <c r="K75" i="13"/>
  <c r="M75" i="13" s="1"/>
  <c r="K34" i="13"/>
  <c r="M34" i="13" s="1"/>
  <c r="K40" i="13"/>
  <c r="M40" i="13" s="1"/>
  <c r="K42" i="13"/>
  <c r="M42" i="13" s="1"/>
  <c r="K59" i="13"/>
  <c r="M59" i="13" s="1"/>
  <c r="K74" i="13"/>
  <c r="M74" i="13" s="1"/>
  <c r="K76" i="13"/>
  <c r="M76" i="13" s="1"/>
  <c r="K15" i="13"/>
  <c r="M15" i="13" s="1"/>
  <c r="K80" i="13"/>
  <c r="M80" i="13" s="1"/>
  <c r="K61" i="11"/>
  <c r="M61" i="11" s="1"/>
  <c r="K65" i="11"/>
  <c r="M65" i="11" s="1"/>
  <c r="K69" i="11"/>
  <c r="M69" i="11" s="1"/>
  <c r="K73" i="11"/>
  <c r="M73" i="11" s="1"/>
  <c r="K77" i="11"/>
  <c r="M77" i="11" s="1"/>
  <c r="K81" i="11"/>
  <c r="M81" i="11" s="1"/>
  <c r="K85" i="11"/>
  <c r="M85" i="11" s="1"/>
  <c r="K31" i="13"/>
  <c r="M31" i="13" s="1"/>
  <c r="K56" i="13"/>
  <c r="M56" i="13" s="1"/>
  <c r="K66" i="13"/>
  <c r="M66" i="13" s="1"/>
  <c r="K68" i="13"/>
  <c r="M68" i="13" s="1"/>
  <c r="K83" i="13"/>
  <c r="M83" i="13" s="1"/>
  <c r="K12" i="14"/>
  <c r="M12" i="14" s="1"/>
  <c r="K14" i="14"/>
  <c r="M14" i="14" s="1"/>
  <c r="K16" i="14"/>
  <c r="M16" i="14" s="1"/>
  <c r="K18" i="14"/>
  <c r="M18" i="14" s="1"/>
  <c r="K20" i="14"/>
  <c r="M20" i="14" s="1"/>
  <c r="K22" i="14"/>
  <c r="M22" i="14" s="1"/>
  <c r="K24" i="14"/>
  <c r="M24" i="14" s="1"/>
  <c r="K26" i="14"/>
  <c r="M26" i="14" s="1"/>
  <c r="K28" i="14"/>
  <c r="M28" i="14" s="1"/>
  <c r="K30" i="14"/>
  <c r="M30" i="14" s="1"/>
  <c r="K32" i="14"/>
  <c r="M32" i="14" s="1"/>
  <c r="K34" i="14"/>
  <c r="M34" i="14" s="1"/>
  <c r="K36" i="14"/>
  <c r="M36" i="14" s="1"/>
  <c r="K15" i="16"/>
  <c r="M15" i="16" s="1"/>
  <c r="K38" i="14"/>
  <c r="M38" i="14" s="1"/>
  <c r="K40" i="14"/>
  <c r="M40" i="14" s="1"/>
  <c r="K42" i="14"/>
  <c r="M42" i="14" s="1"/>
  <c r="K53" i="14"/>
  <c r="M53" i="14" s="1"/>
  <c r="K55" i="14"/>
  <c r="M55" i="14" s="1"/>
  <c r="K57" i="14"/>
  <c r="M57" i="14" s="1"/>
  <c r="K59" i="14"/>
  <c r="M59" i="14" s="1"/>
  <c r="K61" i="14"/>
  <c r="M61" i="14" s="1"/>
  <c r="K63" i="14"/>
  <c r="M63" i="14" s="1"/>
  <c r="K65" i="14"/>
  <c r="M65" i="14" s="1"/>
  <c r="K67" i="14"/>
  <c r="M67" i="14" s="1"/>
  <c r="K69" i="14"/>
  <c r="M69" i="14" s="1"/>
  <c r="K71" i="14"/>
  <c r="M71" i="14" s="1"/>
  <c r="K73" i="14"/>
  <c r="M73" i="14" s="1"/>
  <c r="K75" i="14"/>
  <c r="M75" i="14" s="1"/>
  <c r="K77" i="14"/>
  <c r="M77" i="14" s="1"/>
  <c r="K79" i="14"/>
  <c r="M79" i="14" s="1"/>
  <c r="K81" i="14"/>
  <c r="M81" i="14" s="1"/>
  <c r="K83" i="14"/>
  <c r="M83" i="14" s="1"/>
  <c r="K35" i="15"/>
  <c r="M35" i="15" s="1"/>
  <c r="K39" i="15"/>
  <c r="M39" i="15" s="1"/>
  <c r="K43" i="15"/>
  <c r="M43" i="15" s="1"/>
  <c r="K14" i="16"/>
  <c r="M14" i="16" s="1"/>
  <c r="K18" i="16"/>
  <c r="M18" i="16" s="1"/>
  <c r="K22" i="16"/>
  <c r="M22" i="16" s="1"/>
  <c r="K26" i="16"/>
  <c r="M26" i="16" s="1"/>
  <c r="K30" i="16"/>
  <c r="M30" i="16" s="1"/>
  <c r="K34" i="16"/>
  <c r="M34" i="16" s="1"/>
  <c r="K38" i="16"/>
  <c r="M38" i="16" s="1"/>
  <c r="K53" i="16"/>
  <c r="M53" i="16" s="1"/>
  <c r="K57" i="16"/>
  <c r="M57" i="16" s="1"/>
  <c r="K61" i="16"/>
  <c r="M61" i="16" s="1"/>
  <c r="K65" i="16"/>
  <c r="M65" i="16" s="1"/>
  <c r="K69" i="16"/>
  <c r="M69" i="16" s="1"/>
  <c r="K73" i="16"/>
  <c r="M73" i="16" s="1"/>
  <c r="K77" i="16"/>
  <c r="M77" i="16" s="1"/>
  <c r="K33" i="18"/>
  <c r="M33" i="18" s="1"/>
  <c r="K35" i="18"/>
  <c r="M35" i="18" s="1"/>
  <c r="K37" i="18"/>
  <c r="M37" i="18" s="1"/>
  <c r="K39" i="18"/>
  <c r="M39" i="18" s="1"/>
  <c r="K41" i="18"/>
  <c r="M41" i="18" s="1"/>
  <c r="K14" i="19"/>
  <c r="M14" i="19" s="1"/>
  <c r="K16" i="19"/>
  <c r="M16" i="19" s="1"/>
  <c r="K18" i="19"/>
  <c r="M18" i="19" s="1"/>
  <c r="K20" i="19"/>
  <c r="M20" i="19" s="1"/>
  <c r="K22" i="19"/>
  <c r="M22" i="19" s="1"/>
  <c r="K26" i="19"/>
  <c r="M26" i="19" s="1"/>
  <c r="K28" i="19"/>
  <c r="M28" i="19" s="1"/>
  <c r="K30" i="19"/>
  <c r="M30" i="19" s="1"/>
  <c r="K32" i="19"/>
  <c r="M32" i="19" s="1"/>
  <c r="K34" i="19"/>
  <c r="M34" i="19" s="1"/>
  <c r="K36" i="19"/>
  <c r="M36" i="19" s="1"/>
  <c r="K38" i="19"/>
  <c r="M38" i="19" s="1"/>
  <c r="K40" i="19"/>
  <c r="M40" i="19" s="1"/>
  <c r="K42" i="19"/>
  <c r="M42" i="19" s="1"/>
  <c r="K44" i="19"/>
  <c r="M44" i="19" s="1"/>
  <c r="K46" i="19"/>
  <c r="M46" i="19" s="1"/>
  <c r="K50" i="19"/>
  <c r="M50" i="19" s="1"/>
  <c r="K54" i="19"/>
  <c r="M54" i="19" s="1"/>
  <c r="K56" i="19"/>
  <c r="M56" i="19" s="1"/>
  <c r="K58" i="19"/>
  <c r="M58" i="19" s="1"/>
  <c r="K60" i="19"/>
  <c r="M60" i="19" s="1"/>
  <c r="K62" i="19"/>
  <c r="M62" i="19" s="1"/>
  <c r="K73" i="19"/>
  <c r="M73" i="19" s="1"/>
  <c r="K75" i="19"/>
  <c r="M75" i="19" s="1"/>
  <c r="K77" i="19"/>
  <c r="M77" i="19" s="1"/>
  <c r="K79" i="19"/>
  <c r="M79" i="19" s="1"/>
  <c r="K81" i="19"/>
  <c r="M81" i="19" s="1"/>
  <c r="K83" i="19"/>
  <c r="M83" i="19" s="1"/>
  <c r="K85" i="19"/>
  <c r="M85" i="19" s="1"/>
  <c r="K87" i="19"/>
  <c r="M87" i="19" s="1"/>
  <c r="K91" i="19"/>
  <c r="M91" i="19" s="1"/>
  <c r="K95" i="19"/>
  <c r="M95" i="19" s="1"/>
  <c r="K97" i="19"/>
  <c r="M97" i="19" s="1"/>
  <c r="K99" i="19"/>
  <c r="M99" i="19" s="1"/>
  <c r="K103" i="19"/>
  <c r="M103" i="19" s="1"/>
  <c r="K105" i="19"/>
  <c r="M105" i="19" s="1"/>
  <c r="K107" i="19"/>
  <c r="M107" i="19" s="1"/>
  <c r="K109" i="19"/>
  <c r="M109" i="19" s="1"/>
  <c r="K111" i="19"/>
  <c r="M111" i="19" s="1"/>
  <c r="K113" i="19"/>
  <c r="M113" i="19" s="1"/>
  <c r="K115" i="19"/>
  <c r="M115" i="19" s="1"/>
  <c r="K117" i="19"/>
  <c r="M117" i="19" s="1"/>
  <c r="K119" i="19"/>
  <c r="M119" i="19" s="1"/>
  <c r="K123" i="19"/>
  <c r="M123" i="19" s="1"/>
  <c r="K80" i="19"/>
  <c r="M80" i="19" s="1"/>
  <c r="K88" i="19"/>
  <c r="M88" i="19" s="1"/>
  <c r="K96" i="19"/>
  <c r="M96" i="19" s="1"/>
  <c r="K104" i="19"/>
  <c r="M104" i="19" s="1"/>
  <c r="K112" i="19"/>
  <c r="M112" i="19" s="1"/>
  <c r="K116" i="19"/>
  <c r="M116" i="19" s="1"/>
  <c r="K120" i="19"/>
  <c r="M120" i="19" s="1"/>
  <c r="K122" i="19"/>
  <c r="M122" i="19" s="1"/>
  <c r="K11" i="19"/>
  <c r="M11" i="19" s="1"/>
  <c r="K15" i="19"/>
  <c r="M15" i="19" s="1"/>
  <c r="K31" i="19"/>
  <c r="M31" i="19" s="1"/>
  <c r="K35" i="19"/>
  <c r="M35" i="19" s="1"/>
  <c r="K39" i="19"/>
  <c r="M39" i="19" s="1"/>
  <c r="K43" i="19"/>
  <c r="M43" i="19" s="1"/>
  <c r="K51" i="19"/>
  <c r="M51" i="19" s="1"/>
  <c r="K31" i="18"/>
  <c r="M31" i="18" s="1"/>
  <c r="K12" i="18"/>
  <c r="M12" i="18" s="1"/>
  <c r="K30" i="17"/>
  <c r="M30" i="17" s="1"/>
  <c r="K34" i="17"/>
  <c r="M34" i="17" s="1"/>
  <c r="K31" i="17"/>
  <c r="M31" i="17" s="1"/>
  <c r="K33" i="17"/>
  <c r="M33" i="17" s="1"/>
  <c r="K35" i="17"/>
  <c r="M35" i="17" s="1"/>
  <c r="K39" i="17"/>
  <c r="M39" i="17" s="1"/>
  <c r="K14" i="17"/>
  <c r="M14" i="17" s="1"/>
  <c r="K18" i="17"/>
  <c r="M18" i="17" s="1"/>
  <c r="K50" i="16"/>
  <c r="M50" i="16" s="1"/>
  <c r="K54" i="16"/>
  <c r="M54" i="16" s="1"/>
  <c r="K32" i="15"/>
  <c r="M32" i="15" s="1"/>
  <c r="K42" i="15"/>
  <c r="M42" i="15" s="1"/>
  <c r="K13" i="15"/>
  <c r="M13" i="15" s="1"/>
  <c r="K17" i="15"/>
  <c r="M17" i="15" s="1"/>
  <c r="K21" i="15"/>
  <c r="M21" i="15" s="1"/>
  <c r="K11" i="13"/>
  <c r="M11" i="13" s="1"/>
  <c r="K18" i="13"/>
  <c r="M18" i="13" s="1"/>
  <c r="K24" i="13"/>
  <c r="M24" i="13" s="1"/>
  <c r="K26" i="13"/>
  <c r="M26" i="13" s="1"/>
  <c r="K39" i="13"/>
  <c r="M39" i="13" s="1"/>
  <c r="K12" i="12"/>
  <c r="M12" i="12" s="1"/>
  <c r="K16" i="12"/>
  <c r="M16" i="12" s="1"/>
  <c r="K20" i="12"/>
  <c r="M20" i="12" s="1"/>
  <c r="K24" i="12"/>
  <c r="M24" i="12" s="1"/>
  <c r="K28" i="12"/>
  <c r="M28" i="12" s="1"/>
  <c r="K32" i="12"/>
  <c r="M32" i="12" s="1"/>
  <c r="K36" i="12"/>
  <c r="M36" i="12" s="1"/>
  <c r="K40" i="12"/>
  <c r="M40" i="12" s="1"/>
  <c r="K53" i="11"/>
  <c r="M53" i="11" s="1"/>
  <c r="K70" i="11"/>
  <c r="M70" i="11" s="1"/>
  <c r="K15" i="11"/>
  <c r="M15" i="11" s="1"/>
  <c r="K19" i="11"/>
  <c r="M19" i="11" s="1"/>
  <c r="K72" i="19"/>
  <c r="M72" i="19" s="1"/>
  <c r="K76" i="19"/>
  <c r="M76" i="19" s="1"/>
  <c r="K84" i="19"/>
  <c r="M84" i="19" s="1"/>
  <c r="K92" i="19"/>
  <c r="M92" i="19" s="1"/>
  <c r="K100" i="19"/>
  <c r="M100" i="19" s="1"/>
  <c r="K108" i="19"/>
  <c r="M108" i="19" s="1"/>
  <c r="K89" i="19"/>
  <c r="M89" i="19" s="1"/>
  <c r="K93" i="19"/>
  <c r="M93" i="19" s="1"/>
  <c r="K101" i="19"/>
  <c r="M101" i="19" s="1"/>
  <c r="K121" i="19"/>
  <c r="M121" i="19" s="1"/>
  <c r="K74" i="19"/>
  <c r="M74" i="19" s="1"/>
  <c r="K78" i="19"/>
  <c r="M78" i="19" s="1"/>
  <c r="K82" i="19"/>
  <c r="M82" i="19" s="1"/>
  <c r="K86" i="19"/>
  <c r="M86" i="19" s="1"/>
  <c r="K90" i="19"/>
  <c r="M90" i="19" s="1"/>
  <c r="K94" i="19"/>
  <c r="M94" i="19" s="1"/>
  <c r="K98" i="19"/>
  <c r="M98" i="19" s="1"/>
  <c r="K102" i="19"/>
  <c r="M102" i="19" s="1"/>
  <c r="K106" i="19"/>
  <c r="M106" i="19" s="1"/>
  <c r="K110" i="19"/>
  <c r="M110" i="19" s="1"/>
  <c r="K114" i="19"/>
  <c r="M114" i="19" s="1"/>
  <c r="K118" i="19"/>
  <c r="M118" i="19" s="1"/>
  <c r="K19" i="19"/>
  <c r="M19" i="19" s="1"/>
  <c r="K23" i="19"/>
  <c r="M23" i="19" s="1"/>
  <c r="K27" i="19"/>
  <c r="M27" i="19" s="1"/>
  <c r="K55" i="19"/>
  <c r="M55" i="19" s="1"/>
  <c r="K12" i="19"/>
  <c r="M12" i="19" s="1"/>
  <c r="K24" i="19"/>
  <c r="M24" i="19" s="1"/>
  <c r="K48" i="19"/>
  <c r="M48" i="19" s="1"/>
  <c r="K52" i="19"/>
  <c r="M52" i="19" s="1"/>
  <c r="K13" i="19"/>
  <c r="M13" i="19" s="1"/>
  <c r="K17" i="19"/>
  <c r="M17" i="19" s="1"/>
  <c r="K21" i="19"/>
  <c r="M21" i="19" s="1"/>
  <c r="K25" i="19"/>
  <c r="M25" i="19" s="1"/>
  <c r="K29" i="19"/>
  <c r="M29" i="19" s="1"/>
  <c r="K33" i="19"/>
  <c r="M33" i="19" s="1"/>
  <c r="K37" i="19"/>
  <c r="M37" i="19" s="1"/>
  <c r="K41" i="19"/>
  <c r="M41" i="19" s="1"/>
  <c r="K45" i="19"/>
  <c r="M45" i="19" s="1"/>
  <c r="K49" i="19"/>
  <c r="M49" i="19" s="1"/>
  <c r="K53" i="19"/>
  <c r="M53" i="19" s="1"/>
  <c r="K57" i="19"/>
  <c r="M57" i="19" s="1"/>
  <c r="K61" i="19"/>
  <c r="M61" i="19" s="1"/>
  <c r="K47" i="19"/>
  <c r="M47" i="19" s="1"/>
  <c r="K59" i="19"/>
  <c r="M59" i="19" s="1"/>
  <c r="K34" i="18"/>
  <c r="M34" i="18" s="1"/>
  <c r="K36" i="18"/>
  <c r="M36" i="18" s="1"/>
  <c r="K40" i="18"/>
  <c r="M40" i="18" s="1"/>
  <c r="K38" i="18"/>
  <c r="M38" i="18" s="1"/>
  <c r="K14" i="18"/>
  <c r="M14" i="18" s="1"/>
  <c r="K16" i="18"/>
  <c r="M16" i="18" s="1"/>
  <c r="K20" i="18"/>
  <c r="M20" i="18" s="1"/>
  <c r="K18" i="18"/>
  <c r="M18" i="18" s="1"/>
  <c r="K32" i="17"/>
  <c r="M32" i="17" s="1"/>
  <c r="K36" i="17"/>
  <c r="M36" i="17" s="1"/>
  <c r="K37" i="17"/>
  <c r="M37" i="17" s="1"/>
  <c r="K38" i="17"/>
  <c r="M38" i="17" s="1"/>
  <c r="K11" i="17"/>
  <c r="M11" i="17" s="1"/>
  <c r="K15" i="17"/>
  <c r="M15" i="17" s="1"/>
  <c r="K19" i="17"/>
  <c r="M19" i="17" s="1"/>
  <c r="K12" i="17"/>
  <c r="M12" i="17" s="1"/>
  <c r="K16" i="17"/>
  <c r="M16" i="17" s="1"/>
  <c r="K20" i="17"/>
  <c r="M20" i="17" s="1"/>
  <c r="K13" i="17"/>
  <c r="M13" i="17" s="1"/>
  <c r="K17" i="17"/>
  <c r="M17" i="17" s="1"/>
  <c r="K58" i="16"/>
  <c r="M58" i="16" s="1"/>
  <c r="K62" i="16"/>
  <c r="M62" i="16" s="1"/>
  <c r="K66" i="16"/>
  <c r="M66" i="16" s="1"/>
  <c r="K70" i="16"/>
  <c r="M70" i="16" s="1"/>
  <c r="K74" i="16"/>
  <c r="M74" i="16" s="1"/>
  <c r="K78" i="16"/>
  <c r="M78" i="16" s="1"/>
  <c r="K51" i="16"/>
  <c r="M51" i="16" s="1"/>
  <c r="K55" i="16"/>
  <c r="M55" i="16" s="1"/>
  <c r="K59" i="16"/>
  <c r="M59" i="16" s="1"/>
  <c r="K63" i="16"/>
  <c r="M63" i="16" s="1"/>
  <c r="K67" i="16"/>
  <c r="M67" i="16" s="1"/>
  <c r="K71" i="16"/>
  <c r="M71" i="16" s="1"/>
  <c r="K75" i="16"/>
  <c r="M75" i="16" s="1"/>
  <c r="K79" i="16"/>
  <c r="M79" i="16" s="1"/>
  <c r="K52" i="16"/>
  <c r="M52" i="16" s="1"/>
  <c r="K56" i="16"/>
  <c r="M56" i="16" s="1"/>
  <c r="K60" i="16"/>
  <c r="M60" i="16" s="1"/>
  <c r="K64" i="16"/>
  <c r="M64" i="16" s="1"/>
  <c r="K68" i="16"/>
  <c r="M68" i="16" s="1"/>
  <c r="K72" i="16"/>
  <c r="M72" i="16" s="1"/>
  <c r="K76" i="16"/>
  <c r="M76" i="16" s="1"/>
  <c r="K11" i="16"/>
  <c r="M11" i="16" s="1"/>
  <c r="K19" i="16"/>
  <c r="M19" i="16" s="1"/>
  <c r="K23" i="16"/>
  <c r="M23" i="16" s="1"/>
  <c r="K27" i="16"/>
  <c r="M27" i="16" s="1"/>
  <c r="K31" i="16"/>
  <c r="M31" i="16" s="1"/>
  <c r="K35" i="16"/>
  <c r="M35" i="16" s="1"/>
  <c r="K39" i="16"/>
  <c r="M39" i="16" s="1"/>
  <c r="K12" i="16"/>
  <c r="M12" i="16" s="1"/>
  <c r="K16" i="16"/>
  <c r="M16" i="16" s="1"/>
  <c r="K20" i="16"/>
  <c r="M20" i="16" s="1"/>
  <c r="K24" i="16"/>
  <c r="M24" i="16" s="1"/>
  <c r="K28" i="16"/>
  <c r="M28" i="16" s="1"/>
  <c r="K32" i="16"/>
  <c r="M32" i="16" s="1"/>
  <c r="K36" i="16"/>
  <c r="M36" i="16" s="1"/>
  <c r="K40" i="16"/>
  <c r="M40" i="16" s="1"/>
  <c r="K13" i="16"/>
  <c r="M13" i="16" s="1"/>
  <c r="K17" i="16"/>
  <c r="M17" i="16" s="1"/>
  <c r="K21" i="16"/>
  <c r="M21" i="16" s="1"/>
  <c r="K25" i="16"/>
  <c r="M25" i="16" s="1"/>
  <c r="K29" i="16"/>
  <c r="M29" i="16" s="1"/>
  <c r="K33" i="16"/>
  <c r="M33" i="16" s="1"/>
  <c r="K37" i="16"/>
  <c r="M37" i="16" s="1"/>
  <c r="K33" i="15"/>
  <c r="M33" i="15" s="1"/>
  <c r="K37" i="15"/>
  <c r="M37" i="15" s="1"/>
  <c r="K41" i="15"/>
  <c r="M41" i="15" s="1"/>
  <c r="K14" i="15"/>
  <c r="M14" i="15" s="1"/>
  <c r="K18" i="15"/>
  <c r="M18" i="15" s="1"/>
  <c r="K22" i="15"/>
  <c r="M22" i="15" s="1"/>
  <c r="K11" i="15"/>
  <c r="M11" i="15" s="1"/>
  <c r="K15" i="15"/>
  <c r="M15" i="15" s="1"/>
  <c r="K19" i="15"/>
  <c r="M19" i="15" s="1"/>
  <c r="K12" i="15"/>
  <c r="M12" i="15" s="1"/>
  <c r="K16" i="15"/>
  <c r="M16" i="15" s="1"/>
  <c r="K20" i="15"/>
  <c r="M20" i="15" s="1"/>
  <c r="K52" i="14"/>
  <c r="M52" i="14" s="1"/>
  <c r="K56" i="14"/>
  <c r="M56" i="14" s="1"/>
  <c r="K60" i="14"/>
  <c r="M60" i="14" s="1"/>
  <c r="K64" i="14"/>
  <c r="M64" i="14" s="1"/>
  <c r="K68" i="14"/>
  <c r="M68" i="14" s="1"/>
  <c r="K72" i="14"/>
  <c r="M72" i="14" s="1"/>
  <c r="K76" i="14"/>
  <c r="M76" i="14" s="1"/>
  <c r="K80" i="14"/>
  <c r="M80" i="14" s="1"/>
  <c r="K54" i="14"/>
  <c r="M54" i="14" s="1"/>
  <c r="K58" i="14"/>
  <c r="M58" i="14" s="1"/>
  <c r="K62" i="14"/>
  <c r="M62" i="14" s="1"/>
  <c r="K66" i="14"/>
  <c r="M66" i="14" s="1"/>
  <c r="K70" i="14"/>
  <c r="M70" i="14" s="1"/>
  <c r="K74" i="14"/>
  <c r="M74" i="14" s="1"/>
  <c r="K78" i="14"/>
  <c r="M78" i="14" s="1"/>
  <c r="K82" i="14"/>
  <c r="M82" i="14" s="1"/>
  <c r="K11" i="14"/>
  <c r="M11" i="14" s="1"/>
  <c r="K15" i="14"/>
  <c r="M15" i="14" s="1"/>
  <c r="K19" i="14"/>
  <c r="M19" i="14" s="1"/>
  <c r="K23" i="14"/>
  <c r="M23" i="14" s="1"/>
  <c r="K27" i="14"/>
  <c r="M27" i="14" s="1"/>
  <c r="K31" i="14"/>
  <c r="M31" i="14" s="1"/>
  <c r="K35" i="14"/>
  <c r="M35" i="14" s="1"/>
  <c r="K39" i="14"/>
  <c r="M39" i="14" s="1"/>
  <c r="K13" i="14"/>
  <c r="M13" i="14" s="1"/>
  <c r="K17" i="14"/>
  <c r="M17" i="14" s="1"/>
  <c r="K21" i="14"/>
  <c r="M21" i="14" s="1"/>
  <c r="K25" i="14"/>
  <c r="M25" i="14" s="1"/>
  <c r="K29" i="14"/>
  <c r="M29" i="14" s="1"/>
  <c r="K33" i="14"/>
  <c r="M33" i="14" s="1"/>
  <c r="K37" i="14"/>
  <c r="M37" i="14" s="1"/>
  <c r="K41" i="14"/>
  <c r="M41" i="14" s="1"/>
  <c r="K54" i="13"/>
  <c r="M54" i="13" s="1"/>
  <c r="K62" i="13"/>
  <c r="M62" i="13" s="1"/>
  <c r="K70" i="13"/>
  <c r="M70" i="13" s="1"/>
  <c r="K78" i="13"/>
  <c r="M78" i="13" s="1"/>
  <c r="K53" i="13"/>
  <c r="M53" i="13" s="1"/>
  <c r="K57" i="13"/>
  <c r="M57" i="13" s="1"/>
  <c r="K61" i="13"/>
  <c r="M61" i="13" s="1"/>
  <c r="K65" i="13"/>
  <c r="M65" i="13" s="1"/>
  <c r="K69" i="13"/>
  <c r="M69" i="13" s="1"/>
  <c r="K73" i="13"/>
  <c r="M73" i="13" s="1"/>
  <c r="K77" i="13"/>
  <c r="M77" i="13" s="1"/>
  <c r="K81" i="13"/>
  <c r="M81" i="13" s="1"/>
  <c r="K85" i="13"/>
  <c r="M85" i="13" s="1"/>
  <c r="K28" i="13"/>
  <c r="M28" i="13" s="1"/>
  <c r="K43" i="13"/>
  <c r="M43" i="13" s="1"/>
  <c r="K12" i="13"/>
  <c r="M12" i="13" s="1"/>
  <c r="K36" i="13"/>
  <c r="M36" i="13" s="1"/>
  <c r="K27" i="13"/>
  <c r="M27" i="13" s="1"/>
  <c r="K20" i="13"/>
  <c r="M20" i="13" s="1"/>
  <c r="K35" i="13"/>
  <c r="M35" i="13" s="1"/>
  <c r="K14" i="13"/>
  <c r="M14" i="13" s="1"/>
  <c r="K22" i="13"/>
  <c r="M22" i="13" s="1"/>
  <c r="K30" i="13"/>
  <c r="M30" i="13" s="1"/>
  <c r="K38" i="13"/>
  <c r="M38" i="13" s="1"/>
  <c r="K13" i="13"/>
  <c r="M13" i="13" s="1"/>
  <c r="K17" i="13"/>
  <c r="M17" i="13" s="1"/>
  <c r="K21" i="13"/>
  <c r="M21" i="13" s="1"/>
  <c r="K25" i="13"/>
  <c r="M25" i="13" s="1"/>
  <c r="K29" i="13"/>
  <c r="M29" i="13" s="1"/>
  <c r="K33" i="13"/>
  <c r="M33" i="13" s="1"/>
  <c r="K37" i="13"/>
  <c r="M37" i="13" s="1"/>
  <c r="K41" i="13"/>
  <c r="M41" i="13" s="1"/>
  <c r="K13" i="12"/>
  <c r="M13" i="12" s="1"/>
  <c r="K21" i="12"/>
  <c r="M21" i="12" s="1"/>
  <c r="K25" i="12"/>
  <c r="M25" i="12" s="1"/>
  <c r="K29" i="12"/>
  <c r="M29" i="12" s="1"/>
  <c r="K33" i="12"/>
  <c r="M33" i="12" s="1"/>
  <c r="K37" i="12"/>
  <c r="M37" i="12" s="1"/>
  <c r="K14" i="12"/>
  <c r="M14" i="12" s="1"/>
  <c r="K18" i="12"/>
  <c r="M18" i="12" s="1"/>
  <c r="K22" i="12"/>
  <c r="M22" i="12" s="1"/>
  <c r="K26" i="12"/>
  <c r="M26" i="12" s="1"/>
  <c r="K30" i="12"/>
  <c r="M30" i="12" s="1"/>
  <c r="K34" i="12"/>
  <c r="M34" i="12" s="1"/>
  <c r="K38" i="12"/>
  <c r="M38" i="12" s="1"/>
  <c r="K11" i="12"/>
  <c r="M11" i="12" s="1"/>
  <c r="K15" i="12"/>
  <c r="M15" i="12" s="1"/>
  <c r="K19" i="12"/>
  <c r="M19" i="12" s="1"/>
  <c r="K23" i="12"/>
  <c r="M23" i="12" s="1"/>
  <c r="K27" i="12"/>
  <c r="M27" i="12" s="1"/>
  <c r="K31" i="12"/>
  <c r="M31" i="12" s="1"/>
  <c r="K35" i="12"/>
  <c r="M35" i="12" s="1"/>
  <c r="K39" i="12"/>
  <c r="M39" i="12" s="1"/>
  <c r="K66" i="11"/>
  <c r="M66" i="11" s="1"/>
  <c r="K62" i="11"/>
  <c r="M62" i="11" s="1"/>
  <c r="K74" i="11"/>
  <c r="M74" i="11" s="1"/>
  <c r="K78" i="11"/>
  <c r="M78" i="11" s="1"/>
  <c r="K82" i="11"/>
  <c r="M82" i="11" s="1"/>
  <c r="K55" i="11"/>
  <c r="M55" i="11" s="1"/>
  <c r="K59" i="11"/>
  <c r="M59" i="11" s="1"/>
  <c r="K63" i="11"/>
  <c r="M63" i="11" s="1"/>
  <c r="K67" i="11"/>
  <c r="M67" i="11" s="1"/>
  <c r="K71" i="11"/>
  <c r="M71" i="11" s="1"/>
  <c r="K75" i="11"/>
  <c r="M75" i="11" s="1"/>
  <c r="K79" i="11"/>
  <c r="M79" i="11" s="1"/>
  <c r="K83" i="11"/>
  <c r="M83" i="11" s="1"/>
  <c r="K56" i="11"/>
  <c r="M56" i="11" s="1"/>
  <c r="K60" i="11"/>
  <c r="M60" i="11" s="1"/>
  <c r="K64" i="11"/>
  <c r="M64" i="11" s="1"/>
  <c r="K68" i="11"/>
  <c r="M68" i="11" s="1"/>
  <c r="K72" i="11"/>
  <c r="M72" i="11" s="1"/>
  <c r="K76" i="11"/>
  <c r="M76" i="11" s="1"/>
  <c r="K80" i="11"/>
  <c r="M80" i="11" s="1"/>
  <c r="K84" i="11"/>
  <c r="M84" i="11" s="1"/>
  <c r="K11" i="11"/>
  <c r="M11" i="11" s="1"/>
  <c r="K27" i="11"/>
  <c r="M27" i="11" s="1"/>
  <c r="K23" i="11"/>
  <c r="M23" i="11" s="1"/>
  <c r="K31" i="11"/>
  <c r="M31" i="11" s="1"/>
  <c r="K35" i="11"/>
  <c r="M35" i="11" s="1"/>
  <c r="K39" i="11"/>
  <c r="M39" i="11" s="1"/>
  <c r="K43" i="11"/>
  <c r="M43" i="11" s="1"/>
  <c r="K12" i="11"/>
  <c r="M12" i="11" s="1"/>
  <c r="K16" i="11"/>
  <c r="M16" i="11" s="1"/>
  <c r="K20" i="11"/>
  <c r="M20" i="11" s="1"/>
  <c r="K24" i="11"/>
  <c r="M24" i="11" s="1"/>
  <c r="K28" i="11"/>
  <c r="M28" i="11" s="1"/>
  <c r="K32" i="11"/>
  <c r="M32" i="11" s="1"/>
  <c r="K36" i="11"/>
  <c r="M36" i="11" s="1"/>
  <c r="K40" i="11"/>
  <c r="M40" i="11" s="1"/>
  <c r="K13" i="11"/>
  <c r="M13" i="11" s="1"/>
  <c r="K17" i="11"/>
  <c r="M17" i="11" s="1"/>
  <c r="K21" i="11"/>
  <c r="M21" i="11" s="1"/>
  <c r="K25" i="11"/>
  <c r="M25" i="11" s="1"/>
  <c r="K29" i="11"/>
  <c r="M29" i="11" s="1"/>
  <c r="K33" i="11"/>
  <c r="M33" i="11" s="1"/>
  <c r="K37" i="11"/>
  <c r="M37" i="11" s="1"/>
  <c r="K41" i="11"/>
  <c r="M41" i="11" s="1"/>
  <c r="I95" i="10"/>
  <c r="E95" i="10"/>
  <c r="I94" i="10"/>
  <c r="E94" i="10"/>
  <c r="I93" i="10"/>
  <c r="E93" i="10"/>
  <c r="I92" i="10"/>
  <c r="E92" i="10"/>
  <c r="I91" i="10"/>
  <c r="E91" i="10"/>
  <c r="I90" i="10"/>
  <c r="E90" i="10"/>
  <c r="I89" i="10"/>
  <c r="E89" i="10"/>
  <c r="I88" i="10"/>
  <c r="E88" i="10"/>
  <c r="I87" i="10"/>
  <c r="E87" i="10"/>
  <c r="I86" i="10"/>
  <c r="E86" i="10"/>
  <c r="I85" i="10"/>
  <c r="E85" i="10"/>
  <c r="I84" i="10"/>
  <c r="E84" i="10"/>
  <c r="I83" i="10"/>
  <c r="E83" i="10"/>
  <c r="I82" i="10"/>
  <c r="E82" i="10"/>
  <c r="I81" i="10"/>
  <c r="E81" i="10"/>
  <c r="I80" i="10"/>
  <c r="E80" i="10"/>
  <c r="I79" i="10"/>
  <c r="E79" i="10"/>
  <c r="I78" i="10"/>
  <c r="E78" i="10"/>
  <c r="I77" i="10"/>
  <c r="E77" i="10"/>
  <c r="I76" i="10"/>
  <c r="E76" i="10"/>
  <c r="I75" i="10"/>
  <c r="E75" i="10"/>
  <c r="I74" i="10"/>
  <c r="E74" i="10"/>
  <c r="I73" i="10"/>
  <c r="E73" i="10"/>
  <c r="I72" i="10"/>
  <c r="E72" i="10"/>
  <c r="I71" i="10"/>
  <c r="E71" i="10"/>
  <c r="I70" i="10"/>
  <c r="E70" i="10"/>
  <c r="I69" i="10"/>
  <c r="E69" i="10"/>
  <c r="I68" i="10"/>
  <c r="E68" i="10"/>
  <c r="I67" i="10"/>
  <c r="E67" i="10"/>
  <c r="I66" i="10"/>
  <c r="E66" i="10"/>
  <c r="I65" i="10"/>
  <c r="E65" i="10"/>
  <c r="I64" i="10"/>
  <c r="E64" i="10"/>
  <c r="I63" i="10"/>
  <c r="E63" i="10"/>
  <c r="I62" i="10"/>
  <c r="E62" i="10"/>
  <c r="I61" i="10"/>
  <c r="E61" i="10"/>
  <c r="I60" i="10"/>
  <c r="E60" i="10"/>
  <c r="I59" i="10"/>
  <c r="E59" i="10"/>
  <c r="I58" i="10"/>
  <c r="E58" i="10"/>
  <c r="I48" i="10"/>
  <c r="E48" i="10"/>
  <c r="I47" i="10"/>
  <c r="E47" i="10"/>
  <c r="I46" i="10"/>
  <c r="E46" i="10"/>
  <c r="I45" i="10"/>
  <c r="E45" i="10"/>
  <c r="I44" i="10"/>
  <c r="E44" i="10"/>
  <c r="I43" i="10"/>
  <c r="E43" i="10"/>
  <c r="I42" i="10"/>
  <c r="E42" i="10"/>
  <c r="I41" i="10"/>
  <c r="E41" i="10"/>
  <c r="I40" i="10"/>
  <c r="E40" i="10"/>
  <c r="I39" i="10"/>
  <c r="E39" i="10"/>
  <c r="I38" i="10"/>
  <c r="E38" i="10"/>
  <c r="I37" i="10"/>
  <c r="E37" i="10"/>
  <c r="I36" i="10"/>
  <c r="E36" i="10"/>
  <c r="I35" i="10"/>
  <c r="E35" i="10"/>
  <c r="I34" i="10"/>
  <c r="E34" i="10"/>
  <c r="I33" i="10"/>
  <c r="E33" i="10"/>
  <c r="I32" i="10"/>
  <c r="E32" i="10"/>
  <c r="I31" i="10"/>
  <c r="E31" i="10"/>
  <c r="I30" i="10"/>
  <c r="E30" i="10"/>
  <c r="I29" i="10"/>
  <c r="E29" i="10"/>
  <c r="I28" i="10"/>
  <c r="E28" i="10"/>
  <c r="I27" i="10"/>
  <c r="E27" i="10"/>
  <c r="I26" i="10"/>
  <c r="E26" i="10"/>
  <c r="I25" i="10"/>
  <c r="E25" i="10"/>
  <c r="I24" i="10"/>
  <c r="E24" i="10"/>
  <c r="I23" i="10"/>
  <c r="E23" i="10"/>
  <c r="I22" i="10"/>
  <c r="E22" i="10"/>
  <c r="I21" i="10"/>
  <c r="E21" i="10"/>
  <c r="I20" i="10"/>
  <c r="E20" i="10"/>
  <c r="I19" i="10"/>
  <c r="E19" i="10"/>
  <c r="I18" i="10"/>
  <c r="E18" i="10"/>
  <c r="I17" i="10"/>
  <c r="E17" i="10"/>
  <c r="I16" i="10"/>
  <c r="E16" i="10"/>
  <c r="I15" i="10"/>
  <c r="E15" i="10"/>
  <c r="I14" i="10"/>
  <c r="E14" i="10"/>
  <c r="I13" i="10"/>
  <c r="E13" i="10"/>
  <c r="I12" i="10"/>
  <c r="E12" i="10"/>
  <c r="I11" i="10"/>
  <c r="E11" i="10"/>
  <c r="I49" i="9"/>
  <c r="E49" i="9"/>
  <c r="I48" i="9"/>
  <c r="E48" i="9"/>
  <c r="I47" i="9"/>
  <c r="E47" i="9"/>
  <c r="I46" i="9"/>
  <c r="E46" i="9"/>
  <c r="I45" i="9"/>
  <c r="E45" i="9"/>
  <c r="I44" i="9"/>
  <c r="E44" i="9"/>
  <c r="I43" i="9"/>
  <c r="E43" i="9"/>
  <c r="I42" i="9"/>
  <c r="E42" i="9"/>
  <c r="I41" i="9"/>
  <c r="E41" i="9"/>
  <c r="I40" i="9"/>
  <c r="E40" i="9"/>
  <c r="I39" i="9"/>
  <c r="E39" i="9"/>
  <c r="I38" i="9"/>
  <c r="E38" i="9"/>
  <c r="I37" i="9"/>
  <c r="E37" i="9"/>
  <c r="I36" i="9"/>
  <c r="E36" i="9"/>
  <c r="I35" i="9"/>
  <c r="E35" i="9"/>
  <c r="I25" i="9"/>
  <c r="E25" i="9"/>
  <c r="I24" i="9"/>
  <c r="E24" i="9"/>
  <c r="I23" i="9"/>
  <c r="E23" i="9"/>
  <c r="I22" i="9"/>
  <c r="E22" i="9"/>
  <c r="I21" i="9"/>
  <c r="E21" i="9"/>
  <c r="I20" i="9"/>
  <c r="E20" i="9"/>
  <c r="I19" i="9"/>
  <c r="E19" i="9"/>
  <c r="I18" i="9"/>
  <c r="E18" i="9"/>
  <c r="I17" i="9"/>
  <c r="E17" i="9"/>
  <c r="I16" i="9"/>
  <c r="E16" i="9"/>
  <c r="I15" i="9"/>
  <c r="E15" i="9"/>
  <c r="I14" i="9"/>
  <c r="E14" i="9"/>
  <c r="I13" i="9"/>
  <c r="E13" i="9"/>
  <c r="I12" i="9"/>
  <c r="E12" i="9"/>
  <c r="I11" i="9"/>
  <c r="E11" i="9"/>
  <c r="I37" i="8"/>
  <c r="E37" i="8"/>
  <c r="I36" i="8"/>
  <c r="E36" i="8"/>
  <c r="I35" i="8"/>
  <c r="E35" i="8"/>
  <c r="I34" i="8"/>
  <c r="E34" i="8"/>
  <c r="I33" i="8"/>
  <c r="E33" i="8"/>
  <c r="I32" i="8"/>
  <c r="E32" i="8"/>
  <c r="I31" i="8"/>
  <c r="E31" i="8"/>
  <c r="I30" i="8"/>
  <c r="E30" i="8"/>
  <c r="I29" i="8"/>
  <c r="E29" i="8"/>
  <c r="I19" i="8"/>
  <c r="E19" i="8"/>
  <c r="I18" i="8"/>
  <c r="E18" i="8"/>
  <c r="I17" i="8"/>
  <c r="E17" i="8"/>
  <c r="I16" i="8"/>
  <c r="E16" i="8"/>
  <c r="I15" i="8"/>
  <c r="E15" i="8"/>
  <c r="I14" i="8"/>
  <c r="E14" i="8"/>
  <c r="I13" i="8"/>
  <c r="E13" i="8"/>
  <c r="I12" i="8"/>
  <c r="E12" i="8"/>
  <c r="I11" i="8"/>
  <c r="E11" i="8"/>
  <c r="I37" i="7"/>
  <c r="E37" i="7"/>
  <c r="I36" i="7"/>
  <c r="E36" i="7"/>
  <c r="I35" i="7"/>
  <c r="E35" i="7"/>
  <c r="I34" i="7"/>
  <c r="E34" i="7"/>
  <c r="I33" i="7"/>
  <c r="E33" i="7"/>
  <c r="I32" i="7"/>
  <c r="E32" i="7"/>
  <c r="I31" i="7"/>
  <c r="E31" i="7"/>
  <c r="I30" i="7"/>
  <c r="E30" i="7"/>
  <c r="I29" i="7"/>
  <c r="E29" i="7"/>
  <c r="I19" i="7"/>
  <c r="E19" i="7"/>
  <c r="I18" i="7"/>
  <c r="E18" i="7"/>
  <c r="I17" i="7"/>
  <c r="E17" i="7"/>
  <c r="I16" i="7"/>
  <c r="E16" i="7"/>
  <c r="I15" i="7"/>
  <c r="E15" i="7"/>
  <c r="I14" i="7"/>
  <c r="E14" i="7"/>
  <c r="I13" i="7"/>
  <c r="E13" i="7"/>
  <c r="I12" i="7"/>
  <c r="E12" i="7"/>
  <c r="I11" i="7"/>
  <c r="E11" i="7"/>
  <c r="I33" i="6"/>
  <c r="E33" i="6"/>
  <c r="I32" i="6"/>
  <c r="E32" i="6"/>
  <c r="I31" i="6"/>
  <c r="E31" i="6"/>
  <c r="I30" i="6"/>
  <c r="E30" i="6"/>
  <c r="I29" i="6"/>
  <c r="E29" i="6"/>
  <c r="I28" i="6"/>
  <c r="E28" i="6"/>
  <c r="I27" i="6"/>
  <c r="E27" i="6"/>
  <c r="I17" i="6"/>
  <c r="E17" i="6"/>
  <c r="I16" i="6"/>
  <c r="E16" i="6"/>
  <c r="I15" i="6"/>
  <c r="E15" i="6"/>
  <c r="I14" i="6"/>
  <c r="E14" i="6"/>
  <c r="I13" i="6"/>
  <c r="E13" i="6"/>
  <c r="I12" i="6"/>
  <c r="E12" i="6"/>
  <c r="I11" i="6"/>
  <c r="E11" i="6"/>
  <c r="G29" i="5"/>
  <c r="D29" i="5"/>
  <c r="C29" i="5"/>
  <c r="K27" i="5"/>
  <c r="M27" i="5" s="1"/>
  <c r="H15" i="5"/>
  <c r="G15" i="5"/>
  <c r="D15" i="5"/>
  <c r="C15" i="5"/>
  <c r="I14" i="5"/>
  <c r="E14" i="5"/>
  <c r="I13" i="5"/>
  <c r="E13" i="5"/>
  <c r="I12" i="5"/>
  <c r="E12" i="5"/>
  <c r="I11" i="5"/>
  <c r="E11" i="5"/>
  <c r="B6" i="2"/>
  <c r="I29" i="5" l="1"/>
  <c r="J25" i="5" s="1"/>
  <c r="K26" i="5"/>
  <c r="M26" i="5" s="1"/>
  <c r="K28" i="5"/>
  <c r="M28" i="5" s="1"/>
  <c r="K11" i="6"/>
  <c r="M11" i="6" s="1"/>
  <c r="K13" i="6"/>
  <c r="M13" i="6" s="1"/>
  <c r="K15" i="6"/>
  <c r="M15" i="6" s="1"/>
  <c r="K17" i="6"/>
  <c r="M17" i="6" s="1"/>
  <c r="K13" i="7"/>
  <c r="M13" i="7" s="1"/>
  <c r="K15" i="7"/>
  <c r="M15" i="7" s="1"/>
  <c r="K17" i="7"/>
  <c r="M17" i="7" s="1"/>
  <c r="K11" i="8"/>
  <c r="M11" i="8" s="1"/>
  <c r="K13" i="8"/>
  <c r="M13" i="8" s="1"/>
  <c r="I15" i="5"/>
  <c r="K11" i="5"/>
  <c r="M11" i="5" s="1"/>
  <c r="K13" i="5"/>
  <c r="M13" i="5" s="1"/>
  <c r="K27" i="6"/>
  <c r="M27" i="6" s="1"/>
  <c r="K29" i="6"/>
  <c r="M29" i="6" s="1"/>
  <c r="K31" i="6"/>
  <c r="M31" i="6" s="1"/>
  <c r="K33" i="6"/>
  <c r="M33" i="6" s="1"/>
  <c r="K29" i="7"/>
  <c r="M29" i="7" s="1"/>
  <c r="K31" i="7"/>
  <c r="M31" i="7" s="1"/>
  <c r="K33" i="7"/>
  <c r="M33" i="7" s="1"/>
  <c r="K35" i="7"/>
  <c r="M35" i="7" s="1"/>
  <c r="K37" i="7"/>
  <c r="M37" i="7" s="1"/>
  <c r="K18" i="8"/>
  <c r="M18" i="8" s="1"/>
  <c r="K29" i="8"/>
  <c r="M29" i="8" s="1"/>
  <c r="K33" i="8"/>
  <c r="M33" i="8" s="1"/>
  <c r="K37" i="8"/>
  <c r="M37" i="8" s="1"/>
  <c r="K37" i="9"/>
  <c r="M37" i="9" s="1"/>
  <c r="K39" i="9"/>
  <c r="M39" i="9" s="1"/>
  <c r="K41" i="9"/>
  <c r="M41" i="9" s="1"/>
  <c r="K43" i="9"/>
  <c r="M43" i="9" s="1"/>
  <c r="K45" i="9"/>
  <c r="M45" i="9" s="1"/>
  <c r="K47" i="9"/>
  <c r="M47" i="9" s="1"/>
  <c r="K49" i="9"/>
  <c r="M49" i="9" s="1"/>
  <c r="K59" i="10"/>
  <c r="M59" i="10" s="1"/>
  <c r="K61" i="10"/>
  <c r="M61" i="10" s="1"/>
  <c r="K63" i="10"/>
  <c r="M63" i="10" s="1"/>
  <c r="K65" i="10"/>
  <c r="M65" i="10" s="1"/>
  <c r="K67" i="10"/>
  <c r="M67" i="10" s="1"/>
  <c r="K69" i="10"/>
  <c r="M69" i="10" s="1"/>
  <c r="K71" i="10"/>
  <c r="M71" i="10" s="1"/>
  <c r="K73" i="10"/>
  <c r="M73" i="10" s="1"/>
  <c r="K75" i="10"/>
  <c r="M75" i="10" s="1"/>
  <c r="K77" i="10"/>
  <c r="M77" i="10" s="1"/>
  <c r="K79" i="10"/>
  <c r="M79" i="10" s="1"/>
  <c r="K81" i="10"/>
  <c r="M81" i="10" s="1"/>
  <c r="K83" i="10"/>
  <c r="M83" i="10" s="1"/>
  <c r="K85" i="10"/>
  <c r="M85" i="10" s="1"/>
  <c r="K87" i="10"/>
  <c r="M87" i="10" s="1"/>
  <c r="K89" i="10"/>
  <c r="M89" i="10" s="1"/>
  <c r="K91" i="10"/>
  <c r="M91" i="10" s="1"/>
  <c r="K93" i="10"/>
  <c r="M93" i="10" s="1"/>
  <c r="K95" i="10"/>
  <c r="M95" i="10" s="1"/>
  <c r="K12" i="10"/>
  <c r="M12" i="10" s="1"/>
  <c r="K14" i="10"/>
  <c r="M14" i="10" s="1"/>
  <c r="K16" i="10"/>
  <c r="M16" i="10" s="1"/>
  <c r="K18" i="10"/>
  <c r="M18" i="10" s="1"/>
  <c r="K20" i="10"/>
  <c r="M20" i="10" s="1"/>
  <c r="K22" i="10"/>
  <c r="M22" i="10" s="1"/>
  <c r="K24" i="10"/>
  <c r="M24" i="10" s="1"/>
  <c r="K26" i="10"/>
  <c r="M26" i="10" s="1"/>
  <c r="K28" i="10"/>
  <c r="M28" i="10" s="1"/>
  <c r="K30" i="10"/>
  <c r="M30" i="10" s="1"/>
  <c r="K32" i="10"/>
  <c r="M32" i="10" s="1"/>
  <c r="K34" i="10"/>
  <c r="M34" i="10" s="1"/>
  <c r="K36" i="10"/>
  <c r="M36" i="10" s="1"/>
  <c r="K38" i="10"/>
  <c r="M38" i="10" s="1"/>
  <c r="K40" i="10"/>
  <c r="M40" i="10" s="1"/>
  <c r="K42" i="10"/>
  <c r="M42" i="10" s="1"/>
  <c r="K44" i="10"/>
  <c r="M44" i="10" s="1"/>
  <c r="K46" i="10"/>
  <c r="M46" i="10" s="1"/>
  <c r="K48" i="10"/>
  <c r="M48" i="10" s="1"/>
  <c r="K21" i="10"/>
  <c r="M21" i="10" s="1"/>
  <c r="K37" i="10"/>
  <c r="M37" i="10" s="1"/>
  <c r="K45" i="10"/>
  <c r="M45" i="10" s="1"/>
  <c r="K39" i="10"/>
  <c r="M39" i="10" s="1"/>
  <c r="K42" i="9"/>
  <c r="M42" i="9" s="1"/>
  <c r="K46" i="9"/>
  <c r="M46" i="9" s="1"/>
  <c r="K48" i="9"/>
  <c r="M48" i="9" s="1"/>
  <c r="K11" i="9"/>
  <c r="M11" i="9" s="1"/>
  <c r="K13" i="9"/>
  <c r="M13" i="9" s="1"/>
  <c r="K15" i="9"/>
  <c r="M15" i="9" s="1"/>
  <c r="K17" i="9"/>
  <c r="M17" i="9" s="1"/>
  <c r="K19" i="9"/>
  <c r="M19" i="9" s="1"/>
  <c r="K21" i="9"/>
  <c r="M21" i="9" s="1"/>
  <c r="K23" i="9"/>
  <c r="M23" i="9" s="1"/>
  <c r="K25" i="9"/>
  <c r="M25" i="9" s="1"/>
  <c r="K15" i="8"/>
  <c r="M15" i="8" s="1"/>
  <c r="K17" i="8"/>
  <c r="M17" i="8" s="1"/>
  <c r="K19" i="8"/>
  <c r="M19" i="8" s="1"/>
  <c r="K11" i="7"/>
  <c r="M11" i="7" s="1"/>
  <c r="K19" i="7"/>
  <c r="M19" i="7" s="1"/>
  <c r="E15" i="5"/>
  <c r="K60" i="10"/>
  <c r="M60" i="10" s="1"/>
  <c r="K64" i="10"/>
  <c r="M64" i="10" s="1"/>
  <c r="K68" i="10"/>
  <c r="M68" i="10" s="1"/>
  <c r="K72" i="10"/>
  <c r="M72" i="10" s="1"/>
  <c r="K76" i="10"/>
  <c r="M76" i="10" s="1"/>
  <c r="K80" i="10"/>
  <c r="M80" i="10" s="1"/>
  <c r="K84" i="10"/>
  <c r="M84" i="10" s="1"/>
  <c r="K88" i="10"/>
  <c r="M88" i="10" s="1"/>
  <c r="K92" i="10"/>
  <c r="M92" i="10" s="1"/>
  <c r="K58" i="10"/>
  <c r="M58" i="10" s="1"/>
  <c r="K62" i="10"/>
  <c r="M62" i="10" s="1"/>
  <c r="K66" i="10"/>
  <c r="M66" i="10" s="1"/>
  <c r="K70" i="10"/>
  <c r="M70" i="10" s="1"/>
  <c r="K74" i="10"/>
  <c r="M74" i="10" s="1"/>
  <c r="K78" i="10"/>
  <c r="M78" i="10" s="1"/>
  <c r="K82" i="10"/>
  <c r="M82" i="10" s="1"/>
  <c r="K86" i="10"/>
  <c r="M86" i="10" s="1"/>
  <c r="K90" i="10"/>
  <c r="M90" i="10" s="1"/>
  <c r="K94" i="10"/>
  <c r="M94" i="10" s="1"/>
  <c r="K13" i="10"/>
  <c r="M13" i="10" s="1"/>
  <c r="K17" i="10"/>
  <c r="M17" i="10" s="1"/>
  <c r="K25" i="10"/>
  <c r="M25" i="10" s="1"/>
  <c r="K29" i="10"/>
  <c r="M29" i="10" s="1"/>
  <c r="K33" i="10"/>
  <c r="M33" i="10" s="1"/>
  <c r="K41" i="10"/>
  <c r="M41" i="10" s="1"/>
  <c r="K15" i="10"/>
  <c r="M15" i="10" s="1"/>
  <c r="K19" i="10"/>
  <c r="M19" i="10" s="1"/>
  <c r="K11" i="10"/>
  <c r="M11" i="10" s="1"/>
  <c r="K23" i="10"/>
  <c r="M23" i="10" s="1"/>
  <c r="K27" i="10"/>
  <c r="M27" i="10" s="1"/>
  <c r="K31" i="10"/>
  <c r="M31" i="10" s="1"/>
  <c r="K35" i="10"/>
  <c r="M35" i="10" s="1"/>
  <c r="K43" i="10"/>
  <c r="M43" i="10" s="1"/>
  <c r="K47" i="10"/>
  <c r="M47" i="10" s="1"/>
  <c r="K38" i="9"/>
  <c r="M38" i="9" s="1"/>
  <c r="K35" i="9"/>
  <c r="M35" i="9" s="1"/>
  <c r="K36" i="9"/>
  <c r="M36" i="9" s="1"/>
  <c r="K40" i="9"/>
  <c r="M40" i="9" s="1"/>
  <c r="K44" i="9"/>
  <c r="M44" i="9" s="1"/>
  <c r="K14" i="9"/>
  <c r="M14" i="9" s="1"/>
  <c r="K18" i="9"/>
  <c r="M18" i="9" s="1"/>
  <c r="K22" i="9"/>
  <c r="M22" i="9" s="1"/>
  <c r="K12" i="9"/>
  <c r="M12" i="9" s="1"/>
  <c r="K16" i="9"/>
  <c r="M16" i="9" s="1"/>
  <c r="K20" i="9"/>
  <c r="M20" i="9" s="1"/>
  <c r="K24" i="9"/>
  <c r="M24" i="9" s="1"/>
  <c r="K30" i="8"/>
  <c r="M30" i="8" s="1"/>
  <c r="K34" i="8"/>
  <c r="M34" i="8" s="1"/>
  <c r="K31" i="8"/>
  <c r="M31" i="8" s="1"/>
  <c r="K35" i="8"/>
  <c r="M35" i="8" s="1"/>
  <c r="K32" i="8"/>
  <c r="M32" i="8" s="1"/>
  <c r="K36" i="8"/>
  <c r="M36" i="8" s="1"/>
  <c r="K14" i="8"/>
  <c r="M14" i="8" s="1"/>
  <c r="K12" i="8"/>
  <c r="M12" i="8" s="1"/>
  <c r="K16" i="8"/>
  <c r="M16" i="8" s="1"/>
  <c r="K30" i="7"/>
  <c r="M30" i="7" s="1"/>
  <c r="K34" i="7"/>
  <c r="M34" i="7" s="1"/>
  <c r="K32" i="7"/>
  <c r="M32" i="7" s="1"/>
  <c r="K36" i="7"/>
  <c r="M36" i="7" s="1"/>
  <c r="K12" i="7"/>
  <c r="M12" i="7" s="1"/>
  <c r="K16" i="7"/>
  <c r="M16" i="7" s="1"/>
  <c r="K14" i="7"/>
  <c r="M14" i="7" s="1"/>
  <c r="K18" i="7"/>
  <c r="M18" i="7" s="1"/>
  <c r="K30" i="6"/>
  <c r="M30" i="6" s="1"/>
  <c r="K28" i="6"/>
  <c r="M28" i="6" s="1"/>
  <c r="K32" i="6"/>
  <c r="M32" i="6" s="1"/>
  <c r="K14" i="6"/>
  <c r="M14" i="6" s="1"/>
  <c r="K12" i="6"/>
  <c r="M12" i="6" s="1"/>
  <c r="K16" i="6"/>
  <c r="M16" i="6" s="1"/>
  <c r="K12" i="5"/>
  <c r="M12" i="5" s="1"/>
  <c r="K14" i="5"/>
  <c r="M14" i="5" s="1"/>
  <c r="M29" i="5" l="1"/>
  <c r="H30" i="5" s="1"/>
  <c r="M15" i="5"/>
  <c r="I16" i="5" s="1"/>
  <c r="J12" i="5"/>
  <c r="F12" i="5"/>
  <c r="J27" i="5"/>
  <c r="F26" i="5"/>
  <c r="F27" i="5"/>
  <c r="F28" i="5"/>
  <c r="F25" i="5"/>
  <c r="J26" i="5"/>
  <c r="J28" i="5"/>
  <c r="F13" i="5"/>
  <c r="K29" i="5"/>
  <c r="F15" i="5"/>
  <c r="J13" i="5"/>
  <c r="F11" i="5"/>
  <c r="F14" i="5"/>
  <c r="J29" i="5"/>
  <c r="J15" i="5"/>
  <c r="F29" i="5"/>
  <c r="J11" i="5"/>
  <c r="K15" i="5"/>
  <c r="J14" i="5"/>
  <c r="I30" i="5" l="1"/>
  <c r="K30" i="5"/>
  <c r="E16" i="5"/>
  <c r="G30" i="5"/>
  <c r="D30" i="5"/>
  <c r="L30" i="5"/>
  <c r="C30" i="5"/>
  <c r="E30" i="5"/>
  <c r="L16" i="5"/>
  <c r="D16" i="5"/>
  <c r="H16" i="5"/>
  <c r="C16" i="5"/>
  <c r="B67" i="19"/>
  <c r="B26" i="18"/>
  <c r="B25" i="17"/>
  <c r="B45" i="16"/>
  <c r="B27" i="15"/>
  <c r="B47" i="14"/>
  <c r="B48" i="13"/>
  <c r="B45" i="12"/>
  <c r="B48" i="11"/>
  <c r="B53" i="10"/>
  <c r="B30" i="9"/>
  <c r="B24" i="8"/>
  <c r="B24" i="7"/>
  <c r="B6" i="7"/>
  <c r="B6" i="8"/>
  <c r="B6" i="9"/>
  <c r="B6" i="10"/>
  <c r="B6" i="11"/>
  <c r="B6" i="12"/>
  <c r="B6" i="13"/>
  <c r="B6" i="14"/>
  <c r="B6" i="15"/>
  <c r="B6" i="16"/>
  <c r="B6" i="17"/>
  <c r="B6" i="18"/>
  <c r="B6" i="19"/>
  <c r="B6" i="6"/>
  <c r="M30" i="5" l="1"/>
  <c r="B22" i="6"/>
  <c r="B20" i="5"/>
  <c r="B6" i="5"/>
  <c r="B6" i="4"/>
  <c r="H63" i="19" l="1"/>
  <c r="D63" i="19"/>
  <c r="G124" i="19"/>
  <c r="G63" i="19"/>
  <c r="C63" i="19"/>
  <c r="C124" i="19"/>
  <c r="D124" i="19"/>
  <c r="H124" i="19"/>
  <c r="D42" i="18"/>
  <c r="H42" i="18"/>
  <c r="G42" i="18"/>
  <c r="G22" i="18"/>
  <c r="C22" i="18"/>
  <c r="H22" i="18"/>
  <c r="C42" i="18"/>
  <c r="D22" i="18"/>
  <c r="H21" i="17"/>
  <c r="D40" i="17"/>
  <c r="C21" i="17"/>
  <c r="H40" i="17"/>
  <c r="D21" i="17"/>
  <c r="C40" i="17"/>
  <c r="G40" i="17"/>
  <c r="G21" i="17"/>
  <c r="C41" i="16"/>
  <c r="G80" i="16"/>
  <c r="H41" i="16"/>
  <c r="D41" i="16"/>
  <c r="H80" i="16"/>
  <c r="C80" i="16"/>
  <c r="D80" i="16"/>
  <c r="G41" i="16"/>
  <c r="H44" i="15"/>
  <c r="H23" i="15"/>
  <c r="D44" i="15"/>
  <c r="D23" i="15"/>
  <c r="C44" i="15"/>
  <c r="C23" i="15"/>
  <c r="G44" i="15"/>
  <c r="G23" i="15"/>
  <c r="H43" i="14"/>
  <c r="H84" i="14"/>
  <c r="D84" i="14"/>
  <c r="D43" i="14"/>
  <c r="C43" i="14"/>
  <c r="G84" i="14"/>
  <c r="G43" i="14"/>
  <c r="C84" i="14"/>
  <c r="H44" i="13"/>
  <c r="D44" i="13"/>
  <c r="H86" i="13"/>
  <c r="G44" i="13"/>
  <c r="C44" i="13"/>
  <c r="D86" i="13"/>
  <c r="C86" i="13"/>
  <c r="G86" i="13"/>
  <c r="G41" i="12"/>
  <c r="H41" i="12"/>
  <c r="D80" i="12"/>
  <c r="H80" i="12"/>
  <c r="D41" i="12"/>
  <c r="C41" i="12"/>
  <c r="C80" i="12"/>
  <c r="G80" i="12"/>
  <c r="D44" i="11"/>
  <c r="G44" i="11"/>
  <c r="D86" i="11"/>
  <c r="C86" i="11"/>
  <c r="C44" i="11"/>
  <c r="H86" i="11"/>
  <c r="G86" i="11"/>
  <c r="H44" i="11"/>
  <c r="G49" i="10"/>
  <c r="C49" i="10"/>
  <c r="H96" i="10"/>
  <c r="D96" i="10"/>
  <c r="C96" i="10"/>
  <c r="D49" i="10"/>
  <c r="H49" i="10"/>
  <c r="G96" i="10"/>
  <c r="H50" i="9"/>
  <c r="H26" i="9"/>
  <c r="G26" i="9"/>
  <c r="C26" i="9"/>
  <c r="C50" i="9"/>
  <c r="D50" i="9"/>
  <c r="D26" i="9"/>
  <c r="G50" i="9"/>
  <c r="H20" i="8"/>
  <c r="H38" i="8"/>
  <c r="D20" i="8"/>
  <c r="C20" i="8"/>
  <c r="D38" i="8"/>
  <c r="G38" i="8"/>
  <c r="G20" i="8"/>
  <c r="C38" i="8"/>
  <c r="H38" i="7"/>
  <c r="H20" i="7"/>
  <c r="D20" i="7"/>
  <c r="G20" i="7"/>
  <c r="C38" i="7"/>
  <c r="C20" i="7"/>
  <c r="D38" i="7"/>
  <c r="G38" i="7"/>
  <c r="D34" i="6"/>
  <c r="H18" i="6"/>
  <c r="H34" i="6"/>
  <c r="G34" i="6"/>
  <c r="C34" i="6"/>
  <c r="D18" i="6"/>
  <c r="C18" i="6"/>
  <c r="G18" i="6"/>
  <c r="E44" i="15" l="1"/>
  <c r="E41" i="16"/>
  <c r="E63" i="19"/>
  <c r="E124" i="19"/>
  <c r="I124" i="19"/>
  <c r="I63" i="19"/>
  <c r="I42" i="18"/>
  <c r="E42" i="18"/>
  <c r="E22" i="18"/>
  <c r="I22" i="18"/>
  <c r="E40" i="17"/>
  <c r="E21" i="17"/>
  <c r="I21" i="17"/>
  <c r="I40" i="17"/>
  <c r="I80" i="16"/>
  <c r="E80" i="16"/>
  <c r="I41" i="16"/>
  <c r="I23" i="15"/>
  <c r="I44" i="15"/>
  <c r="E23" i="15"/>
  <c r="F44" i="15"/>
  <c r="I84" i="14"/>
  <c r="E84" i="14"/>
  <c r="E43" i="14"/>
  <c r="I43" i="14"/>
  <c r="I86" i="13"/>
  <c r="I44" i="13"/>
  <c r="E86" i="13"/>
  <c r="E44" i="13"/>
  <c r="I41" i="12"/>
  <c r="I80" i="12"/>
  <c r="E41" i="12"/>
  <c r="E80" i="12"/>
  <c r="E44" i="11"/>
  <c r="I86" i="11"/>
  <c r="E86" i="11"/>
  <c r="I44" i="11"/>
  <c r="E49" i="10"/>
  <c r="I96" i="10"/>
  <c r="E96" i="10"/>
  <c r="I49" i="10"/>
  <c r="I50" i="9"/>
  <c r="E50" i="9"/>
  <c r="E26" i="9"/>
  <c r="I26" i="9"/>
  <c r="E20" i="8"/>
  <c r="E38" i="8"/>
  <c r="I38" i="8"/>
  <c r="I20" i="8"/>
  <c r="I20" i="7"/>
  <c r="I38" i="7"/>
  <c r="E20" i="7"/>
  <c r="E38" i="7"/>
  <c r="E34" i="6"/>
  <c r="I34" i="6"/>
  <c r="E18" i="6"/>
  <c r="I18" i="6"/>
  <c r="F42" i="15" l="1"/>
  <c r="F43" i="15"/>
  <c r="K84" i="14"/>
  <c r="F39" i="15"/>
  <c r="F37" i="15"/>
  <c r="F40" i="15"/>
  <c r="F32" i="15"/>
  <c r="F41" i="15"/>
  <c r="F34" i="15"/>
  <c r="F33" i="15"/>
  <c r="F38" i="15"/>
  <c r="F35" i="15"/>
  <c r="F36" i="15"/>
  <c r="J29" i="6"/>
  <c r="J27" i="6"/>
  <c r="J33" i="6"/>
  <c r="J31" i="6"/>
  <c r="J28" i="6"/>
  <c r="J30" i="6"/>
  <c r="J32" i="6"/>
  <c r="F33" i="6"/>
  <c r="F29" i="6"/>
  <c r="F31" i="6"/>
  <c r="F27" i="6"/>
  <c r="F28" i="6"/>
  <c r="F32" i="6"/>
  <c r="F30" i="6"/>
  <c r="J120" i="19"/>
  <c r="J117" i="19"/>
  <c r="J109" i="19"/>
  <c r="J105" i="19"/>
  <c r="J101" i="19"/>
  <c r="J97" i="19"/>
  <c r="J93" i="19"/>
  <c r="J85" i="19"/>
  <c r="J77" i="19"/>
  <c r="J73" i="19"/>
  <c r="J115" i="19"/>
  <c r="J111" i="19"/>
  <c r="J103" i="19"/>
  <c r="J83" i="19"/>
  <c r="J79" i="19"/>
  <c r="J75" i="19"/>
  <c r="J121" i="19"/>
  <c r="J113" i="19"/>
  <c r="J89" i="19"/>
  <c r="J81" i="19"/>
  <c r="J76" i="19"/>
  <c r="J84" i="19"/>
  <c r="J92" i="19"/>
  <c r="J100" i="19"/>
  <c r="J108" i="19"/>
  <c r="J116" i="19"/>
  <c r="J91" i="19"/>
  <c r="J119" i="19"/>
  <c r="J107" i="19"/>
  <c r="J78" i="19"/>
  <c r="J86" i="19"/>
  <c r="J94" i="19"/>
  <c r="J102" i="19"/>
  <c r="J110" i="19"/>
  <c r="J118" i="19"/>
  <c r="J95" i="19"/>
  <c r="J123" i="19"/>
  <c r="J74" i="19"/>
  <c r="J82" i="19"/>
  <c r="J98" i="19"/>
  <c r="J114" i="19"/>
  <c r="J87" i="19"/>
  <c r="J72" i="19"/>
  <c r="J80" i="19"/>
  <c r="J88" i="19"/>
  <c r="J96" i="19"/>
  <c r="J104" i="19"/>
  <c r="J112" i="19"/>
  <c r="J122" i="19"/>
  <c r="J99" i="19"/>
  <c r="J90" i="19"/>
  <c r="J106" i="19"/>
  <c r="F122" i="19"/>
  <c r="F115" i="19"/>
  <c r="F99" i="19"/>
  <c r="F95" i="19"/>
  <c r="F87" i="19"/>
  <c r="F117" i="19"/>
  <c r="F113" i="19"/>
  <c r="F109" i="19"/>
  <c r="F105" i="19"/>
  <c r="F97" i="19"/>
  <c r="F85" i="19"/>
  <c r="F81" i="19"/>
  <c r="F77" i="19"/>
  <c r="F73" i="19"/>
  <c r="F119" i="19"/>
  <c r="F107" i="19"/>
  <c r="F103" i="19"/>
  <c r="F83" i="19"/>
  <c r="F123" i="19"/>
  <c r="F111" i="19"/>
  <c r="F91" i="19"/>
  <c r="F79" i="19"/>
  <c r="F75" i="19"/>
  <c r="F74" i="19"/>
  <c r="F92" i="19"/>
  <c r="F110" i="19"/>
  <c r="F118" i="19"/>
  <c r="F121" i="19"/>
  <c r="F94" i="19"/>
  <c r="F80" i="19"/>
  <c r="F96" i="19"/>
  <c r="F116" i="19"/>
  <c r="F106" i="19"/>
  <c r="F101" i="19"/>
  <c r="F76" i="19"/>
  <c r="F98" i="19"/>
  <c r="F114" i="19"/>
  <c r="F89" i="19"/>
  <c r="F72" i="19"/>
  <c r="F100" i="19"/>
  <c r="F88" i="19"/>
  <c r="F120" i="19"/>
  <c r="F82" i="19"/>
  <c r="F102" i="19"/>
  <c r="F93" i="19"/>
  <c r="F84" i="19"/>
  <c r="F108" i="19"/>
  <c r="F104" i="19"/>
  <c r="F86" i="19"/>
  <c r="F78" i="19"/>
  <c r="F90" i="19"/>
  <c r="F112" i="19"/>
  <c r="J60" i="19"/>
  <c r="J56" i="19"/>
  <c r="J52" i="19"/>
  <c r="J44" i="19"/>
  <c r="J28" i="19"/>
  <c r="J24" i="19"/>
  <c r="J20" i="19"/>
  <c r="J48" i="19"/>
  <c r="J40" i="19"/>
  <c r="J36" i="19"/>
  <c r="J32" i="19"/>
  <c r="J16" i="19"/>
  <c r="J12" i="19"/>
  <c r="J31" i="19"/>
  <c r="J51" i="19"/>
  <c r="J11" i="19"/>
  <c r="J23" i="19"/>
  <c r="J37" i="19"/>
  <c r="J49" i="19"/>
  <c r="J61" i="19"/>
  <c r="J26" i="19"/>
  <c r="J42" i="19"/>
  <c r="J58" i="19"/>
  <c r="J41" i="19"/>
  <c r="J29" i="19"/>
  <c r="J55" i="19"/>
  <c r="J18" i="19"/>
  <c r="J50" i="19"/>
  <c r="J45" i="19"/>
  <c r="J21" i="19"/>
  <c r="J33" i="19"/>
  <c r="J47" i="19"/>
  <c r="J22" i="19"/>
  <c r="J38" i="19"/>
  <c r="J13" i="19"/>
  <c r="J35" i="19"/>
  <c r="J59" i="19"/>
  <c r="J15" i="19"/>
  <c r="J27" i="19"/>
  <c r="J39" i="19"/>
  <c r="J53" i="19"/>
  <c r="J14" i="19"/>
  <c r="J30" i="19"/>
  <c r="J46" i="19"/>
  <c r="J62" i="19"/>
  <c r="J19" i="19"/>
  <c r="J17" i="19"/>
  <c r="J43" i="19"/>
  <c r="J34" i="19"/>
  <c r="J25" i="19"/>
  <c r="J57" i="19"/>
  <c r="J54" i="19"/>
  <c r="F62" i="19"/>
  <c r="F58" i="19"/>
  <c r="F50" i="19"/>
  <c r="F46" i="19"/>
  <c r="F54" i="19"/>
  <c r="F42" i="19"/>
  <c r="F38" i="19"/>
  <c r="F34" i="19"/>
  <c r="F30" i="19"/>
  <c r="F26" i="19"/>
  <c r="F22" i="19"/>
  <c r="F18" i="19"/>
  <c r="F14" i="19"/>
  <c r="F19" i="19"/>
  <c r="F59" i="19"/>
  <c r="F48" i="19"/>
  <c r="F21" i="19"/>
  <c r="F37" i="19"/>
  <c r="F53" i="19"/>
  <c r="F15" i="19"/>
  <c r="F39" i="19"/>
  <c r="F20" i="19"/>
  <c r="F29" i="19"/>
  <c r="F12" i="19"/>
  <c r="F13" i="19"/>
  <c r="F45" i="19"/>
  <c r="F57" i="19"/>
  <c r="F11" i="19"/>
  <c r="F31" i="19"/>
  <c r="F49" i="19"/>
  <c r="F24" i="19"/>
  <c r="F17" i="19"/>
  <c r="F33" i="19"/>
  <c r="F47" i="19"/>
  <c r="F61" i="19"/>
  <c r="F35" i="19"/>
  <c r="F51" i="19"/>
  <c r="F36" i="19"/>
  <c r="F56" i="19"/>
  <c r="F25" i="19"/>
  <c r="F52" i="19"/>
  <c r="F23" i="19"/>
  <c r="F41" i="19"/>
  <c r="F55" i="19"/>
  <c r="F43" i="19"/>
  <c r="F32" i="19"/>
  <c r="F40" i="19"/>
  <c r="F60" i="19"/>
  <c r="F27" i="19"/>
  <c r="F16" i="19"/>
  <c r="F28" i="19"/>
  <c r="F44" i="19"/>
  <c r="F37" i="18"/>
  <c r="F39" i="18"/>
  <c r="F33" i="18"/>
  <c r="F31" i="18"/>
  <c r="F34" i="18"/>
  <c r="F36" i="18"/>
  <c r="F38" i="18"/>
  <c r="F40" i="18"/>
  <c r="J39" i="18"/>
  <c r="J33" i="18"/>
  <c r="J31" i="18"/>
  <c r="J37" i="18"/>
  <c r="J34" i="18"/>
  <c r="J36" i="18"/>
  <c r="J38" i="18"/>
  <c r="J40" i="18"/>
  <c r="J19" i="18"/>
  <c r="J13" i="18"/>
  <c r="J11" i="18"/>
  <c r="J17" i="18"/>
  <c r="J14" i="18"/>
  <c r="J20" i="18"/>
  <c r="J16" i="18"/>
  <c r="J18" i="18"/>
  <c r="F17" i="18"/>
  <c r="F19" i="18"/>
  <c r="F13" i="18"/>
  <c r="F11" i="18"/>
  <c r="F14" i="18"/>
  <c r="F16" i="18"/>
  <c r="F20" i="18"/>
  <c r="F18" i="18"/>
  <c r="J32" i="17"/>
  <c r="J37" i="17"/>
  <c r="J33" i="17"/>
  <c r="J36" i="17"/>
  <c r="J31" i="17"/>
  <c r="J38" i="17"/>
  <c r="J35" i="17"/>
  <c r="J30" i="17"/>
  <c r="J39" i="17"/>
  <c r="J34" i="17"/>
  <c r="F34" i="17"/>
  <c r="F30" i="17"/>
  <c r="F31" i="17"/>
  <c r="F39" i="17"/>
  <c r="F35" i="17"/>
  <c r="F32" i="17"/>
  <c r="F36" i="17"/>
  <c r="F38" i="17"/>
  <c r="F37" i="17"/>
  <c r="F33" i="17"/>
  <c r="J20" i="17"/>
  <c r="J16" i="17"/>
  <c r="J12" i="17"/>
  <c r="J14" i="17"/>
  <c r="J13" i="17"/>
  <c r="J18" i="17"/>
  <c r="J15" i="17"/>
  <c r="J17" i="17"/>
  <c r="J11" i="17"/>
  <c r="J19" i="17"/>
  <c r="F18" i="17"/>
  <c r="F14" i="17"/>
  <c r="F15" i="17"/>
  <c r="F12" i="17"/>
  <c r="F17" i="17"/>
  <c r="F16" i="17"/>
  <c r="F11" i="17"/>
  <c r="F19" i="17"/>
  <c r="F20" i="17"/>
  <c r="F13" i="17"/>
  <c r="F77" i="16"/>
  <c r="F73" i="16"/>
  <c r="F69" i="16"/>
  <c r="F65" i="16"/>
  <c r="F61" i="16"/>
  <c r="F57" i="16"/>
  <c r="F53" i="16"/>
  <c r="F58" i="16"/>
  <c r="F66" i="16"/>
  <c r="F74" i="16"/>
  <c r="F54" i="16"/>
  <c r="F71" i="16"/>
  <c r="F60" i="16"/>
  <c r="F68" i="16"/>
  <c r="F76" i="16"/>
  <c r="F55" i="16"/>
  <c r="F59" i="16"/>
  <c r="F75" i="16"/>
  <c r="F62" i="16"/>
  <c r="F70" i="16"/>
  <c r="F78" i="16"/>
  <c r="F51" i="16"/>
  <c r="F63" i="16"/>
  <c r="F79" i="16"/>
  <c r="F56" i="16"/>
  <c r="F64" i="16"/>
  <c r="F72" i="16"/>
  <c r="F52" i="16"/>
  <c r="F67" i="16"/>
  <c r="F50" i="16"/>
  <c r="J80" i="16"/>
  <c r="J79" i="16"/>
  <c r="J75" i="16"/>
  <c r="J71" i="16"/>
  <c r="J67" i="16"/>
  <c r="J63" i="16"/>
  <c r="J59" i="16"/>
  <c r="J55" i="16"/>
  <c r="J51" i="16"/>
  <c r="J53" i="16"/>
  <c r="J64" i="16"/>
  <c r="J62" i="16"/>
  <c r="J72" i="16"/>
  <c r="J54" i="16"/>
  <c r="J69" i="16"/>
  <c r="J76" i="16"/>
  <c r="J66" i="16"/>
  <c r="J74" i="16"/>
  <c r="J57" i="16"/>
  <c r="J73" i="16"/>
  <c r="J50" i="16"/>
  <c r="J58" i="16"/>
  <c r="J68" i="16"/>
  <c r="J78" i="16"/>
  <c r="J61" i="16"/>
  <c r="J77" i="16"/>
  <c r="J60" i="16"/>
  <c r="J52" i="16"/>
  <c r="J56" i="16"/>
  <c r="J70" i="16"/>
  <c r="J65" i="16"/>
  <c r="J40" i="16"/>
  <c r="J36" i="16"/>
  <c r="J32" i="16"/>
  <c r="J28" i="16"/>
  <c r="J24" i="16"/>
  <c r="J20" i="16"/>
  <c r="J12" i="16"/>
  <c r="J16" i="16"/>
  <c r="J15" i="16"/>
  <c r="J30" i="16"/>
  <c r="J17" i="16"/>
  <c r="J25" i="16"/>
  <c r="J33" i="16"/>
  <c r="J18" i="16"/>
  <c r="J34" i="16"/>
  <c r="J19" i="16"/>
  <c r="J27" i="16"/>
  <c r="J35" i="16"/>
  <c r="J13" i="16"/>
  <c r="J22" i="16"/>
  <c r="J38" i="16"/>
  <c r="J14" i="16"/>
  <c r="J21" i="16"/>
  <c r="J29" i="16"/>
  <c r="J37" i="16"/>
  <c r="J26" i="16"/>
  <c r="J11" i="16"/>
  <c r="J23" i="16"/>
  <c r="J31" i="16"/>
  <c r="J39" i="16"/>
  <c r="F38" i="16"/>
  <c r="F34" i="16"/>
  <c r="F30" i="16"/>
  <c r="F26" i="16"/>
  <c r="F22" i="16"/>
  <c r="F18" i="16"/>
  <c r="F14" i="16"/>
  <c r="F17" i="16"/>
  <c r="F25" i="16"/>
  <c r="F33" i="16"/>
  <c r="F12" i="16"/>
  <c r="F24" i="16"/>
  <c r="F40" i="16"/>
  <c r="F19" i="16"/>
  <c r="F27" i="16"/>
  <c r="F35" i="16"/>
  <c r="F13" i="16"/>
  <c r="F28" i="16"/>
  <c r="F21" i="16"/>
  <c r="F29" i="16"/>
  <c r="F37" i="16"/>
  <c r="F15" i="16"/>
  <c r="F32" i="16"/>
  <c r="F11" i="16"/>
  <c r="F23" i="16"/>
  <c r="F31" i="16"/>
  <c r="F39" i="16"/>
  <c r="F16" i="16"/>
  <c r="F20" i="16"/>
  <c r="F36" i="16"/>
  <c r="K44" i="15"/>
  <c r="J40" i="15"/>
  <c r="J36" i="15"/>
  <c r="J32" i="15"/>
  <c r="J42" i="15"/>
  <c r="J38" i="15"/>
  <c r="J34" i="15"/>
  <c r="J35" i="15"/>
  <c r="J43" i="15"/>
  <c r="J37" i="15"/>
  <c r="J39" i="15"/>
  <c r="J33" i="15"/>
  <c r="J41" i="15"/>
  <c r="J19" i="15"/>
  <c r="J15" i="15"/>
  <c r="J11" i="15"/>
  <c r="J13" i="15"/>
  <c r="J12" i="15"/>
  <c r="J20" i="15"/>
  <c r="J17" i="15"/>
  <c r="J14" i="15"/>
  <c r="J22" i="15"/>
  <c r="J21" i="15"/>
  <c r="J16" i="15"/>
  <c r="J18" i="15"/>
  <c r="F21" i="15"/>
  <c r="F17" i="15"/>
  <c r="F13" i="15"/>
  <c r="F14" i="15"/>
  <c r="F16" i="15"/>
  <c r="F11" i="15"/>
  <c r="F18" i="15"/>
  <c r="F15" i="15"/>
  <c r="F20" i="15"/>
  <c r="F19" i="15"/>
  <c r="F12" i="15"/>
  <c r="F22" i="15"/>
  <c r="F81" i="14"/>
  <c r="F77" i="14"/>
  <c r="F73" i="14"/>
  <c r="F69" i="14"/>
  <c r="F65" i="14"/>
  <c r="F61" i="14"/>
  <c r="F57" i="14"/>
  <c r="F53" i="14"/>
  <c r="F83" i="14"/>
  <c r="F79" i="14"/>
  <c r="F75" i="14"/>
  <c r="F71" i="14"/>
  <c r="F67" i="14"/>
  <c r="F63" i="14"/>
  <c r="F59" i="14"/>
  <c r="F55" i="14"/>
  <c r="F52" i="14"/>
  <c r="F60" i="14"/>
  <c r="F68" i="14"/>
  <c r="F76" i="14"/>
  <c r="F54" i="14"/>
  <c r="F62" i="14"/>
  <c r="F70" i="14"/>
  <c r="F78" i="14"/>
  <c r="F56" i="14"/>
  <c r="F64" i="14"/>
  <c r="F72" i="14"/>
  <c r="F80" i="14"/>
  <c r="F58" i="14"/>
  <c r="F66" i="14"/>
  <c r="F74" i="14"/>
  <c r="F82" i="14"/>
  <c r="J83" i="14"/>
  <c r="J79" i="14"/>
  <c r="J75" i="14"/>
  <c r="J71" i="14"/>
  <c r="J67" i="14"/>
  <c r="J63" i="14"/>
  <c r="J59" i="14"/>
  <c r="J55" i="14"/>
  <c r="J81" i="14"/>
  <c r="J77" i="14"/>
  <c r="J73" i="14"/>
  <c r="J69" i="14"/>
  <c r="J65" i="14"/>
  <c r="J61" i="14"/>
  <c r="J57" i="14"/>
  <c r="J53" i="14"/>
  <c r="J52" i="14"/>
  <c r="J60" i="14"/>
  <c r="J68" i="14"/>
  <c r="J76" i="14"/>
  <c r="J54" i="14"/>
  <c r="J62" i="14"/>
  <c r="J70" i="14"/>
  <c r="J78" i="14"/>
  <c r="J56" i="14"/>
  <c r="J64" i="14"/>
  <c r="J72" i="14"/>
  <c r="J80" i="14"/>
  <c r="J58" i="14"/>
  <c r="J66" i="14"/>
  <c r="J74" i="14"/>
  <c r="J82" i="14"/>
  <c r="J42" i="14"/>
  <c r="J38" i="14"/>
  <c r="J34" i="14"/>
  <c r="J30" i="14"/>
  <c r="J26" i="14"/>
  <c r="J22" i="14"/>
  <c r="J18" i="14"/>
  <c r="J14" i="14"/>
  <c r="J40" i="14"/>
  <c r="J36" i="14"/>
  <c r="J32" i="14"/>
  <c r="J28" i="14"/>
  <c r="J24" i="14"/>
  <c r="J20" i="14"/>
  <c r="J16" i="14"/>
  <c r="J12" i="14"/>
  <c r="J11" i="14"/>
  <c r="J19" i="14"/>
  <c r="J27" i="14"/>
  <c r="J35" i="14"/>
  <c r="J13" i="14"/>
  <c r="J21" i="14"/>
  <c r="J29" i="14"/>
  <c r="J37" i="14"/>
  <c r="J17" i="14"/>
  <c r="J25" i="14"/>
  <c r="J33" i="14"/>
  <c r="J41" i="14"/>
  <c r="J15" i="14"/>
  <c r="J23" i="14"/>
  <c r="J31" i="14"/>
  <c r="J39" i="14"/>
  <c r="F40" i="14"/>
  <c r="F36" i="14"/>
  <c r="F32" i="14"/>
  <c r="F28" i="14"/>
  <c r="F24" i="14"/>
  <c r="F20" i="14"/>
  <c r="F16" i="14"/>
  <c r="F12" i="14"/>
  <c r="F42" i="14"/>
  <c r="F38" i="14"/>
  <c r="F34" i="14"/>
  <c r="F30" i="14"/>
  <c r="F26" i="14"/>
  <c r="F22" i="14"/>
  <c r="F18" i="14"/>
  <c r="F14" i="14"/>
  <c r="F11" i="14"/>
  <c r="F19" i="14"/>
  <c r="F27" i="14"/>
  <c r="F35" i="14"/>
  <c r="F13" i="14"/>
  <c r="F21" i="14"/>
  <c r="F29" i="14"/>
  <c r="F37" i="14"/>
  <c r="F17" i="14"/>
  <c r="F25" i="14"/>
  <c r="F33" i="14"/>
  <c r="F41" i="14"/>
  <c r="F15" i="14"/>
  <c r="F23" i="14"/>
  <c r="F31" i="14"/>
  <c r="F39" i="14"/>
  <c r="J80" i="13"/>
  <c r="J72" i="13"/>
  <c r="J64" i="13"/>
  <c r="J56" i="13"/>
  <c r="J84" i="13"/>
  <c r="J76" i="13"/>
  <c r="J68" i="13"/>
  <c r="J60" i="13"/>
  <c r="J69" i="13"/>
  <c r="J81" i="13"/>
  <c r="J62" i="13"/>
  <c r="J75" i="13"/>
  <c r="J58" i="13"/>
  <c r="J74" i="13"/>
  <c r="J71" i="13"/>
  <c r="J77" i="13"/>
  <c r="J57" i="13"/>
  <c r="J70" i="13"/>
  <c r="J67" i="13"/>
  <c r="J63" i="13"/>
  <c r="J53" i="13"/>
  <c r="J85" i="13"/>
  <c r="J65" i="13"/>
  <c r="J78" i="13"/>
  <c r="J59" i="13"/>
  <c r="J66" i="13"/>
  <c r="J82" i="13"/>
  <c r="J55" i="13"/>
  <c r="J61" i="13"/>
  <c r="J73" i="13"/>
  <c r="J54" i="13"/>
  <c r="J83" i="13"/>
  <c r="J79" i="13"/>
  <c r="F78" i="13"/>
  <c r="F70" i="13"/>
  <c r="F62" i="13"/>
  <c r="F54" i="13"/>
  <c r="F82" i="13"/>
  <c r="F74" i="13"/>
  <c r="F66" i="13"/>
  <c r="F58" i="13"/>
  <c r="F83" i="13"/>
  <c r="F75" i="13"/>
  <c r="F67" i="13"/>
  <c r="F59" i="13"/>
  <c r="F55" i="13"/>
  <c r="F56" i="13"/>
  <c r="F65" i="13"/>
  <c r="F61" i="13"/>
  <c r="F84" i="13"/>
  <c r="F63" i="13"/>
  <c r="F57" i="13"/>
  <c r="F80" i="13"/>
  <c r="F53" i="13"/>
  <c r="F76" i="13"/>
  <c r="F85" i="13"/>
  <c r="F71" i="13"/>
  <c r="F72" i="13"/>
  <c r="F81" i="13"/>
  <c r="F68" i="13"/>
  <c r="F77" i="13"/>
  <c r="F79" i="13"/>
  <c r="F64" i="13"/>
  <c r="F73" i="13"/>
  <c r="F60" i="13"/>
  <c r="F69" i="13"/>
  <c r="J36" i="13"/>
  <c r="J28" i="13"/>
  <c r="J20" i="13"/>
  <c r="J12" i="13"/>
  <c r="J25" i="13"/>
  <c r="J24" i="13"/>
  <c r="J41" i="13"/>
  <c r="J40" i="13"/>
  <c r="J17" i="13"/>
  <c r="J16" i="13"/>
  <c r="J33" i="13"/>
  <c r="J32" i="13"/>
  <c r="J13" i="13"/>
  <c r="J31" i="13"/>
  <c r="J15" i="13"/>
  <c r="J23" i="13"/>
  <c r="J38" i="13"/>
  <c r="J11" i="13"/>
  <c r="J43" i="13"/>
  <c r="J26" i="13"/>
  <c r="J42" i="13"/>
  <c r="J37" i="13"/>
  <c r="J39" i="13"/>
  <c r="J14" i="13"/>
  <c r="J29" i="13"/>
  <c r="J35" i="13"/>
  <c r="J22" i="13"/>
  <c r="J27" i="13"/>
  <c r="J18" i="13"/>
  <c r="J34" i="13"/>
  <c r="J21" i="13"/>
  <c r="J30" i="13"/>
  <c r="J19" i="13"/>
  <c r="F42" i="13"/>
  <c r="F34" i="13"/>
  <c r="F26" i="13"/>
  <c r="F18" i="13"/>
  <c r="F38" i="13"/>
  <c r="F14" i="13"/>
  <c r="F30" i="13"/>
  <c r="F22" i="13"/>
  <c r="F43" i="13"/>
  <c r="F23" i="13"/>
  <c r="F13" i="13"/>
  <c r="F35" i="13"/>
  <c r="F24" i="13"/>
  <c r="F33" i="13"/>
  <c r="F15" i="13"/>
  <c r="F19" i="13"/>
  <c r="F37" i="13"/>
  <c r="F16" i="13"/>
  <c r="F25" i="13"/>
  <c r="F28" i="13"/>
  <c r="F39" i="13"/>
  <c r="F12" i="13"/>
  <c r="F21" i="13"/>
  <c r="F27" i="13"/>
  <c r="F20" i="13"/>
  <c r="F31" i="13"/>
  <c r="F17" i="13"/>
  <c r="F40" i="13"/>
  <c r="F36" i="13"/>
  <c r="F29" i="13"/>
  <c r="F11" i="13"/>
  <c r="F32" i="13"/>
  <c r="F41" i="13"/>
  <c r="F79" i="12"/>
  <c r="F78" i="12"/>
  <c r="F77" i="12"/>
  <c r="F76" i="12"/>
  <c r="F75" i="12"/>
  <c r="F74" i="12"/>
  <c r="F73" i="12"/>
  <c r="F72" i="12"/>
  <c r="F71" i="12"/>
  <c r="F70" i="12"/>
  <c r="F69" i="12"/>
  <c r="F68" i="12"/>
  <c r="F67" i="12"/>
  <c r="F66" i="12"/>
  <c r="F65" i="12"/>
  <c r="F64" i="12"/>
  <c r="F63" i="12"/>
  <c r="F62" i="12"/>
  <c r="F61" i="12"/>
  <c r="F60" i="12"/>
  <c r="F59" i="12"/>
  <c r="F58" i="12"/>
  <c r="F57" i="12"/>
  <c r="F56" i="12"/>
  <c r="F55" i="12"/>
  <c r="F54" i="12"/>
  <c r="F53" i="12"/>
  <c r="F52" i="12"/>
  <c r="F51" i="12"/>
  <c r="F50" i="12"/>
  <c r="J79" i="12"/>
  <c r="J78" i="12"/>
  <c r="J77" i="12"/>
  <c r="J76" i="12"/>
  <c r="J75" i="12"/>
  <c r="J74" i="12"/>
  <c r="J73" i="12"/>
  <c r="J72" i="12"/>
  <c r="J71" i="12"/>
  <c r="J70" i="12"/>
  <c r="J69" i="12"/>
  <c r="J68" i="12"/>
  <c r="J67" i="12"/>
  <c r="J66" i="12"/>
  <c r="J65" i="12"/>
  <c r="J64" i="12"/>
  <c r="J63" i="12"/>
  <c r="J62" i="12"/>
  <c r="J61" i="12"/>
  <c r="J60" i="12"/>
  <c r="J59" i="12"/>
  <c r="J58" i="12"/>
  <c r="J57" i="12"/>
  <c r="J56" i="12"/>
  <c r="J55" i="12"/>
  <c r="J54" i="12"/>
  <c r="J53" i="12"/>
  <c r="J52" i="12"/>
  <c r="J51" i="12"/>
  <c r="J50" i="12"/>
  <c r="F40" i="12"/>
  <c r="F36" i="12"/>
  <c r="F32" i="12"/>
  <c r="F28" i="12"/>
  <c r="F24" i="12"/>
  <c r="F20" i="12"/>
  <c r="F12" i="12"/>
  <c r="F16" i="12"/>
  <c r="F21" i="12"/>
  <c r="F29" i="12"/>
  <c r="F37" i="12"/>
  <c r="F30" i="12"/>
  <c r="F13" i="12"/>
  <c r="F23" i="12"/>
  <c r="F31" i="12"/>
  <c r="F39" i="12"/>
  <c r="F18" i="12"/>
  <c r="F34" i="12"/>
  <c r="F14" i="12"/>
  <c r="F25" i="12"/>
  <c r="F33" i="12"/>
  <c r="F22" i="12"/>
  <c r="F38" i="12"/>
  <c r="F19" i="12"/>
  <c r="F27" i="12"/>
  <c r="F35" i="12"/>
  <c r="F15" i="12"/>
  <c r="F26" i="12"/>
  <c r="F11" i="12"/>
  <c r="F17" i="12"/>
  <c r="J38" i="12"/>
  <c r="J34" i="12"/>
  <c r="J30" i="12"/>
  <c r="J26" i="12"/>
  <c r="J22" i="12"/>
  <c r="J18" i="12"/>
  <c r="J14" i="12"/>
  <c r="J11" i="12"/>
  <c r="J21" i="12"/>
  <c r="J29" i="12"/>
  <c r="J37" i="12"/>
  <c r="J16" i="12"/>
  <c r="J12" i="12"/>
  <c r="J20" i="12"/>
  <c r="J36" i="12"/>
  <c r="J23" i="12"/>
  <c r="J31" i="12"/>
  <c r="J39" i="12"/>
  <c r="J24" i="12"/>
  <c r="J40" i="12"/>
  <c r="J17" i="12"/>
  <c r="J13" i="12"/>
  <c r="J25" i="12"/>
  <c r="J33" i="12"/>
  <c r="J15" i="12"/>
  <c r="J28" i="12"/>
  <c r="J19" i="12"/>
  <c r="J27" i="12"/>
  <c r="J35" i="12"/>
  <c r="J32" i="12"/>
  <c r="F85" i="11"/>
  <c r="F81" i="11"/>
  <c r="F77" i="11"/>
  <c r="F73" i="11"/>
  <c r="F61" i="11"/>
  <c r="F65" i="11"/>
  <c r="F69" i="11"/>
  <c r="F53" i="11"/>
  <c r="F57" i="11"/>
  <c r="F74" i="11"/>
  <c r="F82" i="11"/>
  <c r="F59" i="11"/>
  <c r="F55" i="11"/>
  <c r="F75" i="11"/>
  <c r="F67" i="11"/>
  <c r="F60" i="11"/>
  <c r="F66" i="11"/>
  <c r="F76" i="11"/>
  <c r="F84" i="11"/>
  <c r="F68" i="11"/>
  <c r="F79" i="11"/>
  <c r="F78" i="11"/>
  <c r="F56" i="11"/>
  <c r="F62" i="11"/>
  <c r="F58" i="11"/>
  <c r="F83" i="11"/>
  <c r="F64" i="11"/>
  <c r="F70" i="11"/>
  <c r="F63" i="11"/>
  <c r="F72" i="11"/>
  <c r="F80" i="11"/>
  <c r="F71" i="11"/>
  <c r="F54" i="11"/>
  <c r="J83" i="11"/>
  <c r="J79" i="11"/>
  <c r="J75" i="11"/>
  <c r="J71" i="11"/>
  <c r="J59" i="11"/>
  <c r="J63" i="11"/>
  <c r="J67" i="11"/>
  <c r="J55" i="11"/>
  <c r="J54" i="11"/>
  <c r="J64" i="11"/>
  <c r="J72" i="11"/>
  <c r="J80" i="11"/>
  <c r="J58" i="11"/>
  <c r="J77" i="11"/>
  <c r="J60" i="11"/>
  <c r="J74" i="11"/>
  <c r="J82" i="11"/>
  <c r="J56" i="11"/>
  <c r="J68" i="11"/>
  <c r="J81" i="11"/>
  <c r="J61" i="11"/>
  <c r="J70" i="11"/>
  <c r="J76" i="11"/>
  <c r="J84" i="11"/>
  <c r="J69" i="11"/>
  <c r="J85" i="11"/>
  <c r="J57" i="11"/>
  <c r="J66" i="11"/>
  <c r="J78" i="11"/>
  <c r="J53" i="11"/>
  <c r="J62" i="11"/>
  <c r="J65" i="11"/>
  <c r="J73" i="11"/>
  <c r="J40" i="11"/>
  <c r="J36" i="11"/>
  <c r="J32" i="11"/>
  <c r="J20" i="11"/>
  <c r="J24" i="11"/>
  <c r="J28" i="11"/>
  <c r="J12" i="11"/>
  <c r="J16" i="11"/>
  <c r="J18" i="11"/>
  <c r="J27" i="11"/>
  <c r="J42" i="11"/>
  <c r="J19" i="11"/>
  <c r="J35" i="11"/>
  <c r="J43" i="11"/>
  <c r="J15" i="11"/>
  <c r="J25" i="11"/>
  <c r="J30" i="11"/>
  <c r="J17" i="11"/>
  <c r="J29" i="11"/>
  <c r="J37" i="11"/>
  <c r="J11" i="11"/>
  <c r="J21" i="11"/>
  <c r="J34" i="11"/>
  <c r="J13" i="11"/>
  <c r="J31" i="11"/>
  <c r="J39" i="11"/>
  <c r="J22" i="11"/>
  <c r="J38" i="11"/>
  <c r="J14" i="11"/>
  <c r="J23" i="11"/>
  <c r="J26" i="11"/>
  <c r="J33" i="11"/>
  <c r="J41" i="11"/>
  <c r="F42" i="11"/>
  <c r="F38" i="11"/>
  <c r="F34" i="11"/>
  <c r="F30" i="11"/>
  <c r="F22" i="11"/>
  <c r="F26" i="11"/>
  <c r="F14" i="11"/>
  <c r="F18" i="11"/>
  <c r="F11" i="11"/>
  <c r="F24" i="11"/>
  <c r="F36" i="11"/>
  <c r="F16" i="11"/>
  <c r="F35" i="11"/>
  <c r="F43" i="11"/>
  <c r="F28" i="11"/>
  <c r="F40" i="11"/>
  <c r="F20" i="11"/>
  <c r="F29" i="11"/>
  <c r="F37" i="11"/>
  <c r="F12" i="11"/>
  <c r="F21" i="11"/>
  <c r="F27" i="11"/>
  <c r="F13" i="11"/>
  <c r="F19" i="11"/>
  <c r="F31" i="11"/>
  <c r="F39" i="11"/>
  <c r="F25" i="11"/>
  <c r="F32" i="11"/>
  <c r="F17" i="11"/>
  <c r="F23" i="11"/>
  <c r="F33" i="11"/>
  <c r="F41" i="11"/>
  <c r="F15" i="11"/>
  <c r="J95" i="10"/>
  <c r="J91" i="10"/>
  <c r="J87" i="10"/>
  <c r="J83" i="10"/>
  <c r="J79" i="10"/>
  <c r="J75" i="10"/>
  <c r="J71" i="10"/>
  <c r="J67" i="10"/>
  <c r="J63" i="10"/>
  <c r="J59" i="10"/>
  <c r="J93" i="10"/>
  <c r="J89" i="10"/>
  <c r="J85" i="10"/>
  <c r="J81" i="10"/>
  <c r="J77" i="10"/>
  <c r="J73" i="10"/>
  <c r="J69" i="10"/>
  <c r="J65" i="10"/>
  <c r="J61" i="10"/>
  <c r="J64" i="10"/>
  <c r="J74" i="10"/>
  <c r="J82" i="10"/>
  <c r="J90" i="10"/>
  <c r="J58" i="10"/>
  <c r="J66" i="10"/>
  <c r="J76" i="10"/>
  <c r="J84" i="10"/>
  <c r="J94" i="10"/>
  <c r="J68" i="10"/>
  <c r="J60" i="10"/>
  <c r="J70" i="10"/>
  <c r="J78" i="10"/>
  <c r="J86" i="10"/>
  <c r="J92" i="10"/>
  <c r="J62" i="10"/>
  <c r="J72" i="10"/>
  <c r="J80" i="10"/>
  <c r="J88" i="10"/>
  <c r="F93" i="10"/>
  <c r="F89" i="10"/>
  <c r="F85" i="10"/>
  <c r="F81" i="10"/>
  <c r="F77" i="10"/>
  <c r="F73" i="10"/>
  <c r="F69" i="10"/>
  <c r="F65" i="10"/>
  <c r="F61" i="10"/>
  <c r="F59" i="10"/>
  <c r="F95" i="10"/>
  <c r="F91" i="10"/>
  <c r="F87" i="10"/>
  <c r="F83" i="10"/>
  <c r="F79" i="10"/>
  <c r="F75" i="10"/>
  <c r="F71" i="10"/>
  <c r="F67" i="10"/>
  <c r="F63" i="10"/>
  <c r="F62" i="10"/>
  <c r="F94" i="10"/>
  <c r="F58" i="10"/>
  <c r="F70" i="10"/>
  <c r="F82" i="10"/>
  <c r="F90" i="10"/>
  <c r="F66" i="10"/>
  <c r="F60" i="10"/>
  <c r="F74" i="10"/>
  <c r="F84" i="10"/>
  <c r="F92" i="10"/>
  <c r="F72" i="10"/>
  <c r="F64" i="10"/>
  <c r="F76" i="10"/>
  <c r="F86" i="10"/>
  <c r="F80" i="10"/>
  <c r="F68" i="10"/>
  <c r="F78" i="10"/>
  <c r="F88" i="10"/>
  <c r="J48" i="10"/>
  <c r="J44" i="10"/>
  <c r="J40" i="10"/>
  <c r="J36" i="10"/>
  <c r="J32" i="10"/>
  <c r="J28" i="10"/>
  <c r="J24" i="10"/>
  <c r="J20" i="10"/>
  <c r="J16" i="10"/>
  <c r="J12" i="10"/>
  <c r="J34" i="10"/>
  <c r="J26" i="10"/>
  <c r="J22" i="10"/>
  <c r="J14" i="10"/>
  <c r="J46" i="10"/>
  <c r="J42" i="10"/>
  <c r="J38" i="10"/>
  <c r="J30" i="10"/>
  <c r="J18" i="10"/>
  <c r="J13" i="10"/>
  <c r="J21" i="10"/>
  <c r="J29" i="10"/>
  <c r="J37" i="10"/>
  <c r="J47" i="10"/>
  <c r="J19" i="10"/>
  <c r="J15" i="10"/>
  <c r="J23" i="10"/>
  <c r="J31" i="10"/>
  <c r="J41" i="10"/>
  <c r="J11" i="10"/>
  <c r="J35" i="10"/>
  <c r="J17" i="10"/>
  <c r="J25" i="10"/>
  <c r="J33" i="10"/>
  <c r="J43" i="10"/>
  <c r="J39" i="10"/>
  <c r="J27" i="10"/>
  <c r="J45" i="10"/>
  <c r="F46" i="10"/>
  <c r="F42" i="10"/>
  <c r="F38" i="10"/>
  <c r="F34" i="10"/>
  <c r="F30" i="10"/>
  <c r="F22" i="10"/>
  <c r="F14" i="10"/>
  <c r="F48" i="10"/>
  <c r="F44" i="10"/>
  <c r="F40" i="10"/>
  <c r="F26" i="10"/>
  <c r="F18" i="10"/>
  <c r="F24" i="10"/>
  <c r="F36" i="10"/>
  <c r="F32" i="10"/>
  <c r="F28" i="10"/>
  <c r="F20" i="10"/>
  <c r="F16" i="10"/>
  <c r="F12" i="10"/>
  <c r="F13" i="10"/>
  <c r="F33" i="10"/>
  <c r="F35" i="10"/>
  <c r="F41" i="10"/>
  <c r="F21" i="10"/>
  <c r="F19" i="10"/>
  <c r="F39" i="10"/>
  <c r="F11" i="10"/>
  <c r="F15" i="10"/>
  <c r="F47" i="10"/>
  <c r="F37" i="10"/>
  <c r="F27" i="10"/>
  <c r="F23" i="10"/>
  <c r="F43" i="10"/>
  <c r="F17" i="10"/>
  <c r="F25" i="10"/>
  <c r="F29" i="10"/>
  <c r="F31" i="10"/>
  <c r="F45" i="10"/>
  <c r="F48" i="9"/>
  <c r="F49" i="9"/>
  <c r="F45" i="9"/>
  <c r="F37" i="9"/>
  <c r="F41" i="9"/>
  <c r="F38" i="9"/>
  <c r="F36" i="9"/>
  <c r="F39" i="9"/>
  <c r="F44" i="9"/>
  <c r="F35" i="9"/>
  <c r="F46" i="9"/>
  <c r="F43" i="9"/>
  <c r="F40" i="9"/>
  <c r="F47" i="9"/>
  <c r="F42" i="9"/>
  <c r="J47" i="9"/>
  <c r="J43" i="9"/>
  <c r="J39" i="9"/>
  <c r="J35" i="9"/>
  <c r="J40" i="9"/>
  <c r="J37" i="9"/>
  <c r="J46" i="9"/>
  <c r="J44" i="9"/>
  <c r="J45" i="9"/>
  <c r="J48" i="9"/>
  <c r="J36" i="9"/>
  <c r="J42" i="9"/>
  <c r="J41" i="9"/>
  <c r="J38" i="9"/>
  <c r="J49" i="9"/>
  <c r="J25" i="9"/>
  <c r="J21" i="9"/>
  <c r="J17" i="9"/>
  <c r="J13" i="9"/>
  <c r="J23" i="9"/>
  <c r="J19" i="9"/>
  <c r="J15" i="9"/>
  <c r="J11" i="9"/>
  <c r="J12" i="9"/>
  <c r="J20" i="9"/>
  <c r="J14" i="9"/>
  <c r="J24" i="9"/>
  <c r="J22" i="9"/>
  <c r="J16" i="9"/>
  <c r="J18" i="9"/>
  <c r="F23" i="9"/>
  <c r="F19" i="9"/>
  <c r="F15" i="9"/>
  <c r="F11" i="9"/>
  <c r="F25" i="9"/>
  <c r="F21" i="9"/>
  <c r="F17" i="9"/>
  <c r="F13" i="9"/>
  <c r="F14" i="9"/>
  <c r="F16" i="9"/>
  <c r="F22" i="9"/>
  <c r="F18" i="9"/>
  <c r="F20" i="9"/>
  <c r="F12" i="9"/>
  <c r="F24" i="9"/>
  <c r="J35" i="8"/>
  <c r="J31" i="8"/>
  <c r="J30" i="8"/>
  <c r="J37" i="8"/>
  <c r="J32" i="8"/>
  <c r="J36" i="8"/>
  <c r="J34" i="8"/>
  <c r="J29" i="8"/>
  <c r="J33" i="8"/>
  <c r="F37" i="8"/>
  <c r="F33" i="8"/>
  <c r="F29" i="8"/>
  <c r="F30" i="8"/>
  <c r="F31" i="8"/>
  <c r="F32" i="8"/>
  <c r="F35" i="8"/>
  <c r="F34" i="8"/>
  <c r="F36" i="8"/>
  <c r="F19" i="8"/>
  <c r="F15" i="8"/>
  <c r="F11" i="8"/>
  <c r="F17" i="8"/>
  <c r="F13" i="8"/>
  <c r="F12" i="8"/>
  <c r="F14" i="8"/>
  <c r="F16" i="8"/>
  <c r="F18" i="8"/>
  <c r="J11" i="8"/>
  <c r="J17" i="8"/>
  <c r="J13" i="8"/>
  <c r="J19" i="8"/>
  <c r="J15" i="8"/>
  <c r="J12" i="8"/>
  <c r="J14" i="8"/>
  <c r="J16" i="8"/>
  <c r="J18" i="8"/>
  <c r="J38" i="7"/>
  <c r="J37" i="7"/>
  <c r="J33" i="7"/>
  <c r="J29" i="7"/>
  <c r="J35" i="7"/>
  <c r="J31" i="7"/>
  <c r="J30" i="7"/>
  <c r="J34" i="7"/>
  <c r="J32" i="7"/>
  <c r="J36" i="7"/>
  <c r="F38" i="7"/>
  <c r="F35" i="7"/>
  <c r="F31" i="7"/>
  <c r="F37" i="7"/>
  <c r="F33" i="7"/>
  <c r="F29" i="7"/>
  <c r="F32" i="7"/>
  <c r="F30" i="7"/>
  <c r="F34" i="7"/>
  <c r="F36" i="7"/>
  <c r="F17" i="7"/>
  <c r="F13" i="7"/>
  <c r="F19" i="7"/>
  <c r="F15" i="7"/>
  <c r="F11" i="7"/>
  <c r="F14" i="7"/>
  <c r="F18" i="7"/>
  <c r="F12" i="7"/>
  <c r="F16" i="7"/>
  <c r="J19" i="7"/>
  <c r="J15" i="7"/>
  <c r="J11" i="7"/>
  <c r="J17" i="7"/>
  <c r="J13" i="7"/>
  <c r="J16" i="7"/>
  <c r="J18" i="7"/>
  <c r="J14" i="7"/>
  <c r="J12" i="7"/>
  <c r="F15" i="6"/>
  <c r="F11" i="6"/>
  <c r="F17" i="6"/>
  <c r="F13" i="6"/>
  <c r="F12" i="6"/>
  <c r="F14" i="6"/>
  <c r="F16" i="6"/>
  <c r="J17" i="6"/>
  <c r="J13" i="6"/>
  <c r="J15" i="6"/>
  <c r="J11" i="6"/>
  <c r="J14" i="6"/>
  <c r="J12" i="6"/>
  <c r="J16" i="6"/>
  <c r="F41" i="16"/>
  <c r="F49" i="10"/>
  <c r="F21" i="17"/>
  <c r="K21" i="17"/>
  <c r="J124" i="19"/>
  <c r="F124" i="19"/>
  <c r="K124" i="19"/>
  <c r="K63" i="19"/>
  <c r="F63" i="19"/>
  <c r="J63" i="19"/>
  <c r="J22" i="18"/>
  <c r="K22" i="18"/>
  <c r="F22" i="18"/>
  <c r="J42" i="18"/>
  <c r="F42" i="18"/>
  <c r="K42" i="18"/>
  <c r="F40" i="17"/>
  <c r="J40" i="17"/>
  <c r="J21" i="17"/>
  <c r="K40" i="17"/>
  <c r="F80" i="16"/>
  <c r="K80" i="16"/>
  <c r="J41" i="16"/>
  <c r="K41" i="16"/>
  <c r="F23" i="15"/>
  <c r="K23" i="15"/>
  <c r="J23" i="15"/>
  <c r="J44" i="15"/>
  <c r="J84" i="14"/>
  <c r="F84" i="14"/>
  <c r="J43" i="14"/>
  <c r="F43" i="14"/>
  <c r="K43" i="14"/>
  <c r="K86" i="13"/>
  <c r="F86" i="13"/>
  <c r="K44" i="13"/>
  <c r="F44" i="13"/>
  <c r="J44" i="13"/>
  <c r="J86" i="13"/>
  <c r="J41" i="12"/>
  <c r="F80" i="12"/>
  <c r="K80" i="12"/>
  <c r="F41" i="12"/>
  <c r="K41" i="12"/>
  <c r="J80" i="12"/>
  <c r="K44" i="11"/>
  <c r="F44" i="11"/>
  <c r="J44" i="11"/>
  <c r="J86" i="11"/>
  <c r="F86" i="11"/>
  <c r="K86" i="11"/>
  <c r="K49" i="10"/>
  <c r="J49" i="10"/>
  <c r="F96" i="10"/>
  <c r="K96" i="10"/>
  <c r="J96" i="10"/>
  <c r="F50" i="9"/>
  <c r="K50" i="9"/>
  <c r="F26" i="9"/>
  <c r="K26" i="9"/>
  <c r="J50" i="9"/>
  <c r="J26" i="9"/>
  <c r="F20" i="8"/>
  <c r="K20" i="8"/>
  <c r="J38" i="8"/>
  <c r="J20" i="8"/>
  <c r="F38" i="8"/>
  <c r="K38" i="8"/>
  <c r="J20" i="7"/>
  <c r="K20" i="7"/>
  <c r="F20" i="7"/>
  <c r="K38" i="7"/>
  <c r="K34" i="6"/>
  <c r="F18" i="6"/>
  <c r="K18" i="6"/>
  <c r="F34" i="6"/>
  <c r="J18" i="6"/>
  <c r="J34" i="6"/>
  <c r="M34" i="6" l="1"/>
  <c r="M38" i="7"/>
  <c r="M38" i="8"/>
  <c r="K39" i="8" s="1"/>
  <c r="M20" i="8"/>
  <c r="K21" i="8" s="1"/>
  <c r="M26" i="9"/>
  <c r="M49" i="10"/>
  <c r="K50" i="10" s="1"/>
  <c r="M41" i="12"/>
  <c r="M44" i="13"/>
  <c r="K45" i="13" s="1"/>
  <c r="M41" i="16"/>
  <c r="K42" i="16" s="1"/>
  <c r="M40" i="17"/>
  <c r="K41" i="17" s="1"/>
  <c r="M42" i="18"/>
  <c r="K43" i="18" s="1"/>
  <c r="M22" i="18"/>
  <c r="K23" i="18" s="1"/>
  <c r="M63" i="19"/>
  <c r="K64" i="19" s="1"/>
  <c r="M21" i="17"/>
  <c r="K22" i="17" s="1"/>
  <c r="M44" i="15"/>
  <c r="K45" i="15" s="1"/>
  <c r="M43" i="14"/>
  <c r="K44" i="14" s="1"/>
  <c r="M124" i="19"/>
  <c r="K125" i="19" s="1"/>
  <c r="M18" i="6"/>
  <c r="K19" i="6" s="1"/>
  <c r="M96" i="10"/>
  <c r="M86" i="11"/>
  <c r="M20" i="7"/>
  <c r="M50" i="9"/>
  <c r="K51" i="9" s="1"/>
  <c r="M44" i="11"/>
  <c r="K45" i="11" s="1"/>
  <c r="M80" i="12"/>
  <c r="K81" i="12" s="1"/>
  <c r="M86" i="13"/>
  <c r="K87" i="13" s="1"/>
  <c r="M23" i="15"/>
  <c r="K24" i="15" s="1"/>
  <c r="M80" i="16"/>
  <c r="K81" i="16" s="1"/>
  <c r="M84" i="14"/>
  <c r="K85" i="14" s="1"/>
  <c r="O28" i="3"/>
  <c r="D28" i="3"/>
  <c r="C28" i="3"/>
  <c r="N28" i="3"/>
  <c r="M28" i="3"/>
  <c r="G28" i="3"/>
  <c r="F28" i="3"/>
  <c r="P28" i="3"/>
  <c r="Q28" i="3"/>
  <c r="G16" i="5"/>
  <c r="C28" i="4"/>
  <c r="N28" i="4"/>
  <c r="P28" i="4"/>
  <c r="R28" i="4"/>
  <c r="O28" i="4"/>
  <c r="M28" i="4"/>
  <c r="F28" i="4"/>
  <c r="G28" i="4"/>
  <c r="Q28" i="4"/>
  <c r="D28" i="4"/>
  <c r="L87" i="11" l="1"/>
  <c r="G87" i="11"/>
  <c r="H87" i="11"/>
  <c r="D87" i="11"/>
  <c r="C87" i="11"/>
  <c r="E87" i="11"/>
  <c r="I87" i="11"/>
  <c r="G39" i="7"/>
  <c r="L39" i="7"/>
  <c r="D39" i="7"/>
  <c r="C39" i="7"/>
  <c r="H39" i="7"/>
  <c r="E39" i="7"/>
  <c r="I39" i="7"/>
  <c r="L85" i="14"/>
  <c r="G85" i="14"/>
  <c r="C85" i="14"/>
  <c r="H85" i="14"/>
  <c r="D85" i="14"/>
  <c r="I85" i="14"/>
  <c r="E85" i="14"/>
  <c r="L24" i="15"/>
  <c r="M24" i="15" s="1"/>
  <c r="H24" i="15"/>
  <c r="C24" i="15"/>
  <c r="G24" i="15"/>
  <c r="D24" i="15"/>
  <c r="E24" i="15"/>
  <c r="I24" i="15"/>
  <c r="L81" i="12"/>
  <c r="D81" i="12"/>
  <c r="G81" i="12"/>
  <c r="C81" i="12"/>
  <c r="H81" i="12"/>
  <c r="E81" i="12"/>
  <c r="I81" i="12"/>
  <c r="K87" i="11"/>
  <c r="M87" i="11" s="1"/>
  <c r="L19" i="6"/>
  <c r="H19" i="6"/>
  <c r="C19" i="6"/>
  <c r="G19" i="6"/>
  <c r="D19" i="6"/>
  <c r="I19" i="6"/>
  <c r="E19" i="6"/>
  <c r="L44" i="14"/>
  <c r="M44" i="14" s="1"/>
  <c r="D44" i="14"/>
  <c r="H44" i="14"/>
  <c r="G44" i="14"/>
  <c r="C44" i="14"/>
  <c r="E44" i="14"/>
  <c r="I44" i="14"/>
  <c r="L22" i="17"/>
  <c r="M22" i="17" s="1"/>
  <c r="D22" i="17"/>
  <c r="C22" i="17"/>
  <c r="H22" i="17"/>
  <c r="G22" i="17"/>
  <c r="I22" i="17"/>
  <c r="E22" i="17"/>
  <c r="L23" i="18"/>
  <c r="G23" i="18"/>
  <c r="D23" i="18"/>
  <c r="H23" i="18"/>
  <c r="C23" i="18"/>
  <c r="E23" i="18"/>
  <c r="I23" i="18"/>
  <c r="L41" i="17"/>
  <c r="M41" i="17" s="1"/>
  <c r="G41" i="17"/>
  <c r="D41" i="17"/>
  <c r="H41" i="17"/>
  <c r="C41" i="17"/>
  <c r="E41" i="17"/>
  <c r="I41" i="17"/>
  <c r="L45" i="13"/>
  <c r="M45" i="13" s="1"/>
  <c r="D45" i="13"/>
  <c r="G45" i="13"/>
  <c r="C45" i="13"/>
  <c r="H45" i="13"/>
  <c r="I45" i="13"/>
  <c r="E45" i="13"/>
  <c r="K39" i="7"/>
  <c r="M85" i="14"/>
  <c r="M19" i="6"/>
  <c r="M23" i="18"/>
  <c r="L21" i="8"/>
  <c r="M21" i="8" s="1"/>
  <c r="D21" i="8"/>
  <c r="C21" i="8"/>
  <c r="H21" i="8"/>
  <c r="G21" i="8"/>
  <c r="I21" i="8"/>
  <c r="E21" i="8"/>
  <c r="L21" i="7"/>
  <c r="D21" i="7"/>
  <c r="G21" i="7"/>
  <c r="H21" i="7"/>
  <c r="C21" i="7"/>
  <c r="I21" i="7"/>
  <c r="E21" i="7"/>
  <c r="I42" i="12"/>
  <c r="L42" i="12"/>
  <c r="C42" i="12"/>
  <c r="H42" i="12"/>
  <c r="D42" i="12"/>
  <c r="G42" i="12"/>
  <c r="E42" i="12"/>
  <c r="I27" i="9"/>
  <c r="L27" i="9"/>
  <c r="D27" i="9"/>
  <c r="G27" i="9"/>
  <c r="H27" i="9"/>
  <c r="C27" i="9"/>
  <c r="E27" i="9"/>
  <c r="L35" i="6"/>
  <c r="G35" i="6"/>
  <c r="H35" i="6"/>
  <c r="C35" i="6"/>
  <c r="D35" i="6"/>
  <c r="I35" i="6"/>
  <c r="E35" i="6"/>
  <c r="M81" i="12"/>
  <c r="G51" i="9"/>
  <c r="L51" i="9"/>
  <c r="M51" i="9" s="1"/>
  <c r="D51" i="9"/>
  <c r="C51" i="9"/>
  <c r="H51" i="9"/>
  <c r="E51" i="9"/>
  <c r="I51" i="9"/>
  <c r="L50" i="10"/>
  <c r="M50" i="10" s="1"/>
  <c r="G50" i="10"/>
  <c r="D50" i="10"/>
  <c r="H50" i="10"/>
  <c r="C50" i="10"/>
  <c r="E50" i="10"/>
  <c r="I50" i="10"/>
  <c r="L97" i="10"/>
  <c r="G97" i="10"/>
  <c r="D97" i="10"/>
  <c r="C97" i="10"/>
  <c r="H97" i="10"/>
  <c r="I97" i="10"/>
  <c r="E97" i="10"/>
  <c r="L81" i="16"/>
  <c r="M81" i="16" s="1"/>
  <c r="C81" i="16"/>
  <c r="D81" i="16"/>
  <c r="G81" i="16"/>
  <c r="H81" i="16"/>
  <c r="E81" i="16"/>
  <c r="I81" i="16"/>
  <c r="L87" i="13"/>
  <c r="M87" i="13" s="1"/>
  <c r="G87" i="13"/>
  <c r="C87" i="13"/>
  <c r="H87" i="13"/>
  <c r="D87" i="13"/>
  <c r="E87" i="13"/>
  <c r="I87" i="13"/>
  <c r="L45" i="11"/>
  <c r="M45" i="11" s="1"/>
  <c r="G45" i="11"/>
  <c r="C45" i="11"/>
  <c r="H45" i="11"/>
  <c r="D45" i="11"/>
  <c r="I45" i="11"/>
  <c r="E45" i="11"/>
  <c r="K21" i="7"/>
  <c r="K97" i="10"/>
  <c r="L125" i="19"/>
  <c r="M125" i="19" s="1"/>
  <c r="H125" i="19"/>
  <c r="D125" i="19"/>
  <c r="G125" i="19"/>
  <c r="C125" i="19"/>
  <c r="E125" i="19"/>
  <c r="I125" i="19"/>
  <c r="L45" i="15"/>
  <c r="M45" i="15" s="1"/>
  <c r="G45" i="15"/>
  <c r="C45" i="15"/>
  <c r="D45" i="15"/>
  <c r="H45" i="15"/>
  <c r="E45" i="15"/>
  <c r="I45" i="15"/>
  <c r="L64" i="19"/>
  <c r="M64" i="19" s="1"/>
  <c r="D64" i="19"/>
  <c r="C64" i="19"/>
  <c r="G64" i="19"/>
  <c r="H64" i="19"/>
  <c r="I64" i="19"/>
  <c r="E64" i="19"/>
  <c r="L43" i="18"/>
  <c r="M43" i="18" s="1"/>
  <c r="C43" i="18"/>
  <c r="H43" i="18"/>
  <c r="G43" i="18"/>
  <c r="D43" i="18"/>
  <c r="E43" i="18"/>
  <c r="I43" i="18"/>
  <c r="L42" i="16"/>
  <c r="M42" i="16" s="1"/>
  <c r="G42" i="16"/>
  <c r="H42" i="16"/>
  <c r="C42" i="16"/>
  <c r="D42" i="16"/>
  <c r="I42" i="16"/>
  <c r="E42" i="16"/>
  <c r="K42" i="12"/>
  <c r="K27" i="9"/>
  <c r="L39" i="8"/>
  <c r="M39" i="8" s="1"/>
  <c r="H39" i="8"/>
  <c r="C39" i="8"/>
  <c r="G39" i="8"/>
  <c r="D39" i="8"/>
  <c r="I39" i="8"/>
  <c r="E39" i="8"/>
  <c r="K35" i="6"/>
  <c r="M35" i="6" s="1"/>
  <c r="K28" i="3"/>
  <c r="K16" i="5"/>
  <c r="M16" i="5" s="1"/>
  <c r="K28" i="4"/>
  <c r="M21" i="7" l="1"/>
  <c r="M27" i="9"/>
  <c r="M42" i="12"/>
  <c r="M97" i="10"/>
  <c r="M39" i="7"/>
</calcChain>
</file>

<file path=xl/sharedStrings.xml><?xml version="1.0" encoding="utf-8"?>
<sst xmlns="http://schemas.openxmlformats.org/spreadsheetml/2006/main" count="1901" uniqueCount="670">
  <si>
    <t>TOTAL SOLICITUDES  (no incluye ex Pasis)</t>
  </si>
  <si>
    <t>PERIODO</t>
  </si>
  <si>
    <t>TOTAL PBS Y APS</t>
  </si>
  <si>
    <t>SEXO</t>
  </si>
  <si>
    <t>ORIGEN DE TRAMITACIÓN DEL BENEFICIO</t>
  </si>
  <si>
    <t xml:space="preserve">PBSV </t>
  </si>
  <si>
    <t xml:space="preserve">PBSI </t>
  </si>
  <si>
    <t>TOTAL PBS</t>
  </si>
  <si>
    <t>APSV</t>
  </si>
  <si>
    <t xml:space="preserve">APSI </t>
  </si>
  <si>
    <t>TOTAL APS</t>
  </si>
  <si>
    <t>Total PBS + APS</t>
  </si>
  <si>
    <t xml:space="preserve">Femenino </t>
  </si>
  <si>
    <t xml:space="preserve">Masculino </t>
  </si>
  <si>
    <t xml:space="preserve">En IPS </t>
  </si>
  <si>
    <t xml:space="preserve">En AFP </t>
  </si>
  <si>
    <t xml:space="preserve">En Cías. de Seguro </t>
  </si>
  <si>
    <t xml:space="preserve">En Municipio </t>
  </si>
  <si>
    <t>Jul a Dic 2008</t>
  </si>
  <si>
    <t>Total 2009</t>
  </si>
  <si>
    <t>Total 2010</t>
  </si>
  <si>
    <t>Total 2011</t>
  </si>
  <si>
    <t>Total 2012</t>
  </si>
  <si>
    <t>Total 2013</t>
  </si>
  <si>
    <t>Total 2014</t>
  </si>
  <si>
    <t>Total 2015</t>
  </si>
  <si>
    <t>Total 2016</t>
  </si>
  <si>
    <t>Total 2017</t>
  </si>
  <si>
    <t>TOTAL</t>
  </si>
  <si>
    <t>TOTAL CONCEDIDAS  (no incluye ex Pasis)</t>
  </si>
  <si>
    <t>MES</t>
  </si>
  <si>
    <t>Total PBS+APS</t>
  </si>
  <si>
    <t>Femenino</t>
  </si>
  <si>
    <t>REGIÓN</t>
  </si>
  <si>
    <t>ARICA Y PARINACOTA</t>
  </si>
  <si>
    <t>TARAPACA</t>
  </si>
  <si>
    <t>ANTOFAGASTA</t>
  </si>
  <si>
    <t>ATACAMA</t>
  </si>
  <si>
    <t>COQUIMBO</t>
  </si>
  <si>
    <t>VALPARAISO</t>
  </si>
  <si>
    <t>L. G. B. OHIGGINS</t>
  </si>
  <si>
    <t>MAULE</t>
  </si>
  <si>
    <t>BIO-BIO</t>
  </si>
  <si>
    <t>LA ARAUCANIA</t>
  </si>
  <si>
    <t>LOS RIOS</t>
  </si>
  <si>
    <t>LOS LAGOS</t>
  </si>
  <si>
    <t>AYSÉN</t>
  </si>
  <si>
    <t>MAGALLANES Y ANTARTICA</t>
  </si>
  <si>
    <t>METROPOLITANA</t>
  </si>
  <si>
    <t>Totales</t>
  </si>
  <si>
    <t>Participación sobre el total</t>
  </si>
  <si>
    <t>TOTAL CONCEDIDAS  (no incluye ex  Pasis)</t>
  </si>
  <si>
    <t>Número de solicitudes del Sistema de Pensiones Solidarias según región, tipo de beneficio, sexo y origen de tramitación del beneficio</t>
  </si>
  <si>
    <t>Número de concesiones del Sistema de Pensiones Solidarias según región, tipo de beneficio, sexo y origen de tramitación del beneficio</t>
  </si>
  <si>
    <t>Número de solicitudes mensuales recibidas en el Sistema de Pensiones Solidarias, según tipo de beneficio, sexo y origen de tramitación del beneficio</t>
  </si>
  <si>
    <t>Distribución Regional Solicitudes del Pilar Solidario - no incluye ex Pasis</t>
  </si>
  <si>
    <t>COMUNA</t>
  </si>
  <si>
    <t>PBSV</t>
  </si>
  <si>
    <t>PBSI</t>
  </si>
  <si>
    <t>Total PBS</t>
  </si>
  <si>
    <t>% PBS</t>
  </si>
  <si>
    <t>APSI</t>
  </si>
  <si>
    <t>Total APS</t>
  </si>
  <si>
    <t>%APS</t>
  </si>
  <si>
    <t>% respecto del total de solicitudes</t>
  </si>
  <si>
    <t>Concesiones del Pilar Solidario  a nivel comunal</t>
  </si>
  <si>
    <t>% respecto del total de concesiones</t>
  </si>
  <si>
    <t>ARICA</t>
  </si>
  <si>
    <t>CAMARONES</t>
  </si>
  <si>
    <t>PUTRE</t>
  </si>
  <si>
    <t>GENERAL LAGOS</t>
  </si>
  <si>
    <t>Número de Solicitudes de Beneficios del Pilar Solidario según tipo de beneficio - XV Región de Arica y Parinacota</t>
  </si>
  <si>
    <t>ALTO HOSPICIO</t>
  </si>
  <si>
    <t>POZO ALMONTE</t>
  </si>
  <si>
    <t>CAMIÑA</t>
  </si>
  <si>
    <t>COLCHANE</t>
  </si>
  <si>
    <t>HUARA</t>
  </si>
  <si>
    <t>PICA</t>
  </si>
  <si>
    <t>Copiar extraccion TODOS desde casilla A140, luego formatear numeros con punto sindecimales</t>
  </si>
  <si>
    <t>Número de Solicitudes de Beneficios del Pilar Solidario según tipo de beneficio - I Región de Tarapacá</t>
  </si>
  <si>
    <t>Número de Solicitudes de Beneficios del Pilar Solidario según tipo de beneficio - II Región de Antofagasta</t>
  </si>
  <si>
    <t>Número de Concesiones de Beneficios del Pilar Solidario según tipo de beneficio - II Región de Antofagasta</t>
  </si>
  <si>
    <t>Número de Solicitudes de Beneficios del Pilar Solidario según tipo de beneficio - IV Región de Coquimbo</t>
  </si>
  <si>
    <t>Número de Concesiones de Beneficios del Pilar Solidario según tipo de beneficio - IV Región de Coquimbo</t>
  </si>
  <si>
    <t>Número de Solicitudes de Beneficios del Pilar Solidario según tipo de beneficio - V Región de Vaparaíso</t>
  </si>
  <si>
    <t>Número de Concesiones de Beneficios del Pilar Solidario según tipo de beneficio - V Región de Vaparaíso</t>
  </si>
  <si>
    <t>Número de Solicitudes de Beneficios del Pilar Solidario según tipo de beneficio - VI Región de L.G.B. O'Higgins</t>
  </si>
  <si>
    <t>Número de Solicitudes de Beneficios del Pilar Solidario según tipo de beneficio - VII Región del Maule</t>
  </si>
  <si>
    <t>Número de Concesiones de Beneficios del Pilar Solidario según tipo de beneficio - VII Región del Maule</t>
  </si>
  <si>
    <t>Número de Concesiones de Beneficios del Pilar Solidario según tipo de beneficio - VI Región de L.G.B. O'Higgins</t>
  </si>
  <si>
    <t>Número de Solicitudes de Beneficios del Pilar Solidario según tipo de beneficio - IX Región de la Araucanía</t>
  </si>
  <si>
    <t>Número de Concesiones de Beneficios del Pilar Solidario según tipo de beneficio - IX Región de la Araucanía</t>
  </si>
  <si>
    <t>Número de Solicitudes de Beneficios del Pilar Solidario según tipo de beneficio - XIV Región de Los Rios</t>
  </si>
  <si>
    <t>Número de Concesiones de Beneficios del Pilar Solidario según tipo de beneficio - XIV Región de Los Rios</t>
  </si>
  <si>
    <t>Número de Solicitudes de Beneficios del Pilar Solidario según tipo de beneficio - X Región de Los Lagos</t>
  </si>
  <si>
    <t>Número de Concesiones de Beneficios del Pilar Solidario según tipo de beneficio - X Región de Los Lagos</t>
  </si>
  <si>
    <t xml:space="preserve">TOTAL </t>
  </si>
  <si>
    <t>Número de Solicitudes de Beneficios del Pilar Solidario según tipo de beneficio - XI Región de Aysen</t>
  </si>
  <si>
    <t>Número de Conceciones de Beneficios del Pilar Solidario según tipo de beneficio - XI Región de Aysen</t>
  </si>
  <si>
    <t>Número de Solicitudes de Beneficios del Pilar Solidario según tipo de beneficio - XII Región de Magallanes</t>
  </si>
  <si>
    <t>Número de Concesiones de Beneficios del Pilar Solidario según tipo de beneficio - XII Región de Magallanes</t>
  </si>
  <si>
    <t>Subsecretaría de Previsión Social</t>
  </si>
  <si>
    <t>Dirección de Estudios Previsionales</t>
  </si>
  <si>
    <t>XV Arica y Parinacota</t>
  </si>
  <si>
    <t>I Tarapaca</t>
  </si>
  <si>
    <t>III Atacama</t>
  </si>
  <si>
    <t>IV Coquimbo</t>
  </si>
  <si>
    <t>V Valparaiso</t>
  </si>
  <si>
    <t>VI Libertador General Bernardo O'Higgins</t>
  </si>
  <si>
    <t>VII Maule</t>
  </si>
  <si>
    <t>VIII Bio Bio</t>
  </si>
  <si>
    <t>II Antofagasta</t>
  </si>
  <si>
    <t>IX Araucania</t>
  </si>
  <si>
    <t>XIV Los Rios</t>
  </si>
  <si>
    <t>X Los Lagos</t>
  </si>
  <si>
    <t>XI Aysen</t>
  </si>
  <si>
    <t>XII Magallanes</t>
  </si>
  <si>
    <t>XIII Metropolitana</t>
  </si>
  <si>
    <t>Número de concesiones de Beneficios del Pilar Solidario según tipo de beneficio - III Región de Atacama</t>
  </si>
  <si>
    <t>Número de Solicitudes de Beneficios del Pilar Solidario según tipo de beneficio - III Región de Atacama</t>
  </si>
  <si>
    <t>Número de Solicitudes de Beneficios del Pilar Solidario según tipo de beneficio - VIII Región del Bio Bio</t>
  </si>
  <si>
    <t>Número de Concesiones de Beneficios del Pilar Solidario según tipo de beneficio - VIII Región del Bio Bio</t>
  </si>
  <si>
    <t>Número de Solicitudes de Beneficios del Pilar Solidario según tipo de beneficio - XIII Región Metropolitana</t>
  </si>
  <si>
    <t>Número de Concesiones de Beneficios del Pilar Solidario según tipo de beneficio - XIII Región Metropolitana</t>
  </si>
  <si>
    <t>Introducción</t>
  </si>
  <si>
    <t>Nacional</t>
  </si>
  <si>
    <t>Número de Concesiones de Beneficios del Pilar Solidario según tipo de beneficio - XV Región de Arica y Parinacota</t>
  </si>
  <si>
    <t>Regional</t>
  </si>
  <si>
    <t>Número de Concesiones de Beneficios del Pilar Solidario según tipo de beneficio - I Región de Tarapacá</t>
  </si>
  <si>
    <t>Fuente: Elaboración propia sobre la base de información del IPS.</t>
  </si>
  <si>
    <t>Nota: La información estadística reportada del número de solicitudes concesionadas, en trámite, rechazadas y anuladas varía mes a mes por actualización de cifras.</t>
  </si>
  <si>
    <t>IQUIQUE</t>
  </si>
  <si>
    <t>MEJILLONES</t>
  </si>
  <si>
    <t>SIERRA GORDA</t>
  </si>
  <si>
    <t>TALTAL</t>
  </si>
  <si>
    <t>CALAMA</t>
  </si>
  <si>
    <t>OLLAGUE</t>
  </si>
  <si>
    <t>SAN PEDRO DE ATACAMA</t>
  </si>
  <si>
    <t>TOCOPILLA</t>
  </si>
  <si>
    <t>MARIA ELENA</t>
  </si>
  <si>
    <t>COPIAPO</t>
  </si>
  <si>
    <t>CALDERA</t>
  </si>
  <si>
    <t>TIERRA AMARILLA</t>
  </si>
  <si>
    <t>CHAÑARAL</t>
  </si>
  <si>
    <t>DIEGO DE ALMAGRO</t>
  </si>
  <si>
    <t>VALLENAR</t>
  </si>
  <si>
    <t>ALTO DEL CARMEN</t>
  </si>
  <si>
    <t>FREIRINA</t>
  </si>
  <si>
    <t>HUASCO</t>
  </si>
  <si>
    <t>LA SERENA</t>
  </si>
  <si>
    <t>ANDACOLLO</t>
  </si>
  <si>
    <t>LA HIGUERA</t>
  </si>
  <si>
    <t>PAIHUANO</t>
  </si>
  <si>
    <t>VICUÑA</t>
  </si>
  <si>
    <t>ILLAPEL</t>
  </si>
  <si>
    <t>CANELA</t>
  </si>
  <si>
    <t>LOS VILOS</t>
  </si>
  <si>
    <t>SALAMANCA</t>
  </si>
  <si>
    <t>OVALLE</t>
  </si>
  <si>
    <t>COMBARBALA</t>
  </si>
  <si>
    <t>MONTE PATRIA</t>
  </si>
  <si>
    <t>PUNITAQUI</t>
  </si>
  <si>
    <t>RIO HURTADO</t>
  </si>
  <si>
    <t>CONCON</t>
  </si>
  <si>
    <t>PUCHUNCAVI</t>
  </si>
  <si>
    <t>VIÑA DEL MAR</t>
  </si>
  <si>
    <t>ISLA DE PASCUA</t>
  </si>
  <si>
    <t>LOS ANDES</t>
  </si>
  <si>
    <t>RINCONADA</t>
  </si>
  <si>
    <t>SAN ESTEBAN</t>
  </si>
  <si>
    <t>PAPUDO</t>
  </si>
  <si>
    <t>LA CALERA</t>
  </si>
  <si>
    <t>HIJUELAS</t>
  </si>
  <si>
    <t>LA CRUZ</t>
  </si>
  <si>
    <t>SAN ANTONIO</t>
  </si>
  <si>
    <t>CARTAGENA</t>
  </si>
  <si>
    <t>EL QUISCO</t>
  </si>
  <si>
    <t>SAN FELIPE</t>
  </si>
  <si>
    <t>LLAY LLAY</t>
  </si>
  <si>
    <t>PUTAENDO</t>
  </si>
  <si>
    <t>JUAN FERNANDEZ</t>
  </si>
  <si>
    <t>CASABLANCA</t>
  </si>
  <si>
    <t>QUINTERO</t>
  </si>
  <si>
    <t>QUILLOTA</t>
  </si>
  <si>
    <t>LA LIGUA</t>
  </si>
  <si>
    <t>CABILDO</t>
  </si>
  <si>
    <t>NOGALES</t>
  </si>
  <si>
    <t>ZAPALLAR</t>
  </si>
  <si>
    <t>PETORCA</t>
  </si>
  <si>
    <t>ALGARROBO</t>
  </si>
  <si>
    <t>EL TABO</t>
  </si>
  <si>
    <t>SANTO DOMINGO</t>
  </si>
  <si>
    <t>CALLE LARGA</t>
  </si>
  <si>
    <t>CATEMU</t>
  </si>
  <si>
    <t>PANQUEHUE</t>
  </si>
  <si>
    <t>SANTA MARIA</t>
  </si>
  <si>
    <t>QUILPUE</t>
  </si>
  <si>
    <t>LIMACHE</t>
  </si>
  <si>
    <t>OLMUE</t>
  </si>
  <si>
    <t>VILLA ALEMANA</t>
  </si>
  <si>
    <t>RANCAGUA</t>
  </si>
  <si>
    <t>COLTAUCO</t>
  </si>
  <si>
    <t>GRANEROS</t>
  </si>
  <si>
    <t>PICHIDEGUA</t>
  </si>
  <si>
    <t>REQUINOA</t>
  </si>
  <si>
    <t>LITUECHE</t>
  </si>
  <si>
    <t>PAREDONES</t>
  </si>
  <si>
    <t>CHEPICA</t>
  </si>
  <si>
    <t>PALMILLA</t>
  </si>
  <si>
    <t>PLACILLA</t>
  </si>
  <si>
    <t>SANTA CRUZ</t>
  </si>
  <si>
    <t>CODEGUA</t>
  </si>
  <si>
    <t>LAS CABRAS</t>
  </si>
  <si>
    <t>MOSTAZAL</t>
  </si>
  <si>
    <t>PEUMO</t>
  </si>
  <si>
    <t>QUINTA TILCOCO</t>
  </si>
  <si>
    <t>RENGO</t>
  </si>
  <si>
    <t>MARCHIGUE</t>
  </si>
  <si>
    <t>NAVIDAD</t>
  </si>
  <si>
    <t>CHIMBARONGO</t>
  </si>
  <si>
    <t>COINCO</t>
  </si>
  <si>
    <t>DOÑIHUE</t>
  </si>
  <si>
    <t>MACHALI</t>
  </si>
  <si>
    <t>OLIVAR</t>
  </si>
  <si>
    <t>MALLOA</t>
  </si>
  <si>
    <t>SAN FERNANDO</t>
  </si>
  <si>
    <t>NANCAGUA</t>
  </si>
  <si>
    <t>PERALILLO</t>
  </si>
  <si>
    <t>LOLOL</t>
  </si>
  <si>
    <t>PUMANQUE</t>
  </si>
  <si>
    <t>SAN VICENTE</t>
  </si>
  <si>
    <t>PICHILEMU</t>
  </si>
  <si>
    <t>LA ESTRELLA</t>
  </si>
  <si>
    <t>CUREPTO</t>
  </si>
  <si>
    <t>PELARCO</t>
  </si>
  <si>
    <t>SAN RAFAEL</t>
  </si>
  <si>
    <t>PELLUHUE</t>
  </si>
  <si>
    <t>LICANTEN</t>
  </si>
  <si>
    <t>ROMERAL</t>
  </si>
  <si>
    <t>LONGAVI</t>
  </si>
  <si>
    <t>YERBAS BUENAS</t>
  </si>
  <si>
    <t>EMPEDRADO</t>
  </si>
  <si>
    <t>SAN CLEMENTE</t>
  </si>
  <si>
    <t>CAUQUENES</t>
  </si>
  <si>
    <t>MOLINA</t>
  </si>
  <si>
    <t>RAUCO</t>
  </si>
  <si>
    <t>TENO</t>
  </si>
  <si>
    <t>VICHUQUEN</t>
  </si>
  <si>
    <t>LINARES</t>
  </si>
  <si>
    <t>RETIRO</t>
  </si>
  <si>
    <t>VILLA ALEGRE</t>
  </si>
  <si>
    <t>TALCA</t>
  </si>
  <si>
    <t>PENCAHUE</t>
  </si>
  <si>
    <t>RIO CLARO</t>
  </si>
  <si>
    <t>CURICO</t>
  </si>
  <si>
    <t>SAGRADA FAMILIA</t>
  </si>
  <si>
    <t>HUALAÑE</t>
  </si>
  <si>
    <t>CHANCO</t>
  </si>
  <si>
    <t>CONSTITUCION</t>
  </si>
  <si>
    <t>SAN JAVIER</t>
  </si>
  <si>
    <t>COLBUN</t>
  </si>
  <si>
    <t>PARRAL</t>
  </si>
  <si>
    <t>CHIGUAYANTE</t>
  </si>
  <si>
    <t>LOTA</t>
  </si>
  <si>
    <t>HUALPEN</t>
  </si>
  <si>
    <t>LOS ANGELES</t>
  </si>
  <si>
    <t>LAJA</t>
  </si>
  <si>
    <t>SANTA BARBARA</t>
  </si>
  <si>
    <t>ALTO BIOBIO</t>
  </si>
  <si>
    <t>CHILLAN VIEJO</t>
  </si>
  <si>
    <t>PEMUCO</t>
  </si>
  <si>
    <t>RANQUIL</t>
  </si>
  <si>
    <t>SAN NICOLAS</t>
  </si>
  <si>
    <t>CORONEL</t>
  </si>
  <si>
    <t>HUALQUI</t>
  </si>
  <si>
    <t>PENCO</t>
  </si>
  <si>
    <t>SANTA JUANA</t>
  </si>
  <si>
    <t>TALCAHUANO</t>
  </si>
  <si>
    <t>LEBU</t>
  </si>
  <si>
    <t>CONTULMO</t>
  </si>
  <si>
    <t>LOS ALAMOS</t>
  </si>
  <si>
    <t>TIRUA</t>
  </si>
  <si>
    <t>ANTUCO</t>
  </si>
  <si>
    <t>CABRERO</t>
  </si>
  <si>
    <t>MULCHEN</t>
  </si>
  <si>
    <t>NEGRETE</t>
  </si>
  <si>
    <t>QUILACO</t>
  </si>
  <si>
    <t>SAN ROSENDO</t>
  </si>
  <si>
    <t>TUCAPEL</t>
  </si>
  <si>
    <t>YUMBEL</t>
  </si>
  <si>
    <t>CHILLAN</t>
  </si>
  <si>
    <t>BULNES</t>
  </si>
  <si>
    <t>COELEMU</t>
  </si>
  <si>
    <t>COIHUECO</t>
  </si>
  <si>
    <t>EL CARMEN</t>
  </si>
  <si>
    <t>NINHUE</t>
  </si>
  <si>
    <t>ÑIQUEN</t>
  </si>
  <si>
    <t>PINTO</t>
  </si>
  <si>
    <t>QUILLON</t>
  </si>
  <si>
    <t>QUIRIHUE</t>
  </si>
  <si>
    <t>SAN CARLOS</t>
  </si>
  <si>
    <t>SAN IGNACIO</t>
  </si>
  <si>
    <t>TREHUACO</t>
  </si>
  <si>
    <t>YUNGAY</t>
  </si>
  <si>
    <t>CONCEPCION</t>
  </si>
  <si>
    <t>TOME</t>
  </si>
  <si>
    <t>SAN PEDRO DE LA PAZ</t>
  </si>
  <si>
    <t>FLORIDA</t>
  </si>
  <si>
    <t>ARAUCO</t>
  </si>
  <si>
    <t>CAÑETE</t>
  </si>
  <si>
    <t>CURANILAHUE</t>
  </si>
  <si>
    <t>COBQUECURA</t>
  </si>
  <si>
    <t>PORTEZUELO</t>
  </si>
  <si>
    <t>SAN FABIAN</t>
  </si>
  <si>
    <t>NACIMIENTO</t>
  </si>
  <si>
    <t>QUILLECO</t>
  </si>
  <si>
    <t>CARAHUE</t>
  </si>
  <si>
    <t>CURARREHUE</t>
  </si>
  <si>
    <t>PITRUFQUEN</t>
  </si>
  <si>
    <t>TEODORO SCHMIDT</t>
  </si>
  <si>
    <t>VILLARRICA</t>
  </si>
  <si>
    <t>COLLIPULLI</t>
  </si>
  <si>
    <t>TRAIGUEN</t>
  </si>
  <si>
    <t>TEMUCO</t>
  </si>
  <si>
    <t>CUNCO</t>
  </si>
  <si>
    <t>FREIRE</t>
  </si>
  <si>
    <t>GALVARINO</t>
  </si>
  <si>
    <t>LAUTARO</t>
  </si>
  <si>
    <t>MELIPEUCO</t>
  </si>
  <si>
    <t>PADRE LAS CASAS</t>
  </si>
  <si>
    <t>PERQUENCO</t>
  </si>
  <si>
    <t>PUCON</t>
  </si>
  <si>
    <t>SAAVEDRA</t>
  </si>
  <si>
    <t>TOLTEN</t>
  </si>
  <si>
    <t>VILCUN</t>
  </si>
  <si>
    <t>CHOLCHOL</t>
  </si>
  <si>
    <t>ANGOL</t>
  </si>
  <si>
    <t>CURACAUTIN</t>
  </si>
  <si>
    <t>ERCILLA</t>
  </si>
  <si>
    <t>LOS SAUCES</t>
  </si>
  <si>
    <t>LUMACO</t>
  </si>
  <si>
    <t>RENAICO</t>
  </si>
  <si>
    <t>VICTORIA</t>
  </si>
  <si>
    <t>NUEVA IMPERIAL</t>
  </si>
  <si>
    <t>GORBEA</t>
  </si>
  <si>
    <t>PUREN</t>
  </si>
  <si>
    <t>LONQUIMAY</t>
  </si>
  <si>
    <t>LONCOCHE</t>
  </si>
  <si>
    <t>VALDIVIA</t>
  </si>
  <si>
    <t>CORRAL</t>
  </si>
  <si>
    <t>LANCO</t>
  </si>
  <si>
    <t>MAFIL</t>
  </si>
  <si>
    <t>SAN JOSE DE LA MARIQUINA</t>
  </si>
  <si>
    <t>PAILLACO</t>
  </si>
  <si>
    <t>PANGUIPULLI</t>
  </si>
  <si>
    <t>LA UNION</t>
  </si>
  <si>
    <t>FUTRONO</t>
  </si>
  <si>
    <t>LAGO RANCO</t>
  </si>
  <si>
    <t>RIO BUENO</t>
  </si>
  <si>
    <t>CALBUCO</t>
  </si>
  <si>
    <t>PUERTO VARAS</t>
  </si>
  <si>
    <t>QUELLON</t>
  </si>
  <si>
    <t>QUINCHAO</t>
  </si>
  <si>
    <t>PURRANQUE</t>
  </si>
  <si>
    <t>RIO NEGRO</t>
  </si>
  <si>
    <t>FUTALEUFU</t>
  </si>
  <si>
    <t>PUERTO MONTT</t>
  </si>
  <si>
    <t>COCHAMO</t>
  </si>
  <si>
    <t>MAULLIN</t>
  </si>
  <si>
    <t>ANCUD</t>
  </si>
  <si>
    <t>PUQUELDON</t>
  </si>
  <si>
    <t>QUEILEN</t>
  </si>
  <si>
    <t>PUYEHUE</t>
  </si>
  <si>
    <t>SAN JUAN DE LA COSTA</t>
  </si>
  <si>
    <t>CHAITEN</t>
  </si>
  <si>
    <t>HUALAIHUE</t>
  </si>
  <si>
    <t>OSORNO</t>
  </si>
  <si>
    <t>SAN PABLO</t>
  </si>
  <si>
    <t>PUERTO OCTAY</t>
  </si>
  <si>
    <t>FRUTILLAR</t>
  </si>
  <si>
    <t>FRESIA</t>
  </si>
  <si>
    <t>LLANQUIHUE</t>
  </si>
  <si>
    <t>LOS MUERMOS</t>
  </si>
  <si>
    <t>CASTRO</t>
  </si>
  <si>
    <t>CHONCHI</t>
  </si>
  <si>
    <t>DALCAHUE</t>
  </si>
  <si>
    <t>CURACO DE VELEZ</t>
  </si>
  <si>
    <t>QUEMCHI</t>
  </si>
  <si>
    <t>PALENA</t>
  </si>
  <si>
    <t>COYHAIQUE</t>
  </si>
  <si>
    <t>LAGO VERDE</t>
  </si>
  <si>
    <t>PUERTO AYSEN</t>
  </si>
  <si>
    <t>CISNES</t>
  </si>
  <si>
    <t>GUAITECAS</t>
  </si>
  <si>
    <t>COCHRANE</t>
  </si>
  <si>
    <t>OHIGGINS</t>
  </si>
  <si>
    <t>TORTEL</t>
  </si>
  <si>
    <t>CHILE CHICO</t>
  </si>
  <si>
    <t>RIO IBAÑEZ</t>
  </si>
  <si>
    <t>PUNTA ARENAS</t>
  </si>
  <si>
    <t>LAGUNA BLANCA</t>
  </si>
  <si>
    <t>RIO VERDE</t>
  </si>
  <si>
    <t>SAN GREGORIO</t>
  </si>
  <si>
    <t>CABO DE HORNOS</t>
  </si>
  <si>
    <t>LA ANTARTICA</t>
  </si>
  <si>
    <t>PORVENIR</t>
  </si>
  <si>
    <t>PRIMAVERA</t>
  </si>
  <si>
    <t>TIMAUKEL</t>
  </si>
  <si>
    <t>NATALES</t>
  </si>
  <si>
    <t>TORRES DEL PAINE</t>
  </si>
  <si>
    <t>SANTIAGO</t>
  </si>
  <si>
    <t>CERRILLOS</t>
  </si>
  <si>
    <t>EL BOSQUE</t>
  </si>
  <si>
    <t>HUECHURABA</t>
  </si>
  <si>
    <t>INDEPENDENCIA</t>
  </si>
  <si>
    <t>LA CISTERNA</t>
  </si>
  <si>
    <t>LA PINTANA</t>
  </si>
  <si>
    <t>LAS CONDES</t>
  </si>
  <si>
    <t>LO BARNECHEA</t>
  </si>
  <si>
    <t>LO PRADO</t>
  </si>
  <si>
    <t>MACUL</t>
  </si>
  <si>
    <t>PEDRO AGUIRRE CERDA</t>
  </si>
  <si>
    <t>PEÑALOLEN</t>
  </si>
  <si>
    <t>QUINTA NORMAL</t>
  </si>
  <si>
    <t>RENCA</t>
  </si>
  <si>
    <t>SAN JOAQUIN</t>
  </si>
  <si>
    <t>PUENTE ALTO</t>
  </si>
  <si>
    <t>SAN JOSE DE MAIPO</t>
  </si>
  <si>
    <t>LAMPA</t>
  </si>
  <si>
    <t>TIL TIL</t>
  </si>
  <si>
    <t>BUIN</t>
  </si>
  <si>
    <t>CALERA DE TANGO</t>
  </si>
  <si>
    <t>ALHUE</t>
  </si>
  <si>
    <t>CURACAVI</t>
  </si>
  <si>
    <t>SAN PEDRO</t>
  </si>
  <si>
    <t>EL MONTE</t>
  </si>
  <si>
    <t>PADRE HURTADO</t>
  </si>
  <si>
    <t>PEÑAFLOR</t>
  </si>
  <si>
    <t>QUILICURA</t>
  </si>
  <si>
    <t>CERRO NAVIA</t>
  </si>
  <si>
    <t>CONCHALI</t>
  </si>
  <si>
    <t>RECOLETA</t>
  </si>
  <si>
    <t>COLINA</t>
  </si>
  <si>
    <t>SAN MIGUEL</t>
  </si>
  <si>
    <t>SAN RAMON</t>
  </si>
  <si>
    <t>LA GRANJA</t>
  </si>
  <si>
    <t>LO ESPEJO</t>
  </si>
  <si>
    <t>PIRQUE</t>
  </si>
  <si>
    <t>PAINE</t>
  </si>
  <si>
    <t>SAN BERNARDO</t>
  </si>
  <si>
    <t>ESTACION CENTRAL</t>
  </si>
  <si>
    <t>PUDAHUEL</t>
  </si>
  <si>
    <t>MAIPU</t>
  </si>
  <si>
    <t>TALAGANTE</t>
  </si>
  <si>
    <t>ISLA DE MAIPO</t>
  </si>
  <si>
    <t>MELIPILLA</t>
  </si>
  <si>
    <t>MARIA PINTO</t>
  </si>
  <si>
    <t>PROVIDENCIA</t>
  </si>
  <si>
    <t>VITACURA</t>
  </si>
  <si>
    <t>ÑUÑOA</t>
  </si>
  <si>
    <t>LA REINA</t>
  </si>
  <si>
    <t>LA FLORIDA</t>
  </si>
  <si>
    <t>Informe Estadístico Mensual del Pilar Solidario</t>
  </si>
  <si>
    <t>Mes</t>
  </si>
  <si>
    <t>Número de concesiones de Bono por Hijo, según tipo de pago y mes</t>
  </si>
  <si>
    <t>NÚMERO DE CONCESIONES DE BONO POR HIJO REALIZADAS CADA MES</t>
  </si>
  <si>
    <t>Pago Mensual Con PBS</t>
  </si>
  <si>
    <t>Pago Mensual Con APS</t>
  </si>
  <si>
    <t xml:space="preserve">Pago Único  </t>
  </si>
  <si>
    <t>Nº Beneficiarias</t>
  </si>
  <si>
    <t>Nº de Hijos</t>
  </si>
  <si>
    <t>Nº de Hijos (causantes)</t>
  </si>
  <si>
    <t>Ago-dic 2009</t>
  </si>
  <si>
    <t>Fuente: IPS</t>
  </si>
  <si>
    <t>Nota: La información corresponde al total de concesiones (beneficiarias) del Bono por Hijo de cada mes.</t>
  </si>
  <si>
    <t>El pago único corresponde a las pensionadas de las AFP y Compañías de Seguros.</t>
  </si>
  <si>
    <t>Número de solicitudes y concesiones de Bono por Hijo, según mes</t>
  </si>
  <si>
    <t>Solicitudes y Concesiones de Bono por Hijo, por mes</t>
  </si>
  <si>
    <t>Número de Solicitudes Concedidas</t>
  </si>
  <si>
    <t>Número de Solicitudes Rechazadas</t>
  </si>
  <si>
    <t>Total Solicitudes</t>
  </si>
  <si>
    <t>S/I</t>
  </si>
  <si>
    <t>Total  2015</t>
  </si>
  <si>
    <t>Nota: Esta estadística reporta el dato del último mes disponible, no se actualizan los meses anteriores.</t>
  </si>
  <si>
    <t>S/I: Sin información</t>
  </si>
  <si>
    <t>Número de concesiones de Bono por Hijo según región y origen de la solicitud</t>
  </si>
  <si>
    <t>Región</t>
  </si>
  <si>
    <t>Total</t>
  </si>
  <si>
    <t>PBS</t>
  </si>
  <si>
    <t>APS</t>
  </si>
  <si>
    <t>Arica y Parinacota</t>
  </si>
  <si>
    <t>Nº Beneficiarios</t>
  </si>
  <si>
    <t>XV</t>
  </si>
  <si>
    <t>Nº de Causantes (hijos)</t>
  </si>
  <si>
    <t>Tarapacá</t>
  </si>
  <si>
    <t>I</t>
  </si>
  <si>
    <t>Antofagasta</t>
  </si>
  <si>
    <t>II</t>
  </si>
  <si>
    <t>Atacama</t>
  </si>
  <si>
    <t>III</t>
  </si>
  <si>
    <t>Coquimbo</t>
  </si>
  <si>
    <t>IV</t>
  </si>
  <si>
    <t>Valparaíso</t>
  </si>
  <si>
    <t>V</t>
  </si>
  <si>
    <t>B.O'Higgins</t>
  </si>
  <si>
    <t>VI</t>
  </si>
  <si>
    <t>Maule</t>
  </si>
  <si>
    <t>VII</t>
  </si>
  <si>
    <t>Bío Bío</t>
  </si>
  <si>
    <t>VIII</t>
  </si>
  <si>
    <t>Araucanía</t>
  </si>
  <si>
    <t>IX</t>
  </si>
  <si>
    <t>Los Ríos</t>
  </si>
  <si>
    <t>XIV</t>
  </si>
  <si>
    <t>Los Lagos</t>
  </si>
  <si>
    <t>X</t>
  </si>
  <si>
    <t>Aysén</t>
  </si>
  <si>
    <t>XI</t>
  </si>
  <si>
    <t>Magallanes</t>
  </si>
  <si>
    <t>XII</t>
  </si>
  <si>
    <t>Metropolitana</t>
  </si>
  <si>
    <t>XIII</t>
  </si>
  <si>
    <t>Índice</t>
  </si>
  <si>
    <t>Número de solicitudes del Subsidio a la Contratación por parte del empleador, según sexo y mes</t>
  </si>
  <si>
    <t xml:space="preserve">MES </t>
  </si>
  <si>
    <t>TOTAL SOLICITUDES CADA MES 
(Subsidio a la Contratación)</t>
  </si>
  <si>
    <t>Total Trabajadores</t>
  </si>
  <si>
    <t xml:space="preserve">Total </t>
  </si>
  <si>
    <t>Mujeres</t>
  </si>
  <si>
    <t>Hombres</t>
  </si>
  <si>
    <t>Oct. a Dic. 2008</t>
  </si>
  <si>
    <t xml:space="preserve">Nota: El Subsidio a la Contratación comenzó a pagarse en marzo de 2009
Esta estadística reporta el dato del último mes disponible, no se actualizan los meses anteriores. </t>
  </si>
  <si>
    <t>Número de solicitudes de subsidio a la contratación, según estado de la solicitud y mes</t>
  </si>
  <si>
    <t>ESTADO DE LAS SOLICITUDES
 (Subsidio a la  Contratación)</t>
  </si>
  <si>
    <t>CONCEDIDAS</t>
  </si>
  <si>
    <t>RECHAZADAS</t>
  </si>
  <si>
    <t>EN TRÁMITE</t>
  </si>
  <si>
    <t>Número de solicitudes del Subsidio a la cotización según sexo y mes</t>
  </si>
  <si>
    <t>TOTAL SOLICITUDES CADA MES 
(Subsidio a la Cotización)</t>
  </si>
  <si>
    <t>Jul. a Dic. 2011</t>
  </si>
  <si>
    <t>Nota: A partir del 1 de julio de 2011 comenzó a pagarse el Subsidio a la Cotización.
Esta estadística reporta el dato del último mes disponible, no se actualizan los meses anteriores.</t>
  </si>
  <si>
    <t>Número mensual de solicitudes del subsidio a la cotización, según estado de las solicitudes, sexo y mes</t>
  </si>
  <si>
    <t>ESTADO DE LAS SOLICITUDES 
(Subsidio a la Cotización)</t>
  </si>
  <si>
    <t>Número de subsidios pagados según tipo de subsidio</t>
  </si>
  <si>
    <t>Subsidio a la Contratación</t>
  </si>
  <si>
    <t>Subsidio a la Cotización</t>
  </si>
  <si>
    <t xml:space="preserve">Número de subsidios pagados </t>
  </si>
  <si>
    <t>Número de empleadores que recibieron pago en el mes</t>
  </si>
  <si>
    <t xml:space="preserve">Número de trabajadores que recibieron pago en el mes  </t>
  </si>
  <si>
    <t xml:space="preserve">Hombre </t>
  </si>
  <si>
    <t>Mujer</t>
  </si>
  <si>
    <t>-</t>
  </si>
  <si>
    <t>jun-16*</t>
  </si>
  <si>
    <t>jun-17**</t>
  </si>
  <si>
    <t xml:space="preserve">A partir del 1 de julio de 2011 comenzó a solicitarse el subsidio a la Cotización. </t>
  </si>
  <si>
    <t xml:space="preserve">El número de subsidios pagados podría ser mayor que el número de trabajadores que originan el beneficio por cuanto algunos de ellos podrían tener más de un empleo con subsidio. Además incluye pagos retroactivos. </t>
  </si>
  <si>
    <t>S/I: Sin Información.</t>
  </si>
  <si>
    <t>A contar de esa fecha, es el propio Fondo de Salud, quien efectúa a través de Previred la recaudación de las cotizaciones de salud. Por este motivo, IPS no cuenta con la información del pago de salud efectuado a través de Previred, sólo dispone de la información de la recaudación manual y de otros portales de recaudación. En estos momentos se encuentra en tramitación un convenio de transferencia de datos con Fonasa que permita a IPS volver a operar con normalidad distintos procesos  como  el STJ.</t>
  </si>
  <si>
    <t xml:space="preserve">** En el mes de Junio 2017, el IPS cursó pagos retroactivos de Subsidios a la Contratación y Cotización.  Esto fue parte del  proceso de regularización de pagos que no se habían cursado por falta de información para otorgan el beneficio. </t>
  </si>
  <si>
    <t>Estadísticas del Sistema de Pensiones Solidarias</t>
  </si>
  <si>
    <t>Estadísticas del Subsidio Previsional a los Trabajadores Jóvenes (STJ)</t>
  </si>
  <si>
    <t>Estadísticas del Bono por Hijo (BxH)</t>
  </si>
  <si>
    <t>Estadísticas Bono por Hijo (BxH)</t>
  </si>
  <si>
    <t>Estadísticas Subsidio Previsional a los Trabajadores Jóvenes (STJ)</t>
  </si>
  <si>
    <t>Se entrega información de los subsidios a la contratación y a la cotización.</t>
  </si>
  <si>
    <t>Sistema de Pensiones Solidarias</t>
  </si>
  <si>
    <t>Volver Sistema de Pensiones Solidadias</t>
  </si>
  <si>
    <t>Volver a Bono por Hijo</t>
  </si>
  <si>
    <t>Volver Sistema de Pensiones Solidarias</t>
  </si>
  <si>
    <t>Volver a Subsidio Previsional a los Trabajadores Jóvenes</t>
  </si>
  <si>
    <t>Volver a Índice</t>
  </si>
  <si>
    <t>Subsecretaría de Previsión Social
Dirección de Estudios Previsionales</t>
  </si>
  <si>
    <t>Número de beneficios concedidos mensuales en el Sistema de Pensiones Solidarias, según tipo de beneficio, sexo y origen de tramitación del beneficio</t>
  </si>
  <si>
    <t>Número de Solicitudes de Beneficios del Pilar Solidario según tipo de beneficio - XVI Región de Ñuble</t>
  </si>
  <si>
    <t>Número de Concesiones de Beneficios del Pilar Solidario según tipo de beneficio - XVI Región de Ñuble</t>
  </si>
  <si>
    <t>Cuota Única</t>
  </si>
  <si>
    <t>Ñuble</t>
  </si>
  <si>
    <t>XVI</t>
  </si>
  <si>
    <t>ÑUBLE</t>
  </si>
  <si>
    <t>Diciembre de 2018</t>
  </si>
  <si>
    <t>Total 2018</t>
  </si>
  <si>
    <t>IPS</t>
  </si>
  <si>
    <t>AFP y Cías. de Seguros</t>
  </si>
  <si>
    <t>Total 2019</t>
  </si>
  <si>
    <t>Nbis</t>
  </si>
  <si>
    <t>Total PBS + APS + Nbis</t>
  </si>
  <si>
    <t>C. Web</t>
  </si>
  <si>
    <t>Total PBS+APS+Nbis</t>
  </si>
  <si>
    <t>% de Concesiones</t>
  </si>
  <si>
    <t>* Con fecha marzo 2016 Fonasa puso término al convenio de recaudación que mantenía con IPS.</t>
  </si>
  <si>
    <t>mar-20***</t>
  </si>
  <si>
    <t>XVI Ñuble</t>
  </si>
  <si>
    <t>abr-20***</t>
  </si>
  <si>
    <t>***El número de trabajadores que recibieron el pago el mes de marzo 2020 se explica por el atraso en el envio de la información del pago de cotizaciones electrónicas de FONASA de las remuneraciones del mes de enero, lo que repercutió en una disminución en el número y monto de subsidios pagados en marzo 2020. Dicha situacion se regularizó en los pagos del mes de abril 2020.</t>
  </si>
  <si>
    <t>**** El menor número de subsidios pagados se explica por la disminución en el número de trámites presenciales debido a la cuarentena que existió en varias ciudades del país.</t>
  </si>
  <si>
    <t>jul-20****</t>
  </si>
  <si>
    <t>nov-20*</t>
  </si>
  <si>
    <t>dic-20*</t>
  </si>
  <si>
    <t>Nota: Esta estadística reporta el dato del último mes disponible, no se actualizan los meses anteriores.
*Debido a la Pandemia por Covid-19 el número de solicitudes ha disminuido el número de solicitudes, así como también por el deterioro en la situación económica ha aumentado el número de empleadores con deuda previsional, por lo que hay más pagos suspendidos y rechazados.</t>
  </si>
  <si>
    <t xml:space="preserve">El número de beneficios concesionados no coincide con el número de beneficios pagados por las siguientes razones:
•El total acumulado de concesiones de la Reforma Previsional incluye personas fallecidas:
El número de personas fallecidas que recibían PBS y APS durante el año 2019 correspondió a:  65.759
El número de personas fallecidas desde julio de 2008 a diciembre 2018 correspondió a: 519.562
•Existen personas a quienes se les ha extinguido o suspendido el beneficio.
•El mes de concedida la pensión no necesariamente coincide con el primer mes de pago.
Nbis: Beneficio que se incorpora con la Ley N°21.190 para los pensionados por Retiro Programado con Pensión Base mayor a la PMAS, y que cumplen con los requisitos exigidos por ley que acceden a un complemento que aseguro que, ante la baja de los pagos del retiro programado, la pensión final no descienda del valor de una Pensión Básica Solidaria.  </t>
  </si>
  <si>
    <t>A abr21</t>
  </si>
  <si>
    <t>Julio de 2008 a diciembre de 2021</t>
  </si>
  <si>
    <t>Acumuladas de julio de 2008 a diciembre de 2021</t>
  </si>
  <si>
    <t>El presente archivo contiene los principales cuadros del Informe Estadístico Mensual del Pilar Solidario del mes de Diciembre de 2021. 
Correspondiente a:</t>
  </si>
  <si>
    <t>El presente archivo contiene los principales cuadros sobre el Sistema de Pensiones Solidarias del Informe Estadístico Mensual del Pilar Solidario del mes diciembre de 2021. 
Los cuadros entregan información de los beneficios solicitados y concedidos mensualmente a nivel nacional, desde julio de 2008 a diciembre de 2021, asi como también la información de las solicitudes y concesiones a nivel regional y comunal acumulado a diciembre de 2021.</t>
  </si>
  <si>
    <t>Este archivo contiene información al 28 de enero de 2022.</t>
  </si>
  <si>
    <t>Solicitudes recibidas en el Sistema de Pensiones Solidarias, según mes, desde julio 2008 a diciembre 2021</t>
  </si>
  <si>
    <t>Concesiones en el Sistema de Pensiones Solidarias, por mes, desde julio 2008 a diciembre 2021</t>
  </si>
  <si>
    <t>Solicitudes recibidas en el Sistema de Pensiones Solidarias acumuladas desde julio 2008 a diciembre 2021, según región</t>
  </si>
  <si>
    <t>Concesiones en el Sistema de Pensiones Solidarias acumuladas desde julio 2008 a diciembre 2021, según región</t>
  </si>
  <si>
    <t>Solicitudes y Concesiones en el Sistema de Pensiones Solidarias acumulado a diciembre 2021 por región y comuna:</t>
  </si>
  <si>
    <t>A continuación se entregan los principales cuadros sobre Bono por Hijo que contiene el Informe Estadístico Mensual del Pilar Solidario del mes de diciembre 2021, incluyendo información de Solicitudes, Concesiones y Rechazos de Bono por hijo a nivel nacional, desde su implementación a la fecha, y las concesiones a nivel regional.</t>
  </si>
  <si>
    <t>Concesiones de Bono por Hijo a nivel nacional, por mes, desde Agosto 2009 a diciembre 2021</t>
  </si>
  <si>
    <t>Solicitudes, Rechazos y concesiones a nivel nacional, por mes, desde Agosto 2009 a diciembre 2021</t>
  </si>
  <si>
    <t>Concesiones de Bono por Hijo a nivel regional en el mes de diciembre 2021</t>
  </si>
  <si>
    <t>Agosto 2009 a diciembre 2021</t>
  </si>
  <si>
    <t>A continuación se entregan los principales cuadros sobre el Subsidio Previsional a los Trabajadores Jóvenes del Informe Estadístico Mensual del Pilar Solidario a diciembre 2021</t>
  </si>
  <si>
    <t>Solicitudes del Subsidio a la Contratación por parte del empleador, por mes, desde octubre 2008 a diciembre 2021</t>
  </si>
  <si>
    <t>Solicitudes de subsidio a la contratación, según estado de la solicitud, por mes, desde enero 2012 a diciembre 2021</t>
  </si>
  <si>
    <t>Solicitudes del Subsidio a la cotización según sexo, por mes, julio 2011 a diciembre 2021</t>
  </si>
  <si>
    <t>Solicitudes del subsidio a la cotización, según estado de las solicitudes, sexo, por mes, desde julio 2011 a diciembre 2021</t>
  </si>
  <si>
    <t>Subsidios pagados según tipo de subsidio, por mes, desde abril 2009 a diciembre 2021</t>
  </si>
  <si>
    <t>Octubre de 2008 a diciembre 2021</t>
  </si>
  <si>
    <t>Marzo 2009 a diciembre 2021</t>
  </si>
  <si>
    <t>Julio 2011 a diciembre 2021</t>
  </si>
  <si>
    <t>Enero 2012 a diciembre 2021</t>
  </si>
  <si>
    <t>Enero'19</t>
  </si>
  <si>
    <t>Febrero '19</t>
  </si>
  <si>
    <t>Marzo '19</t>
  </si>
  <si>
    <t>Abril '19</t>
  </si>
  <si>
    <t>Mayo '19</t>
  </si>
  <si>
    <t>Junio '19</t>
  </si>
  <si>
    <t>Julio '19</t>
  </si>
  <si>
    <t>Agosto '19</t>
  </si>
  <si>
    <t>Septiembre '19</t>
  </si>
  <si>
    <t>Octubre '19</t>
  </si>
  <si>
    <t>Noviembre '19</t>
  </si>
  <si>
    <t>Diciembre '19</t>
  </si>
  <si>
    <t>Enero'20</t>
  </si>
  <si>
    <t>Febrero'20</t>
  </si>
  <si>
    <t>Marzo'20</t>
  </si>
  <si>
    <t>Abril'20</t>
  </si>
  <si>
    <t>Mayo'20</t>
  </si>
  <si>
    <t>Junio '20</t>
  </si>
  <si>
    <t>Julio '20</t>
  </si>
  <si>
    <t>Agosto '20</t>
  </si>
  <si>
    <t>Septiembre '20</t>
  </si>
  <si>
    <t>Octubre '20</t>
  </si>
  <si>
    <t>Noviembre '20</t>
  </si>
  <si>
    <t>Diciembre '20</t>
  </si>
  <si>
    <t>Total 2020</t>
  </si>
  <si>
    <t>Enero'21</t>
  </si>
  <si>
    <t>Febrero'21</t>
  </si>
  <si>
    <t>Marzo'21</t>
  </si>
  <si>
    <t>Abril'21</t>
  </si>
  <si>
    <t>Mayo'21</t>
  </si>
  <si>
    <t>Junio '21</t>
  </si>
  <si>
    <t>Julio '21</t>
  </si>
  <si>
    <t>Agosto '21</t>
  </si>
  <si>
    <t>Septiembre '21</t>
  </si>
  <si>
    <t>Octubre '21</t>
  </si>
  <si>
    <t>Noviembre '21</t>
  </si>
  <si>
    <t>Diciembre '21</t>
  </si>
  <si>
    <t>Total 2021</t>
  </si>
  <si>
    <t>Enero' 19</t>
  </si>
  <si>
    <t>Enero' 20</t>
  </si>
  <si>
    <t>Febrero '20</t>
  </si>
  <si>
    <t>Enero' 21</t>
  </si>
  <si>
    <t>Febrero '21</t>
  </si>
  <si>
    <t>Diciembre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</si>
</sst>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 #,##0_ ;_ * \-#,##0_ ;_ * &quot;-&quot;_ ;_ @_ "/>
    <numFmt numFmtId="164" formatCode="_-* #,##0_-;\-* #,##0_-;_-* &quot;-&quot;_-;_-@_-"/>
    <numFmt numFmtId="165" formatCode="_-* #,##0.00_-;\-* #,##0.00_-;_-* &quot;-&quot;??_-;_-@_-"/>
    <numFmt numFmtId="166" formatCode="_-* #,##0.00\ _€_-;\-* #,##0.00\ _€_-;_-* &quot;-&quot;??\ _€_-;_-@_-"/>
    <numFmt numFmtId="167" formatCode="_-* #,##0_-;\-* #,##0_-;_-* &quot;-&quot;??_-;_-@_-"/>
    <numFmt numFmtId="168" formatCode="0.0%"/>
    <numFmt numFmtId="169" formatCode="0.0"/>
    <numFmt numFmtId="170" formatCode="_-&quot;$&quot;\ * #,##0.00_-;\-&quot;$&quot;\ * #,##0.00_-;_-&quot;$&quot;\ * &quot;-&quot;??_-;_-@_-"/>
    <numFmt numFmtId="171" formatCode="_-[$€-2]\ * #,##0.00_-;\-[$€-2]\ * #,##0.00_-;_-[$€-2]\ * &quot;-&quot;??_-"/>
  </numFmts>
  <fonts count="74" x14ac:knownFonts="1">
    <font>
      <sz val="11"/>
      <color theme="1"/>
      <name val="Calibri"/>
      <family val="2"/>
      <scheme val="minor"/>
    </font>
    <font>
      <sz val="11"/>
      <color theme="1"/>
      <name val="Calibri"/>
      <family val="2"/>
      <scheme val="minor"/>
    </font>
    <font>
      <sz val="11"/>
      <color theme="0"/>
      <name val="Calibri"/>
      <family val="2"/>
      <scheme val="minor"/>
    </font>
    <font>
      <b/>
      <sz val="9"/>
      <color theme="0"/>
      <name val="Calibri"/>
      <family val="2"/>
      <scheme val="minor"/>
    </font>
    <font>
      <sz val="9"/>
      <color theme="0"/>
      <name val="Calibri"/>
      <family val="2"/>
      <scheme val="minor"/>
    </font>
    <font>
      <b/>
      <sz val="9"/>
      <name val="Calibri"/>
      <family val="2"/>
      <scheme val="minor"/>
    </font>
    <font>
      <sz val="9"/>
      <name val="Calibri"/>
      <family val="2"/>
      <scheme val="minor"/>
    </font>
    <font>
      <b/>
      <sz val="9"/>
      <color theme="1"/>
      <name val="Calibri"/>
      <family val="2"/>
      <scheme val="minor"/>
    </font>
    <font>
      <sz val="9"/>
      <color theme="1"/>
      <name val="Calibri"/>
      <family val="2"/>
      <scheme val="minor"/>
    </font>
    <font>
      <sz val="10"/>
      <name val="Arial"/>
      <family val="2"/>
    </font>
    <font>
      <u/>
      <sz val="11"/>
      <color theme="10"/>
      <name val="Calibri"/>
      <family val="2"/>
    </font>
    <font>
      <sz val="9"/>
      <color indexed="8"/>
      <name val="Calibri"/>
      <family val="2"/>
      <scheme val="minor"/>
    </font>
    <font>
      <b/>
      <sz val="9"/>
      <color indexed="8"/>
      <name val="Calibri"/>
      <family val="2"/>
      <scheme val="minor"/>
    </font>
    <font>
      <u/>
      <sz val="9"/>
      <color theme="10"/>
      <name val="Calibri"/>
      <family val="2"/>
      <scheme val="minor"/>
    </font>
    <font>
      <b/>
      <u/>
      <sz val="9"/>
      <color indexed="8"/>
      <name val="Calibri"/>
      <family val="2"/>
      <scheme val="minor"/>
    </font>
    <font>
      <b/>
      <sz val="10"/>
      <color theme="1"/>
      <name val="Calibri"/>
      <family val="2"/>
      <scheme val="minor"/>
    </font>
    <font>
      <b/>
      <sz val="9"/>
      <color rgb="FFFFFFFF"/>
      <name val="Calibri"/>
      <family val="2"/>
      <scheme val="minor"/>
    </font>
    <font>
      <b/>
      <sz val="9"/>
      <color rgb="FF000000"/>
      <name val="Calibri"/>
      <family val="2"/>
      <scheme val="minor"/>
    </font>
    <font>
      <sz val="9"/>
      <color rgb="FF000000"/>
      <name val="Calibri"/>
      <family val="2"/>
      <scheme val="minor"/>
    </font>
    <font>
      <u/>
      <sz val="11"/>
      <color theme="10"/>
      <name val="Calibri"/>
      <family val="2"/>
      <scheme val="minor"/>
    </font>
    <font>
      <b/>
      <sz val="11"/>
      <color theme="1"/>
      <name val="Calibri"/>
      <family val="2"/>
      <scheme val="minor"/>
    </font>
    <font>
      <b/>
      <sz val="12"/>
      <color theme="1"/>
      <name val="Calibri"/>
      <family val="2"/>
      <scheme val="minor"/>
    </font>
    <font>
      <sz val="10"/>
      <color theme="1"/>
      <name val="Calibri"/>
      <family val="2"/>
      <scheme val="minor"/>
    </font>
    <font>
      <u/>
      <sz val="10"/>
      <color theme="10"/>
      <name val="Calibri"/>
      <family val="2"/>
    </font>
    <font>
      <b/>
      <sz val="10"/>
      <color indexed="8"/>
      <name val="Calibri"/>
      <family val="2"/>
      <scheme val="minor"/>
    </font>
    <font>
      <b/>
      <u/>
      <sz val="9"/>
      <color theme="10"/>
      <name val="Calibri"/>
      <family val="2"/>
    </font>
    <font>
      <b/>
      <u/>
      <sz val="10"/>
      <color theme="10"/>
      <name val="Calibri"/>
      <family val="2"/>
    </font>
    <font>
      <b/>
      <u/>
      <sz val="9"/>
      <color indexed="30"/>
      <name val="Calibri"/>
      <family val="2"/>
    </font>
    <font>
      <b/>
      <u/>
      <sz val="10"/>
      <color theme="10"/>
      <name val="Calibri"/>
      <family val="2"/>
      <scheme val="minor"/>
    </font>
    <font>
      <sz val="9"/>
      <color rgb="FF000000"/>
      <name val="Calibri"/>
      <family val="2"/>
    </font>
    <font>
      <sz val="8"/>
      <name val="Arial"/>
      <family val="2"/>
    </font>
    <font>
      <b/>
      <sz val="9"/>
      <color rgb="FF000000"/>
      <name val="Calibri"/>
      <family val="2"/>
    </font>
    <font>
      <sz val="8"/>
      <color rgb="FF000000"/>
      <name val="Calibri"/>
      <family val="2"/>
    </font>
    <font>
      <sz val="10"/>
      <name val="Arial"/>
      <family val="2"/>
    </font>
    <font>
      <b/>
      <sz val="8"/>
      <color rgb="FF000000"/>
      <name val="Calibri"/>
      <family val="2"/>
    </font>
    <font>
      <b/>
      <sz val="8"/>
      <color rgb="FFFFFFFF"/>
      <name val="Calibri"/>
      <family val="2"/>
    </font>
    <font>
      <b/>
      <sz val="9"/>
      <color rgb="FFFFFFFF"/>
      <name val="Calibri"/>
      <family val="2"/>
    </font>
    <font>
      <sz val="9"/>
      <color rgb="FFFFFFFF"/>
      <name val="Calibri"/>
      <family val="2"/>
    </font>
    <font>
      <b/>
      <sz val="9"/>
      <name val="Calibri"/>
      <family val="2"/>
    </font>
    <font>
      <sz val="9"/>
      <name val="Calibri"/>
      <family val="2"/>
    </font>
    <font>
      <b/>
      <sz val="10"/>
      <color theme="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rgb="FF9C6500"/>
      <name val="Calibri"/>
      <family val="2"/>
      <scheme val="minor"/>
    </font>
    <font>
      <sz val="10"/>
      <color theme="1"/>
      <name val="Arial"/>
      <family val="2"/>
    </font>
    <font>
      <sz val="10"/>
      <color theme="0"/>
      <name val="Arial"/>
      <family val="2"/>
    </font>
    <font>
      <sz val="10"/>
      <color rgb="FF006100"/>
      <name val="Arial"/>
      <family val="2"/>
    </font>
    <font>
      <b/>
      <sz val="10"/>
      <color rgb="FFFA7D00"/>
      <name val="Arial"/>
      <family val="2"/>
    </font>
    <font>
      <b/>
      <sz val="10"/>
      <color theme="0"/>
      <name val="Arial"/>
      <family val="2"/>
    </font>
    <font>
      <sz val="10"/>
      <color rgb="FFFA7D00"/>
      <name val="Arial"/>
      <family val="2"/>
    </font>
    <font>
      <b/>
      <sz val="11"/>
      <color theme="3"/>
      <name val="Arial"/>
      <family val="2"/>
    </font>
    <font>
      <sz val="10"/>
      <color rgb="FF3F3F76"/>
      <name val="Arial"/>
      <family val="2"/>
    </font>
    <font>
      <sz val="10"/>
      <color rgb="FF9C0006"/>
      <name val="Arial"/>
      <family val="2"/>
    </font>
    <font>
      <sz val="10"/>
      <color rgb="FF9C6500"/>
      <name val="Arial"/>
      <family val="2"/>
    </font>
    <font>
      <sz val="10"/>
      <name val="Comic Sans MS"/>
      <family val="4"/>
    </font>
    <font>
      <sz val="10"/>
      <name val="Verdana"/>
      <family val="2"/>
    </font>
    <font>
      <b/>
      <sz val="10"/>
      <color rgb="FF3F3F3F"/>
      <name val="Arial"/>
      <family val="2"/>
    </font>
    <font>
      <sz val="10"/>
      <color rgb="FFFF0000"/>
      <name val="Arial"/>
      <family val="2"/>
    </font>
    <font>
      <i/>
      <sz val="10"/>
      <color rgb="FF7F7F7F"/>
      <name val="Arial"/>
      <family val="2"/>
    </font>
    <font>
      <b/>
      <sz val="15"/>
      <color theme="3"/>
      <name val="Arial"/>
      <family val="2"/>
    </font>
    <font>
      <b/>
      <sz val="13"/>
      <color theme="3"/>
      <name val="Arial"/>
      <family val="2"/>
    </font>
    <font>
      <b/>
      <sz val="10"/>
      <color theme="1"/>
      <name val="Arial"/>
      <family val="2"/>
    </font>
    <font>
      <b/>
      <sz val="18"/>
      <color theme="3"/>
      <name val="Calibri Light"/>
      <family val="2"/>
      <scheme val="major"/>
    </font>
    <font>
      <sz val="8"/>
      <name val="Calibri"/>
      <family val="2"/>
      <scheme val="minor"/>
    </font>
  </fonts>
  <fills count="46">
    <fill>
      <patternFill patternType="none"/>
    </fill>
    <fill>
      <patternFill patternType="gray125"/>
    </fill>
    <fill>
      <patternFill patternType="solid">
        <fgColor theme="4"/>
      </patternFill>
    </fill>
    <fill>
      <patternFill patternType="solid">
        <fgColor theme="0" tint="-0.14999847407452621"/>
        <bgColor indexed="64"/>
      </patternFill>
    </fill>
    <fill>
      <patternFill patternType="solid">
        <fgColor theme="0"/>
        <bgColor indexed="64"/>
      </patternFill>
    </fill>
    <fill>
      <patternFill patternType="solid">
        <fgColor rgb="FFC0504D"/>
        <bgColor indexed="64"/>
      </patternFill>
    </fill>
    <fill>
      <patternFill patternType="solid">
        <fgColor indexed="9"/>
        <bgColor indexed="64"/>
      </patternFill>
    </fill>
    <fill>
      <patternFill patternType="solid">
        <fgColor rgb="FFD9D9D9"/>
        <bgColor indexed="64"/>
      </patternFill>
    </fill>
    <fill>
      <patternFill patternType="solid">
        <fgColor rgb="FFFFFFFF"/>
        <bgColor indexed="64"/>
      </patternFill>
    </fill>
    <fill>
      <patternFill patternType="solid">
        <fgColor rgb="FFBFBFBF"/>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4"/>
        <bgColor indexed="64"/>
      </patternFill>
    </fill>
    <fill>
      <patternFill patternType="solid">
        <fgColor rgb="FFF68A8A"/>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9.9978637043366805E-2"/>
        <bgColor indexed="64"/>
      </patternFill>
    </fill>
  </fills>
  <borders count="92">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style="thin">
        <color indexed="64"/>
      </bottom>
      <diagonal/>
    </border>
    <border>
      <left style="medium">
        <color indexed="64"/>
      </left>
      <right style="medium">
        <color indexed="64"/>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style="thin">
        <color indexed="64"/>
      </top>
      <bottom/>
      <diagonal/>
    </border>
    <border>
      <left style="medium">
        <color indexed="64"/>
      </left>
      <right style="medium">
        <color indexed="64"/>
      </right>
      <top/>
      <bottom style="thin">
        <color indexed="64"/>
      </bottom>
      <diagonal/>
    </border>
    <border>
      <left/>
      <right style="thin">
        <color indexed="64"/>
      </right>
      <top/>
      <bottom/>
      <diagonal/>
    </border>
    <border>
      <left style="medium">
        <color indexed="64"/>
      </left>
      <right style="medium">
        <color indexed="64"/>
      </right>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top style="thin">
        <color indexed="64"/>
      </top>
      <bottom style="thin">
        <color indexed="64"/>
      </bottom>
      <diagonal/>
    </border>
    <border>
      <left style="medium">
        <color indexed="64"/>
      </left>
      <right style="thin">
        <color indexed="64"/>
      </right>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thin">
        <color indexed="64"/>
      </left>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bottom style="medium">
        <color indexed="64"/>
      </bottom>
      <diagonal/>
    </border>
    <border>
      <left style="medium">
        <color indexed="64"/>
      </left>
      <right/>
      <top style="medium">
        <color indexed="64"/>
      </top>
      <bottom/>
      <diagonal/>
    </border>
    <border>
      <left style="thin">
        <color indexed="64"/>
      </left>
      <right/>
      <top/>
      <bottom/>
      <diagonal/>
    </border>
    <border>
      <left/>
      <right/>
      <top style="thin">
        <color indexed="64"/>
      </top>
      <bottom/>
      <diagonal/>
    </border>
    <border>
      <left/>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top/>
      <bottom/>
      <diagonal/>
    </border>
    <border>
      <left/>
      <right/>
      <top style="medium">
        <color indexed="64"/>
      </top>
      <bottom/>
      <diagonal/>
    </border>
    <border>
      <left/>
      <right style="medium">
        <color indexed="64"/>
      </right>
      <top style="thin">
        <color indexed="64"/>
      </top>
      <bottom style="thin">
        <color indexed="64"/>
      </bottom>
      <diagonal/>
    </border>
    <border>
      <left style="thin">
        <color indexed="64"/>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double">
        <color indexed="64"/>
      </left>
      <right/>
      <top/>
      <bottom style="medium">
        <color indexed="64"/>
      </bottom>
      <diagonal/>
    </border>
    <border>
      <left/>
      <right style="double">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top style="thin">
        <color indexed="64"/>
      </top>
      <bottom style="medium">
        <color indexed="64"/>
      </bottom>
      <diagonal/>
    </border>
    <border>
      <left/>
      <right/>
      <top/>
      <bottom style="medium">
        <color indexed="64"/>
      </bottom>
      <diagonal/>
    </border>
    <border>
      <left style="thin">
        <color indexed="64"/>
      </left>
      <right style="double">
        <color indexed="64"/>
      </right>
      <top style="thin">
        <color indexed="64"/>
      </top>
      <bottom style="thin">
        <color indexed="64"/>
      </bottom>
      <diagonal/>
    </border>
    <border>
      <left/>
      <right style="double">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double">
        <color indexed="64"/>
      </left>
      <right style="thin">
        <color indexed="64"/>
      </right>
      <top/>
      <bottom style="thin">
        <color indexed="64"/>
      </bottom>
      <diagonal/>
    </border>
    <border>
      <left/>
      <right style="medium">
        <color indexed="64"/>
      </right>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double">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double">
        <color indexed="64"/>
      </left>
      <right style="double">
        <color indexed="64"/>
      </right>
      <top style="medium">
        <color indexed="64"/>
      </top>
      <bottom/>
      <diagonal/>
    </border>
    <border>
      <left style="double">
        <color indexed="64"/>
      </left>
      <right style="double">
        <color indexed="64"/>
      </right>
      <top style="thin">
        <color indexed="64"/>
      </top>
      <bottom style="thin">
        <color indexed="64"/>
      </bottom>
      <diagonal/>
    </border>
    <border>
      <left style="double">
        <color indexed="64"/>
      </left>
      <right style="double">
        <color indexed="64"/>
      </right>
      <top style="thin">
        <color indexed="64"/>
      </top>
      <bottom style="medium">
        <color indexed="64"/>
      </bottom>
      <diagonal/>
    </border>
    <border>
      <left/>
      <right style="medium">
        <color indexed="64"/>
      </right>
      <top/>
      <bottom/>
      <diagonal/>
    </border>
    <border>
      <left style="thin">
        <color indexed="64"/>
      </left>
      <right style="double">
        <color indexed="64"/>
      </right>
      <top style="thin">
        <color indexed="64"/>
      </top>
      <bottom style="medium">
        <color indexed="64"/>
      </bottom>
      <diagonal/>
    </border>
    <border>
      <left style="double">
        <color indexed="64"/>
      </left>
      <right style="double">
        <color indexed="64"/>
      </right>
      <top/>
      <bottom style="thin">
        <color indexed="64"/>
      </bottom>
      <diagonal/>
    </border>
    <border>
      <left style="double">
        <color indexed="64"/>
      </left>
      <right style="medium">
        <color indexed="64"/>
      </right>
      <top style="medium">
        <color indexed="64"/>
      </top>
      <bottom style="thin">
        <color indexed="64"/>
      </bottom>
      <diagonal/>
    </border>
    <border>
      <left style="double">
        <color indexed="64"/>
      </left>
      <right style="medium">
        <color indexed="64"/>
      </right>
      <top style="thin">
        <color indexed="64"/>
      </top>
      <bottom style="thin">
        <color indexed="64"/>
      </bottom>
      <diagonal/>
    </border>
    <border>
      <left style="double">
        <color indexed="64"/>
      </left>
      <right style="medium">
        <color indexed="64"/>
      </right>
      <top/>
      <bottom style="thin">
        <color indexed="64"/>
      </bottom>
      <diagonal/>
    </border>
    <border>
      <left/>
      <right style="medium">
        <color indexed="64"/>
      </right>
      <top style="medium">
        <color indexed="64"/>
      </top>
      <bottom/>
      <diagonal/>
    </border>
    <border>
      <left/>
      <right style="medium">
        <color indexed="64"/>
      </right>
      <top/>
      <bottom style="medium">
        <color indexed="64"/>
      </bottom>
      <diagonal/>
    </border>
  </borders>
  <cellStyleXfs count="243">
    <xf numFmtId="0" fontId="0" fillId="0" borderId="0"/>
    <xf numFmtId="165" fontId="1" fillId="0" borderId="0" applyFont="0" applyFill="0" applyBorder="0" applyAlignment="0" applyProtection="0"/>
    <xf numFmtId="9" fontId="1" fillId="0" borderId="0" applyFont="0" applyFill="0" applyBorder="0" applyAlignment="0" applyProtection="0"/>
    <xf numFmtId="0" fontId="2" fillId="2" borderId="0" applyNumberFormat="0" applyBorder="0" applyAlignment="0" applyProtection="0"/>
    <xf numFmtId="0" fontId="9" fillId="0" borderId="0"/>
    <xf numFmtId="165" fontId="9" fillId="0" borderId="0" applyFont="0" applyFill="0" applyBorder="0" applyAlignment="0" applyProtection="0"/>
    <xf numFmtId="0" fontId="10" fillId="0" borderId="0" applyNumberFormat="0" applyFill="0" applyBorder="0" applyAlignment="0" applyProtection="0">
      <alignment vertical="top"/>
      <protection locked="0"/>
    </xf>
    <xf numFmtId="9" fontId="9" fillId="0" borderId="0" applyFont="0" applyFill="0" applyBorder="0" applyAlignment="0" applyProtection="0"/>
    <xf numFmtId="0" fontId="19" fillId="0" borderId="0" applyNumberFormat="0" applyFill="0" applyBorder="0" applyAlignment="0" applyProtection="0"/>
    <xf numFmtId="0" fontId="9" fillId="0" borderId="0"/>
    <xf numFmtId="0" fontId="9" fillId="0" borderId="0"/>
    <xf numFmtId="0" fontId="33" fillId="0" borderId="0"/>
    <xf numFmtId="0" fontId="1" fillId="0" borderId="0"/>
    <xf numFmtId="0" fontId="9" fillId="0" borderId="0"/>
    <xf numFmtId="0" fontId="1" fillId="0" borderId="0"/>
    <xf numFmtId="0" fontId="1" fillId="0" borderId="0"/>
    <xf numFmtId="0" fontId="42" fillId="0" borderId="43" applyNumberFormat="0" applyFill="0" applyAlignment="0" applyProtection="0"/>
    <xf numFmtId="0" fontId="43" fillId="0" borderId="44" applyNumberFormat="0" applyFill="0" applyAlignment="0" applyProtection="0"/>
    <xf numFmtId="0" fontId="43" fillId="0" borderId="0" applyNumberFormat="0" applyFill="0" applyBorder="0" applyAlignment="0" applyProtection="0"/>
    <xf numFmtId="0" fontId="45" fillId="16" borderId="0" applyNumberFormat="0" applyBorder="0" applyAlignment="0" applyProtection="0"/>
    <xf numFmtId="0" fontId="46" fillId="18" borderId="45" applyNumberFormat="0" applyAlignment="0" applyProtection="0"/>
    <xf numFmtId="0" fontId="47" fillId="19" borderId="46" applyNumberFormat="0" applyAlignment="0" applyProtection="0"/>
    <xf numFmtId="0" fontId="48" fillId="19" borderId="45" applyNumberFormat="0" applyAlignment="0" applyProtection="0"/>
    <xf numFmtId="0" fontId="49" fillId="0" borderId="47" applyNumberFormat="0" applyFill="0" applyAlignment="0" applyProtection="0"/>
    <xf numFmtId="0" fontId="50" fillId="20" borderId="48" applyNumberFormat="0" applyAlignment="0" applyProtection="0"/>
    <xf numFmtId="0" fontId="51" fillId="0" borderId="0" applyNumberFormat="0" applyFill="0" applyBorder="0" applyAlignment="0" applyProtection="0"/>
    <xf numFmtId="0" fontId="52" fillId="0" borderId="0" applyNumberFormat="0" applyFill="0" applyBorder="0" applyAlignment="0" applyProtection="0"/>
    <xf numFmtId="0" fontId="20" fillId="0" borderId="50" applyNumberFormat="0" applyFill="0" applyAlignment="0" applyProtection="0"/>
    <xf numFmtId="0" fontId="1" fillId="22" borderId="0" applyNumberFormat="0" applyBorder="0" applyAlignment="0" applyProtection="0"/>
    <xf numFmtId="0" fontId="1" fillId="23" borderId="0" applyNumberFormat="0" applyBorder="0" applyAlignment="0" applyProtection="0"/>
    <xf numFmtId="0" fontId="2"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2" fillId="37"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2" fillId="41"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9" fontId="9" fillId="0" borderId="0" applyFont="0" applyFill="0" applyBorder="0" applyAlignment="0" applyProtection="0"/>
    <xf numFmtId="0" fontId="1" fillId="0" borderId="0"/>
    <xf numFmtId="0" fontId="9" fillId="0" borderId="0"/>
    <xf numFmtId="0" fontId="1" fillId="0" borderId="0"/>
    <xf numFmtId="0" fontId="1" fillId="0" borderId="0"/>
    <xf numFmtId="0" fontId="54" fillId="30" borderId="0" applyNumberFormat="0" applyBorder="0" applyAlignment="0" applyProtection="0"/>
    <xf numFmtId="0" fontId="1" fillId="34" borderId="0" applyNumberFormat="0" applyBorder="0" applyAlignment="0" applyProtection="0"/>
    <xf numFmtId="0" fontId="1" fillId="30" borderId="0" applyNumberFormat="0" applyBorder="0" applyAlignment="0" applyProtection="0"/>
    <xf numFmtId="0" fontId="54" fillId="26" borderId="0" applyNumberFormat="0" applyBorder="0" applyAlignment="0" applyProtection="0"/>
    <xf numFmtId="0" fontId="1" fillId="26" borderId="0" applyNumberFormat="0" applyBorder="0" applyAlignment="0" applyProtection="0"/>
    <xf numFmtId="0" fontId="54" fillId="22" borderId="0" applyNumberFormat="0" applyBorder="0" applyAlignment="0" applyProtection="0"/>
    <xf numFmtId="0" fontId="1" fillId="22" borderId="0" applyNumberFormat="0" applyBorder="0" applyAlignment="0" applyProtection="0"/>
    <xf numFmtId="0" fontId="54" fillId="34" borderId="0" applyNumberFormat="0" applyBorder="0" applyAlignment="0" applyProtection="0"/>
    <xf numFmtId="0" fontId="1" fillId="38" borderId="0" applyNumberFormat="0" applyBorder="0" applyAlignment="0" applyProtection="0"/>
    <xf numFmtId="0" fontId="54" fillId="38" borderId="0" applyNumberFormat="0" applyBorder="0" applyAlignment="0" applyProtection="0"/>
    <xf numFmtId="0" fontId="1" fillId="42" borderId="0" applyNumberFormat="0" applyBorder="0" applyAlignment="0" applyProtection="0"/>
    <xf numFmtId="0" fontId="54" fillId="42" borderId="0" applyNumberFormat="0" applyBorder="0" applyAlignment="0" applyProtection="0"/>
    <xf numFmtId="0" fontId="1" fillId="23" borderId="0" applyNumberFormat="0" applyBorder="0" applyAlignment="0" applyProtection="0"/>
    <xf numFmtId="0" fontId="54" fillId="23" borderId="0" applyNumberFormat="0" applyBorder="0" applyAlignment="0" applyProtection="0"/>
    <xf numFmtId="0" fontId="1" fillId="27" borderId="0" applyNumberFormat="0" applyBorder="0" applyAlignment="0" applyProtection="0"/>
    <xf numFmtId="0" fontId="54" fillId="27" borderId="0" applyNumberFormat="0" applyBorder="0" applyAlignment="0" applyProtection="0"/>
    <xf numFmtId="0" fontId="1" fillId="31" borderId="0" applyNumberFormat="0" applyBorder="0" applyAlignment="0" applyProtection="0"/>
    <xf numFmtId="0" fontId="54" fillId="31" borderId="0" applyNumberFormat="0" applyBorder="0" applyAlignment="0" applyProtection="0"/>
    <xf numFmtId="0" fontId="1" fillId="35" borderId="0" applyNumberFormat="0" applyBorder="0" applyAlignment="0" applyProtection="0"/>
    <xf numFmtId="0" fontId="54" fillId="35" borderId="0" applyNumberFormat="0" applyBorder="0" applyAlignment="0" applyProtection="0"/>
    <xf numFmtId="0" fontId="1" fillId="39" borderId="0" applyNumberFormat="0" applyBorder="0" applyAlignment="0" applyProtection="0"/>
    <xf numFmtId="0" fontId="54" fillId="39" borderId="0" applyNumberFormat="0" applyBorder="0" applyAlignment="0" applyProtection="0"/>
    <xf numFmtId="0" fontId="1" fillId="43" borderId="0" applyNumberFormat="0" applyBorder="0" applyAlignment="0" applyProtection="0"/>
    <xf numFmtId="0" fontId="54" fillId="43" borderId="0" applyNumberFormat="0" applyBorder="0" applyAlignment="0" applyProtection="0"/>
    <xf numFmtId="0" fontId="2" fillId="24" borderId="0" applyNumberFormat="0" applyBorder="0" applyAlignment="0" applyProtection="0"/>
    <xf numFmtId="0" fontId="55" fillId="24" borderId="0" applyNumberFormat="0" applyBorder="0" applyAlignment="0" applyProtection="0"/>
    <xf numFmtId="0" fontId="2" fillId="28" borderId="0" applyNumberFormat="0" applyBorder="0" applyAlignment="0" applyProtection="0"/>
    <xf numFmtId="0" fontId="55" fillId="28" borderId="0" applyNumberFormat="0" applyBorder="0" applyAlignment="0" applyProtection="0"/>
    <xf numFmtId="0" fontId="2" fillId="32" borderId="0" applyNumberFormat="0" applyBorder="0" applyAlignment="0" applyProtection="0"/>
    <xf numFmtId="0" fontId="55" fillId="32" borderId="0" applyNumberFormat="0" applyBorder="0" applyAlignment="0" applyProtection="0"/>
    <xf numFmtId="0" fontId="2" fillId="36" borderId="0" applyNumberFormat="0" applyBorder="0" applyAlignment="0" applyProtection="0"/>
    <xf numFmtId="0" fontId="55" fillId="36" borderId="0" applyNumberFormat="0" applyBorder="0" applyAlignment="0" applyProtection="0"/>
    <xf numFmtId="0" fontId="2" fillId="40" borderId="0" applyNumberFormat="0" applyBorder="0" applyAlignment="0" applyProtection="0"/>
    <xf numFmtId="0" fontId="55" fillId="40" borderId="0" applyNumberFormat="0" applyBorder="0" applyAlignment="0" applyProtection="0"/>
    <xf numFmtId="0" fontId="2" fillId="44" borderId="0" applyNumberFormat="0" applyBorder="0" applyAlignment="0" applyProtection="0"/>
    <xf numFmtId="0" fontId="55" fillId="44" borderId="0" applyNumberFormat="0" applyBorder="0" applyAlignment="0" applyProtection="0"/>
    <xf numFmtId="0" fontId="44" fillId="15" borderId="0" applyNumberFormat="0" applyBorder="0" applyAlignment="0" applyProtection="0"/>
    <xf numFmtId="0" fontId="56" fillId="15" borderId="0" applyNumberFormat="0" applyBorder="0" applyAlignment="0" applyProtection="0"/>
    <xf numFmtId="0" fontId="48" fillId="19" borderId="45" applyNumberFormat="0" applyAlignment="0" applyProtection="0"/>
    <xf numFmtId="0" fontId="57" fillId="19" borderId="45" applyNumberFormat="0" applyAlignment="0" applyProtection="0"/>
    <xf numFmtId="0" fontId="50" fillId="20" borderId="48" applyNumberFormat="0" applyAlignment="0" applyProtection="0"/>
    <xf numFmtId="0" fontId="58" fillId="20" borderId="48" applyNumberFormat="0" applyAlignment="0" applyProtection="0"/>
    <xf numFmtId="0" fontId="49" fillId="0" borderId="47" applyNumberFormat="0" applyFill="0" applyAlignment="0" applyProtection="0"/>
    <xf numFmtId="0" fontId="59" fillId="0" borderId="47" applyNumberFormat="0" applyFill="0" applyAlignment="0" applyProtection="0"/>
    <xf numFmtId="0" fontId="43" fillId="0" borderId="0" applyNumberFormat="0" applyFill="0" applyBorder="0" applyAlignment="0" applyProtection="0"/>
    <xf numFmtId="0" fontId="60" fillId="0" borderId="0" applyNumberFormat="0" applyFill="0" applyBorder="0" applyAlignment="0" applyProtection="0"/>
    <xf numFmtId="0" fontId="2" fillId="2" borderId="0" applyNumberFormat="0" applyBorder="0" applyAlignment="0" applyProtection="0"/>
    <xf numFmtId="0" fontId="55" fillId="2" borderId="0" applyNumberFormat="0" applyBorder="0" applyAlignment="0" applyProtection="0"/>
    <xf numFmtId="0" fontId="2" fillId="25" borderId="0" applyNumberFormat="0" applyBorder="0" applyAlignment="0" applyProtection="0"/>
    <xf numFmtId="0" fontId="55" fillId="25" borderId="0" applyNumberFormat="0" applyBorder="0" applyAlignment="0" applyProtection="0"/>
    <xf numFmtId="0" fontId="2" fillId="29" borderId="0" applyNumberFormat="0" applyBorder="0" applyAlignment="0" applyProtection="0"/>
    <xf numFmtId="0" fontId="55" fillId="29" borderId="0" applyNumberFormat="0" applyBorder="0" applyAlignment="0" applyProtection="0"/>
    <xf numFmtId="0" fontId="2" fillId="33" borderId="0" applyNumberFormat="0" applyBorder="0" applyAlignment="0" applyProtection="0"/>
    <xf numFmtId="0" fontId="55" fillId="33" borderId="0" applyNumberFormat="0" applyBorder="0" applyAlignment="0" applyProtection="0"/>
    <xf numFmtId="0" fontId="2" fillId="37" borderId="0" applyNumberFormat="0" applyBorder="0" applyAlignment="0" applyProtection="0"/>
    <xf numFmtId="0" fontId="55" fillId="37" borderId="0" applyNumberFormat="0" applyBorder="0" applyAlignment="0" applyProtection="0"/>
    <xf numFmtId="0" fontId="2" fillId="41" borderId="0" applyNumberFormat="0" applyBorder="0" applyAlignment="0" applyProtection="0"/>
    <xf numFmtId="0" fontId="55" fillId="41" borderId="0" applyNumberFormat="0" applyBorder="0" applyAlignment="0" applyProtection="0"/>
    <xf numFmtId="0" fontId="46" fillId="18" borderId="45" applyNumberFormat="0" applyAlignment="0" applyProtection="0"/>
    <xf numFmtId="0" fontId="61" fillId="18" borderId="45" applyNumberFormat="0" applyAlignment="0" applyProtection="0"/>
    <xf numFmtId="171" fontId="9" fillId="0" borderId="0" applyFont="0" applyFill="0" applyBorder="0" applyAlignment="0" applyProtection="0"/>
    <xf numFmtId="171" fontId="9" fillId="0" borderId="0" applyFont="0" applyFill="0" applyBorder="0" applyAlignment="0" applyProtection="0"/>
    <xf numFmtId="0" fontId="45" fillId="16" borderId="0" applyNumberFormat="0" applyBorder="0" applyAlignment="0" applyProtection="0"/>
    <xf numFmtId="0" fontId="62" fillId="16" borderId="0" applyNumberFormat="0" applyBorder="0" applyAlignment="0" applyProtection="0"/>
    <xf numFmtId="164" fontId="9" fillId="0" borderId="0" applyFont="0" applyFill="0" applyBorder="0" applyAlignment="0" applyProtection="0"/>
    <xf numFmtId="165" fontId="9" fillId="0" borderId="0" applyFont="0" applyFill="0" applyBorder="0" applyAlignment="0" applyProtection="0"/>
    <xf numFmtId="166" fontId="9" fillId="0" borderId="0" applyFont="0" applyFill="0" applyBorder="0" applyAlignment="0" applyProtection="0"/>
    <xf numFmtId="0" fontId="53" fillId="17" borderId="0" applyNumberFormat="0" applyBorder="0" applyAlignment="0" applyProtection="0"/>
    <xf numFmtId="0" fontId="63" fillId="1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64"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64" fillId="0" borderId="0"/>
    <xf numFmtId="0" fontId="9" fillId="0" borderId="0"/>
    <xf numFmtId="0" fontId="65"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54"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54" fillId="21" borderId="49" applyNumberFormat="0" applyFont="0" applyAlignment="0" applyProtection="0"/>
    <xf numFmtId="9" fontId="9" fillId="0" borderId="0" applyFont="0" applyFill="0" applyBorder="0" applyAlignment="0" applyProtection="0"/>
    <xf numFmtId="0" fontId="47" fillId="19" borderId="46" applyNumberFormat="0" applyAlignment="0" applyProtection="0"/>
    <xf numFmtId="0" fontId="66" fillId="19" borderId="46" applyNumberFormat="0" applyAlignment="0" applyProtection="0"/>
    <xf numFmtId="0" fontId="51" fillId="0" borderId="0" applyNumberFormat="0" applyFill="0" applyBorder="0" applyAlignment="0" applyProtection="0"/>
    <xf numFmtId="0" fontId="67" fillId="0" borderId="0" applyNumberFormat="0" applyFill="0" applyBorder="0" applyAlignment="0" applyProtection="0"/>
    <xf numFmtId="0" fontId="52" fillId="0" borderId="0" applyNumberFormat="0" applyFill="0" applyBorder="0" applyAlignment="0" applyProtection="0"/>
    <xf numFmtId="0" fontId="68" fillId="0" borderId="0" applyNumberFormat="0" applyFill="0" applyBorder="0" applyAlignment="0" applyProtection="0"/>
    <xf numFmtId="0" fontId="41" fillId="0" borderId="42" applyNumberFormat="0" applyFill="0" applyAlignment="0" applyProtection="0"/>
    <xf numFmtId="0" fontId="69" fillId="0" borderId="42" applyNumberFormat="0" applyFill="0" applyAlignment="0" applyProtection="0"/>
    <xf numFmtId="0" fontId="42" fillId="0" borderId="43" applyNumberFormat="0" applyFill="0" applyAlignment="0" applyProtection="0"/>
    <xf numFmtId="0" fontId="70" fillId="0" borderId="43" applyNumberFormat="0" applyFill="0" applyAlignment="0" applyProtection="0"/>
    <xf numFmtId="0" fontId="43" fillId="0" borderId="44" applyNumberFormat="0" applyFill="0" applyAlignment="0" applyProtection="0"/>
    <xf numFmtId="0" fontId="60" fillId="0" borderId="44" applyNumberFormat="0" applyFill="0" applyAlignment="0" applyProtection="0"/>
    <xf numFmtId="0" fontId="20" fillId="0" borderId="50" applyNumberFormat="0" applyFill="0" applyAlignment="0" applyProtection="0"/>
    <xf numFmtId="0" fontId="71" fillId="0" borderId="50" applyNumberFormat="0" applyFill="0" applyAlignment="0" applyProtection="0"/>
    <xf numFmtId="170" fontId="9" fillId="0" borderId="0" applyFont="0" applyFill="0" applyBorder="0" applyAlignment="0" applyProtection="0"/>
    <xf numFmtId="0" fontId="9" fillId="0" borderId="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70" fontId="9" fillId="0" borderId="0" applyFont="0" applyFill="0" applyBorder="0" applyAlignment="0" applyProtection="0"/>
    <xf numFmtId="0" fontId="9" fillId="0" borderId="0"/>
    <xf numFmtId="0" fontId="1" fillId="21" borderId="49" applyNumberFormat="0" applyFont="0" applyAlignment="0" applyProtection="0"/>
    <xf numFmtId="0" fontId="72" fillId="0" borderId="0" applyNumberForma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0" fontId="33" fillId="0" borderId="0"/>
    <xf numFmtId="41" fontId="1" fillId="0" borderId="0" applyFont="0" applyFill="0" applyBorder="0" applyAlignment="0" applyProtection="0"/>
  </cellStyleXfs>
  <cellXfs count="461">
    <xf numFmtId="0" fontId="0" fillId="0" borderId="0" xfId="0"/>
    <xf numFmtId="167" fontId="6" fillId="3" borderId="7" xfId="3" applyNumberFormat="1" applyFont="1" applyFill="1" applyBorder="1" applyAlignment="1">
      <alignment horizontal="center" vertical="center"/>
    </xf>
    <xf numFmtId="167" fontId="5" fillId="3" borderId="11" xfId="3" applyNumberFormat="1" applyFont="1" applyFill="1" applyBorder="1" applyAlignment="1">
      <alignment vertical="center" wrapText="1"/>
    </xf>
    <xf numFmtId="167" fontId="6" fillId="4" borderId="11" xfId="3" applyNumberFormat="1" applyFont="1" applyFill="1" applyBorder="1" applyAlignment="1">
      <alignment vertical="center" wrapText="1"/>
    </xf>
    <xf numFmtId="167" fontId="5" fillId="3" borderId="13" xfId="3" applyNumberFormat="1" applyFont="1" applyFill="1" applyBorder="1" applyAlignment="1">
      <alignment horizontal="left" vertical="center" wrapText="1"/>
    </xf>
    <xf numFmtId="167" fontId="8" fillId="0" borderId="20" xfId="1" applyNumberFormat="1" applyFont="1" applyFill="1" applyBorder="1"/>
    <xf numFmtId="167" fontId="7" fillId="3" borderId="8" xfId="1" applyNumberFormat="1" applyFont="1" applyFill="1" applyBorder="1"/>
    <xf numFmtId="167" fontId="4" fillId="5" borderId="17" xfId="3" applyNumberFormat="1" applyFont="1" applyFill="1" applyBorder="1" applyAlignment="1">
      <alignment horizontal="center" vertical="center"/>
    </xf>
    <xf numFmtId="167" fontId="3" fillId="5" borderId="17" xfId="3" applyNumberFormat="1" applyFont="1" applyFill="1" applyBorder="1" applyAlignment="1">
      <alignment horizontal="center" vertical="center"/>
    </xf>
    <xf numFmtId="167" fontId="3" fillId="5" borderId="18" xfId="3" applyNumberFormat="1" applyFont="1" applyFill="1" applyBorder="1" applyAlignment="1">
      <alignment horizontal="center" vertical="center"/>
    </xf>
    <xf numFmtId="167" fontId="3" fillId="5" borderId="16" xfId="3" applyNumberFormat="1" applyFont="1" applyFill="1" applyBorder="1" applyAlignment="1">
      <alignment horizontal="center" vertical="center" wrapText="1"/>
    </xf>
    <xf numFmtId="167" fontId="3" fillId="5" borderId="19" xfId="3" applyNumberFormat="1" applyFont="1" applyFill="1" applyBorder="1" applyAlignment="1">
      <alignment horizontal="center" vertical="center" wrapText="1"/>
    </xf>
    <xf numFmtId="0" fontId="3" fillId="5" borderId="19" xfId="3" applyNumberFormat="1" applyFont="1" applyFill="1" applyBorder="1" applyAlignment="1">
      <alignment horizontal="center" vertical="center" wrapText="1"/>
    </xf>
    <xf numFmtId="167" fontId="5" fillId="0" borderId="28" xfId="3" applyNumberFormat="1" applyFont="1" applyFill="1" applyBorder="1" applyAlignment="1">
      <alignment vertical="center" wrapText="1"/>
    </xf>
    <xf numFmtId="167" fontId="5" fillId="3" borderId="32" xfId="3" applyNumberFormat="1" applyFont="1" applyFill="1" applyBorder="1" applyAlignment="1">
      <alignment vertical="center" wrapText="1"/>
    </xf>
    <xf numFmtId="167" fontId="5" fillId="0" borderId="1" xfId="3" applyNumberFormat="1" applyFont="1" applyFill="1" applyBorder="1" applyAlignment="1">
      <alignment vertical="center" wrapText="1"/>
    </xf>
    <xf numFmtId="167" fontId="4" fillId="5" borderId="25" xfId="3" applyNumberFormat="1" applyFont="1" applyFill="1" applyBorder="1" applyAlignment="1">
      <alignment horizontal="center" vertical="center"/>
    </xf>
    <xf numFmtId="167" fontId="5" fillId="4" borderId="28" xfId="3" applyNumberFormat="1" applyFont="1" applyFill="1" applyBorder="1" applyAlignment="1">
      <alignment vertical="center" wrapText="1"/>
    </xf>
    <xf numFmtId="167" fontId="11" fillId="4" borderId="8" xfId="5" applyNumberFormat="1" applyFont="1" applyFill="1" applyBorder="1" applyAlignment="1">
      <alignment vertical="center" wrapText="1"/>
    </xf>
    <xf numFmtId="168" fontId="11" fillId="4" borderId="8" xfId="2" applyNumberFormat="1" applyFont="1" applyFill="1" applyBorder="1" applyAlignment="1">
      <alignment vertical="center" wrapText="1"/>
    </xf>
    <xf numFmtId="167" fontId="12" fillId="4" borderId="8" xfId="5" applyNumberFormat="1" applyFont="1" applyFill="1" applyBorder="1" applyAlignment="1">
      <alignment vertical="center" wrapText="1"/>
    </xf>
    <xf numFmtId="9" fontId="11" fillId="4" borderId="8" xfId="2" applyFont="1" applyFill="1" applyBorder="1" applyAlignment="1">
      <alignment vertical="center" wrapText="1"/>
    </xf>
    <xf numFmtId="9" fontId="11" fillId="4" borderId="8" xfId="2" applyNumberFormat="1" applyFont="1" applyFill="1" applyBorder="1" applyAlignment="1">
      <alignment vertical="center" wrapText="1"/>
    </xf>
    <xf numFmtId="167" fontId="4" fillId="5" borderId="8" xfId="5" applyNumberFormat="1" applyFont="1" applyFill="1" applyBorder="1" applyAlignment="1">
      <alignment horizontal="center" vertical="center" wrapText="1"/>
    </xf>
    <xf numFmtId="167" fontId="3" fillId="5" borderId="8" xfId="5" applyNumberFormat="1" applyFont="1" applyFill="1" applyBorder="1" applyAlignment="1">
      <alignment horizontal="center" vertical="center" wrapText="1"/>
    </xf>
    <xf numFmtId="0" fontId="8" fillId="0" borderId="0" xfId="0" applyFont="1"/>
    <xf numFmtId="167" fontId="11" fillId="6" borderId="0" xfId="5" applyNumberFormat="1" applyFont="1" applyFill="1"/>
    <xf numFmtId="167" fontId="11" fillId="6" borderId="0" xfId="5" applyNumberFormat="1" applyFont="1" applyFill="1" applyBorder="1"/>
    <xf numFmtId="0" fontId="13" fillId="0" borderId="0" xfId="6" applyFont="1" applyAlignment="1" applyProtection="1"/>
    <xf numFmtId="167" fontId="11" fillId="4" borderId="0" xfId="5" applyNumberFormat="1" applyFont="1" applyFill="1" applyAlignment="1"/>
    <xf numFmtId="167" fontId="11" fillId="4" borderId="0" xfId="5" applyNumberFormat="1" applyFont="1" applyFill="1"/>
    <xf numFmtId="168" fontId="11" fillId="6" borderId="0" xfId="2" applyNumberFormat="1" applyFont="1" applyFill="1"/>
    <xf numFmtId="167" fontId="12" fillId="3" borderId="8" xfId="5" applyNumberFormat="1" applyFont="1" applyFill="1" applyBorder="1" applyAlignment="1">
      <alignment vertical="center" wrapText="1"/>
    </xf>
    <xf numFmtId="9" fontId="11" fillId="3" borderId="8" xfId="2" applyFont="1" applyFill="1" applyBorder="1" applyAlignment="1">
      <alignment vertical="center" wrapText="1"/>
    </xf>
    <xf numFmtId="9" fontId="12" fillId="3" borderId="8" xfId="2" applyFont="1" applyFill="1" applyBorder="1" applyAlignment="1">
      <alignment vertical="center" wrapText="1"/>
    </xf>
    <xf numFmtId="167" fontId="12" fillId="0" borderId="0" xfId="5" applyNumberFormat="1" applyFont="1" applyFill="1" applyBorder="1" applyAlignment="1">
      <alignment vertical="center" wrapText="1"/>
    </xf>
    <xf numFmtId="9" fontId="11" fillId="0" borderId="0" xfId="2" applyFont="1" applyFill="1" applyBorder="1" applyAlignment="1">
      <alignment vertical="center" wrapText="1"/>
    </xf>
    <xf numFmtId="9" fontId="12" fillId="0" borderId="0" xfId="2" applyFont="1" applyFill="1" applyBorder="1" applyAlignment="1">
      <alignment vertical="center" wrapText="1"/>
    </xf>
    <xf numFmtId="167" fontId="11" fillId="6" borderId="0" xfId="5" applyNumberFormat="1" applyFont="1" applyFill="1" applyAlignment="1">
      <alignment wrapText="1"/>
    </xf>
    <xf numFmtId="0" fontId="8" fillId="0" borderId="0" xfId="0" applyFont="1" applyBorder="1"/>
    <xf numFmtId="168" fontId="11" fillId="4" borderId="23" xfId="2" applyNumberFormat="1" applyFont="1" applyFill="1" applyBorder="1" applyAlignment="1">
      <alignment vertical="center" wrapText="1"/>
    </xf>
    <xf numFmtId="9" fontId="11" fillId="4" borderId="23" xfId="2" applyNumberFormat="1" applyFont="1" applyFill="1" applyBorder="1" applyAlignment="1">
      <alignment vertical="center" wrapText="1"/>
    </xf>
    <xf numFmtId="167" fontId="6" fillId="4" borderId="8" xfId="5" applyNumberFormat="1" applyFont="1" applyFill="1" applyBorder="1" applyAlignment="1">
      <alignment vertical="center" wrapText="1"/>
    </xf>
    <xf numFmtId="168" fontId="6" fillId="4" borderId="8" xfId="2" applyNumberFormat="1" applyFont="1" applyFill="1" applyBorder="1" applyAlignment="1">
      <alignment vertical="center" wrapText="1"/>
    </xf>
    <xf numFmtId="167" fontId="5" fillId="4" borderId="8" xfId="5" applyNumberFormat="1" applyFont="1" applyFill="1" applyBorder="1" applyAlignment="1">
      <alignment vertical="center" wrapText="1"/>
    </xf>
    <xf numFmtId="9" fontId="6" fillId="4" borderId="8" xfId="2" applyNumberFormat="1" applyFont="1" applyFill="1" applyBorder="1" applyAlignment="1">
      <alignment vertical="center" wrapText="1"/>
    </xf>
    <xf numFmtId="9" fontId="12" fillId="4" borderId="8" xfId="2" applyNumberFormat="1" applyFont="1" applyFill="1" applyBorder="1" applyAlignment="1">
      <alignment vertical="center" wrapText="1"/>
    </xf>
    <xf numFmtId="0" fontId="7" fillId="0" borderId="0" xfId="0" applyFont="1"/>
    <xf numFmtId="0" fontId="8" fillId="0" borderId="0" xfId="0" applyFont="1" applyFill="1"/>
    <xf numFmtId="167" fontId="5" fillId="3" borderId="8" xfId="5" applyNumberFormat="1" applyFont="1" applyFill="1" applyBorder="1" applyAlignment="1">
      <alignment vertical="center" wrapText="1"/>
    </xf>
    <xf numFmtId="9" fontId="11" fillId="0" borderId="0" xfId="7" applyNumberFormat="1" applyFont="1" applyFill="1" applyBorder="1" applyAlignment="1">
      <alignment vertical="center" wrapText="1"/>
    </xf>
    <xf numFmtId="9" fontId="12" fillId="0" borderId="0" xfId="7" applyNumberFormat="1" applyFont="1" applyFill="1" applyBorder="1" applyAlignment="1">
      <alignment vertical="center" wrapText="1"/>
    </xf>
    <xf numFmtId="167" fontId="11" fillId="0" borderId="0" xfId="5" applyNumberFormat="1" applyFont="1" applyFill="1" applyAlignment="1">
      <alignment wrapText="1"/>
    </xf>
    <xf numFmtId="167" fontId="11" fillId="0" borderId="0" xfId="5" applyNumberFormat="1" applyFont="1" applyFill="1"/>
    <xf numFmtId="167" fontId="11" fillId="0" borderId="8" xfId="5" applyNumberFormat="1" applyFont="1" applyFill="1" applyBorder="1" applyAlignment="1">
      <alignment vertical="center" wrapText="1"/>
    </xf>
    <xf numFmtId="167" fontId="12" fillId="0" borderId="8" xfId="5" applyNumberFormat="1" applyFont="1" applyFill="1" applyBorder="1" applyAlignment="1">
      <alignment vertical="center" wrapText="1"/>
    </xf>
    <xf numFmtId="167" fontId="11" fillId="4" borderId="0" xfId="5" applyNumberFormat="1" applyFont="1" applyFill="1" applyBorder="1" applyAlignment="1"/>
    <xf numFmtId="167" fontId="11" fillId="4" borderId="8" xfId="5" applyNumberFormat="1" applyFont="1" applyFill="1" applyBorder="1" applyAlignment="1">
      <alignment horizontal="right" vertical="center" wrapText="1"/>
    </xf>
    <xf numFmtId="168" fontId="11" fillId="4" borderId="8" xfId="2" applyNumberFormat="1" applyFont="1" applyFill="1" applyBorder="1" applyAlignment="1">
      <alignment horizontal="right" vertical="center" wrapText="1"/>
    </xf>
    <xf numFmtId="167" fontId="12" fillId="4" borderId="8" xfId="5" applyNumberFormat="1" applyFont="1" applyFill="1" applyBorder="1" applyAlignment="1">
      <alignment horizontal="right" vertical="center" wrapText="1"/>
    </xf>
    <xf numFmtId="9" fontId="11" fillId="4" borderId="8" xfId="2" applyNumberFormat="1" applyFont="1" applyFill="1" applyBorder="1" applyAlignment="1">
      <alignment horizontal="right" vertical="center" wrapText="1"/>
    </xf>
    <xf numFmtId="9" fontId="11" fillId="6" borderId="0" xfId="2" applyNumberFormat="1" applyFont="1" applyFill="1"/>
    <xf numFmtId="167" fontId="12" fillId="4" borderId="0" xfId="5" applyNumberFormat="1" applyFont="1" applyFill="1" applyBorder="1" applyAlignment="1"/>
    <xf numFmtId="167" fontId="11" fillId="4" borderId="0" xfId="5" applyNumberFormat="1" applyFont="1" applyFill="1" applyBorder="1"/>
    <xf numFmtId="167" fontId="14" fillId="6" borderId="0" xfId="5" applyNumberFormat="1" applyFont="1" applyFill="1" applyBorder="1" applyAlignment="1">
      <alignment horizontal="center" vertical="center" wrapText="1"/>
    </xf>
    <xf numFmtId="167" fontId="8" fillId="6" borderId="0" xfId="5" applyNumberFormat="1" applyFont="1" applyFill="1" applyBorder="1" applyAlignment="1">
      <alignment horizontal="center" vertical="center"/>
    </xf>
    <xf numFmtId="167" fontId="14" fillId="6" borderId="0" xfId="5" applyNumberFormat="1" applyFont="1" applyFill="1" applyBorder="1" applyAlignment="1">
      <alignment vertical="center" wrapText="1"/>
    </xf>
    <xf numFmtId="167" fontId="12" fillId="6" borderId="0" xfId="5" applyNumberFormat="1" applyFont="1" applyFill="1" applyBorder="1" applyAlignment="1">
      <alignment horizontal="center" vertical="center" wrapText="1"/>
    </xf>
    <xf numFmtId="10" fontId="12" fillId="6" borderId="0" xfId="7" applyNumberFormat="1" applyFont="1" applyFill="1" applyBorder="1" applyAlignment="1">
      <alignment vertical="center" wrapText="1"/>
    </xf>
    <xf numFmtId="0" fontId="8" fillId="0" borderId="0" xfId="0" applyFont="1" applyAlignment="1">
      <alignment vertical="top"/>
    </xf>
    <xf numFmtId="167" fontId="3" fillId="5" borderId="8" xfId="5" applyNumberFormat="1" applyFont="1" applyFill="1" applyBorder="1" applyAlignment="1">
      <alignment horizontal="center" vertical="center" wrapText="1"/>
    </xf>
    <xf numFmtId="0" fontId="15" fillId="0" borderId="0" xfId="0" applyFont="1"/>
    <xf numFmtId="0" fontId="8" fillId="0" borderId="0" xfId="0" applyFont="1" applyBorder="1" applyAlignment="1">
      <alignment horizontal="left" vertical="top" wrapText="1"/>
    </xf>
    <xf numFmtId="169" fontId="8" fillId="0" borderId="0" xfId="0" applyNumberFormat="1" applyFont="1"/>
    <xf numFmtId="168" fontId="8" fillId="0" borderId="0" xfId="2" applyNumberFormat="1" applyFont="1"/>
    <xf numFmtId="17" fontId="7" fillId="11" borderId="8" xfId="0" applyNumberFormat="1" applyFont="1" applyFill="1" applyBorder="1" applyAlignment="1">
      <alignment horizontal="left"/>
    </xf>
    <xf numFmtId="0" fontId="7" fillId="11" borderId="8" xfId="0" applyNumberFormat="1" applyFont="1" applyFill="1" applyBorder="1" applyAlignment="1">
      <alignment horizontal="left"/>
    </xf>
    <xf numFmtId="167" fontId="5" fillId="11" borderId="8" xfId="1" applyNumberFormat="1" applyFont="1" applyFill="1" applyBorder="1"/>
    <xf numFmtId="17" fontId="8" fillId="4" borderId="8" xfId="0" applyNumberFormat="1" applyFont="1" applyFill="1" applyBorder="1" applyAlignment="1">
      <alignment horizontal="left"/>
    </xf>
    <xf numFmtId="167" fontId="6" fillId="4" borderId="8" xfId="1" applyNumberFormat="1" applyFont="1" applyFill="1" applyBorder="1"/>
    <xf numFmtId="167" fontId="8" fillId="4" borderId="8" xfId="1" applyNumberFormat="1" applyFont="1" applyFill="1" applyBorder="1"/>
    <xf numFmtId="167" fontId="8" fillId="4" borderId="8" xfId="1" applyNumberFormat="1" applyFont="1" applyFill="1" applyBorder="1" applyAlignment="1">
      <alignment horizontal="right"/>
    </xf>
    <xf numFmtId="17" fontId="8" fillId="0" borderId="8" xfId="0" applyNumberFormat="1" applyFont="1" applyBorder="1" applyAlignment="1">
      <alignment horizontal="left"/>
    </xf>
    <xf numFmtId="17" fontId="8" fillId="4" borderId="23" xfId="0" applyNumberFormat="1" applyFont="1" applyFill="1" applyBorder="1" applyAlignment="1">
      <alignment horizontal="left"/>
    </xf>
    <xf numFmtId="167" fontId="7" fillId="3" borderId="8" xfId="0" applyNumberFormat="1" applyFont="1" applyFill="1" applyBorder="1"/>
    <xf numFmtId="0" fontId="7" fillId="3" borderId="8" xfId="0" applyNumberFormat="1" applyFont="1" applyFill="1" applyBorder="1" applyAlignment="1">
      <alignment horizontal="left"/>
    </xf>
    <xf numFmtId="167" fontId="7" fillId="3" borderId="8" xfId="0" applyNumberFormat="1" applyFont="1" applyFill="1" applyBorder="1" applyAlignment="1"/>
    <xf numFmtId="3" fontId="8" fillId="8" borderId="8" xfId="0" applyNumberFormat="1" applyFont="1" applyFill="1" applyBorder="1" applyAlignment="1">
      <alignment horizontal="center" vertical="center"/>
    </xf>
    <xf numFmtId="0" fontId="8" fillId="8" borderId="8" xfId="0" applyFont="1" applyFill="1" applyBorder="1" applyAlignment="1">
      <alignment horizontal="center" vertical="center"/>
    </xf>
    <xf numFmtId="0" fontId="8" fillId="4" borderId="8" xfId="0" applyFont="1" applyFill="1" applyBorder="1" applyAlignment="1">
      <alignment horizontal="center" vertical="center"/>
    </xf>
    <xf numFmtId="3" fontId="8" fillId="4" borderId="8" xfId="0" applyNumberFormat="1" applyFont="1" applyFill="1" applyBorder="1" applyAlignment="1">
      <alignment horizontal="center" vertical="center"/>
    </xf>
    <xf numFmtId="0" fontId="8" fillId="0" borderId="0" xfId="0" applyFont="1" applyAlignment="1"/>
    <xf numFmtId="0" fontId="8" fillId="0" borderId="0" xfId="0" applyFont="1" applyBorder="1" applyAlignment="1">
      <alignment vertical="top" wrapText="1"/>
    </xf>
    <xf numFmtId="0" fontId="8" fillId="13" borderId="0" xfId="0" applyFont="1" applyFill="1"/>
    <xf numFmtId="0" fontId="0" fillId="13" borderId="0" xfId="0" applyFill="1"/>
    <xf numFmtId="0" fontId="10" fillId="0" borderId="0" xfId="6" applyAlignment="1" applyProtection="1"/>
    <xf numFmtId="167" fontId="13" fillId="6" borderId="0" xfId="5" applyNumberFormat="1" applyFont="1" applyFill="1" applyBorder="1"/>
    <xf numFmtId="0" fontId="13" fillId="0" borderId="0" xfId="0" applyFont="1"/>
    <xf numFmtId="0" fontId="21" fillId="0" borderId="0" xfId="0" applyFont="1"/>
    <xf numFmtId="0" fontId="20" fillId="0" borderId="0" xfId="0" applyFont="1" applyBorder="1"/>
    <xf numFmtId="0" fontId="10" fillId="0" borderId="0" xfId="6" quotePrefix="1" applyFont="1" applyBorder="1" applyAlignment="1" applyProtection="1">
      <alignment vertical="top"/>
    </xf>
    <xf numFmtId="0" fontId="10" fillId="0" borderId="0" xfId="6" quotePrefix="1" applyFont="1" applyFill="1" applyBorder="1" applyAlignment="1" applyProtection="1"/>
    <xf numFmtId="0" fontId="10" fillId="0" borderId="0" xfId="6" quotePrefix="1" applyFont="1" applyAlignment="1" applyProtection="1"/>
    <xf numFmtId="0" fontId="20" fillId="0" borderId="0" xfId="0" applyFont="1"/>
    <xf numFmtId="0" fontId="15" fillId="0" borderId="0" xfId="0" applyFont="1" applyAlignment="1">
      <alignment vertical="center" wrapText="1"/>
    </xf>
    <xf numFmtId="0" fontId="20" fillId="13" borderId="0" xfId="0" applyFont="1" applyFill="1"/>
    <xf numFmtId="0" fontId="22" fillId="0" borderId="0" xfId="0" applyFont="1"/>
    <xf numFmtId="0" fontId="15" fillId="0" borderId="33" xfId="0" applyFont="1" applyBorder="1"/>
    <xf numFmtId="0" fontId="22" fillId="0" borderId="40" xfId="0" applyFont="1" applyBorder="1"/>
    <xf numFmtId="0" fontId="22" fillId="0" borderId="12" xfId="0" applyFont="1" applyBorder="1"/>
    <xf numFmtId="0" fontId="22" fillId="0" borderId="41" xfId="0" applyFont="1" applyBorder="1"/>
    <xf numFmtId="0" fontId="22" fillId="0" borderId="20" xfId="0" applyFont="1" applyBorder="1"/>
    <xf numFmtId="0" fontId="23" fillId="0" borderId="0" xfId="6" applyFont="1" applyAlignment="1" applyProtection="1"/>
    <xf numFmtId="0" fontId="25" fillId="0" borderId="0" xfId="6" applyFont="1" applyAlignment="1" applyProtection="1"/>
    <xf numFmtId="0" fontId="15" fillId="0" borderId="0" xfId="0" applyFont="1" applyFill="1" applyBorder="1"/>
    <xf numFmtId="0" fontId="25" fillId="0" borderId="0" xfId="6" quotePrefix="1" applyFont="1" applyAlignment="1" applyProtection="1"/>
    <xf numFmtId="0" fontId="22" fillId="0" borderId="39" xfId="0" applyFont="1" applyBorder="1"/>
    <xf numFmtId="0" fontId="22" fillId="0" borderId="0" xfId="0" applyFont="1" applyBorder="1"/>
    <xf numFmtId="0" fontId="22" fillId="0" borderId="14" xfId="0" applyFont="1" applyBorder="1"/>
    <xf numFmtId="0" fontId="22" fillId="0" borderId="22" xfId="0" applyFont="1" applyBorder="1"/>
    <xf numFmtId="0" fontId="17" fillId="0" borderId="0" xfId="0" applyFont="1" applyAlignment="1">
      <alignment horizontal="left" vertical="center"/>
    </xf>
    <xf numFmtId="0" fontId="26" fillId="0" borderId="0" xfId="6" applyFont="1" applyAlignment="1" applyProtection="1"/>
    <xf numFmtId="0" fontId="27" fillId="0" borderId="0" xfId="6" applyFont="1" applyAlignment="1" applyProtection="1"/>
    <xf numFmtId="0" fontId="28" fillId="0" borderId="0" xfId="6" applyFont="1" applyAlignment="1" applyProtection="1"/>
    <xf numFmtId="0" fontId="30" fillId="0" borderId="8" xfId="9" applyFont="1" applyBorder="1" applyAlignment="1">
      <alignment horizontal="center" vertical="center"/>
    </xf>
    <xf numFmtId="0" fontId="30" fillId="0" borderId="8" xfId="10" applyFont="1" applyBorder="1" applyAlignment="1">
      <alignment horizontal="center" vertical="center"/>
    </xf>
    <xf numFmtId="167" fontId="3" fillId="5" borderId="8" xfId="5" applyNumberFormat="1" applyFont="1" applyFill="1" applyBorder="1" applyAlignment="1">
      <alignment horizontal="center" vertical="center" wrapText="1"/>
    </xf>
    <xf numFmtId="17" fontId="22" fillId="0" borderId="8" xfId="0" applyNumberFormat="1" applyFont="1" applyBorder="1" applyAlignment="1">
      <alignment horizontal="left"/>
    </xf>
    <xf numFmtId="17" fontId="32" fillId="0" borderId="8" xfId="0" applyNumberFormat="1" applyFont="1" applyFill="1" applyBorder="1" applyAlignment="1">
      <alignment horizontal="left" vertical="center"/>
    </xf>
    <xf numFmtId="3" fontId="32" fillId="0" borderId="8" xfId="0" applyNumberFormat="1" applyFont="1" applyFill="1" applyBorder="1" applyAlignment="1">
      <alignment horizontal="right" vertical="center"/>
    </xf>
    <xf numFmtId="3" fontId="32" fillId="0" borderId="8" xfId="0" applyNumberFormat="1" applyFont="1" applyBorder="1" applyAlignment="1">
      <alignment horizontal="right" vertical="center"/>
    </xf>
    <xf numFmtId="0" fontId="34" fillId="7" borderId="8" xfId="0" applyFont="1" applyFill="1" applyBorder="1" applyAlignment="1">
      <alignment horizontal="left" vertical="center"/>
    </xf>
    <xf numFmtId="3" fontId="34" fillId="3" borderId="8" xfId="0" applyNumberFormat="1" applyFont="1" applyFill="1" applyBorder="1" applyAlignment="1">
      <alignment horizontal="right" vertical="center"/>
    </xf>
    <xf numFmtId="0" fontId="11" fillId="0" borderId="8" xfId="10" applyFont="1" applyBorder="1" applyAlignment="1">
      <alignment horizontal="right"/>
    </xf>
    <xf numFmtId="3" fontId="8" fillId="0" borderId="8" xfId="13" applyNumberFormat="1" applyFont="1" applyBorder="1" applyAlignment="1">
      <alignment horizontal="right"/>
    </xf>
    <xf numFmtId="3" fontId="6" fillId="0" borderId="8" xfId="13" applyNumberFormat="1" applyFont="1" applyBorder="1" applyAlignment="1">
      <alignment horizontal="right"/>
    </xf>
    <xf numFmtId="3" fontId="8" fillId="0" borderId="8" xfId="10" applyNumberFormat="1" applyFont="1" applyBorder="1" applyAlignment="1">
      <alignment horizontal="right"/>
    </xf>
    <xf numFmtId="3" fontId="6" fillId="0" borderId="8" xfId="10" applyNumberFormat="1" applyFont="1" applyBorder="1" applyAlignment="1">
      <alignment horizontal="right"/>
    </xf>
    <xf numFmtId="0" fontId="15" fillId="4" borderId="8" xfId="0" applyNumberFormat="1" applyFont="1" applyFill="1" applyBorder="1" applyAlignment="1">
      <alignment horizontal="left"/>
    </xf>
    <xf numFmtId="167" fontId="15" fillId="0" borderId="8" xfId="1" applyNumberFormat="1" applyFont="1" applyBorder="1"/>
    <xf numFmtId="0" fontId="0" fillId="0" borderId="0" xfId="0" applyFont="1" applyBorder="1" applyAlignment="1">
      <alignment horizontal="left" vertical="top" wrapText="1"/>
    </xf>
    <xf numFmtId="0" fontId="3" fillId="5" borderId="8" xfId="0" applyNumberFormat="1" applyFont="1" applyFill="1" applyBorder="1" applyAlignment="1">
      <alignment horizontal="center" vertical="center" wrapText="1"/>
    </xf>
    <xf numFmtId="0" fontId="3" fillId="5" borderId="8" xfId="0" applyFont="1" applyFill="1" applyBorder="1" applyAlignment="1">
      <alignment horizontal="center" vertical="center" wrapText="1"/>
    </xf>
    <xf numFmtId="167" fontId="7" fillId="3" borderId="20" xfId="1" applyNumberFormat="1" applyFont="1" applyFill="1" applyBorder="1"/>
    <xf numFmtId="167" fontId="7" fillId="0" borderId="20" xfId="1" applyNumberFormat="1" applyFont="1" applyFill="1" applyBorder="1"/>
    <xf numFmtId="0" fontId="34" fillId="7" borderId="8" xfId="0" applyFont="1" applyFill="1" applyBorder="1" applyAlignment="1">
      <alignment horizontal="left" vertical="center" wrapText="1"/>
    </xf>
    <xf numFmtId="0" fontId="32" fillId="7" borderId="8" xfId="0" applyFont="1" applyFill="1" applyBorder="1" applyAlignment="1">
      <alignment horizontal="center" vertical="center" wrapText="1"/>
    </xf>
    <xf numFmtId="3" fontId="34" fillId="7" borderId="8" xfId="0" applyNumberFormat="1" applyFont="1" applyFill="1" applyBorder="1" applyAlignment="1">
      <alignment horizontal="right" vertical="center" wrapText="1"/>
    </xf>
    <xf numFmtId="17" fontId="32" fillId="0" borderId="8" xfId="0" applyNumberFormat="1" applyFont="1" applyBorder="1" applyAlignment="1">
      <alignment horizontal="left" vertical="center"/>
    </xf>
    <xf numFmtId="0" fontId="32" fillId="0" borderId="8" xfId="0" applyFont="1" applyBorder="1" applyAlignment="1">
      <alignment horizontal="right" vertical="center"/>
    </xf>
    <xf numFmtId="3" fontId="32" fillId="8" borderId="8" xfId="0" applyNumberFormat="1" applyFont="1" applyFill="1" applyBorder="1" applyAlignment="1">
      <alignment horizontal="right" vertical="center"/>
    </xf>
    <xf numFmtId="0" fontId="32" fillId="8" borderId="8" xfId="0" applyFont="1" applyFill="1" applyBorder="1" applyAlignment="1">
      <alignment horizontal="right" vertical="center"/>
    </xf>
    <xf numFmtId="3" fontId="34" fillId="7" borderId="8" xfId="0" applyNumberFormat="1" applyFont="1" applyFill="1" applyBorder="1" applyAlignment="1">
      <alignment horizontal="right" vertical="center"/>
    </xf>
    <xf numFmtId="167" fontId="8" fillId="11" borderId="8" xfId="1" applyNumberFormat="1" applyFont="1" applyFill="1" applyBorder="1"/>
    <xf numFmtId="17" fontId="15" fillId="4" borderId="8" xfId="0" applyNumberFormat="1" applyFont="1" applyFill="1" applyBorder="1" applyAlignment="1">
      <alignment horizontal="left"/>
    </xf>
    <xf numFmtId="167" fontId="15" fillId="4" borderId="8" xfId="1" applyNumberFormat="1" applyFont="1" applyFill="1" applyBorder="1"/>
    <xf numFmtId="17" fontId="22" fillId="4" borderId="8" xfId="0" applyNumberFormat="1" applyFont="1" applyFill="1" applyBorder="1" applyAlignment="1">
      <alignment horizontal="left"/>
    </xf>
    <xf numFmtId="167" fontId="22" fillId="4" borderId="8" xfId="1" applyNumberFormat="1" applyFont="1" applyFill="1" applyBorder="1"/>
    <xf numFmtId="167" fontId="22" fillId="0" borderId="8" xfId="1" applyNumberFormat="1" applyFont="1" applyFill="1" applyBorder="1"/>
    <xf numFmtId="0" fontId="22" fillId="0" borderId="8" xfId="0" applyFont="1" applyBorder="1"/>
    <xf numFmtId="167" fontId="15" fillId="0" borderId="8" xfId="0" applyNumberFormat="1" applyFont="1" applyFill="1" applyBorder="1"/>
    <xf numFmtId="17" fontId="22" fillId="0" borderId="8" xfId="0" applyNumberFormat="1" applyFont="1" applyFill="1" applyBorder="1" applyAlignment="1">
      <alignment horizontal="left"/>
    </xf>
    <xf numFmtId="167" fontId="15" fillId="0" borderId="8" xfId="1" applyNumberFormat="1" applyFont="1" applyFill="1" applyBorder="1"/>
    <xf numFmtId="0" fontId="15" fillId="0" borderId="8" xfId="0" applyFont="1" applyBorder="1"/>
    <xf numFmtId="0" fontId="40" fillId="5" borderId="8" xfId="0" applyFont="1" applyFill="1" applyBorder="1" applyAlignment="1">
      <alignment horizontal="center" vertical="center"/>
    </xf>
    <xf numFmtId="0" fontId="40" fillId="5" borderId="8" xfId="0" applyFont="1" applyFill="1" applyBorder="1" applyAlignment="1">
      <alignment horizontal="center"/>
    </xf>
    <xf numFmtId="0" fontId="6" fillId="14" borderId="8" xfId="0" applyFont="1" applyFill="1" applyBorder="1" applyAlignment="1">
      <alignment horizontal="center" vertical="center" wrapText="1"/>
    </xf>
    <xf numFmtId="167" fontId="8" fillId="4" borderId="8" xfId="1" applyNumberFormat="1" applyFont="1" applyFill="1" applyBorder="1"/>
    <xf numFmtId="0" fontId="8" fillId="0" borderId="0" xfId="0" applyFont="1"/>
    <xf numFmtId="167" fontId="7" fillId="11" borderId="8" xfId="1" applyNumberFormat="1" applyFont="1" applyFill="1" applyBorder="1"/>
    <xf numFmtId="17" fontId="7" fillId="12" borderId="8" xfId="0" applyNumberFormat="1" applyFont="1" applyFill="1" applyBorder="1" applyAlignment="1">
      <alignment horizontal="left"/>
    </xf>
    <xf numFmtId="167" fontId="7" fillId="12" borderId="8" xfId="0" applyNumberFormat="1" applyFont="1" applyFill="1" applyBorder="1"/>
    <xf numFmtId="0" fontId="8" fillId="0" borderId="0" xfId="0" applyFont="1"/>
    <xf numFmtId="17" fontId="8" fillId="0" borderId="8" xfId="0" applyNumberFormat="1" applyFont="1" applyBorder="1" applyAlignment="1">
      <alignment horizontal="left"/>
    </xf>
    <xf numFmtId="167" fontId="22" fillId="0" borderId="8" xfId="1" applyNumberFormat="1" applyFont="1" applyBorder="1"/>
    <xf numFmtId="17" fontId="8" fillId="4" borderId="8" xfId="0" applyNumberFormat="1" applyFont="1" applyFill="1" applyBorder="1" applyAlignment="1">
      <alignment horizontal="left"/>
    </xf>
    <xf numFmtId="0" fontId="8" fillId="0" borderId="0" xfId="0" applyFont="1"/>
    <xf numFmtId="17" fontId="8" fillId="8" borderId="8" xfId="0" applyNumberFormat="1" applyFont="1" applyFill="1" applyBorder="1" applyAlignment="1">
      <alignment horizontal="left" vertical="center"/>
    </xf>
    <xf numFmtId="167" fontId="7" fillId="12" borderId="8" xfId="0" applyNumberFormat="1" applyFont="1" applyFill="1" applyBorder="1" applyAlignment="1">
      <alignment horizontal="right"/>
    </xf>
    <xf numFmtId="3" fontId="6" fillId="0" borderId="8" xfId="10" applyNumberFormat="1" applyFont="1" applyBorder="1" applyAlignment="1">
      <alignment horizontal="right"/>
    </xf>
    <xf numFmtId="3" fontId="8" fillId="0" borderId="8" xfId="10" applyNumberFormat="1" applyFont="1" applyBorder="1" applyAlignment="1">
      <alignment horizontal="right"/>
    </xf>
    <xf numFmtId="3" fontId="6" fillId="0" borderId="8" xfId="10" applyNumberFormat="1" applyFont="1" applyBorder="1" applyAlignment="1">
      <alignment horizontal="center"/>
    </xf>
    <xf numFmtId="0" fontId="6" fillId="0" borderId="8" xfId="10" applyFont="1" applyBorder="1" applyAlignment="1">
      <alignment horizontal="center" vertical="center"/>
    </xf>
    <xf numFmtId="3" fontId="18" fillId="8" borderId="8" xfId="14" applyNumberFormat="1" applyFont="1" applyFill="1" applyBorder="1" applyAlignment="1">
      <alignment horizontal="center" wrapText="1"/>
    </xf>
    <xf numFmtId="0" fontId="16" fillId="5" borderId="8" xfId="0" applyFont="1" applyFill="1" applyBorder="1" applyAlignment="1">
      <alignment horizontal="center" vertical="center"/>
    </xf>
    <xf numFmtId="0" fontId="16" fillId="5" borderId="8" xfId="0" applyFont="1" applyFill="1" applyBorder="1" applyAlignment="1">
      <alignment horizontal="center" vertical="center" wrapText="1"/>
    </xf>
    <xf numFmtId="3" fontId="8" fillId="0" borderId="8" xfId="12" applyNumberFormat="1" applyFont="1" applyBorder="1"/>
    <xf numFmtId="3" fontId="8" fillId="0" borderId="24" xfId="15" applyNumberFormat="1" applyFont="1" applyBorder="1"/>
    <xf numFmtId="3" fontId="8" fillId="0" borderId="8" xfId="15" applyNumberFormat="1" applyFont="1" applyBorder="1"/>
    <xf numFmtId="3" fontId="8" fillId="0" borderId="8" xfId="49" applyNumberFormat="1" applyFont="1" applyBorder="1"/>
    <xf numFmtId="167" fontId="5" fillId="3" borderId="28" xfId="3" applyNumberFormat="1" applyFont="1" applyFill="1" applyBorder="1" applyAlignment="1">
      <alignment horizontal="left" vertical="center" wrapText="1"/>
    </xf>
    <xf numFmtId="167" fontId="7" fillId="3" borderId="28" xfId="3" applyNumberFormat="1" applyFont="1" applyFill="1" applyBorder="1" applyAlignment="1">
      <alignment horizontal="left" vertical="center" wrapText="1"/>
    </xf>
    <xf numFmtId="167" fontId="5" fillId="3" borderId="28" xfId="3" applyNumberFormat="1" applyFont="1" applyFill="1" applyBorder="1" applyAlignment="1">
      <alignment vertical="center" wrapText="1"/>
    </xf>
    <xf numFmtId="167" fontId="6" fillId="3" borderId="8" xfId="3" applyNumberFormat="1" applyFont="1" applyFill="1" applyBorder="1" applyAlignment="1">
      <alignment horizontal="center" vertical="center"/>
    </xf>
    <xf numFmtId="167" fontId="6" fillId="3" borderId="60" xfId="3" applyNumberFormat="1" applyFont="1" applyFill="1" applyBorder="1" applyAlignment="1">
      <alignment horizontal="center" vertical="center"/>
    </xf>
    <xf numFmtId="0" fontId="35" fillId="5" borderId="8" xfId="0" applyFont="1" applyFill="1" applyBorder="1" applyAlignment="1">
      <alignment horizontal="center" vertical="center" wrapText="1"/>
    </xf>
    <xf numFmtId="167" fontId="4" fillId="5" borderId="26" xfId="3" applyNumberFormat="1" applyFont="1" applyFill="1" applyBorder="1" applyAlignment="1">
      <alignment horizontal="center" vertical="center"/>
    </xf>
    <xf numFmtId="167" fontId="4" fillId="5" borderId="27" xfId="3" applyNumberFormat="1" applyFont="1" applyFill="1" applyBorder="1" applyAlignment="1">
      <alignment horizontal="center" vertical="center"/>
    </xf>
    <xf numFmtId="167" fontId="3" fillId="5" borderId="27" xfId="3" applyNumberFormat="1" applyFont="1" applyFill="1" applyBorder="1" applyAlignment="1">
      <alignment horizontal="center" vertical="center" wrapText="1"/>
    </xf>
    <xf numFmtId="167" fontId="3" fillId="5" borderId="61" xfId="3" applyNumberFormat="1" applyFont="1" applyFill="1" applyBorder="1" applyAlignment="1">
      <alignment horizontal="center" vertical="center" wrapText="1"/>
    </xf>
    <xf numFmtId="3" fontId="34" fillId="9" borderId="8" xfId="0" applyNumberFormat="1" applyFont="1" applyFill="1" applyBorder="1" applyAlignment="1">
      <alignment horizontal="right" vertical="center"/>
    </xf>
    <xf numFmtId="168" fontId="12" fillId="0" borderId="8" xfId="2" applyNumberFormat="1" applyFont="1" applyFill="1" applyBorder="1" applyAlignment="1">
      <alignment vertical="center" wrapText="1"/>
    </xf>
    <xf numFmtId="168" fontId="11" fillId="0" borderId="8" xfId="2" applyNumberFormat="1" applyFont="1" applyFill="1" applyBorder="1" applyAlignment="1">
      <alignment vertical="center" wrapText="1"/>
    </xf>
    <xf numFmtId="17" fontId="18" fillId="0" borderId="8" xfId="0" applyNumberFormat="1" applyFont="1" applyBorder="1" applyAlignment="1">
      <alignment horizontal="left" vertical="center"/>
    </xf>
    <xf numFmtId="3" fontId="8" fillId="0" borderId="8" xfId="192" applyNumberFormat="1" applyFont="1" applyBorder="1"/>
    <xf numFmtId="17" fontId="17" fillId="3" borderId="8" xfId="0" applyNumberFormat="1" applyFont="1" applyFill="1" applyBorder="1" applyAlignment="1">
      <alignment horizontal="left" vertical="center"/>
    </xf>
    <xf numFmtId="3" fontId="18" fillId="3" borderId="8" xfId="0" applyNumberFormat="1" applyFont="1" applyFill="1" applyBorder="1" applyAlignment="1">
      <alignment horizontal="right" vertical="center"/>
    </xf>
    <xf numFmtId="0" fontId="17" fillId="10" borderId="8" xfId="0" applyFont="1" applyFill="1" applyBorder="1" applyAlignment="1">
      <alignment horizontal="left" vertical="center"/>
    </xf>
    <xf numFmtId="3" fontId="17" fillId="10" borderId="8" xfId="0" applyNumberFormat="1" applyFont="1" applyFill="1" applyBorder="1" applyAlignment="1">
      <alignment horizontal="right" vertical="center"/>
    </xf>
    <xf numFmtId="3" fontId="6" fillId="0" borderId="8" xfId="241" applyNumberFormat="1" applyFont="1" applyBorder="1" applyAlignment="1">
      <alignment horizontal="center"/>
    </xf>
    <xf numFmtId="3" fontId="18" fillId="8" borderId="68" xfId="241" applyNumberFormat="1" applyFont="1" applyFill="1" applyBorder="1" applyAlignment="1">
      <alignment horizontal="center" wrapText="1"/>
    </xf>
    <xf numFmtId="167" fontId="6" fillId="0" borderId="31" xfId="3" applyNumberFormat="1" applyFont="1" applyFill="1" applyBorder="1" applyAlignment="1">
      <alignment horizontal="center" vertical="center" wrapText="1"/>
    </xf>
    <xf numFmtId="167" fontId="6" fillId="0" borderId="62" xfId="3" applyNumberFormat="1" applyFont="1" applyFill="1" applyBorder="1" applyAlignment="1">
      <alignment horizontal="center" vertical="center" wrapText="1"/>
    </xf>
    <xf numFmtId="167" fontId="6" fillId="0" borderId="56" xfId="3" applyNumberFormat="1" applyFont="1" applyFill="1" applyBorder="1" applyAlignment="1">
      <alignment horizontal="center" vertical="center" wrapText="1"/>
    </xf>
    <xf numFmtId="10" fontId="6" fillId="0" borderId="56" xfId="2" applyNumberFormat="1" applyFont="1" applyFill="1" applyBorder="1" applyAlignment="1">
      <alignment horizontal="center" vertical="center" wrapText="1"/>
    </xf>
    <xf numFmtId="167" fontId="6" fillId="0" borderId="63" xfId="3" applyNumberFormat="1" applyFont="1" applyFill="1" applyBorder="1" applyAlignment="1">
      <alignment horizontal="center" vertical="center" wrapText="1"/>
    </xf>
    <xf numFmtId="167" fontId="6" fillId="0" borderId="10" xfId="3" applyNumberFormat="1" applyFont="1" applyFill="1" applyBorder="1" applyAlignment="1">
      <alignment horizontal="center" vertical="center" wrapText="1"/>
    </xf>
    <xf numFmtId="167" fontId="6" fillId="0" borderId="8" xfId="3" applyNumberFormat="1" applyFont="1" applyFill="1" applyBorder="1" applyAlignment="1">
      <alignment horizontal="center" vertical="center" wrapText="1"/>
    </xf>
    <xf numFmtId="167" fontId="6" fillId="0" borderId="23" xfId="3" applyNumberFormat="1" applyFont="1" applyFill="1" applyBorder="1" applyAlignment="1">
      <alignment horizontal="center" vertical="center" wrapText="1"/>
    </xf>
    <xf numFmtId="10" fontId="6" fillId="0" borderId="23" xfId="2" applyNumberFormat="1" applyFont="1" applyFill="1" applyBorder="1" applyAlignment="1">
      <alignment horizontal="center" vertical="center" wrapText="1"/>
    </xf>
    <xf numFmtId="167" fontId="6" fillId="0" borderId="9" xfId="3" applyNumberFormat="1" applyFont="1" applyFill="1" applyBorder="1" applyAlignment="1">
      <alignment horizontal="center" vertical="center" wrapText="1"/>
    </xf>
    <xf numFmtId="167" fontId="5" fillId="45" borderId="52" xfId="3" applyNumberFormat="1" applyFont="1" applyFill="1" applyBorder="1" applyAlignment="1">
      <alignment horizontal="center" vertical="center" wrapText="1"/>
    </xf>
    <xf numFmtId="167" fontId="5" fillId="45" borderId="53" xfId="3" applyNumberFormat="1" applyFont="1" applyFill="1" applyBorder="1" applyAlignment="1">
      <alignment horizontal="center" vertical="center" wrapText="1"/>
    </xf>
    <xf numFmtId="167" fontId="5" fillId="45" borderId="57" xfId="3" applyNumberFormat="1" applyFont="1" applyFill="1" applyBorder="1" applyAlignment="1">
      <alignment horizontal="center" vertical="center" wrapText="1"/>
    </xf>
    <xf numFmtId="10" fontId="5" fillId="45" borderId="57" xfId="2" applyNumberFormat="1" applyFont="1" applyFill="1" applyBorder="1" applyAlignment="1">
      <alignment horizontal="center" vertical="center" wrapText="1"/>
    </xf>
    <xf numFmtId="167" fontId="5" fillId="45" borderId="54" xfId="3" applyNumberFormat="1" applyFont="1" applyFill="1" applyBorder="1" applyAlignment="1">
      <alignment horizontal="center" vertical="center" wrapText="1"/>
    </xf>
    <xf numFmtId="9" fontId="5" fillId="0" borderId="34" xfId="2" applyFont="1" applyFill="1" applyBorder="1" applyAlignment="1">
      <alignment horizontal="center" vertical="center" wrapText="1"/>
    </xf>
    <xf numFmtId="9" fontId="5" fillId="0" borderId="35" xfId="2" applyFont="1" applyFill="1" applyBorder="1" applyAlignment="1">
      <alignment horizontal="center" vertical="center" wrapText="1"/>
    </xf>
    <xf numFmtId="9" fontId="5" fillId="0" borderId="37" xfId="2" applyFont="1" applyFill="1" applyBorder="1" applyAlignment="1">
      <alignment horizontal="center" vertical="center" wrapText="1"/>
    </xf>
    <xf numFmtId="9" fontId="5" fillId="0" borderId="66" xfId="2" applyFont="1" applyFill="1" applyBorder="1" applyAlignment="1">
      <alignment horizontal="center" vertical="center" wrapText="1"/>
    </xf>
    <xf numFmtId="9" fontId="5" fillId="0" borderId="36" xfId="2" applyFont="1" applyFill="1" applyBorder="1" applyAlignment="1">
      <alignment horizontal="center" vertical="center" wrapText="1"/>
    </xf>
    <xf numFmtId="167" fontId="6" fillId="4" borderId="29" xfId="3" applyNumberFormat="1" applyFont="1" applyFill="1" applyBorder="1" applyAlignment="1">
      <alignment horizontal="center" vertical="center" wrapText="1"/>
    </xf>
    <xf numFmtId="167" fontId="6" fillId="4" borderId="21" xfId="3" applyNumberFormat="1" applyFont="1" applyFill="1" applyBorder="1" applyAlignment="1">
      <alignment horizontal="center" vertical="center" wrapText="1"/>
    </xf>
    <xf numFmtId="167" fontId="6" fillId="4" borderId="55" xfId="3" applyNumberFormat="1" applyFont="1" applyFill="1" applyBorder="1" applyAlignment="1">
      <alignment horizontal="center" vertical="center" wrapText="1"/>
    </xf>
    <xf numFmtId="10" fontId="6" fillId="4" borderId="55" xfId="2" applyNumberFormat="1" applyFont="1" applyFill="1" applyBorder="1" applyAlignment="1">
      <alignment horizontal="center" vertical="center" wrapText="1"/>
    </xf>
    <xf numFmtId="167" fontId="6" fillId="4" borderId="10" xfId="3" applyNumberFormat="1" applyFont="1" applyFill="1" applyBorder="1" applyAlignment="1">
      <alignment horizontal="center" vertical="center" wrapText="1"/>
    </xf>
    <xf numFmtId="167" fontId="6" fillId="4" borderId="8" xfId="3" applyNumberFormat="1" applyFont="1" applyFill="1" applyBorder="1" applyAlignment="1">
      <alignment horizontal="center" vertical="center" wrapText="1"/>
    </xf>
    <xf numFmtId="167" fontId="6" fillId="4" borderId="9" xfId="3" applyNumberFormat="1" applyFont="1" applyFill="1" applyBorder="1" applyAlignment="1">
      <alignment horizontal="center" vertical="center" wrapText="1"/>
    </xf>
    <xf numFmtId="10" fontId="6" fillId="4" borderId="9" xfId="2" applyNumberFormat="1" applyFont="1" applyFill="1" applyBorder="1" applyAlignment="1">
      <alignment horizontal="center" vertical="center" wrapText="1"/>
    </xf>
    <xf numFmtId="9" fontId="5" fillId="0" borderId="52" xfId="2" applyFont="1" applyFill="1" applyBorder="1" applyAlignment="1">
      <alignment horizontal="center" vertical="center" wrapText="1"/>
    </xf>
    <xf numFmtId="9" fontId="5" fillId="0" borderId="53" xfId="2" applyFont="1" applyFill="1" applyBorder="1" applyAlignment="1">
      <alignment horizontal="center" vertical="center" wrapText="1"/>
    </xf>
    <xf numFmtId="9" fontId="5" fillId="0" borderId="54" xfId="2" applyFont="1" applyFill="1" applyBorder="1" applyAlignment="1">
      <alignment horizontal="center" vertical="center" wrapText="1"/>
    </xf>
    <xf numFmtId="0" fontId="3" fillId="5" borderId="8" xfId="0" applyFont="1" applyFill="1" applyBorder="1" applyAlignment="1">
      <alignment horizontal="center" vertical="center" wrapText="1"/>
    </xf>
    <xf numFmtId="0" fontId="17" fillId="7" borderId="8" xfId="0" applyFont="1" applyFill="1" applyBorder="1" applyAlignment="1">
      <alignment horizontal="left" vertical="center" wrapText="1"/>
    </xf>
    <xf numFmtId="3" fontId="17" fillId="3" borderId="8" xfId="0" applyNumberFormat="1" applyFont="1" applyFill="1" applyBorder="1" applyAlignment="1">
      <alignment horizontal="right" vertical="center"/>
    </xf>
    <xf numFmtId="0" fontId="17" fillId="3" borderId="8" xfId="0" applyFont="1" applyFill="1" applyBorder="1" applyAlignment="1">
      <alignment horizontal="left" vertical="center"/>
    </xf>
    <xf numFmtId="3" fontId="18" fillId="0" borderId="8" xfId="0" applyNumberFormat="1" applyFont="1" applyBorder="1" applyAlignment="1">
      <alignment horizontal="right" vertical="center"/>
    </xf>
    <xf numFmtId="0" fontId="18" fillId="0" borderId="8" xfId="0" applyFont="1" applyBorder="1" applyAlignment="1">
      <alignment horizontal="right" vertical="center"/>
    </xf>
    <xf numFmtId="3" fontId="18" fillId="0" borderId="8" xfId="0" applyNumberFormat="1" applyFont="1" applyFill="1" applyBorder="1" applyAlignment="1">
      <alignment horizontal="right" vertical="center"/>
    </xf>
    <xf numFmtId="0" fontId="18" fillId="0" borderId="0" xfId="0" applyFont="1" applyAlignment="1">
      <alignment vertical="center"/>
    </xf>
    <xf numFmtId="0" fontId="29" fillId="0" borderId="8" xfId="0" applyFont="1" applyBorder="1" applyAlignment="1">
      <alignment vertical="center"/>
    </xf>
    <xf numFmtId="3" fontId="39" fillId="0" borderId="8" xfId="0" applyNumberFormat="1" applyFont="1" applyBorder="1" applyAlignment="1">
      <alignment horizontal="right" vertical="center"/>
    </xf>
    <xf numFmtId="0" fontId="39" fillId="0" borderId="8" xfId="0" applyFont="1" applyBorder="1" applyAlignment="1">
      <alignment vertical="center"/>
    </xf>
    <xf numFmtId="0" fontId="31" fillId="9" borderId="8" xfId="0" applyFont="1" applyFill="1" applyBorder="1" applyAlignment="1">
      <alignment vertical="center"/>
    </xf>
    <xf numFmtId="3" fontId="38" fillId="9" borderId="8" xfId="0" applyNumberFormat="1" applyFont="1" applyFill="1" applyBorder="1" applyAlignment="1">
      <alignment horizontal="right" vertical="center"/>
    </xf>
    <xf numFmtId="0" fontId="38" fillId="9" borderId="8" xfId="0" applyFont="1" applyFill="1" applyBorder="1" applyAlignment="1">
      <alignment vertical="center"/>
    </xf>
    <xf numFmtId="0" fontId="18" fillId="0" borderId="0" xfId="0" applyFont="1" applyAlignment="1">
      <alignment horizontal="left" vertical="center"/>
    </xf>
    <xf numFmtId="0" fontId="18" fillId="0" borderId="0" xfId="0" applyFont="1" applyAlignment="1">
      <alignment horizontal="left" vertical="top"/>
    </xf>
    <xf numFmtId="0" fontId="5" fillId="0" borderId="1" xfId="0" applyFont="1" applyBorder="1" applyAlignment="1">
      <alignment horizontal="center"/>
    </xf>
    <xf numFmtId="0" fontId="5" fillId="0" borderId="2" xfId="0" applyFont="1" applyBorder="1" applyAlignment="1">
      <alignment horizontal="center"/>
    </xf>
    <xf numFmtId="0" fontId="5" fillId="0" borderId="3" xfId="0" applyFont="1" applyBorder="1" applyAlignment="1">
      <alignment horizontal="center"/>
    </xf>
    <xf numFmtId="167" fontId="3" fillId="5" borderId="8" xfId="5" applyNumberFormat="1" applyFont="1" applyFill="1" applyBorder="1" applyAlignment="1">
      <alignment horizontal="center" vertical="center" wrapText="1"/>
    </xf>
    <xf numFmtId="167" fontId="5" fillId="0" borderId="11" xfId="3" applyNumberFormat="1" applyFont="1" applyFill="1" applyBorder="1" applyAlignment="1">
      <alignment vertical="center" wrapText="1"/>
    </xf>
    <xf numFmtId="0" fontId="5" fillId="0" borderId="59" xfId="0" applyFont="1" applyBorder="1" applyAlignment="1">
      <alignment horizontal="center"/>
    </xf>
    <xf numFmtId="167" fontId="3" fillId="5" borderId="59" xfId="3" applyNumberFormat="1" applyFont="1" applyFill="1" applyBorder="1" applyAlignment="1">
      <alignment horizontal="center" vertical="center" wrapText="1"/>
    </xf>
    <xf numFmtId="9" fontId="5" fillId="0" borderId="70" xfId="2" applyFont="1" applyFill="1" applyBorder="1" applyAlignment="1">
      <alignment horizontal="center" vertical="center" wrapText="1"/>
    </xf>
    <xf numFmtId="0" fontId="5" fillId="0" borderId="0" xfId="0" applyFont="1" applyBorder="1" applyAlignment="1">
      <alignment horizontal="center"/>
    </xf>
    <xf numFmtId="9" fontId="5" fillId="0" borderId="69" xfId="2" applyFont="1" applyFill="1" applyBorder="1" applyAlignment="1">
      <alignment horizontal="center" vertical="center" wrapText="1"/>
    </xf>
    <xf numFmtId="167" fontId="6" fillId="3" borderId="71" xfId="3" applyNumberFormat="1" applyFont="1" applyFill="1" applyBorder="1" applyAlignment="1">
      <alignment horizontal="center" vertical="center"/>
    </xf>
    <xf numFmtId="167" fontId="7" fillId="3" borderId="21" xfId="1" applyNumberFormat="1" applyFont="1" applyFill="1" applyBorder="1"/>
    <xf numFmtId="167" fontId="7" fillId="3" borderId="72" xfId="1" applyNumberFormat="1" applyFont="1" applyFill="1" applyBorder="1"/>
    <xf numFmtId="167" fontId="7" fillId="0" borderId="21" xfId="1" applyNumberFormat="1" applyFont="1" applyFill="1" applyBorder="1"/>
    <xf numFmtId="167" fontId="7" fillId="0" borderId="72" xfId="1" applyNumberFormat="1" applyFont="1" applyFill="1" applyBorder="1"/>
    <xf numFmtId="167" fontId="3" fillId="5" borderId="21" xfId="3" applyNumberFormat="1" applyFont="1" applyFill="1" applyBorder="1" applyAlignment="1">
      <alignment horizontal="center" vertical="center" wrapText="1"/>
    </xf>
    <xf numFmtId="167" fontId="4" fillId="5" borderId="21" xfId="3" applyNumberFormat="1" applyFont="1" applyFill="1" applyBorder="1" applyAlignment="1">
      <alignment horizontal="center" vertical="center"/>
    </xf>
    <xf numFmtId="167" fontId="4" fillId="5" borderId="21" xfId="3" applyNumberFormat="1" applyFont="1" applyFill="1" applyBorder="1" applyAlignment="1">
      <alignment horizontal="center" vertical="center" wrapText="1"/>
    </xf>
    <xf numFmtId="0" fontId="3" fillId="5" borderId="73" xfId="3" applyNumberFormat="1" applyFont="1" applyFill="1" applyBorder="1" applyAlignment="1">
      <alignment horizontal="center" vertical="center" wrapText="1"/>
    </xf>
    <xf numFmtId="167" fontId="7" fillId="3" borderId="29" xfId="1" applyNumberFormat="1" applyFont="1" applyFill="1" applyBorder="1"/>
    <xf numFmtId="167" fontId="8" fillId="0" borderId="29" xfId="1" applyNumberFormat="1" applyFont="1" applyFill="1" applyBorder="1"/>
    <xf numFmtId="167" fontId="7" fillId="0" borderId="29" xfId="1" applyNumberFormat="1" applyFont="1" applyFill="1" applyBorder="1"/>
    <xf numFmtId="167" fontId="3" fillId="5" borderId="25" xfId="3" applyNumberFormat="1" applyFont="1" applyFill="1" applyBorder="1" applyAlignment="1">
      <alignment horizontal="center" vertical="center" wrapText="1"/>
    </xf>
    <xf numFmtId="167" fontId="3" fillId="5" borderId="3" xfId="3" applyNumberFormat="1" applyFont="1" applyFill="1" applyBorder="1" applyAlignment="1">
      <alignment horizontal="center" vertical="center" wrapText="1"/>
    </xf>
    <xf numFmtId="167" fontId="7" fillId="3" borderId="74" xfId="1" applyNumberFormat="1" applyFont="1" applyFill="1" applyBorder="1"/>
    <xf numFmtId="167" fontId="7" fillId="3" borderId="5" xfId="1" applyNumberFormat="1" applyFont="1" applyFill="1" applyBorder="1"/>
    <xf numFmtId="167" fontId="7" fillId="3" borderId="75" xfId="1" applyNumberFormat="1" applyFont="1" applyFill="1" applyBorder="1"/>
    <xf numFmtId="167" fontId="7" fillId="3" borderId="76" xfId="1" applyNumberFormat="1" applyFont="1" applyFill="1" applyBorder="1"/>
    <xf numFmtId="167" fontId="7" fillId="0" borderId="75" xfId="1" applyNumberFormat="1" applyFont="1" applyFill="1" applyBorder="1"/>
    <xf numFmtId="167" fontId="7" fillId="0" borderId="76" xfId="1" applyNumberFormat="1" applyFont="1" applyFill="1" applyBorder="1"/>
    <xf numFmtId="167" fontId="7" fillId="3" borderId="31" xfId="1" applyNumberFormat="1" applyFont="1" applyFill="1" applyBorder="1"/>
    <xf numFmtId="167" fontId="8" fillId="0" borderId="76" xfId="1" applyNumberFormat="1" applyFont="1" applyFill="1" applyBorder="1"/>
    <xf numFmtId="167" fontId="6" fillId="0" borderId="79" xfId="3" applyNumberFormat="1" applyFont="1" applyFill="1" applyBorder="1" applyAlignment="1">
      <alignment horizontal="center" vertical="center" wrapText="1"/>
    </xf>
    <xf numFmtId="167" fontId="6" fillId="0" borderId="7" xfId="3" applyNumberFormat="1" applyFont="1" applyFill="1" applyBorder="1" applyAlignment="1">
      <alignment horizontal="center" vertical="center" wrapText="1"/>
    </xf>
    <xf numFmtId="167" fontId="5" fillId="45" borderId="80" xfId="3" applyNumberFormat="1" applyFont="1" applyFill="1" applyBorder="1" applyAlignment="1">
      <alignment horizontal="center" vertical="center" wrapText="1"/>
    </xf>
    <xf numFmtId="167" fontId="3" fillId="5" borderId="81" xfId="3" applyNumberFormat="1" applyFont="1" applyFill="1" applyBorder="1" applyAlignment="1">
      <alignment horizontal="center" vertical="center" wrapText="1"/>
    </xf>
    <xf numFmtId="167" fontId="6" fillId="0" borderId="78" xfId="3" applyNumberFormat="1" applyFont="1" applyFill="1" applyBorder="1" applyAlignment="1">
      <alignment horizontal="center" vertical="center" wrapText="1"/>
    </xf>
    <xf numFmtId="167" fontId="6" fillId="0" borderId="82" xfId="3" applyNumberFormat="1" applyFont="1" applyFill="1" applyBorder="1" applyAlignment="1">
      <alignment horizontal="center" vertical="center" wrapText="1"/>
    </xf>
    <xf numFmtId="167" fontId="5" fillId="45" borderId="83" xfId="3" applyNumberFormat="1" applyFont="1" applyFill="1" applyBorder="1" applyAlignment="1">
      <alignment horizontal="center" vertical="center" wrapText="1"/>
    </xf>
    <xf numFmtId="9" fontId="5" fillId="0" borderId="25" xfId="2" applyFont="1" applyFill="1" applyBorder="1" applyAlignment="1">
      <alignment horizontal="center" vertical="center" wrapText="1"/>
    </xf>
    <xf numFmtId="9" fontId="5" fillId="0" borderId="17" xfId="2" applyFont="1" applyFill="1" applyBorder="1" applyAlignment="1">
      <alignment horizontal="center" vertical="center" wrapText="1"/>
    </xf>
    <xf numFmtId="9" fontId="5" fillId="0" borderId="19" xfId="2" applyFont="1" applyFill="1" applyBorder="1" applyAlignment="1">
      <alignment horizontal="center" vertical="center" wrapText="1"/>
    </xf>
    <xf numFmtId="167" fontId="4" fillId="5" borderId="31" xfId="3" applyNumberFormat="1" applyFont="1" applyFill="1" applyBorder="1" applyAlignment="1">
      <alignment horizontal="center" vertical="center"/>
    </xf>
    <xf numFmtId="167" fontId="4" fillId="5" borderId="62" xfId="3" applyNumberFormat="1" applyFont="1" applyFill="1" applyBorder="1" applyAlignment="1">
      <alignment horizontal="center" vertical="center"/>
    </xf>
    <xf numFmtId="167" fontId="3" fillId="5" borderId="62" xfId="3" applyNumberFormat="1" applyFont="1" applyFill="1" applyBorder="1" applyAlignment="1">
      <alignment horizontal="center" vertical="center"/>
    </xf>
    <xf numFmtId="167" fontId="3" fillId="5" borderId="77" xfId="3" applyNumberFormat="1" applyFont="1" applyFill="1" applyBorder="1" applyAlignment="1">
      <alignment horizontal="center" vertical="center" wrapText="1"/>
    </xf>
    <xf numFmtId="167" fontId="6" fillId="4" borderId="71" xfId="3" applyNumberFormat="1" applyFont="1" applyFill="1" applyBorder="1" applyAlignment="1">
      <alignment horizontal="center" vertical="center" wrapText="1"/>
    </xf>
    <xf numFmtId="167" fontId="5" fillId="45" borderId="85" xfId="3" applyNumberFormat="1" applyFont="1" applyFill="1" applyBorder="1" applyAlignment="1">
      <alignment horizontal="center" vertical="center" wrapText="1"/>
    </xf>
    <xf numFmtId="167" fontId="6" fillId="4" borderId="20" xfId="3" applyNumberFormat="1" applyFont="1" applyFill="1" applyBorder="1" applyAlignment="1">
      <alignment horizontal="center" vertical="center" wrapText="1"/>
    </xf>
    <xf numFmtId="167" fontId="6" fillId="4" borderId="7" xfId="3" applyNumberFormat="1" applyFont="1" applyFill="1" applyBorder="1" applyAlignment="1">
      <alignment horizontal="center" vertical="center" wrapText="1"/>
    </xf>
    <xf numFmtId="167" fontId="6" fillId="4" borderId="86" xfId="3" applyNumberFormat="1" applyFont="1" applyFill="1" applyBorder="1" applyAlignment="1">
      <alignment horizontal="center" vertical="center" wrapText="1"/>
    </xf>
    <xf numFmtId="167" fontId="6" fillId="4" borderId="82" xfId="3" applyNumberFormat="1" applyFont="1" applyFill="1" applyBorder="1" applyAlignment="1">
      <alignment horizontal="center" vertical="center" wrapText="1"/>
    </xf>
    <xf numFmtId="167" fontId="11" fillId="6" borderId="8" xfId="5" applyNumberFormat="1" applyFont="1" applyFill="1" applyBorder="1"/>
    <xf numFmtId="167" fontId="12" fillId="6" borderId="8" xfId="5" applyNumberFormat="1" applyFont="1" applyFill="1" applyBorder="1"/>
    <xf numFmtId="41" fontId="11" fillId="6" borderId="0" xfId="242" applyFont="1" applyFill="1"/>
    <xf numFmtId="0" fontId="8" fillId="0" borderId="0" xfId="0" applyFont="1" applyAlignment="1">
      <alignment horizontal="left"/>
    </xf>
    <xf numFmtId="167" fontId="3" fillId="5" borderId="41" xfId="3" applyNumberFormat="1" applyFont="1" applyFill="1" applyBorder="1" applyAlignment="1">
      <alignment horizontal="center" vertical="center" wrapText="1"/>
    </xf>
    <xf numFmtId="167" fontId="6" fillId="3" borderId="30" xfId="3" applyNumberFormat="1" applyFont="1" applyFill="1" applyBorder="1" applyAlignment="1">
      <alignment horizontal="center" vertical="center"/>
    </xf>
    <xf numFmtId="167" fontId="7" fillId="3" borderId="41" xfId="1" applyNumberFormat="1" applyFont="1" applyFill="1" applyBorder="1"/>
    <xf numFmtId="167" fontId="7" fillId="0" borderId="41" xfId="1" applyNumberFormat="1" applyFont="1" applyFill="1" applyBorder="1"/>
    <xf numFmtId="167" fontId="3" fillId="5" borderId="87" xfId="3" applyNumberFormat="1" applyFont="1" applyFill="1" applyBorder="1" applyAlignment="1">
      <alignment horizontal="center" vertical="center" wrapText="1"/>
    </xf>
    <xf numFmtId="167" fontId="6" fillId="3" borderId="88" xfId="3" applyNumberFormat="1" applyFont="1" applyFill="1" applyBorder="1" applyAlignment="1">
      <alignment horizontal="center" vertical="center"/>
    </xf>
    <xf numFmtId="167" fontId="7" fillId="3" borderId="89" xfId="1" applyNumberFormat="1" applyFont="1" applyFill="1" applyBorder="1"/>
    <xf numFmtId="167" fontId="7" fillId="0" borderId="89" xfId="1" applyNumberFormat="1" applyFont="1" applyFill="1" applyBorder="1"/>
    <xf numFmtId="167" fontId="3" fillId="5" borderId="31" xfId="3" applyNumberFormat="1" applyFont="1" applyFill="1" applyBorder="1" applyAlignment="1">
      <alignment horizontal="center" vertical="center" wrapText="1"/>
    </xf>
    <xf numFmtId="167" fontId="3" fillId="5" borderId="63" xfId="3" applyNumberFormat="1" applyFont="1" applyFill="1" applyBorder="1" applyAlignment="1">
      <alignment horizontal="center" vertical="center" wrapText="1"/>
    </xf>
    <xf numFmtId="167" fontId="6" fillId="3" borderId="10" xfId="3" applyNumberFormat="1" applyFont="1" applyFill="1" applyBorder="1" applyAlignment="1">
      <alignment horizontal="center" vertical="center"/>
    </xf>
    <xf numFmtId="0" fontId="7" fillId="11" borderId="8" xfId="0" applyFont="1" applyFill="1" applyBorder="1" applyAlignment="1">
      <alignment horizontal="left"/>
    </xf>
    <xf numFmtId="0" fontId="30" fillId="0" borderId="8" xfId="0" applyFont="1" applyBorder="1" applyAlignment="1">
      <alignment horizontal="center" vertical="center"/>
    </xf>
    <xf numFmtId="0" fontId="36" fillId="5" borderId="8" xfId="0" applyFont="1" applyFill="1" applyBorder="1" applyAlignment="1">
      <alignment horizontal="center" vertical="center"/>
    </xf>
    <xf numFmtId="49" fontId="8" fillId="0" borderId="0" xfId="0" applyNumberFormat="1" applyFont="1"/>
    <xf numFmtId="17" fontId="8" fillId="0" borderId="0" xfId="0" quotePrefix="1" applyNumberFormat="1" applyFont="1"/>
    <xf numFmtId="0" fontId="8" fillId="0" borderId="0" xfId="0" quotePrefix="1" applyFont="1"/>
    <xf numFmtId="17" fontId="8" fillId="0" borderId="8" xfId="0" quotePrefix="1" applyNumberFormat="1" applyFont="1" applyBorder="1" applyAlignment="1">
      <alignment horizontal="left"/>
    </xf>
    <xf numFmtId="167" fontId="5" fillId="0" borderId="15" xfId="3" applyNumberFormat="1" applyFont="1" applyFill="1" applyBorder="1" applyAlignment="1">
      <alignment vertical="center" wrapText="1"/>
    </xf>
    <xf numFmtId="167" fontId="7" fillId="0" borderId="34" xfId="1" applyNumberFormat="1" applyFont="1" applyFill="1" applyBorder="1" applyAlignment="1">
      <alignment vertical="center"/>
    </xf>
    <xf numFmtId="167" fontId="7" fillId="0" borderId="66" xfId="1" applyNumberFormat="1" applyFont="1" applyFill="1" applyBorder="1" applyAlignment="1">
      <alignment vertical="center"/>
    </xf>
    <xf numFmtId="167" fontId="7" fillId="0" borderId="65" xfId="1" applyNumberFormat="1" applyFont="1" applyFill="1" applyBorder="1" applyAlignment="1">
      <alignment vertical="center"/>
    </xf>
    <xf numFmtId="167" fontId="7" fillId="0" borderId="66" xfId="1" applyNumberFormat="1" applyFont="1" applyFill="1" applyBorder="1" applyAlignment="1">
      <alignment horizontal="right" vertical="center"/>
    </xf>
    <xf numFmtId="167" fontId="7" fillId="0" borderId="91" xfId="1" applyNumberFormat="1" applyFont="1" applyFill="1" applyBorder="1" applyAlignment="1">
      <alignment vertical="center"/>
    </xf>
    <xf numFmtId="167" fontId="7" fillId="0" borderId="35" xfId="1" applyNumberFormat="1" applyFont="1" applyFill="1" applyBorder="1" applyAlignment="1">
      <alignment vertical="center"/>
    </xf>
    <xf numFmtId="167" fontId="7" fillId="0" borderId="36" xfId="1" applyNumberFormat="1" applyFont="1" applyFill="1" applyBorder="1" applyAlignment="1">
      <alignment vertical="center"/>
    </xf>
    <xf numFmtId="1" fontId="17" fillId="3" borderId="8" xfId="0" applyNumberFormat="1" applyFont="1" applyFill="1" applyBorder="1" applyAlignment="1">
      <alignment horizontal="left" vertical="center"/>
    </xf>
    <xf numFmtId="17" fontId="8" fillId="8" borderId="0" xfId="0" applyNumberFormat="1" applyFont="1" applyFill="1" applyBorder="1" applyAlignment="1">
      <alignment horizontal="left" vertical="center"/>
    </xf>
    <xf numFmtId="3" fontId="6" fillId="0" borderId="0" xfId="10" applyNumberFormat="1" applyFont="1" applyBorder="1" applyAlignment="1">
      <alignment horizontal="center"/>
    </xf>
    <xf numFmtId="0" fontId="30" fillId="0" borderId="0" xfId="0" applyFont="1" applyBorder="1" applyAlignment="1">
      <alignment horizontal="center" vertical="center"/>
    </xf>
    <xf numFmtId="3" fontId="18" fillId="8" borderId="0" xfId="14" applyNumberFormat="1" applyFont="1" applyFill="1" applyBorder="1" applyAlignment="1">
      <alignment horizontal="center" wrapText="1"/>
    </xf>
    <xf numFmtId="3" fontId="18" fillId="0" borderId="8" xfId="14" applyNumberFormat="1" applyFont="1" applyBorder="1" applyAlignment="1">
      <alignment horizontal="center" wrapText="1"/>
    </xf>
    <xf numFmtId="3" fontId="18" fillId="0" borderId="0" xfId="14" applyNumberFormat="1" applyFont="1" applyBorder="1" applyAlignment="1">
      <alignment horizontal="center" wrapText="1"/>
    </xf>
    <xf numFmtId="0" fontId="8" fillId="0" borderId="0" xfId="0" applyFont="1" applyAlignment="1">
      <alignment horizontal="left" vertical="top" wrapText="1"/>
    </xf>
    <xf numFmtId="0" fontId="5" fillId="14" borderId="8" xfId="0" applyFont="1" applyFill="1" applyBorder="1" applyAlignment="1">
      <alignment horizontal="center" vertical="center" wrapText="1"/>
    </xf>
    <xf numFmtId="3" fontId="8" fillId="0" borderId="8" xfId="0" applyNumberFormat="1" applyFont="1" applyBorder="1" applyAlignment="1">
      <alignment horizontal="center" vertical="center"/>
    </xf>
    <xf numFmtId="3" fontId="18" fillId="0" borderId="68" xfId="241" applyNumberFormat="1" applyFont="1" applyBorder="1" applyAlignment="1">
      <alignment horizontal="center" wrapText="1"/>
    </xf>
    <xf numFmtId="17" fontId="8" fillId="8" borderId="8" xfId="0" quotePrefix="1" applyNumberFormat="1" applyFont="1" applyFill="1" applyBorder="1" applyAlignment="1">
      <alignment horizontal="left" vertical="center"/>
    </xf>
    <xf numFmtId="17" fontId="8" fillId="0" borderId="8" xfId="0" applyNumberFormat="1" applyFont="1" applyBorder="1" applyAlignment="1">
      <alignment horizontal="left" vertical="center"/>
    </xf>
    <xf numFmtId="0" fontId="22" fillId="0" borderId="22" xfId="0" applyFont="1" applyFill="1" applyBorder="1"/>
    <xf numFmtId="167" fontId="8" fillId="0" borderId="8" xfId="1" applyNumberFormat="1" applyFont="1" applyBorder="1"/>
    <xf numFmtId="0" fontId="3" fillId="5" borderId="8" xfId="0" applyFont="1" applyFill="1" applyBorder="1" applyAlignment="1">
      <alignment horizontal="center"/>
    </xf>
    <xf numFmtId="1" fontId="7" fillId="3" borderId="8" xfId="0" applyNumberFormat="1" applyFont="1" applyFill="1" applyBorder="1" applyAlignment="1">
      <alignment horizontal="left"/>
    </xf>
    <xf numFmtId="1" fontId="7" fillId="3" borderId="8" xfId="1" applyNumberFormat="1" applyFont="1" applyFill="1" applyBorder="1" applyAlignment="1">
      <alignment horizontal="left"/>
    </xf>
    <xf numFmtId="167" fontId="7" fillId="3" borderId="8" xfId="1" applyNumberFormat="1" applyFont="1" applyFill="1" applyBorder="1" applyAlignment="1">
      <alignment horizontal="right" vertical="center"/>
    </xf>
    <xf numFmtId="167" fontId="8" fillId="4" borderId="8" xfId="1" applyNumberFormat="1" applyFont="1" applyFill="1" applyBorder="1" applyAlignment="1">
      <alignment horizontal="right" vertical="center"/>
    </xf>
    <xf numFmtId="0" fontId="8" fillId="4" borderId="8" xfId="0" applyFont="1" applyFill="1" applyBorder="1" applyAlignment="1">
      <alignment horizontal="right" vertical="center"/>
    </xf>
    <xf numFmtId="167" fontId="8" fillId="3" borderId="8" xfId="1" applyNumberFormat="1" applyFont="1" applyFill="1" applyBorder="1" applyAlignment="1">
      <alignment horizontal="right" vertical="center"/>
    </xf>
    <xf numFmtId="3" fontId="11" fillId="0" borderId="8" xfId="10" applyNumberFormat="1" applyFont="1" applyBorder="1" applyAlignment="1">
      <alignment horizontal="right" vertical="center"/>
    </xf>
    <xf numFmtId="0" fontId="22" fillId="0" borderId="39" xfId="0" applyFont="1" applyBorder="1" applyAlignment="1">
      <alignment horizontal="left" vertical="top" wrapText="1"/>
    </xf>
    <xf numFmtId="0" fontId="22" fillId="0" borderId="0" xfId="0" applyFont="1" applyBorder="1" applyAlignment="1">
      <alignment horizontal="left" vertical="top" wrapText="1"/>
    </xf>
    <xf numFmtId="0" fontId="22" fillId="0" borderId="14" xfId="0" applyFont="1" applyBorder="1" applyAlignment="1">
      <alignment horizontal="left" vertical="top" wrapText="1"/>
    </xf>
    <xf numFmtId="0" fontId="23" fillId="0" borderId="0" xfId="6" quotePrefix="1" applyFont="1" applyAlignment="1" applyProtection="1">
      <alignment horizontal="left"/>
    </xf>
    <xf numFmtId="0" fontId="23" fillId="0" borderId="0" xfId="6" applyFont="1" applyAlignment="1" applyProtection="1">
      <alignment horizontal="left"/>
    </xf>
    <xf numFmtId="0" fontId="23" fillId="0" borderId="0" xfId="6" applyFont="1" applyAlignment="1" applyProtection="1"/>
    <xf numFmtId="0" fontId="15" fillId="0" borderId="0" xfId="0" applyFont="1" applyAlignment="1">
      <alignment horizontal="center"/>
    </xf>
    <xf numFmtId="167" fontId="3" fillId="5" borderId="38" xfId="3" applyNumberFormat="1" applyFont="1" applyFill="1" applyBorder="1" applyAlignment="1">
      <alignment horizontal="center" vertical="center" wrapText="1"/>
    </xf>
    <xf numFmtId="167" fontId="3" fillId="5" borderId="58" xfId="3" applyNumberFormat="1" applyFont="1" applyFill="1" applyBorder="1" applyAlignment="1">
      <alignment horizontal="center" vertical="center" wrapText="1"/>
    </xf>
    <xf numFmtId="0" fontId="5" fillId="0" borderId="1" xfId="0" applyFont="1" applyBorder="1" applyAlignment="1">
      <alignment horizontal="center"/>
    </xf>
    <xf numFmtId="0" fontId="5" fillId="0" borderId="2" xfId="0" applyFont="1" applyBorder="1" applyAlignment="1">
      <alignment horizontal="center"/>
    </xf>
    <xf numFmtId="0" fontId="5" fillId="0" borderId="3" xfId="0" applyFont="1" applyBorder="1" applyAlignment="1">
      <alignment horizontal="center"/>
    </xf>
    <xf numFmtId="0" fontId="5" fillId="0" borderId="59" xfId="0" applyFont="1" applyBorder="1" applyAlignment="1">
      <alignment horizontal="center"/>
    </xf>
    <xf numFmtId="0" fontId="5" fillId="0" borderId="90" xfId="0" applyFont="1" applyBorder="1" applyAlignment="1">
      <alignment horizontal="center"/>
    </xf>
    <xf numFmtId="0" fontId="8" fillId="0" borderId="0" xfId="0" applyFont="1" applyAlignment="1">
      <alignment horizontal="left" vertical="top" wrapText="1"/>
    </xf>
    <xf numFmtId="167" fontId="3" fillId="5" borderId="4" xfId="3" applyNumberFormat="1" applyFont="1" applyFill="1" applyBorder="1" applyAlignment="1">
      <alignment horizontal="center" vertical="center" wrapText="1"/>
    </xf>
    <xf numFmtId="167" fontId="3" fillId="5" borderId="15" xfId="3" applyNumberFormat="1" applyFont="1" applyFill="1" applyBorder="1" applyAlignment="1">
      <alignment horizontal="center" vertical="center" wrapText="1"/>
    </xf>
    <xf numFmtId="0" fontId="5" fillId="0" borderId="1" xfId="0" applyFont="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9" fontId="5" fillId="0" borderId="64" xfId="2" applyFont="1" applyFill="1" applyBorder="1" applyAlignment="1">
      <alignment horizontal="center" vertical="center" wrapText="1"/>
    </xf>
    <xf numFmtId="9" fontId="5" fillId="0" borderId="65" xfId="2" applyFont="1" applyFill="1" applyBorder="1" applyAlignment="1">
      <alignment horizontal="center" vertical="center" wrapText="1"/>
    </xf>
    <xf numFmtId="17" fontId="15" fillId="0" borderId="0" xfId="0" applyNumberFormat="1" applyFont="1" applyAlignment="1">
      <alignment horizontal="center"/>
    </xf>
    <xf numFmtId="0" fontId="5" fillId="0" borderId="25" xfId="0" applyFont="1" applyBorder="1" applyAlignment="1">
      <alignment horizontal="center"/>
    </xf>
    <xf numFmtId="0" fontId="5" fillId="0" borderId="18" xfId="0" applyFont="1" applyBorder="1" applyAlignment="1">
      <alignment horizontal="center"/>
    </xf>
    <xf numFmtId="0" fontId="24" fillId="0" borderId="0" xfId="0" applyFont="1" applyAlignment="1">
      <alignment horizontal="center"/>
    </xf>
    <xf numFmtId="9" fontId="5" fillId="0" borderId="52" xfId="4" applyNumberFormat="1" applyFont="1" applyBorder="1" applyAlignment="1">
      <alignment horizontal="center"/>
    </xf>
    <xf numFmtId="9" fontId="5" fillId="0" borderId="54" xfId="4" applyNumberFormat="1" applyFont="1" applyBorder="1" applyAlignment="1">
      <alignment horizontal="center"/>
    </xf>
    <xf numFmtId="167" fontId="3" fillId="5" borderId="6" xfId="3" applyNumberFormat="1" applyFont="1" applyFill="1" applyBorder="1" applyAlignment="1">
      <alignment horizontal="center" vertical="center" wrapText="1"/>
    </xf>
    <xf numFmtId="167" fontId="3" fillId="5" borderId="51" xfId="3" applyNumberFormat="1" applyFont="1" applyFill="1" applyBorder="1" applyAlignment="1">
      <alignment horizontal="center" vertical="center" wrapText="1"/>
    </xf>
    <xf numFmtId="0" fontId="5" fillId="0" borderId="58" xfId="0" applyFont="1" applyBorder="1" applyAlignment="1">
      <alignment horizontal="center"/>
    </xf>
    <xf numFmtId="0" fontId="5" fillId="0" borderId="84" xfId="0" applyFont="1" applyBorder="1" applyAlignment="1">
      <alignment horizontal="center"/>
    </xf>
    <xf numFmtId="0" fontId="5" fillId="0" borderId="34" xfId="0" applyFont="1" applyBorder="1" applyAlignment="1">
      <alignment horizontal="center"/>
    </xf>
    <xf numFmtId="0" fontId="5" fillId="0" borderId="37" xfId="0" applyFont="1" applyBorder="1" applyAlignment="1">
      <alignment horizontal="center"/>
    </xf>
    <xf numFmtId="167" fontId="3" fillId="5" borderId="23" xfId="5" applyNumberFormat="1" applyFont="1" applyFill="1" applyBorder="1" applyAlignment="1">
      <alignment horizontal="center" vertical="center" wrapText="1"/>
    </xf>
    <xf numFmtId="167" fontId="3" fillId="5" borderId="7" xfId="5" applyNumberFormat="1" applyFont="1" applyFill="1" applyBorder="1" applyAlignment="1">
      <alignment horizontal="center" vertical="center" wrapText="1"/>
    </xf>
    <xf numFmtId="167" fontId="3" fillId="5" borderId="8" xfId="5" applyNumberFormat="1" applyFont="1" applyFill="1" applyBorder="1" applyAlignment="1">
      <alignment horizontal="center" vertical="center" wrapText="1"/>
    </xf>
    <xf numFmtId="167" fontId="3" fillId="5" borderId="30" xfId="5" applyNumberFormat="1" applyFont="1" applyFill="1" applyBorder="1" applyAlignment="1">
      <alignment horizontal="center" vertical="center" wrapText="1"/>
    </xf>
    <xf numFmtId="167" fontId="24" fillId="0" borderId="0" xfId="5" applyNumberFormat="1" applyFont="1" applyFill="1" applyBorder="1" applyAlignment="1">
      <alignment horizontal="center" vertical="center"/>
    </xf>
    <xf numFmtId="167" fontId="3" fillId="5" borderId="21" xfId="5" applyNumberFormat="1" applyFont="1" applyFill="1" applyBorder="1" applyAlignment="1">
      <alignment horizontal="center" vertical="center" wrapText="1"/>
    </xf>
    <xf numFmtId="167" fontId="3" fillId="5" borderId="24" xfId="5" applyNumberFormat="1" applyFont="1" applyFill="1" applyBorder="1" applyAlignment="1">
      <alignment horizontal="center" vertical="center" wrapText="1"/>
    </xf>
    <xf numFmtId="0" fontId="22" fillId="0" borderId="22" xfId="0" applyFont="1" applyBorder="1" applyAlignment="1">
      <alignment horizontal="left" vertical="top" wrapText="1"/>
    </xf>
    <xf numFmtId="0" fontId="22" fillId="0" borderId="41" xfId="0" applyFont="1" applyBorder="1" applyAlignment="1">
      <alignment horizontal="left" vertical="top" wrapText="1"/>
    </xf>
    <xf numFmtId="0" fontId="22" fillId="0" borderId="20" xfId="0" applyFont="1" applyBorder="1" applyAlignment="1">
      <alignment horizontal="left" vertical="top" wrapText="1"/>
    </xf>
    <xf numFmtId="0" fontId="34" fillId="0" borderId="8" xfId="0" applyFont="1" applyBorder="1" applyAlignment="1">
      <alignment horizontal="center" vertical="center"/>
    </xf>
    <xf numFmtId="0" fontId="35" fillId="5" borderId="24" xfId="0" applyFont="1" applyFill="1" applyBorder="1" applyAlignment="1">
      <alignment horizontal="center" vertical="center" wrapText="1"/>
    </xf>
    <xf numFmtId="0" fontId="35" fillId="5" borderId="67" xfId="0" applyFont="1" applyFill="1" applyBorder="1" applyAlignment="1">
      <alignment horizontal="center" vertical="center" wrapText="1"/>
    </xf>
    <xf numFmtId="0" fontId="35" fillId="5" borderId="21" xfId="0" applyFont="1" applyFill="1" applyBorder="1" applyAlignment="1">
      <alignment horizontal="center" vertical="center" wrapText="1"/>
    </xf>
    <xf numFmtId="0" fontId="35" fillId="5" borderId="23" xfId="0" applyFont="1" applyFill="1" applyBorder="1" applyAlignment="1">
      <alignment horizontal="center" vertical="center"/>
    </xf>
    <xf numFmtId="0" fontId="35" fillId="5" borderId="30" xfId="0" applyFont="1" applyFill="1" applyBorder="1" applyAlignment="1">
      <alignment horizontal="center" vertical="center"/>
    </xf>
    <xf numFmtId="0" fontId="35" fillId="5" borderId="7" xfId="0" applyFont="1" applyFill="1" applyBorder="1" applyAlignment="1">
      <alignment horizontal="center" vertical="center"/>
    </xf>
    <xf numFmtId="0" fontId="3" fillId="5" borderId="8" xfId="0" applyFont="1" applyFill="1" applyBorder="1" applyAlignment="1">
      <alignment horizontal="center"/>
    </xf>
    <xf numFmtId="17" fontId="15" fillId="0" borderId="0" xfId="0" quotePrefix="1" applyNumberFormat="1" applyFont="1" applyAlignment="1">
      <alignment horizontal="center"/>
    </xf>
    <xf numFmtId="0" fontId="15" fillId="0" borderId="0" xfId="0" quotePrefix="1" applyFont="1" applyAlignment="1">
      <alignment horizontal="center"/>
    </xf>
    <xf numFmtId="0" fontId="36" fillId="5" borderId="8" xfId="0" applyFont="1" applyFill="1" applyBorder="1" applyAlignment="1">
      <alignment horizontal="center" vertical="center"/>
    </xf>
    <xf numFmtId="0" fontId="37" fillId="5" borderId="8" xfId="0" applyFont="1" applyFill="1" applyBorder="1" applyAlignment="1">
      <alignment horizontal="center" vertical="center"/>
    </xf>
    <xf numFmtId="0" fontId="38" fillId="0" borderId="8" xfId="0" applyFont="1" applyBorder="1" applyAlignment="1">
      <alignment horizontal="center" vertical="center"/>
    </xf>
    <xf numFmtId="0" fontId="38" fillId="9" borderId="8" xfId="0" applyFont="1" applyFill="1" applyBorder="1" applyAlignment="1">
      <alignment horizontal="center" vertical="center"/>
    </xf>
    <xf numFmtId="0" fontId="23" fillId="0" borderId="0" xfId="6" quotePrefix="1" applyFont="1" applyFill="1" applyBorder="1" applyAlignment="1" applyProtection="1">
      <alignment horizontal="left"/>
    </xf>
    <xf numFmtId="0" fontId="15" fillId="0" borderId="0" xfId="0" applyFont="1" applyAlignment="1">
      <alignment horizontal="center" vertical="top" wrapText="1"/>
    </xf>
    <xf numFmtId="0" fontId="3" fillId="5" borderId="24" xfId="0" applyNumberFormat="1" applyFont="1" applyFill="1" applyBorder="1" applyAlignment="1">
      <alignment horizontal="center" vertical="center" wrapText="1"/>
    </xf>
    <xf numFmtId="0" fontId="3" fillId="5" borderId="67" xfId="0" applyNumberFormat="1" applyFont="1" applyFill="1" applyBorder="1" applyAlignment="1">
      <alignment horizontal="center" vertical="center" wrapText="1"/>
    </xf>
    <xf numFmtId="0" fontId="3" fillId="5" borderId="21" xfId="0" applyNumberFormat="1" applyFont="1" applyFill="1" applyBorder="1" applyAlignment="1">
      <alignment horizontal="center" vertical="center" wrapText="1"/>
    </xf>
    <xf numFmtId="0" fontId="3" fillId="5" borderId="23" xfId="0" applyFont="1" applyFill="1" applyBorder="1" applyAlignment="1">
      <alignment horizontal="center" vertical="center" wrapText="1"/>
    </xf>
    <xf numFmtId="0" fontId="3" fillId="5" borderId="30" xfId="0" applyFont="1" applyFill="1" applyBorder="1" applyAlignment="1">
      <alignment horizontal="center" vertical="center" wrapText="1"/>
    </xf>
    <xf numFmtId="0" fontId="3" fillId="5" borderId="7" xfId="0" applyFont="1" applyFill="1" applyBorder="1" applyAlignment="1">
      <alignment horizontal="center" vertical="center" wrapText="1"/>
    </xf>
    <xf numFmtId="0" fontId="3" fillId="5" borderId="24" xfId="0" applyFont="1" applyFill="1" applyBorder="1" applyAlignment="1">
      <alignment horizontal="center" vertical="center" wrapText="1"/>
    </xf>
    <xf numFmtId="0" fontId="3" fillId="5" borderId="21" xfId="0" applyFont="1" applyFill="1" applyBorder="1" applyAlignment="1">
      <alignment horizontal="center" vertical="center" wrapText="1"/>
    </xf>
    <xf numFmtId="0" fontId="15" fillId="0" borderId="0" xfId="0" applyFont="1" applyAlignment="1">
      <alignment horizontal="center" wrapText="1"/>
    </xf>
    <xf numFmtId="0" fontId="15" fillId="0" borderId="0" xfId="0" applyFont="1" applyAlignment="1">
      <alignment horizontal="center" vertical="center"/>
    </xf>
    <xf numFmtId="0" fontId="3" fillId="5" borderId="24" xfId="0" applyFont="1" applyFill="1" applyBorder="1" applyAlignment="1">
      <alignment horizontal="center" vertical="center"/>
    </xf>
    <xf numFmtId="0" fontId="3" fillId="5" borderId="21" xfId="0" applyFont="1" applyFill="1" applyBorder="1" applyAlignment="1">
      <alignment horizontal="center" vertical="center"/>
    </xf>
    <xf numFmtId="17" fontId="7" fillId="3" borderId="23" xfId="0" applyNumberFormat="1" applyFont="1" applyFill="1" applyBorder="1" applyAlignment="1">
      <alignment horizontal="left"/>
    </xf>
    <xf numFmtId="17" fontId="7" fillId="3" borderId="30" xfId="0" applyNumberFormat="1" applyFont="1" applyFill="1" applyBorder="1" applyAlignment="1">
      <alignment horizontal="left"/>
    </xf>
    <xf numFmtId="17" fontId="7" fillId="3" borderId="7" xfId="0" applyNumberFormat="1" applyFont="1" applyFill="1" applyBorder="1" applyAlignment="1">
      <alignment horizontal="left"/>
    </xf>
    <xf numFmtId="0" fontId="7" fillId="3" borderId="23" xfId="0" applyNumberFormat="1" applyFont="1" applyFill="1" applyBorder="1" applyAlignment="1">
      <alignment horizontal="left"/>
    </xf>
    <xf numFmtId="0" fontId="7" fillId="3" borderId="30" xfId="0" applyNumberFormat="1" applyFont="1" applyFill="1" applyBorder="1" applyAlignment="1">
      <alignment horizontal="left"/>
    </xf>
    <xf numFmtId="0" fontId="7" fillId="3" borderId="7" xfId="0" applyNumberFormat="1" applyFont="1" applyFill="1" applyBorder="1" applyAlignment="1">
      <alignment horizontal="left"/>
    </xf>
    <xf numFmtId="17" fontId="7" fillId="12" borderId="8" xfId="0" applyNumberFormat="1" applyFont="1" applyFill="1" applyBorder="1" applyAlignment="1">
      <alignment horizontal="center"/>
    </xf>
    <xf numFmtId="0" fontId="40" fillId="5" borderId="8" xfId="0" applyFont="1" applyFill="1" applyBorder="1" applyAlignment="1">
      <alignment horizontal="center" vertical="center"/>
    </xf>
    <xf numFmtId="0" fontId="40" fillId="5" borderId="8" xfId="0" applyFont="1" applyFill="1" applyBorder="1" applyAlignment="1">
      <alignment horizontal="center" vertical="center" wrapText="1"/>
    </xf>
    <xf numFmtId="0" fontId="40" fillId="5" borderId="8" xfId="0" applyFont="1" applyFill="1" applyBorder="1" applyAlignment="1">
      <alignment horizontal="center"/>
    </xf>
    <xf numFmtId="49" fontId="15" fillId="0" borderId="0" xfId="0" applyNumberFormat="1" applyFont="1" applyAlignment="1">
      <alignment horizontal="center"/>
    </xf>
    <xf numFmtId="0" fontId="7" fillId="0" borderId="24" xfId="0" applyFont="1" applyBorder="1" applyAlignment="1">
      <alignment horizontal="center" vertical="center" wrapText="1"/>
    </xf>
    <xf numFmtId="0" fontId="7" fillId="0" borderId="67" xfId="0" applyFont="1" applyBorder="1" applyAlignment="1">
      <alignment horizontal="center" vertical="center" wrapText="1"/>
    </xf>
    <xf numFmtId="0" fontId="7" fillId="0" borderId="21" xfId="0" applyFont="1" applyBorder="1" applyAlignment="1">
      <alignment horizontal="center" vertical="center" wrapText="1"/>
    </xf>
    <xf numFmtId="0" fontId="16" fillId="5" borderId="23" xfId="0" applyFont="1" applyFill="1" applyBorder="1" applyAlignment="1">
      <alignment horizontal="center" vertical="center"/>
    </xf>
    <xf numFmtId="0" fontId="16" fillId="5" borderId="7" xfId="0" applyFont="1" applyFill="1" applyBorder="1" applyAlignment="1">
      <alignment horizontal="center" vertical="center"/>
    </xf>
    <xf numFmtId="0" fontId="5" fillId="14" borderId="23" xfId="0" applyFont="1" applyFill="1" applyBorder="1" applyAlignment="1">
      <alignment horizontal="center" vertical="center"/>
    </xf>
    <xf numFmtId="0" fontId="5" fillId="14" borderId="30" xfId="0" applyFont="1" applyFill="1" applyBorder="1" applyAlignment="1">
      <alignment horizontal="center" vertical="center"/>
    </xf>
    <xf numFmtId="0" fontId="5" fillId="14" borderId="7" xfId="0" applyFont="1" applyFill="1" applyBorder="1" applyAlignment="1">
      <alignment horizontal="center" vertical="center"/>
    </xf>
    <xf numFmtId="0" fontId="16" fillId="5" borderId="24" xfId="0" applyFont="1" applyFill="1" applyBorder="1" applyAlignment="1">
      <alignment horizontal="center" vertical="center" wrapText="1"/>
    </xf>
    <xf numFmtId="0" fontId="16" fillId="5" borderId="21" xfId="0" applyFont="1" applyFill="1" applyBorder="1" applyAlignment="1">
      <alignment horizontal="center" vertical="center" wrapText="1"/>
    </xf>
    <xf numFmtId="0" fontId="5" fillId="14" borderId="24" xfId="0" applyFont="1" applyFill="1" applyBorder="1" applyAlignment="1">
      <alignment horizontal="center" vertical="center" wrapText="1"/>
    </xf>
    <xf numFmtId="0" fontId="5" fillId="14" borderId="21" xfId="0" applyFont="1" applyFill="1" applyBorder="1" applyAlignment="1">
      <alignment horizontal="center" vertical="center" wrapText="1"/>
    </xf>
    <xf numFmtId="0" fontId="5" fillId="14" borderId="23" xfId="0" applyFont="1" applyFill="1" applyBorder="1" applyAlignment="1">
      <alignment horizontal="center" vertical="center" wrapText="1"/>
    </xf>
    <xf numFmtId="0" fontId="5" fillId="14" borderId="30" xfId="0" applyFont="1" applyFill="1" applyBorder="1" applyAlignment="1">
      <alignment horizontal="center" vertical="center" wrapText="1"/>
    </xf>
    <xf numFmtId="0" fontId="5" fillId="14" borderId="7" xfId="0" applyFont="1" applyFill="1" applyBorder="1" applyAlignment="1">
      <alignment horizontal="center" vertical="center" wrapText="1"/>
    </xf>
  </cellXfs>
  <cellStyles count="243">
    <cellStyle name="20% - Énfasis1" xfId="28" builtinId="30" customBuiltin="1"/>
    <cellStyle name="20% - Énfasis1 2" xfId="56" xr:uid="{00000000-0005-0000-0000-000001000000}"/>
    <cellStyle name="20% - Énfasis1 3" xfId="55" xr:uid="{00000000-0005-0000-0000-000002000000}"/>
    <cellStyle name="20% - Énfasis2" xfId="31" builtinId="34" customBuiltin="1"/>
    <cellStyle name="20% - Énfasis2 2" xfId="54" xr:uid="{00000000-0005-0000-0000-000004000000}"/>
    <cellStyle name="20% - Énfasis2 3" xfId="53" xr:uid="{00000000-0005-0000-0000-000005000000}"/>
    <cellStyle name="20% - Énfasis3" xfId="34" builtinId="38" customBuiltin="1"/>
    <cellStyle name="20% - Énfasis3 2" xfId="52" xr:uid="{00000000-0005-0000-0000-000007000000}"/>
    <cellStyle name="20% - Énfasis3 3" xfId="50" xr:uid="{00000000-0005-0000-0000-000008000000}"/>
    <cellStyle name="20% - Énfasis4" xfId="37" builtinId="42" customBuiltin="1"/>
    <cellStyle name="20% - Énfasis4 2" xfId="51" xr:uid="{00000000-0005-0000-0000-00000A000000}"/>
    <cellStyle name="20% - Énfasis4 3" xfId="57" xr:uid="{00000000-0005-0000-0000-00000B000000}"/>
    <cellStyle name="20% - Énfasis5" xfId="40" builtinId="46" customBuiltin="1"/>
    <cellStyle name="20% - Énfasis5 2" xfId="58" xr:uid="{00000000-0005-0000-0000-00000D000000}"/>
    <cellStyle name="20% - Énfasis5 3" xfId="59" xr:uid="{00000000-0005-0000-0000-00000E000000}"/>
    <cellStyle name="20% - Énfasis6" xfId="43" builtinId="50" customBuiltin="1"/>
    <cellStyle name="20% - Énfasis6 2" xfId="60" xr:uid="{00000000-0005-0000-0000-000010000000}"/>
    <cellStyle name="20% - Énfasis6 3" xfId="61" xr:uid="{00000000-0005-0000-0000-000011000000}"/>
    <cellStyle name="40% - Énfasis1" xfId="29" builtinId="31" customBuiltin="1"/>
    <cellStyle name="40% - Énfasis1 2" xfId="62" xr:uid="{00000000-0005-0000-0000-000013000000}"/>
    <cellStyle name="40% - Énfasis1 3" xfId="63" xr:uid="{00000000-0005-0000-0000-000014000000}"/>
    <cellStyle name="40% - Énfasis2" xfId="32" builtinId="35" customBuiltin="1"/>
    <cellStyle name="40% - Énfasis2 2" xfId="64" xr:uid="{00000000-0005-0000-0000-000016000000}"/>
    <cellStyle name="40% - Énfasis2 3" xfId="65" xr:uid="{00000000-0005-0000-0000-000017000000}"/>
    <cellStyle name="40% - Énfasis3" xfId="35" builtinId="39" customBuiltin="1"/>
    <cellStyle name="40% - Énfasis3 2" xfId="66" xr:uid="{00000000-0005-0000-0000-000019000000}"/>
    <cellStyle name="40% - Énfasis3 3" xfId="67" xr:uid="{00000000-0005-0000-0000-00001A000000}"/>
    <cellStyle name="40% - Énfasis4" xfId="38" builtinId="43" customBuiltin="1"/>
    <cellStyle name="40% - Énfasis4 2" xfId="68" xr:uid="{00000000-0005-0000-0000-00001C000000}"/>
    <cellStyle name="40% - Énfasis4 3" xfId="69" xr:uid="{00000000-0005-0000-0000-00001D000000}"/>
    <cellStyle name="40% - Énfasis5" xfId="41" builtinId="47" customBuiltin="1"/>
    <cellStyle name="40% - Énfasis5 2" xfId="70" xr:uid="{00000000-0005-0000-0000-00001F000000}"/>
    <cellStyle name="40% - Énfasis5 3" xfId="71" xr:uid="{00000000-0005-0000-0000-000020000000}"/>
    <cellStyle name="40% - Énfasis6" xfId="44" builtinId="51" customBuiltin="1"/>
    <cellStyle name="40% - Énfasis6 2" xfId="72" xr:uid="{00000000-0005-0000-0000-000022000000}"/>
    <cellStyle name="40% - Énfasis6 3" xfId="73" xr:uid="{00000000-0005-0000-0000-000023000000}"/>
    <cellStyle name="60% - Énfasis1 2" xfId="74" xr:uid="{00000000-0005-0000-0000-000024000000}"/>
    <cellStyle name="60% - Énfasis1 3" xfId="75" xr:uid="{00000000-0005-0000-0000-000025000000}"/>
    <cellStyle name="60% - Énfasis2 2" xfId="76" xr:uid="{00000000-0005-0000-0000-000026000000}"/>
    <cellStyle name="60% - Énfasis2 3" xfId="77" xr:uid="{00000000-0005-0000-0000-000027000000}"/>
    <cellStyle name="60% - Énfasis3 2" xfId="78" xr:uid="{00000000-0005-0000-0000-000028000000}"/>
    <cellStyle name="60% - Énfasis3 3" xfId="79" xr:uid="{00000000-0005-0000-0000-000029000000}"/>
    <cellStyle name="60% - Énfasis4 2" xfId="80" xr:uid="{00000000-0005-0000-0000-00002A000000}"/>
    <cellStyle name="60% - Énfasis4 3" xfId="81" xr:uid="{00000000-0005-0000-0000-00002B000000}"/>
    <cellStyle name="60% - Énfasis5 2" xfId="82" xr:uid="{00000000-0005-0000-0000-00002C000000}"/>
    <cellStyle name="60% - Énfasis5 3" xfId="83" xr:uid="{00000000-0005-0000-0000-00002D000000}"/>
    <cellStyle name="60% - Énfasis6 2" xfId="84" xr:uid="{00000000-0005-0000-0000-00002E000000}"/>
    <cellStyle name="60% - Énfasis6 3" xfId="85" xr:uid="{00000000-0005-0000-0000-00002F000000}"/>
    <cellStyle name="Buena 2" xfId="86" xr:uid="{00000000-0005-0000-0000-000030000000}"/>
    <cellStyle name="Buena 3" xfId="87" xr:uid="{00000000-0005-0000-0000-000031000000}"/>
    <cellStyle name="Cálculo" xfId="22" builtinId="22" customBuiltin="1"/>
    <cellStyle name="Cálculo 2" xfId="88" xr:uid="{00000000-0005-0000-0000-000033000000}"/>
    <cellStyle name="Cálculo 3" xfId="89" xr:uid="{00000000-0005-0000-0000-000034000000}"/>
    <cellStyle name="Celda de comprobación" xfId="24" builtinId="23" customBuiltin="1"/>
    <cellStyle name="Celda de comprobación 2" xfId="90" xr:uid="{00000000-0005-0000-0000-000036000000}"/>
    <cellStyle name="Celda de comprobación 3" xfId="91" xr:uid="{00000000-0005-0000-0000-000037000000}"/>
    <cellStyle name="Celda vinculada" xfId="23" builtinId="24" customBuiltin="1"/>
    <cellStyle name="Celda vinculada 2" xfId="92" xr:uid="{00000000-0005-0000-0000-000039000000}"/>
    <cellStyle name="Celda vinculada 3" xfId="93" xr:uid="{00000000-0005-0000-0000-00003A000000}"/>
    <cellStyle name="Encabezado 4" xfId="18" builtinId="19" customBuiltin="1"/>
    <cellStyle name="Encabezado 4 2" xfId="94" xr:uid="{00000000-0005-0000-0000-00003C000000}"/>
    <cellStyle name="Encabezado 4 3" xfId="95" xr:uid="{00000000-0005-0000-0000-00003D000000}"/>
    <cellStyle name="Énfasis1" xfId="3" builtinId="29" customBuiltin="1"/>
    <cellStyle name="Énfasis1 2" xfId="96" xr:uid="{00000000-0005-0000-0000-00003F000000}"/>
    <cellStyle name="Énfasis1 3" xfId="97" xr:uid="{00000000-0005-0000-0000-000040000000}"/>
    <cellStyle name="Énfasis2" xfId="30" builtinId="33" customBuiltin="1"/>
    <cellStyle name="Énfasis2 2" xfId="98" xr:uid="{00000000-0005-0000-0000-000042000000}"/>
    <cellStyle name="Énfasis2 3" xfId="99" xr:uid="{00000000-0005-0000-0000-000043000000}"/>
    <cellStyle name="Énfasis3" xfId="33" builtinId="37" customBuiltin="1"/>
    <cellStyle name="Énfasis3 2" xfId="100" xr:uid="{00000000-0005-0000-0000-000045000000}"/>
    <cellStyle name="Énfasis3 3" xfId="101" xr:uid="{00000000-0005-0000-0000-000046000000}"/>
    <cellStyle name="Énfasis4" xfId="36" builtinId="41" customBuiltin="1"/>
    <cellStyle name="Énfasis4 2" xfId="102" xr:uid="{00000000-0005-0000-0000-000048000000}"/>
    <cellStyle name="Énfasis4 3" xfId="103" xr:uid="{00000000-0005-0000-0000-000049000000}"/>
    <cellStyle name="Énfasis5" xfId="39" builtinId="45" customBuiltin="1"/>
    <cellStyle name="Énfasis5 2" xfId="104" xr:uid="{00000000-0005-0000-0000-00004B000000}"/>
    <cellStyle name="Énfasis5 3" xfId="105" xr:uid="{00000000-0005-0000-0000-00004C000000}"/>
    <cellStyle name="Énfasis6" xfId="42" builtinId="49" customBuiltin="1"/>
    <cellStyle name="Énfasis6 2" xfId="106" xr:uid="{00000000-0005-0000-0000-00004E000000}"/>
    <cellStyle name="Énfasis6 3" xfId="107" xr:uid="{00000000-0005-0000-0000-00004F000000}"/>
    <cellStyle name="Entrada" xfId="20" builtinId="20" customBuiltin="1"/>
    <cellStyle name="Entrada 2" xfId="108" xr:uid="{00000000-0005-0000-0000-000051000000}"/>
    <cellStyle name="Entrada 3" xfId="109" xr:uid="{00000000-0005-0000-0000-000052000000}"/>
    <cellStyle name="Euro" xfId="110" xr:uid="{00000000-0005-0000-0000-000053000000}"/>
    <cellStyle name="Euro 2" xfId="111" xr:uid="{00000000-0005-0000-0000-000054000000}"/>
    <cellStyle name="Hipervínculo" xfId="6" builtinId="8"/>
    <cellStyle name="Hipervínculo 2" xfId="8" xr:uid="{00000000-0005-0000-0000-000056000000}"/>
    <cellStyle name="Incorrecto" xfId="19" builtinId="27" customBuiltin="1"/>
    <cellStyle name="Incorrecto 2" xfId="112" xr:uid="{00000000-0005-0000-0000-000058000000}"/>
    <cellStyle name="Incorrecto 3" xfId="113" xr:uid="{00000000-0005-0000-0000-000059000000}"/>
    <cellStyle name="Millares" xfId="1" builtinId="3"/>
    <cellStyle name="Millares [0]" xfId="242" builtinId="6"/>
    <cellStyle name="Millares [0] 2" xfId="114" xr:uid="{00000000-0005-0000-0000-00005C000000}"/>
    <cellStyle name="Millares 10" xfId="211" xr:uid="{00000000-0005-0000-0000-00005D000000}"/>
    <cellStyle name="Millares 11" xfId="223" xr:uid="{00000000-0005-0000-0000-00005E000000}"/>
    <cellStyle name="Millares 12" xfId="212" xr:uid="{00000000-0005-0000-0000-00005F000000}"/>
    <cellStyle name="Millares 13" xfId="225" xr:uid="{00000000-0005-0000-0000-000060000000}"/>
    <cellStyle name="Millares 14" xfId="224" xr:uid="{00000000-0005-0000-0000-000061000000}"/>
    <cellStyle name="Millares 15" xfId="226" xr:uid="{00000000-0005-0000-0000-000062000000}"/>
    <cellStyle name="Millares 16" xfId="231" xr:uid="{00000000-0005-0000-0000-000063000000}"/>
    <cellStyle name="Millares 17" xfId="230" xr:uid="{00000000-0005-0000-0000-000064000000}"/>
    <cellStyle name="Millares 18" xfId="232" xr:uid="{00000000-0005-0000-0000-000065000000}"/>
    <cellStyle name="Millares 19" xfId="229" xr:uid="{00000000-0005-0000-0000-000066000000}"/>
    <cellStyle name="Millares 2" xfId="115" xr:uid="{00000000-0005-0000-0000-000067000000}"/>
    <cellStyle name="Millares 2 3" xfId="5" xr:uid="{00000000-0005-0000-0000-000068000000}"/>
    <cellStyle name="Millares 20" xfId="233" xr:uid="{00000000-0005-0000-0000-000069000000}"/>
    <cellStyle name="Millares 21" xfId="228" xr:uid="{00000000-0005-0000-0000-00006A000000}"/>
    <cellStyle name="Millares 22" xfId="227" xr:uid="{00000000-0005-0000-0000-00006B000000}"/>
    <cellStyle name="Millares 23" xfId="234" xr:uid="{00000000-0005-0000-0000-00006C000000}"/>
    <cellStyle name="Millares 24" xfId="235" xr:uid="{00000000-0005-0000-0000-00006D000000}"/>
    <cellStyle name="Millares 25" xfId="236" xr:uid="{00000000-0005-0000-0000-00006E000000}"/>
    <cellStyle name="Millares 26" xfId="237" xr:uid="{00000000-0005-0000-0000-00006F000000}"/>
    <cellStyle name="Millares 27" xfId="238" xr:uid="{00000000-0005-0000-0000-000070000000}"/>
    <cellStyle name="Millares 28" xfId="239" xr:uid="{00000000-0005-0000-0000-000071000000}"/>
    <cellStyle name="Millares 29" xfId="240" xr:uid="{00000000-0005-0000-0000-000072000000}"/>
    <cellStyle name="Millares 3" xfId="116" xr:uid="{00000000-0005-0000-0000-000073000000}"/>
    <cellStyle name="Millares 4" xfId="215" xr:uid="{00000000-0005-0000-0000-000074000000}"/>
    <cellStyle name="Millares 5" xfId="221" xr:uid="{00000000-0005-0000-0000-000075000000}"/>
    <cellStyle name="Millares 6" xfId="213" xr:uid="{00000000-0005-0000-0000-000076000000}"/>
    <cellStyle name="Millares 7" xfId="220" xr:uid="{00000000-0005-0000-0000-000077000000}"/>
    <cellStyle name="Millares 8" xfId="214" xr:uid="{00000000-0005-0000-0000-000078000000}"/>
    <cellStyle name="Millares 9" xfId="222" xr:uid="{00000000-0005-0000-0000-000079000000}"/>
    <cellStyle name="Moneda 2" xfId="209" xr:uid="{00000000-0005-0000-0000-00007A000000}"/>
    <cellStyle name="Moneda 3" xfId="216" xr:uid="{00000000-0005-0000-0000-00007B000000}"/>
    <cellStyle name="Neutral 2" xfId="117" xr:uid="{00000000-0005-0000-0000-00007C000000}"/>
    <cellStyle name="Neutral 3" xfId="118" xr:uid="{00000000-0005-0000-0000-00007D000000}"/>
    <cellStyle name="Normal" xfId="0" builtinId="0"/>
    <cellStyle name="Normal 10" xfId="10" xr:uid="{00000000-0005-0000-0000-00007F000000}"/>
    <cellStyle name="Normal 11" xfId="119" xr:uid="{00000000-0005-0000-0000-000080000000}"/>
    <cellStyle name="Normal 12" xfId="120" xr:uid="{00000000-0005-0000-0000-000081000000}"/>
    <cellStyle name="Normal 13" xfId="121" xr:uid="{00000000-0005-0000-0000-000082000000}"/>
    <cellStyle name="Normal 14" xfId="122" xr:uid="{00000000-0005-0000-0000-000083000000}"/>
    <cellStyle name="Normal 15" xfId="123" xr:uid="{00000000-0005-0000-0000-000084000000}"/>
    <cellStyle name="Normal 16" xfId="124" xr:uid="{00000000-0005-0000-0000-000085000000}"/>
    <cellStyle name="Normal 17" xfId="125" xr:uid="{00000000-0005-0000-0000-000086000000}"/>
    <cellStyle name="Normal 18" xfId="126" xr:uid="{00000000-0005-0000-0000-000087000000}"/>
    <cellStyle name="Normal 19" xfId="127" xr:uid="{00000000-0005-0000-0000-000088000000}"/>
    <cellStyle name="Normal 2" xfId="4" xr:uid="{00000000-0005-0000-0000-000089000000}"/>
    <cellStyle name="Normal 2 2" xfId="12" xr:uid="{00000000-0005-0000-0000-00008A000000}"/>
    <cellStyle name="Normal 2 2 2" xfId="128" xr:uid="{00000000-0005-0000-0000-00008B000000}"/>
    <cellStyle name="Normal 2 3" xfId="129" xr:uid="{00000000-0005-0000-0000-00008C000000}"/>
    <cellStyle name="Normal 2 4" xfId="217" xr:uid="{00000000-0005-0000-0000-00008D000000}"/>
    <cellStyle name="Normal 2 5" xfId="241" xr:uid="{00000000-0005-0000-0000-00008E000000}"/>
    <cellStyle name="Normal 20" xfId="130" xr:uid="{00000000-0005-0000-0000-00008F000000}"/>
    <cellStyle name="Normal 21" xfId="131" xr:uid="{00000000-0005-0000-0000-000090000000}"/>
    <cellStyle name="Normal 22" xfId="132" xr:uid="{00000000-0005-0000-0000-000091000000}"/>
    <cellStyle name="Normal 23" xfId="133" xr:uid="{00000000-0005-0000-0000-000092000000}"/>
    <cellStyle name="Normal 24" xfId="134" xr:uid="{00000000-0005-0000-0000-000093000000}"/>
    <cellStyle name="Normal 25" xfId="135" xr:uid="{00000000-0005-0000-0000-000094000000}"/>
    <cellStyle name="Normal 26" xfId="136" xr:uid="{00000000-0005-0000-0000-000095000000}"/>
    <cellStyle name="Normal 27" xfId="137" xr:uid="{00000000-0005-0000-0000-000096000000}"/>
    <cellStyle name="Normal 28" xfId="138" xr:uid="{00000000-0005-0000-0000-000097000000}"/>
    <cellStyle name="Normal 29" xfId="139" xr:uid="{00000000-0005-0000-0000-000098000000}"/>
    <cellStyle name="Normal 3" xfId="46" xr:uid="{00000000-0005-0000-0000-000099000000}"/>
    <cellStyle name="Normal 3 2" xfId="141" xr:uid="{00000000-0005-0000-0000-00009A000000}"/>
    <cellStyle name="Normal 3 3" xfId="142" xr:uid="{00000000-0005-0000-0000-00009B000000}"/>
    <cellStyle name="Normal 3 4" xfId="143" xr:uid="{00000000-0005-0000-0000-00009C000000}"/>
    <cellStyle name="Normal 3 5" xfId="14" xr:uid="{00000000-0005-0000-0000-00009D000000}"/>
    <cellStyle name="Normal 3 6" xfId="140" xr:uid="{00000000-0005-0000-0000-00009E000000}"/>
    <cellStyle name="Normal 30" xfId="144" xr:uid="{00000000-0005-0000-0000-00009F000000}"/>
    <cellStyle name="Normal 31" xfId="145" xr:uid="{00000000-0005-0000-0000-0000A0000000}"/>
    <cellStyle name="Normal 32" xfId="146" xr:uid="{00000000-0005-0000-0000-0000A1000000}"/>
    <cellStyle name="Normal 33" xfId="147" xr:uid="{00000000-0005-0000-0000-0000A2000000}"/>
    <cellStyle name="Normal 34" xfId="148" xr:uid="{00000000-0005-0000-0000-0000A3000000}"/>
    <cellStyle name="Normal 35" xfId="149" xr:uid="{00000000-0005-0000-0000-0000A4000000}"/>
    <cellStyle name="Normal 36" xfId="150" xr:uid="{00000000-0005-0000-0000-0000A5000000}"/>
    <cellStyle name="Normal 37" xfId="151" xr:uid="{00000000-0005-0000-0000-0000A6000000}"/>
    <cellStyle name="Normal 38" xfId="152" xr:uid="{00000000-0005-0000-0000-0000A7000000}"/>
    <cellStyle name="Normal 39" xfId="153" xr:uid="{00000000-0005-0000-0000-0000A8000000}"/>
    <cellStyle name="Normal 4" xfId="11" xr:uid="{00000000-0005-0000-0000-0000A9000000}"/>
    <cellStyle name="Normal 4 2" xfId="47" xr:uid="{00000000-0005-0000-0000-0000AA000000}"/>
    <cellStyle name="Normal 40" xfId="154" xr:uid="{00000000-0005-0000-0000-0000AB000000}"/>
    <cellStyle name="Normal 41" xfId="155" xr:uid="{00000000-0005-0000-0000-0000AC000000}"/>
    <cellStyle name="Normal 42" xfId="156" xr:uid="{00000000-0005-0000-0000-0000AD000000}"/>
    <cellStyle name="Normal 43" xfId="157" xr:uid="{00000000-0005-0000-0000-0000AE000000}"/>
    <cellStyle name="Normal 44" xfId="158" xr:uid="{00000000-0005-0000-0000-0000AF000000}"/>
    <cellStyle name="Normal 45" xfId="159" xr:uid="{00000000-0005-0000-0000-0000B0000000}"/>
    <cellStyle name="Normal 46" xfId="9" xr:uid="{00000000-0005-0000-0000-0000B1000000}"/>
    <cellStyle name="Normal 47" xfId="160" xr:uid="{00000000-0005-0000-0000-0000B2000000}"/>
    <cellStyle name="Normal 48" xfId="161" xr:uid="{00000000-0005-0000-0000-0000B3000000}"/>
    <cellStyle name="Normal 49" xfId="162" xr:uid="{00000000-0005-0000-0000-0000B4000000}"/>
    <cellStyle name="Normal 5" xfId="48" xr:uid="{00000000-0005-0000-0000-0000B5000000}"/>
    <cellStyle name="Normal 5 2" xfId="163" xr:uid="{00000000-0005-0000-0000-0000B6000000}"/>
    <cellStyle name="Normal 50" xfId="164" xr:uid="{00000000-0005-0000-0000-0000B7000000}"/>
    <cellStyle name="Normal 51" xfId="165" xr:uid="{00000000-0005-0000-0000-0000B8000000}"/>
    <cellStyle name="Normal 52" xfId="166" xr:uid="{00000000-0005-0000-0000-0000B9000000}"/>
    <cellStyle name="Normal 53" xfId="167" xr:uid="{00000000-0005-0000-0000-0000BA000000}"/>
    <cellStyle name="Normal 54" xfId="168" xr:uid="{00000000-0005-0000-0000-0000BB000000}"/>
    <cellStyle name="Normal 55" xfId="169" xr:uid="{00000000-0005-0000-0000-0000BC000000}"/>
    <cellStyle name="Normal 56" xfId="170" xr:uid="{00000000-0005-0000-0000-0000BD000000}"/>
    <cellStyle name="Normal 57" xfId="171" xr:uid="{00000000-0005-0000-0000-0000BE000000}"/>
    <cellStyle name="Normal 58" xfId="172" xr:uid="{00000000-0005-0000-0000-0000BF000000}"/>
    <cellStyle name="Normal 59" xfId="173" xr:uid="{00000000-0005-0000-0000-0000C0000000}"/>
    <cellStyle name="Normal 6" xfId="15" xr:uid="{00000000-0005-0000-0000-0000C1000000}"/>
    <cellStyle name="Normal 6 2" xfId="174" xr:uid="{00000000-0005-0000-0000-0000C2000000}"/>
    <cellStyle name="Normal 60" xfId="175" xr:uid="{00000000-0005-0000-0000-0000C3000000}"/>
    <cellStyle name="Normal 61" xfId="176" xr:uid="{00000000-0005-0000-0000-0000C4000000}"/>
    <cellStyle name="Normal 62" xfId="177" xr:uid="{00000000-0005-0000-0000-0000C5000000}"/>
    <cellStyle name="Normal 63" xfId="178" xr:uid="{00000000-0005-0000-0000-0000C6000000}"/>
    <cellStyle name="Normal 64" xfId="179" xr:uid="{00000000-0005-0000-0000-0000C7000000}"/>
    <cellStyle name="Normal 65" xfId="180" xr:uid="{00000000-0005-0000-0000-0000C8000000}"/>
    <cellStyle name="Normal 66" xfId="181" xr:uid="{00000000-0005-0000-0000-0000C9000000}"/>
    <cellStyle name="Normal 67" xfId="182" xr:uid="{00000000-0005-0000-0000-0000CA000000}"/>
    <cellStyle name="Normal 68" xfId="183" xr:uid="{00000000-0005-0000-0000-0000CB000000}"/>
    <cellStyle name="Normal 69" xfId="184" xr:uid="{00000000-0005-0000-0000-0000CC000000}"/>
    <cellStyle name="Normal 7" xfId="49" xr:uid="{00000000-0005-0000-0000-0000CD000000}"/>
    <cellStyle name="Normal 7 2" xfId="210" xr:uid="{00000000-0005-0000-0000-0000CE000000}"/>
    <cellStyle name="Normal 70" xfId="185" xr:uid="{00000000-0005-0000-0000-0000CF000000}"/>
    <cellStyle name="Normal 71" xfId="186" xr:uid="{00000000-0005-0000-0000-0000D0000000}"/>
    <cellStyle name="Normal 72" xfId="187" xr:uid="{00000000-0005-0000-0000-0000D1000000}"/>
    <cellStyle name="Normal 73" xfId="188" xr:uid="{00000000-0005-0000-0000-0000D2000000}"/>
    <cellStyle name="Normal 74" xfId="189" xr:uid="{00000000-0005-0000-0000-0000D3000000}"/>
    <cellStyle name="Normal 75" xfId="190" xr:uid="{00000000-0005-0000-0000-0000D4000000}"/>
    <cellStyle name="Normal 76" xfId="13" xr:uid="{00000000-0005-0000-0000-0000D5000000}"/>
    <cellStyle name="Normal 8" xfId="191" xr:uid="{00000000-0005-0000-0000-0000D6000000}"/>
    <cellStyle name="Normal 9" xfId="192" xr:uid="{00000000-0005-0000-0000-0000D7000000}"/>
    <cellStyle name="Notas 2" xfId="193" xr:uid="{00000000-0005-0000-0000-0000D8000000}"/>
    <cellStyle name="Notas 2 2" xfId="218" xr:uid="{00000000-0005-0000-0000-0000D9000000}"/>
    <cellStyle name="Porcentaje" xfId="2" builtinId="5"/>
    <cellStyle name="Porcentaje 2" xfId="45" xr:uid="{00000000-0005-0000-0000-0000DB000000}"/>
    <cellStyle name="Porcentaje 3" xfId="194" xr:uid="{00000000-0005-0000-0000-0000DC000000}"/>
    <cellStyle name="Porcentual 2" xfId="7" xr:uid="{00000000-0005-0000-0000-0000DD000000}"/>
    <cellStyle name="Salida" xfId="21" builtinId="21" customBuiltin="1"/>
    <cellStyle name="Salida 2" xfId="195" xr:uid="{00000000-0005-0000-0000-0000DF000000}"/>
    <cellStyle name="Salida 3" xfId="196" xr:uid="{00000000-0005-0000-0000-0000E0000000}"/>
    <cellStyle name="Texto de advertencia" xfId="25" builtinId="11" customBuiltin="1"/>
    <cellStyle name="Texto de advertencia 2" xfId="197" xr:uid="{00000000-0005-0000-0000-0000E2000000}"/>
    <cellStyle name="Texto de advertencia 3" xfId="198" xr:uid="{00000000-0005-0000-0000-0000E3000000}"/>
    <cellStyle name="Texto explicativo" xfId="26" builtinId="53" customBuiltin="1"/>
    <cellStyle name="Texto explicativo 2" xfId="199" xr:uid="{00000000-0005-0000-0000-0000E5000000}"/>
    <cellStyle name="Texto explicativo 3" xfId="200" xr:uid="{00000000-0005-0000-0000-0000E6000000}"/>
    <cellStyle name="Título 1 2" xfId="201" xr:uid="{00000000-0005-0000-0000-0000E7000000}"/>
    <cellStyle name="Título 1 3" xfId="202" xr:uid="{00000000-0005-0000-0000-0000E8000000}"/>
    <cellStyle name="Título 2" xfId="16" builtinId="17" customBuiltin="1"/>
    <cellStyle name="Título 2 2" xfId="203" xr:uid="{00000000-0005-0000-0000-0000EA000000}"/>
    <cellStyle name="Título 2 3" xfId="204" xr:uid="{00000000-0005-0000-0000-0000EB000000}"/>
    <cellStyle name="Título 3" xfId="17" builtinId="18" customBuiltin="1"/>
    <cellStyle name="Título 3 2" xfId="205" xr:uid="{00000000-0005-0000-0000-0000ED000000}"/>
    <cellStyle name="Título 3 3" xfId="206" xr:uid="{00000000-0005-0000-0000-0000EE000000}"/>
    <cellStyle name="Título 4" xfId="219" xr:uid="{00000000-0005-0000-0000-0000EF000000}"/>
    <cellStyle name="Total" xfId="27" builtinId="25" customBuiltin="1"/>
    <cellStyle name="Total 2" xfId="207" xr:uid="{00000000-0005-0000-0000-0000F1000000}"/>
    <cellStyle name="Total 3" xfId="208" xr:uid="{00000000-0005-0000-0000-0000F2000000}"/>
  </cellStyles>
  <dxfs count="0"/>
  <tableStyles count="0" defaultTableStyle="TableStyleMedium2" defaultPivotStyle="PivotStyleLight16"/>
  <colors>
    <mruColors>
      <color rgb="FFF68A8A"/>
      <color rgb="FFFF7C80"/>
      <color rgb="FFC0504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885825</xdr:colOff>
      <xdr:row>1</xdr:row>
      <xdr:rowOff>0</xdr:rowOff>
    </xdr:to>
    <xdr:pic>
      <xdr:nvPicPr>
        <xdr:cNvPr id="3" name="Imagen 2" descr="cid:image001.png@01CC8988.715F2480">
          <a:extLst>
            <a:ext uri="{FF2B5EF4-FFF2-40B4-BE49-F238E27FC236}">
              <a16:creationId xmlns:a16="http://schemas.microsoft.com/office/drawing/2014/main" id="{BDFB6859-6759-4EF2-9F07-F96F12AE9496}"/>
            </a:ext>
          </a:extLst>
        </xdr:cNvPr>
        <xdr:cNvPicPr/>
      </xdr:nvPicPr>
      <xdr:blipFill>
        <a:blip xmlns:r="http://schemas.openxmlformats.org/officeDocument/2006/relationships" r:embed="rId1"/>
        <a:srcRect/>
        <a:stretch>
          <a:fillRect/>
        </a:stretch>
      </xdr:blipFill>
      <xdr:spPr bwMode="auto">
        <a:xfrm>
          <a:off x="0" y="0"/>
          <a:ext cx="885825" cy="79057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2"/>
  <sheetViews>
    <sheetView workbookViewId="0">
      <selection activeCell="B3" sqref="B3"/>
    </sheetView>
  </sheetViews>
  <sheetFormatPr baseColWidth="10" defaultRowHeight="15" x14ac:dyDescent="0.25"/>
  <sheetData>
    <row r="2" spans="1:2" x14ac:dyDescent="0.25">
      <c r="A2" t="s">
        <v>463</v>
      </c>
      <c r="B2" t="s">
        <v>579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0504D"/>
  </sheetPr>
  <dimension ref="A1:N16"/>
  <sheetViews>
    <sheetView showGridLines="0" tabSelected="1" workbookViewId="0">
      <selection activeCell="A2" sqref="A2"/>
    </sheetView>
  </sheetViews>
  <sheetFormatPr baseColWidth="10" defaultRowHeight="15" x14ac:dyDescent="0.25"/>
  <cols>
    <col min="1" max="1" width="13.5703125" customWidth="1"/>
    <col min="2" max="2" width="62.7109375" customWidth="1"/>
  </cols>
  <sheetData>
    <row r="1" spans="1:14" ht="62.25" customHeight="1" x14ac:dyDescent="0.25">
      <c r="B1" s="104" t="s">
        <v>571</v>
      </c>
    </row>
    <row r="2" spans="1:14" x14ac:dyDescent="0.25">
      <c r="A2" s="103"/>
      <c r="B2" s="25"/>
      <c r="C2" s="25"/>
    </row>
    <row r="3" spans="1:14" x14ac:dyDescent="0.25">
      <c r="A3" s="103"/>
      <c r="B3" s="25"/>
      <c r="C3" s="25"/>
    </row>
    <row r="4" spans="1:14" x14ac:dyDescent="0.25">
      <c r="A4" s="47"/>
      <c r="B4" s="25"/>
      <c r="C4" s="25"/>
    </row>
    <row r="5" spans="1:14" ht="15.75" x14ac:dyDescent="0.25">
      <c r="A5" s="47"/>
      <c r="B5" s="98" t="s">
        <v>462</v>
      </c>
      <c r="C5" s="25"/>
    </row>
    <row r="7" spans="1:14" s="25" customFormat="1" x14ac:dyDescent="0.25">
      <c r="B7" s="99" t="s">
        <v>124</v>
      </c>
      <c r="C7" s="39"/>
      <c r="D7" s="39"/>
      <c r="E7" s="39"/>
      <c r="F7" s="39"/>
      <c r="G7" s="39"/>
      <c r="H7" s="39"/>
      <c r="I7" s="39"/>
      <c r="J7" s="39"/>
      <c r="K7" s="39"/>
      <c r="L7" s="39"/>
      <c r="M7" s="39"/>
    </row>
    <row r="8" spans="1:14" s="25" customFormat="1" ht="47.25" customHeight="1" x14ac:dyDescent="0.2">
      <c r="B8" s="140" t="s">
        <v>603</v>
      </c>
      <c r="C8" s="72"/>
      <c r="D8" s="72"/>
      <c r="E8" s="72"/>
      <c r="F8" s="72"/>
      <c r="G8" s="72"/>
      <c r="H8" s="72"/>
      <c r="I8" s="72"/>
      <c r="J8" s="72"/>
      <c r="K8" s="72"/>
      <c r="L8" s="72"/>
      <c r="M8" s="72"/>
      <c r="N8" s="39"/>
    </row>
    <row r="9" spans="1:14" s="25" customFormat="1" ht="15" customHeight="1" x14ac:dyDescent="0.2">
      <c r="B9" s="72"/>
      <c r="C9" s="72"/>
      <c r="D9" s="72"/>
      <c r="E9" s="72"/>
      <c r="F9" s="72"/>
      <c r="G9" s="72"/>
      <c r="H9" s="72"/>
      <c r="I9" s="72"/>
      <c r="J9" s="72"/>
      <c r="K9" s="72"/>
      <c r="L9" s="72"/>
      <c r="M9" s="72"/>
      <c r="N9" s="92"/>
    </row>
    <row r="10" spans="1:14" s="25" customFormat="1" x14ac:dyDescent="0.2">
      <c r="B10" s="100" t="s">
        <v>559</v>
      </c>
      <c r="C10" s="92"/>
      <c r="D10" s="92"/>
      <c r="E10" s="92"/>
      <c r="F10" s="92"/>
      <c r="G10" s="92"/>
      <c r="H10" s="92"/>
      <c r="I10" s="92"/>
      <c r="J10" s="92"/>
      <c r="K10" s="92"/>
      <c r="L10" s="92"/>
      <c r="M10" s="92"/>
      <c r="N10" s="92"/>
    </row>
    <row r="11" spans="1:14" s="25" customFormat="1" x14ac:dyDescent="0.25">
      <c r="B11" s="101" t="s">
        <v>561</v>
      </c>
      <c r="C11" s="39"/>
      <c r="D11" s="39"/>
      <c r="E11" s="39"/>
      <c r="F11" s="39"/>
      <c r="G11" s="39"/>
      <c r="H11" s="39"/>
      <c r="I11" s="39"/>
      <c r="J11" s="39"/>
      <c r="K11" s="39"/>
      <c r="L11" s="39"/>
      <c r="M11" s="39"/>
      <c r="N11" s="92"/>
    </row>
    <row r="12" spans="1:14" s="25" customFormat="1" x14ac:dyDescent="0.25">
      <c r="B12" s="102" t="s">
        <v>560</v>
      </c>
      <c r="N12" s="39"/>
    </row>
    <row r="13" spans="1:14" s="25" customFormat="1" ht="12" x14ac:dyDescent="0.2"/>
    <row r="14" spans="1:14" s="25" customFormat="1" ht="12" x14ac:dyDescent="0.2"/>
    <row r="15" spans="1:14" s="25" customFormat="1" ht="12" x14ac:dyDescent="0.2"/>
    <row r="16" spans="1:14" s="25" customFormat="1" ht="12" x14ac:dyDescent="0.2"/>
  </sheetData>
  <hyperlinks>
    <hyperlink ref="B10" location="'Índice Pensiones Solidarias'!A1" display="'Índice Pensiones Solidarias'!A1" xr:uid="{00000000-0004-0000-0100-000000000000}"/>
    <hyperlink ref="B11" location="'Índice BxH'!A1" display="'Índice BxH'!A1" xr:uid="{00000000-0004-0000-0100-000001000000}"/>
    <hyperlink ref="B12" location="'Índice STJ'!A1" display="'Índice STJ'!A1" xr:uid="{00000000-0004-0000-0100-000002000000}"/>
  </hyperlinks>
  <pageMargins left="0.7" right="0.7" top="0.75" bottom="0.75" header="0.3" footer="0.3"/>
  <pageSetup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2:N37"/>
  <sheetViews>
    <sheetView showGridLines="0" workbookViewId="0">
      <selection activeCell="B11" sqref="B11"/>
    </sheetView>
  </sheetViews>
  <sheetFormatPr baseColWidth="10" defaultColWidth="11.42578125" defaultRowHeight="12" x14ac:dyDescent="0.2"/>
  <cols>
    <col min="1" max="1" width="6" style="25" customWidth="1"/>
    <col min="2" max="7" width="11.42578125" style="25"/>
    <col min="8" max="8" width="13.5703125" style="25" customWidth="1"/>
    <col min="9" max="16384" width="11.42578125" style="25"/>
  </cols>
  <sheetData>
    <row r="2" spans="1:14" x14ac:dyDescent="0.2">
      <c r="A2" s="47" t="s">
        <v>101</v>
      </c>
    </row>
    <row r="3" spans="1:14" x14ac:dyDescent="0.2">
      <c r="A3" s="47" t="s">
        <v>102</v>
      </c>
    </row>
    <row r="4" spans="1:14" ht="15.75" customHeight="1" x14ac:dyDescent="0.2">
      <c r="A4" s="47"/>
    </row>
    <row r="5" spans="1:14" ht="15" x14ac:dyDescent="0.25">
      <c r="A5" s="47"/>
      <c r="B5" s="105" t="s">
        <v>565</v>
      </c>
      <c r="C5" s="93"/>
      <c r="D5" s="93"/>
      <c r="E5" s="93"/>
      <c r="N5" s="121" t="s">
        <v>570</v>
      </c>
    </row>
    <row r="7" spans="1:14" s="106" customFormat="1" ht="12.75" x14ac:dyDescent="0.2">
      <c r="B7" s="107" t="s">
        <v>124</v>
      </c>
      <c r="C7" s="108"/>
      <c r="D7" s="108"/>
      <c r="E7" s="108"/>
      <c r="F7" s="108"/>
      <c r="G7" s="108"/>
      <c r="H7" s="108"/>
      <c r="I7" s="108"/>
      <c r="J7" s="108"/>
      <c r="K7" s="108"/>
      <c r="L7" s="108"/>
      <c r="M7" s="108"/>
      <c r="N7" s="109"/>
    </row>
    <row r="8" spans="1:14" s="106" customFormat="1" ht="12.75" x14ac:dyDescent="0.2">
      <c r="B8" s="363" t="s">
        <v>604</v>
      </c>
      <c r="C8" s="364"/>
      <c r="D8" s="364"/>
      <c r="E8" s="364"/>
      <c r="F8" s="364"/>
      <c r="G8" s="364"/>
      <c r="H8" s="364"/>
      <c r="I8" s="364"/>
      <c r="J8" s="364"/>
      <c r="K8" s="364"/>
      <c r="L8" s="364"/>
      <c r="M8" s="364"/>
      <c r="N8" s="365"/>
    </row>
    <row r="9" spans="1:14" s="106" customFormat="1" ht="12.75" x14ac:dyDescent="0.2">
      <c r="B9" s="363"/>
      <c r="C9" s="364"/>
      <c r="D9" s="364"/>
      <c r="E9" s="364"/>
      <c r="F9" s="364"/>
      <c r="G9" s="364"/>
      <c r="H9" s="364"/>
      <c r="I9" s="364"/>
      <c r="J9" s="364"/>
      <c r="K9" s="364"/>
      <c r="L9" s="364"/>
      <c r="M9" s="364"/>
      <c r="N9" s="365"/>
    </row>
    <row r="10" spans="1:14" s="106" customFormat="1" ht="12.75" x14ac:dyDescent="0.2">
      <c r="B10" s="363"/>
      <c r="C10" s="364"/>
      <c r="D10" s="364"/>
      <c r="E10" s="364"/>
      <c r="F10" s="364"/>
      <c r="G10" s="364"/>
      <c r="H10" s="364"/>
      <c r="I10" s="364"/>
      <c r="J10" s="364"/>
      <c r="K10" s="364"/>
      <c r="L10" s="364"/>
      <c r="M10" s="364"/>
      <c r="N10" s="365"/>
    </row>
    <row r="11" spans="1:14" s="106" customFormat="1" ht="12.75" x14ac:dyDescent="0.2">
      <c r="B11" s="353" t="s">
        <v>605</v>
      </c>
      <c r="C11" s="110"/>
      <c r="D11" s="110"/>
      <c r="E11" s="110"/>
      <c r="F11" s="110"/>
      <c r="G11" s="110"/>
      <c r="H11" s="110"/>
      <c r="I11" s="110"/>
      <c r="J11" s="110"/>
      <c r="K11" s="110"/>
      <c r="L11" s="110"/>
      <c r="M11" s="110"/>
      <c r="N11" s="111"/>
    </row>
    <row r="12" spans="1:14" s="106" customFormat="1" ht="12.75" x14ac:dyDescent="0.2"/>
    <row r="13" spans="1:14" s="106" customFormat="1" ht="12.75" x14ac:dyDescent="0.2">
      <c r="B13" s="71" t="s">
        <v>125</v>
      </c>
    </row>
    <row r="14" spans="1:14" s="106" customFormat="1" ht="12.75" x14ac:dyDescent="0.2">
      <c r="B14" s="366" t="s">
        <v>606</v>
      </c>
      <c r="C14" s="366"/>
      <c r="D14" s="366"/>
      <c r="E14" s="366"/>
      <c r="F14" s="366"/>
      <c r="G14" s="366"/>
      <c r="H14" s="366"/>
      <c r="I14" s="366"/>
    </row>
    <row r="15" spans="1:14" s="106" customFormat="1" ht="12.75" x14ac:dyDescent="0.2">
      <c r="B15" s="366" t="s">
        <v>607</v>
      </c>
      <c r="C15" s="366"/>
      <c r="D15" s="366"/>
      <c r="E15" s="366"/>
      <c r="F15" s="366"/>
      <c r="G15" s="366"/>
      <c r="H15" s="366"/>
    </row>
    <row r="16" spans="1:14" s="106" customFormat="1" ht="12.75" x14ac:dyDescent="0.2"/>
    <row r="17" spans="2:10" s="106" customFormat="1" ht="12.75" x14ac:dyDescent="0.2">
      <c r="B17" s="71" t="s">
        <v>127</v>
      </c>
    </row>
    <row r="18" spans="2:10" s="106" customFormat="1" ht="12.75" x14ac:dyDescent="0.2">
      <c r="B18" s="367" t="s">
        <v>608</v>
      </c>
      <c r="C18" s="367"/>
      <c r="D18" s="367"/>
      <c r="E18" s="367"/>
      <c r="F18" s="367"/>
      <c r="G18" s="367"/>
      <c r="H18" s="367"/>
      <c r="I18" s="367"/>
      <c r="J18" s="367"/>
    </row>
    <row r="19" spans="2:10" s="106" customFormat="1" ht="12.75" x14ac:dyDescent="0.2">
      <c r="B19" s="367" t="s">
        <v>609</v>
      </c>
      <c r="C19" s="367"/>
      <c r="D19" s="367"/>
      <c r="E19" s="367"/>
      <c r="F19" s="367"/>
      <c r="G19" s="367"/>
      <c r="H19" s="367"/>
      <c r="I19" s="367"/>
    </row>
    <row r="20" spans="2:10" s="106" customFormat="1" ht="12.75" x14ac:dyDescent="0.2">
      <c r="B20" s="112"/>
    </row>
    <row r="21" spans="2:10" s="106" customFormat="1" ht="12.75" x14ac:dyDescent="0.2">
      <c r="B21" s="71" t="s">
        <v>610</v>
      </c>
    </row>
    <row r="22" spans="2:10" s="106" customFormat="1" ht="12.75" x14ac:dyDescent="0.2">
      <c r="B22" s="367" t="s">
        <v>103</v>
      </c>
      <c r="C22" s="367"/>
      <c r="D22" s="367"/>
    </row>
    <row r="23" spans="2:10" s="106" customFormat="1" ht="12.75" x14ac:dyDescent="0.2">
      <c r="B23" s="367" t="s">
        <v>104</v>
      </c>
      <c r="C23" s="367"/>
      <c r="D23" s="367"/>
    </row>
    <row r="24" spans="2:10" s="106" customFormat="1" ht="12.75" x14ac:dyDescent="0.2">
      <c r="B24" s="367" t="s">
        <v>111</v>
      </c>
      <c r="C24" s="367"/>
      <c r="D24" s="367"/>
    </row>
    <row r="25" spans="2:10" s="106" customFormat="1" ht="12.75" x14ac:dyDescent="0.2">
      <c r="B25" s="367" t="s">
        <v>105</v>
      </c>
      <c r="C25" s="367"/>
      <c r="D25" s="367"/>
    </row>
    <row r="26" spans="2:10" s="106" customFormat="1" ht="12.75" x14ac:dyDescent="0.2">
      <c r="B26" s="367" t="s">
        <v>106</v>
      </c>
      <c r="C26" s="367"/>
      <c r="D26" s="367"/>
    </row>
    <row r="27" spans="2:10" s="106" customFormat="1" ht="12.75" x14ac:dyDescent="0.2">
      <c r="B27" s="367" t="s">
        <v>107</v>
      </c>
      <c r="C27" s="367"/>
      <c r="D27" s="367"/>
    </row>
    <row r="28" spans="2:10" s="106" customFormat="1" ht="12.75" x14ac:dyDescent="0.2">
      <c r="B28" s="367" t="s">
        <v>108</v>
      </c>
      <c r="C28" s="367"/>
      <c r="D28" s="367"/>
    </row>
    <row r="29" spans="2:10" s="106" customFormat="1" ht="12.75" x14ac:dyDescent="0.2">
      <c r="B29" s="367" t="s">
        <v>109</v>
      </c>
      <c r="C29" s="367"/>
      <c r="D29" s="367"/>
    </row>
    <row r="30" spans="2:10" s="106" customFormat="1" ht="12.75" x14ac:dyDescent="0.2">
      <c r="B30" s="368" t="s">
        <v>591</v>
      </c>
      <c r="C30" s="368"/>
      <c r="D30" s="368"/>
    </row>
    <row r="31" spans="2:10" s="106" customFormat="1" ht="12.75" x14ac:dyDescent="0.2">
      <c r="B31" s="367" t="s">
        <v>110</v>
      </c>
      <c r="C31" s="367"/>
      <c r="D31" s="367"/>
    </row>
    <row r="32" spans="2:10" s="106" customFormat="1" ht="12.75" x14ac:dyDescent="0.2">
      <c r="B32" s="367" t="s">
        <v>112</v>
      </c>
      <c r="C32" s="367"/>
      <c r="D32" s="367"/>
    </row>
    <row r="33" spans="2:4" s="106" customFormat="1" ht="12.75" x14ac:dyDescent="0.2">
      <c r="B33" s="367" t="s">
        <v>113</v>
      </c>
      <c r="C33" s="367"/>
      <c r="D33" s="367"/>
    </row>
    <row r="34" spans="2:4" s="106" customFormat="1" ht="12.75" x14ac:dyDescent="0.2">
      <c r="B34" s="367" t="s">
        <v>114</v>
      </c>
      <c r="C34" s="367"/>
      <c r="D34" s="367"/>
    </row>
    <row r="35" spans="2:4" s="106" customFormat="1" ht="12.75" x14ac:dyDescent="0.2">
      <c r="B35" s="367" t="s">
        <v>115</v>
      </c>
      <c r="C35" s="367"/>
      <c r="D35" s="367"/>
    </row>
    <row r="36" spans="2:4" s="106" customFormat="1" ht="12.75" x14ac:dyDescent="0.2">
      <c r="B36" s="367" t="s">
        <v>116</v>
      </c>
      <c r="C36" s="367"/>
      <c r="D36" s="367"/>
    </row>
    <row r="37" spans="2:4" s="106" customFormat="1" ht="12.75" x14ac:dyDescent="0.2">
      <c r="B37" s="367" t="s">
        <v>117</v>
      </c>
      <c r="C37" s="367"/>
      <c r="D37" s="367"/>
    </row>
  </sheetData>
  <mergeCells count="21">
    <mergeCell ref="B35:D35"/>
    <mergeCell ref="B36:D36"/>
    <mergeCell ref="B37:D37"/>
    <mergeCell ref="B29:D29"/>
    <mergeCell ref="B31:D31"/>
    <mergeCell ref="B32:D32"/>
    <mergeCell ref="B33:D33"/>
    <mergeCell ref="B34:D34"/>
    <mergeCell ref="B30:D30"/>
    <mergeCell ref="B28:D28"/>
    <mergeCell ref="B22:D22"/>
    <mergeCell ref="B23:D23"/>
    <mergeCell ref="B24:D24"/>
    <mergeCell ref="B25:D25"/>
    <mergeCell ref="B26:D26"/>
    <mergeCell ref="B27:D27"/>
    <mergeCell ref="B8:N10"/>
    <mergeCell ref="B15:H15"/>
    <mergeCell ref="B18:J18"/>
    <mergeCell ref="B19:I19"/>
    <mergeCell ref="B14:I14"/>
  </mergeCells>
  <hyperlinks>
    <hyperlink ref="B15" location="'Concesiones Nacional'!A1" display="Concesiones en el Sistema de Pensiones Solidarias, por mes, desde julio 2008 a marzo 2018" xr:uid="{00000000-0004-0000-0200-000000000000}"/>
    <hyperlink ref="B19" location="'Concesiones Regiones'!A1" display="Concesiones Regiones" xr:uid="{00000000-0004-0000-0200-000001000000}"/>
    <hyperlink ref="B22" location="XV!A1" display="XV Arica y Parinacota" xr:uid="{00000000-0004-0000-0200-000002000000}"/>
    <hyperlink ref="B23" location="I!A1" display="I Tarapaca" xr:uid="{00000000-0004-0000-0200-000003000000}"/>
    <hyperlink ref="B24" location="II!A1" display="II Antofagasta" xr:uid="{00000000-0004-0000-0200-000004000000}"/>
    <hyperlink ref="B25" location="III!A1" display="III Atacama" xr:uid="{00000000-0004-0000-0200-000005000000}"/>
    <hyperlink ref="B26" location="IV!A1" display="IV Coquimbo" xr:uid="{00000000-0004-0000-0200-000006000000}"/>
    <hyperlink ref="B27" location="V!A1" display="V Valparaiso" xr:uid="{00000000-0004-0000-0200-000007000000}"/>
    <hyperlink ref="B28" location="VI!A1" display="VI Libertador General Bernardo O'Higgins" xr:uid="{00000000-0004-0000-0200-000008000000}"/>
    <hyperlink ref="B29" location="VII!A1" display="VII Maule" xr:uid="{00000000-0004-0000-0200-000009000000}"/>
    <hyperlink ref="B31" location="VIII!A1" display="VIII Bio Bio" xr:uid="{00000000-0004-0000-0200-00000A000000}"/>
    <hyperlink ref="B32" location="IX!A1" display="IX Araucania" xr:uid="{00000000-0004-0000-0200-00000B000000}"/>
    <hyperlink ref="B33" location="XIV!A1" display="XIV Los Rios" xr:uid="{00000000-0004-0000-0200-00000C000000}"/>
    <hyperlink ref="B34" location="X!A1" display="X Los Lagos" xr:uid="{00000000-0004-0000-0200-00000D000000}"/>
    <hyperlink ref="B35" location="XI!A1" display="XI Aysen" xr:uid="{00000000-0004-0000-0200-00000E000000}"/>
    <hyperlink ref="B36" location="XII!A1" display="XII Magallanes" xr:uid="{00000000-0004-0000-0200-00000F000000}"/>
    <hyperlink ref="B37" location="XIII!A1" display="XIII Metropolitana" xr:uid="{00000000-0004-0000-0200-000010000000}"/>
    <hyperlink ref="B18" location="'Solicitudes Regiones'!A1" display="Solicitudes Regiones" xr:uid="{00000000-0004-0000-0200-000011000000}"/>
    <hyperlink ref="N5" location="Índice!A1" display="Volver" xr:uid="{00000000-0004-0000-0200-000012000000}"/>
    <hyperlink ref="B14" location="'Solicitudes Nacional'!A1" display="Solicitudes recibidas en el Sistema de Pensiones Solidarias, según mes, desde julio 2008 a marzo 2018" xr:uid="{00000000-0004-0000-0200-000013000000}"/>
    <hyperlink ref="B30" location="VII!A1" display="VII Maule" xr:uid="{00000000-0004-0000-0200-000014000000}"/>
    <hyperlink ref="B30:D30" location="XVI!A1" display="XVI Ñuble" xr:uid="{00000000-0004-0000-0200-000015000000}"/>
  </hyperlinks>
  <pageMargins left="0.7" right="0.7" top="0.75" bottom="0.75" header="0.3" footer="0.3"/>
  <pageSetup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1"/>
  <dimension ref="A2:S62"/>
  <sheetViews>
    <sheetView showGridLines="0" zoomScale="90" zoomScaleNormal="90" workbookViewId="0">
      <pane xSplit="2" ySplit="10" topLeftCell="C44" activePane="bottomRight" state="frozen"/>
      <selection activeCell="B6" sqref="B6:R6"/>
      <selection pane="topRight" activeCell="B6" sqref="B6:R6"/>
      <selection pane="bottomLeft" activeCell="B6" sqref="B6:R6"/>
      <selection pane="bottomRight" activeCell="R53" sqref="R53"/>
    </sheetView>
  </sheetViews>
  <sheetFormatPr baseColWidth="10" defaultColWidth="11.42578125" defaultRowHeight="12" x14ac:dyDescent="0.2"/>
  <cols>
    <col min="1" max="1" width="6" style="25" customWidth="1"/>
    <col min="2" max="2" width="13.42578125" style="25" customWidth="1"/>
    <col min="3" max="9" width="11.42578125" style="25"/>
    <col min="10" max="11" width="11.42578125" style="176"/>
    <col min="12" max="16384" width="11.42578125" style="25"/>
  </cols>
  <sheetData>
    <row r="2" spans="1:19" s="106" customFormat="1" ht="12.75" x14ac:dyDescent="0.2">
      <c r="A2" s="47" t="s">
        <v>101</v>
      </c>
    </row>
    <row r="3" spans="1:19" s="106" customFormat="1" ht="12.75" x14ac:dyDescent="0.2">
      <c r="A3" s="47" t="s">
        <v>102</v>
      </c>
    </row>
    <row r="4" spans="1:19" s="106" customFormat="1" ht="12.75" x14ac:dyDescent="0.2"/>
    <row r="5" spans="1:19" s="106" customFormat="1" ht="12.75" x14ac:dyDescent="0.2">
      <c r="B5" s="369" t="s">
        <v>54</v>
      </c>
      <c r="C5" s="369"/>
      <c r="D5" s="369"/>
      <c r="E5" s="369"/>
      <c r="F5" s="369"/>
      <c r="G5" s="369"/>
      <c r="H5" s="369"/>
      <c r="I5" s="369"/>
      <c r="J5" s="369"/>
      <c r="K5" s="369"/>
      <c r="L5" s="369"/>
      <c r="M5" s="369"/>
      <c r="N5" s="369"/>
      <c r="O5" s="369"/>
      <c r="P5" s="369"/>
      <c r="Q5" s="369"/>
      <c r="S5" s="123" t="s">
        <v>568</v>
      </c>
    </row>
    <row r="6" spans="1:19" s="106" customFormat="1" ht="12.75" x14ac:dyDescent="0.2">
      <c r="B6" s="369" t="s">
        <v>601</v>
      </c>
      <c r="C6" s="369"/>
      <c r="D6" s="369"/>
      <c r="E6" s="369"/>
      <c r="F6" s="369"/>
      <c r="G6" s="369"/>
      <c r="H6" s="369"/>
      <c r="I6" s="369"/>
      <c r="J6" s="369"/>
      <c r="K6" s="369"/>
      <c r="L6" s="369"/>
      <c r="M6" s="369"/>
      <c r="N6" s="369"/>
      <c r="O6" s="369"/>
      <c r="P6" s="369"/>
      <c r="Q6" s="369"/>
    </row>
    <row r="7" spans="1:19" ht="12.75" thickBot="1" x14ac:dyDescent="0.25"/>
    <row r="8" spans="1:19" ht="15.75" customHeight="1" thickBot="1" x14ac:dyDescent="0.25">
      <c r="B8" s="372" t="s">
        <v>0</v>
      </c>
      <c r="C8" s="373"/>
      <c r="D8" s="373"/>
      <c r="E8" s="373"/>
      <c r="F8" s="373"/>
      <c r="G8" s="373"/>
      <c r="H8" s="373"/>
      <c r="I8" s="373"/>
      <c r="J8" s="373"/>
      <c r="K8" s="373"/>
      <c r="L8" s="373"/>
      <c r="M8" s="373"/>
      <c r="N8" s="373"/>
      <c r="O8" s="373"/>
      <c r="P8" s="373"/>
      <c r="Q8" s="373"/>
      <c r="R8" s="374"/>
    </row>
    <row r="9" spans="1:19" ht="12.75" thickBot="1" x14ac:dyDescent="0.25">
      <c r="B9" s="370" t="s">
        <v>1</v>
      </c>
      <c r="C9" s="372" t="s">
        <v>2</v>
      </c>
      <c r="D9" s="373"/>
      <c r="E9" s="373"/>
      <c r="F9" s="373"/>
      <c r="G9" s="373"/>
      <c r="H9" s="373"/>
      <c r="I9" s="374"/>
      <c r="J9" s="258"/>
      <c r="K9" s="260"/>
      <c r="L9" s="375" t="s">
        <v>3</v>
      </c>
      <c r="M9" s="376"/>
      <c r="N9" s="372" t="s">
        <v>4</v>
      </c>
      <c r="O9" s="373"/>
      <c r="P9" s="373"/>
      <c r="Q9" s="373"/>
      <c r="R9" s="374"/>
    </row>
    <row r="10" spans="1:19" ht="24.75" thickBot="1" x14ac:dyDescent="0.25">
      <c r="B10" s="371"/>
      <c r="C10" s="274" t="s">
        <v>5</v>
      </c>
      <c r="D10" s="274" t="s">
        <v>6</v>
      </c>
      <c r="E10" s="273" t="s">
        <v>7</v>
      </c>
      <c r="F10" s="275" t="s">
        <v>8</v>
      </c>
      <c r="G10" s="274" t="s">
        <v>9</v>
      </c>
      <c r="H10" s="273" t="s">
        <v>10</v>
      </c>
      <c r="I10" s="276" t="s">
        <v>11</v>
      </c>
      <c r="J10" s="314" t="s">
        <v>584</v>
      </c>
      <c r="K10" s="318" t="s">
        <v>585</v>
      </c>
      <c r="L10" s="322" t="s">
        <v>12</v>
      </c>
      <c r="M10" s="323" t="s">
        <v>13</v>
      </c>
      <c r="N10" s="10" t="s">
        <v>14</v>
      </c>
      <c r="O10" s="10" t="s">
        <v>15</v>
      </c>
      <c r="P10" s="10" t="s">
        <v>16</v>
      </c>
      <c r="Q10" s="10" t="s">
        <v>17</v>
      </c>
      <c r="R10" s="281" t="s">
        <v>586</v>
      </c>
    </row>
    <row r="11" spans="1:19" x14ac:dyDescent="0.2">
      <c r="B11" s="190" t="s">
        <v>18</v>
      </c>
      <c r="C11" s="193">
        <v>84576</v>
      </c>
      <c r="D11" s="193">
        <v>37258</v>
      </c>
      <c r="E11" s="193">
        <v>121834</v>
      </c>
      <c r="F11" s="193">
        <v>12800</v>
      </c>
      <c r="G11" s="193">
        <v>6052</v>
      </c>
      <c r="H11" s="193">
        <v>18852</v>
      </c>
      <c r="I11" s="268">
        <v>140686</v>
      </c>
      <c r="J11" s="315">
        <v>0</v>
      </c>
      <c r="K11" s="319">
        <v>140686</v>
      </c>
      <c r="L11" s="324">
        <v>108633</v>
      </c>
      <c r="M11" s="194">
        <v>32053</v>
      </c>
      <c r="N11" s="1">
        <v>96799</v>
      </c>
      <c r="O11" s="1">
        <v>1029</v>
      </c>
      <c r="P11" s="1">
        <v>0</v>
      </c>
      <c r="Q11" s="1">
        <v>42858</v>
      </c>
      <c r="R11" s="194">
        <v>0</v>
      </c>
    </row>
    <row r="12" spans="1:19" x14ac:dyDescent="0.2">
      <c r="B12" s="191" t="s">
        <v>19</v>
      </c>
      <c r="C12" s="193">
        <v>59319</v>
      </c>
      <c r="D12" s="193">
        <v>35533</v>
      </c>
      <c r="E12" s="193">
        <v>94852</v>
      </c>
      <c r="F12" s="193">
        <v>298185</v>
      </c>
      <c r="G12" s="193">
        <v>11725</v>
      </c>
      <c r="H12" s="193">
        <v>309910</v>
      </c>
      <c r="I12" s="268">
        <v>404762</v>
      </c>
      <c r="J12" s="315">
        <v>0</v>
      </c>
      <c r="K12" s="319">
        <v>404762</v>
      </c>
      <c r="L12" s="324">
        <v>256315</v>
      </c>
      <c r="M12" s="194">
        <v>148447</v>
      </c>
      <c r="N12" s="1">
        <v>300173</v>
      </c>
      <c r="O12" s="1">
        <v>30362</v>
      </c>
      <c r="P12" s="1">
        <v>0</v>
      </c>
      <c r="Q12" s="1">
        <v>74227</v>
      </c>
      <c r="R12" s="194">
        <v>0</v>
      </c>
    </row>
    <row r="13" spans="1:19" x14ac:dyDescent="0.2">
      <c r="B13" s="192" t="s">
        <v>20</v>
      </c>
      <c r="C13" s="193">
        <v>40738</v>
      </c>
      <c r="D13" s="193">
        <v>24967</v>
      </c>
      <c r="E13" s="193">
        <v>65705</v>
      </c>
      <c r="F13" s="193">
        <v>168077</v>
      </c>
      <c r="G13" s="193">
        <v>11931</v>
      </c>
      <c r="H13" s="193">
        <v>180008</v>
      </c>
      <c r="I13" s="268">
        <v>245713</v>
      </c>
      <c r="J13" s="315">
        <v>0</v>
      </c>
      <c r="K13" s="319">
        <v>245713</v>
      </c>
      <c r="L13" s="324">
        <v>152809</v>
      </c>
      <c r="M13" s="194">
        <v>92904</v>
      </c>
      <c r="N13" s="1">
        <v>148067</v>
      </c>
      <c r="O13" s="1">
        <v>32918</v>
      </c>
      <c r="P13" s="1">
        <v>5334</v>
      </c>
      <c r="Q13" s="1">
        <v>59394</v>
      </c>
      <c r="R13" s="194">
        <v>0</v>
      </c>
    </row>
    <row r="14" spans="1:19" x14ac:dyDescent="0.2">
      <c r="B14" s="192" t="s">
        <v>21</v>
      </c>
      <c r="C14" s="193">
        <v>37423</v>
      </c>
      <c r="D14" s="193">
        <v>20938</v>
      </c>
      <c r="E14" s="193">
        <v>58361</v>
      </c>
      <c r="F14" s="193">
        <v>126076</v>
      </c>
      <c r="G14" s="193">
        <v>10368</v>
      </c>
      <c r="H14" s="193">
        <v>136444</v>
      </c>
      <c r="I14" s="268">
        <v>194805</v>
      </c>
      <c r="J14" s="315">
        <v>0</v>
      </c>
      <c r="K14" s="319">
        <v>194805</v>
      </c>
      <c r="L14" s="324">
        <v>123383</v>
      </c>
      <c r="M14" s="194">
        <v>71422</v>
      </c>
      <c r="N14" s="1">
        <v>114406</v>
      </c>
      <c r="O14" s="1">
        <v>25990</v>
      </c>
      <c r="P14" s="1">
        <v>11383</v>
      </c>
      <c r="Q14" s="1">
        <v>43026</v>
      </c>
      <c r="R14" s="194">
        <v>0</v>
      </c>
    </row>
    <row r="15" spans="1:19" x14ac:dyDescent="0.2">
      <c r="B15" s="192" t="s">
        <v>22</v>
      </c>
      <c r="C15" s="193">
        <v>34194</v>
      </c>
      <c r="D15" s="193">
        <v>19594</v>
      </c>
      <c r="E15" s="193">
        <v>53788</v>
      </c>
      <c r="F15" s="193">
        <v>130347</v>
      </c>
      <c r="G15" s="193">
        <v>8226</v>
      </c>
      <c r="H15" s="193">
        <v>138573</v>
      </c>
      <c r="I15" s="268">
        <v>192361</v>
      </c>
      <c r="J15" s="315">
        <v>0</v>
      </c>
      <c r="K15" s="319">
        <v>192361</v>
      </c>
      <c r="L15" s="324">
        <v>118837</v>
      </c>
      <c r="M15" s="194">
        <v>73524</v>
      </c>
      <c r="N15" s="1">
        <v>126931</v>
      </c>
      <c r="O15" s="1">
        <v>24058</v>
      </c>
      <c r="P15" s="1">
        <v>9228</v>
      </c>
      <c r="Q15" s="1">
        <v>32144</v>
      </c>
      <c r="R15" s="194">
        <v>0</v>
      </c>
    </row>
    <row r="16" spans="1:19" x14ac:dyDescent="0.2">
      <c r="B16" s="192" t="s">
        <v>23</v>
      </c>
      <c r="C16" s="193">
        <v>32773</v>
      </c>
      <c r="D16" s="193">
        <v>17032</v>
      </c>
      <c r="E16" s="193">
        <v>49805</v>
      </c>
      <c r="F16" s="193">
        <v>76994</v>
      </c>
      <c r="G16" s="193">
        <v>7295</v>
      </c>
      <c r="H16" s="193">
        <v>84289</v>
      </c>
      <c r="I16" s="268">
        <v>134094</v>
      </c>
      <c r="J16" s="315">
        <v>0</v>
      </c>
      <c r="K16" s="319">
        <v>134094</v>
      </c>
      <c r="L16" s="324">
        <v>82092</v>
      </c>
      <c r="M16" s="194">
        <v>52002</v>
      </c>
      <c r="N16" s="1">
        <v>83802</v>
      </c>
      <c r="O16" s="1">
        <v>22686</v>
      </c>
      <c r="P16" s="1">
        <v>6357</v>
      </c>
      <c r="Q16" s="1">
        <v>21249</v>
      </c>
      <c r="R16" s="194">
        <v>0</v>
      </c>
    </row>
    <row r="17" spans="2:18" x14ac:dyDescent="0.2">
      <c r="B17" s="192" t="s">
        <v>24</v>
      </c>
      <c r="C17" s="193">
        <v>39393</v>
      </c>
      <c r="D17" s="193">
        <v>17573</v>
      </c>
      <c r="E17" s="193">
        <v>56966</v>
      </c>
      <c r="F17" s="193">
        <v>88545</v>
      </c>
      <c r="G17" s="193">
        <v>6054</v>
      </c>
      <c r="H17" s="193">
        <v>94599</v>
      </c>
      <c r="I17" s="268">
        <v>151565</v>
      </c>
      <c r="J17" s="315">
        <v>0</v>
      </c>
      <c r="K17" s="319">
        <v>151565</v>
      </c>
      <c r="L17" s="324">
        <v>92858</v>
      </c>
      <c r="M17" s="194">
        <v>58707</v>
      </c>
      <c r="N17" s="1">
        <v>94144</v>
      </c>
      <c r="O17" s="1">
        <v>27044</v>
      </c>
      <c r="P17" s="1">
        <v>6542</v>
      </c>
      <c r="Q17" s="1">
        <v>23835</v>
      </c>
      <c r="R17" s="194">
        <v>0</v>
      </c>
    </row>
    <row r="18" spans="2:18" x14ac:dyDescent="0.2">
      <c r="B18" s="190" t="s">
        <v>25</v>
      </c>
      <c r="C18" s="193">
        <v>31043</v>
      </c>
      <c r="D18" s="193">
        <v>18557</v>
      </c>
      <c r="E18" s="193">
        <v>49600</v>
      </c>
      <c r="F18" s="193">
        <v>88878</v>
      </c>
      <c r="G18" s="193">
        <v>2501</v>
      </c>
      <c r="H18" s="193">
        <v>91379</v>
      </c>
      <c r="I18" s="268">
        <v>140979</v>
      </c>
      <c r="J18" s="315">
        <v>0</v>
      </c>
      <c r="K18" s="319">
        <v>140979</v>
      </c>
      <c r="L18" s="324">
        <v>86238</v>
      </c>
      <c r="M18" s="194">
        <v>54741</v>
      </c>
      <c r="N18" s="1">
        <v>84140</v>
      </c>
      <c r="O18" s="1">
        <v>29604</v>
      </c>
      <c r="P18" s="1">
        <v>5381</v>
      </c>
      <c r="Q18" s="1">
        <v>21854</v>
      </c>
      <c r="R18" s="194">
        <v>0</v>
      </c>
    </row>
    <row r="19" spans="2:18" x14ac:dyDescent="0.2">
      <c r="B19" s="190" t="s">
        <v>26</v>
      </c>
      <c r="C19" s="193">
        <v>27624</v>
      </c>
      <c r="D19" s="193">
        <v>18094</v>
      </c>
      <c r="E19" s="193">
        <v>45718</v>
      </c>
      <c r="F19" s="193">
        <v>85022</v>
      </c>
      <c r="G19" s="193">
        <v>2577</v>
      </c>
      <c r="H19" s="193">
        <v>87599</v>
      </c>
      <c r="I19" s="268">
        <v>133317</v>
      </c>
      <c r="J19" s="315">
        <v>0</v>
      </c>
      <c r="K19" s="319">
        <v>133317</v>
      </c>
      <c r="L19" s="324">
        <v>82738</v>
      </c>
      <c r="M19" s="194">
        <v>50579</v>
      </c>
      <c r="N19" s="1">
        <v>78827</v>
      </c>
      <c r="O19" s="1">
        <v>29016</v>
      </c>
      <c r="P19" s="1">
        <v>4531</v>
      </c>
      <c r="Q19" s="1">
        <v>20905</v>
      </c>
      <c r="R19" s="194">
        <v>38</v>
      </c>
    </row>
    <row r="20" spans="2:18" x14ac:dyDescent="0.2">
      <c r="B20" s="4" t="s">
        <v>27</v>
      </c>
      <c r="C20" s="143">
        <v>27467</v>
      </c>
      <c r="D20" s="143">
        <v>18335</v>
      </c>
      <c r="E20" s="269">
        <v>45802</v>
      </c>
      <c r="F20" s="143">
        <v>100168</v>
      </c>
      <c r="G20" s="143">
        <v>3167</v>
      </c>
      <c r="H20" s="143">
        <v>103335</v>
      </c>
      <c r="I20" s="270">
        <v>149137</v>
      </c>
      <c r="J20" s="316">
        <v>0</v>
      </c>
      <c r="K20" s="320">
        <v>149137</v>
      </c>
      <c r="L20" s="277">
        <v>89906</v>
      </c>
      <c r="M20" s="285">
        <v>59231</v>
      </c>
      <c r="N20" s="143">
        <v>87059</v>
      </c>
      <c r="O20" s="143">
        <v>34398</v>
      </c>
      <c r="P20" s="143">
        <v>4540</v>
      </c>
      <c r="Q20" s="143">
        <v>22825</v>
      </c>
      <c r="R20" s="143">
        <v>315</v>
      </c>
    </row>
    <row r="21" spans="2:18" x14ac:dyDescent="0.2">
      <c r="B21" s="2" t="s">
        <v>580</v>
      </c>
      <c r="C21" s="143">
        <v>27800</v>
      </c>
      <c r="D21" s="143">
        <v>16994</v>
      </c>
      <c r="E21" s="269">
        <v>44793</v>
      </c>
      <c r="F21" s="143">
        <v>120070</v>
      </c>
      <c r="G21" s="143">
        <v>6272</v>
      </c>
      <c r="H21" s="143">
        <v>126343</v>
      </c>
      <c r="I21" s="270">
        <v>171136</v>
      </c>
      <c r="J21" s="316">
        <v>0</v>
      </c>
      <c r="K21" s="320">
        <v>171136</v>
      </c>
      <c r="L21" s="277">
        <v>102497</v>
      </c>
      <c r="M21" s="285">
        <v>68639</v>
      </c>
      <c r="N21" s="143">
        <v>98969</v>
      </c>
      <c r="O21" s="143">
        <v>43515</v>
      </c>
      <c r="P21" s="143">
        <v>4876</v>
      </c>
      <c r="Q21" s="143">
        <v>22926</v>
      </c>
      <c r="R21" s="143">
        <v>850</v>
      </c>
    </row>
    <row r="22" spans="2:18" x14ac:dyDescent="0.2">
      <c r="B22" s="3" t="s">
        <v>626</v>
      </c>
      <c r="C22" s="5">
        <v>2413</v>
      </c>
      <c r="D22" s="5">
        <v>1462</v>
      </c>
      <c r="E22" s="271">
        <v>3875</v>
      </c>
      <c r="F22" s="5">
        <v>9943</v>
      </c>
      <c r="G22" s="5">
        <v>565</v>
      </c>
      <c r="H22" s="144">
        <v>10508</v>
      </c>
      <c r="I22" s="272">
        <v>14383</v>
      </c>
      <c r="J22" s="317">
        <v>0</v>
      </c>
      <c r="K22" s="321">
        <v>14383</v>
      </c>
      <c r="L22" s="278">
        <v>8587</v>
      </c>
      <c r="M22" s="289">
        <v>5796</v>
      </c>
      <c r="N22" s="5">
        <v>8023</v>
      </c>
      <c r="O22" s="5">
        <v>4044</v>
      </c>
      <c r="P22" s="5">
        <v>339</v>
      </c>
      <c r="Q22" s="5">
        <v>1910</v>
      </c>
      <c r="R22" s="5">
        <v>67</v>
      </c>
    </row>
    <row r="23" spans="2:18" x14ac:dyDescent="0.2">
      <c r="B23" s="3" t="s">
        <v>627</v>
      </c>
      <c r="C23" s="5">
        <v>1841</v>
      </c>
      <c r="D23" s="5">
        <v>1293</v>
      </c>
      <c r="E23" s="271">
        <v>3134</v>
      </c>
      <c r="F23" s="5">
        <v>8328</v>
      </c>
      <c r="G23" s="5">
        <v>685</v>
      </c>
      <c r="H23" s="144">
        <v>9013</v>
      </c>
      <c r="I23" s="272">
        <v>12147</v>
      </c>
      <c r="J23" s="317">
        <v>0</v>
      </c>
      <c r="K23" s="321">
        <v>12147</v>
      </c>
      <c r="L23" s="278">
        <v>7173</v>
      </c>
      <c r="M23" s="289">
        <v>4974</v>
      </c>
      <c r="N23" s="5">
        <v>6713</v>
      </c>
      <c r="O23" s="5">
        <v>3594</v>
      </c>
      <c r="P23" s="5">
        <v>294</v>
      </c>
      <c r="Q23" s="5">
        <v>1482</v>
      </c>
      <c r="R23" s="5">
        <v>64</v>
      </c>
    </row>
    <row r="24" spans="2:18" x14ac:dyDescent="0.2">
      <c r="B24" s="3" t="s">
        <v>628</v>
      </c>
      <c r="C24" s="5">
        <v>2138</v>
      </c>
      <c r="D24" s="5">
        <v>1471</v>
      </c>
      <c r="E24" s="271">
        <v>3609</v>
      </c>
      <c r="F24" s="5">
        <v>9131</v>
      </c>
      <c r="G24" s="5">
        <v>638</v>
      </c>
      <c r="H24" s="144">
        <v>9769</v>
      </c>
      <c r="I24" s="272">
        <v>13378</v>
      </c>
      <c r="J24" s="317">
        <v>0</v>
      </c>
      <c r="K24" s="321">
        <v>13378</v>
      </c>
      <c r="L24" s="278">
        <v>7993</v>
      </c>
      <c r="M24" s="289">
        <v>5385</v>
      </c>
      <c r="N24" s="5">
        <v>7386</v>
      </c>
      <c r="O24" s="5">
        <v>3742</v>
      </c>
      <c r="P24" s="5">
        <v>350</v>
      </c>
      <c r="Q24" s="5">
        <v>1818</v>
      </c>
      <c r="R24" s="5">
        <v>82</v>
      </c>
    </row>
    <row r="25" spans="2:18" x14ac:dyDescent="0.2">
      <c r="B25" s="3" t="s">
        <v>629</v>
      </c>
      <c r="C25" s="5">
        <v>2050</v>
      </c>
      <c r="D25" s="5">
        <v>1544</v>
      </c>
      <c r="E25" s="271">
        <v>3594</v>
      </c>
      <c r="F25" s="5">
        <v>8924</v>
      </c>
      <c r="G25" s="5">
        <v>584</v>
      </c>
      <c r="H25" s="144">
        <v>9508</v>
      </c>
      <c r="I25" s="272">
        <v>13102</v>
      </c>
      <c r="J25" s="317">
        <v>0</v>
      </c>
      <c r="K25" s="321">
        <v>13102</v>
      </c>
      <c r="L25" s="278">
        <v>7759</v>
      </c>
      <c r="M25" s="289">
        <v>5343</v>
      </c>
      <c r="N25" s="5">
        <v>7057</v>
      </c>
      <c r="O25" s="5">
        <v>3751</v>
      </c>
      <c r="P25" s="5">
        <v>317</v>
      </c>
      <c r="Q25" s="5">
        <v>1883</v>
      </c>
      <c r="R25" s="5">
        <v>94</v>
      </c>
    </row>
    <row r="26" spans="2:18" x14ac:dyDescent="0.2">
      <c r="B26" s="3" t="s">
        <v>630</v>
      </c>
      <c r="C26" s="5">
        <v>2055</v>
      </c>
      <c r="D26" s="5">
        <v>1373</v>
      </c>
      <c r="E26" s="271">
        <v>3428</v>
      </c>
      <c r="F26" s="5">
        <v>9163</v>
      </c>
      <c r="G26" s="5">
        <v>483</v>
      </c>
      <c r="H26" s="144">
        <v>9646</v>
      </c>
      <c r="I26" s="272">
        <v>13074</v>
      </c>
      <c r="J26" s="317">
        <v>0</v>
      </c>
      <c r="K26" s="321">
        <v>13074</v>
      </c>
      <c r="L26" s="278">
        <v>7478</v>
      </c>
      <c r="M26" s="289">
        <v>5596</v>
      </c>
      <c r="N26" s="5">
        <v>7000</v>
      </c>
      <c r="O26" s="5">
        <v>3704</v>
      </c>
      <c r="P26" s="5">
        <v>346</v>
      </c>
      <c r="Q26" s="5">
        <v>1942</v>
      </c>
      <c r="R26" s="5">
        <v>82</v>
      </c>
    </row>
    <row r="27" spans="2:18" x14ac:dyDescent="0.2">
      <c r="B27" s="3" t="s">
        <v>631</v>
      </c>
      <c r="C27" s="5">
        <v>1759</v>
      </c>
      <c r="D27" s="5">
        <v>1366</v>
      </c>
      <c r="E27" s="271">
        <v>3125</v>
      </c>
      <c r="F27" s="5">
        <v>7668</v>
      </c>
      <c r="G27" s="5">
        <v>401</v>
      </c>
      <c r="H27" s="144">
        <v>8069</v>
      </c>
      <c r="I27" s="272">
        <v>11194</v>
      </c>
      <c r="J27" s="317">
        <v>0</v>
      </c>
      <c r="K27" s="321">
        <v>11194</v>
      </c>
      <c r="L27" s="278">
        <v>6474</v>
      </c>
      <c r="M27" s="289">
        <v>4720</v>
      </c>
      <c r="N27" s="5">
        <v>6264</v>
      </c>
      <c r="O27" s="5">
        <v>3016</v>
      </c>
      <c r="P27" s="5">
        <v>301</v>
      </c>
      <c r="Q27" s="5">
        <v>1499</v>
      </c>
      <c r="R27" s="5">
        <v>114</v>
      </c>
    </row>
    <row r="28" spans="2:18" x14ac:dyDescent="0.2">
      <c r="B28" s="3" t="s">
        <v>632</v>
      </c>
      <c r="C28" s="5">
        <v>2148</v>
      </c>
      <c r="D28" s="5">
        <v>1574</v>
      </c>
      <c r="E28" s="271">
        <v>3722</v>
      </c>
      <c r="F28" s="5">
        <v>9811</v>
      </c>
      <c r="G28" s="5">
        <v>470</v>
      </c>
      <c r="H28" s="144">
        <v>10281</v>
      </c>
      <c r="I28" s="272">
        <v>14003</v>
      </c>
      <c r="J28" s="317">
        <v>0</v>
      </c>
      <c r="K28" s="321">
        <v>14003</v>
      </c>
      <c r="L28" s="278">
        <v>8237</v>
      </c>
      <c r="M28" s="289">
        <v>5766</v>
      </c>
      <c r="N28" s="5">
        <v>7798</v>
      </c>
      <c r="O28" s="5">
        <v>3852</v>
      </c>
      <c r="P28" s="5">
        <v>378</v>
      </c>
      <c r="Q28" s="5">
        <v>1852</v>
      </c>
      <c r="R28" s="5">
        <v>123</v>
      </c>
    </row>
    <row r="29" spans="2:18" x14ac:dyDescent="0.2">
      <c r="B29" s="3" t="s">
        <v>633</v>
      </c>
      <c r="C29" s="5">
        <v>2120</v>
      </c>
      <c r="D29" s="5">
        <v>1488</v>
      </c>
      <c r="E29" s="271">
        <v>3608</v>
      </c>
      <c r="F29" s="5">
        <v>9309</v>
      </c>
      <c r="G29" s="5">
        <v>424</v>
      </c>
      <c r="H29" s="144">
        <v>9733</v>
      </c>
      <c r="I29" s="272">
        <v>13341</v>
      </c>
      <c r="J29" s="317">
        <v>0</v>
      </c>
      <c r="K29" s="321">
        <v>13341</v>
      </c>
      <c r="L29" s="278">
        <v>8058</v>
      </c>
      <c r="M29" s="289">
        <v>5283</v>
      </c>
      <c r="N29" s="5">
        <v>8081</v>
      </c>
      <c r="O29" s="5">
        <v>3217</v>
      </c>
      <c r="P29" s="5">
        <v>273</v>
      </c>
      <c r="Q29" s="5">
        <v>1636</v>
      </c>
      <c r="R29" s="5">
        <v>134</v>
      </c>
    </row>
    <row r="30" spans="2:18" x14ac:dyDescent="0.2">
      <c r="B30" s="3" t="s">
        <v>634</v>
      </c>
      <c r="C30" s="5">
        <v>2015</v>
      </c>
      <c r="D30" s="5">
        <v>1221</v>
      </c>
      <c r="E30" s="271">
        <v>3236</v>
      </c>
      <c r="F30" s="5">
        <v>8416</v>
      </c>
      <c r="G30" s="5">
        <v>457</v>
      </c>
      <c r="H30" s="144">
        <v>8873</v>
      </c>
      <c r="I30" s="272">
        <v>12109</v>
      </c>
      <c r="J30" s="317">
        <v>0</v>
      </c>
      <c r="K30" s="321">
        <v>12109</v>
      </c>
      <c r="L30" s="278">
        <v>7258</v>
      </c>
      <c r="M30" s="289">
        <v>4851</v>
      </c>
      <c r="N30" s="5">
        <v>6573</v>
      </c>
      <c r="O30" s="5">
        <v>3565</v>
      </c>
      <c r="P30" s="5">
        <v>280</v>
      </c>
      <c r="Q30" s="5">
        <v>1592</v>
      </c>
      <c r="R30" s="5">
        <v>99</v>
      </c>
    </row>
    <row r="31" spans="2:18" x14ac:dyDescent="0.2">
      <c r="B31" s="3" t="s">
        <v>635</v>
      </c>
      <c r="C31" s="5">
        <v>1963</v>
      </c>
      <c r="D31" s="5">
        <v>1180</v>
      </c>
      <c r="E31" s="271">
        <v>3143</v>
      </c>
      <c r="F31" s="5">
        <v>7488</v>
      </c>
      <c r="G31" s="5">
        <v>360</v>
      </c>
      <c r="H31" s="144">
        <v>7848</v>
      </c>
      <c r="I31" s="272">
        <v>10991</v>
      </c>
      <c r="J31" s="317">
        <v>1</v>
      </c>
      <c r="K31" s="321">
        <v>10992</v>
      </c>
      <c r="L31" s="278">
        <v>6814</v>
      </c>
      <c r="M31" s="289">
        <v>4178</v>
      </c>
      <c r="N31" s="5">
        <v>5786</v>
      </c>
      <c r="O31" s="5">
        <v>3124</v>
      </c>
      <c r="P31" s="5">
        <v>230</v>
      </c>
      <c r="Q31" s="5">
        <v>1744</v>
      </c>
      <c r="R31" s="5">
        <v>108</v>
      </c>
    </row>
    <row r="32" spans="2:18" x14ac:dyDescent="0.2">
      <c r="B32" s="3" t="s">
        <v>636</v>
      </c>
      <c r="C32" s="5">
        <v>1877</v>
      </c>
      <c r="D32" s="5">
        <v>1004</v>
      </c>
      <c r="E32" s="271">
        <v>2881</v>
      </c>
      <c r="F32" s="5">
        <v>7528</v>
      </c>
      <c r="G32" s="5">
        <v>388</v>
      </c>
      <c r="H32" s="144">
        <v>7916</v>
      </c>
      <c r="I32" s="272">
        <v>10797</v>
      </c>
      <c r="J32" s="317">
        <v>0</v>
      </c>
      <c r="K32" s="321">
        <v>10797</v>
      </c>
      <c r="L32" s="278">
        <v>6527</v>
      </c>
      <c r="M32" s="289">
        <v>4270</v>
      </c>
      <c r="N32" s="5">
        <v>4993</v>
      </c>
      <c r="O32" s="5">
        <v>3456</v>
      </c>
      <c r="P32" s="5">
        <v>307</v>
      </c>
      <c r="Q32" s="5">
        <v>1828</v>
      </c>
      <c r="R32" s="5">
        <v>213</v>
      </c>
    </row>
    <row r="33" spans="2:18" x14ac:dyDescent="0.2">
      <c r="B33" s="3" t="s">
        <v>637</v>
      </c>
      <c r="C33" s="5">
        <v>2630</v>
      </c>
      <c r="D33" s="5">
        <v>1661</v>
      </c>
      <c r="E33" s="271">
        <v>4291</v>
      </c>
      <c r="F33" s="5">
        <v>13249</v>
      </c>
      <c r="G33" s="5">
        <v>620</v>
      </c>
      <c r="H33" s="144">
        <v>13869</v>
      </c>
      <c r="I33" s="272">
        <v>18160</v>
      </c>
      <c r="J33" s="317">
        <v>0</v>
      </c>
      <c r="K33" s="321">
        <v>18160</v>
      </c>
      <c r="L33" s="278">
        <v>10609</v>
      </c>
      <c r="M33" s="289">
        <v>7551</v>
      </c>
      <c r="N33" s="5">
        <v>10883</v>
      </c>
      <c r="O33" s="5">
        <v>4156</v>
      </c>
      <c r="P33" s="5">
        <v>762</v>
      </c>
      <c r="Q33" s="5">
        <v>2155</v>
      </c>
      <c r="R33" s="5">
        <v>204</v>
      </c>
    </row>
    <row r="34" spans="2:18" x14ac:dyDescent="0.2">
      <c r="B34" s="2" t="s">
        <v>583</v>
      </c>
      <c r="C34" s="143">
        <v>25009</v>
      </c>
      <c r="D34" s="143">
        <v>16637</v>
      </c>
      <c r="E34" s="269">
        <v>41646</v>
      </c>
      <c r="F34" s="143">
        <v>108958</v>
      </c>
      <c r="G34" s="143">
        <v>6075</v>
      </c>
      <c r="H34" s="143">
        <v>115033</v>
      </c>
      <c r="I34" s="270">
        <v>156679</v>
      </c>
      <c r="J34" s="316">
        <v>1</v>
      </c>
      <c r="K34" s="320">
        <v>156680</v>
      </c>
      <c r="L34" s="277">
        <v>92967</v>
      </c>
      <c r="M34" s="285">
        <v>63713</v>
      </c>
      <c r="N34" s="143">
        <v>86557</v>
      </c>
      <c r="O34" s="143">
        <v>43221</v>
      </c>
      <c r="P34" s="143">
        <v>4177</v>
      </c>
      <c r="Q34" s="143">
        <v>21341</v>
      </c>
      <c r="R34" s="143">
        <v>1384</v>
      </c>
    </row>
    <row r="35" spans="2:18" s="176" customFormat="1" x14ac:dyDescent="0.2">
      <c r="B35" s="3" t="s">
        <v>638</v>
      </c>
      <c r="C35" s="5">
        <v>2644</v>
      </c>
      <c r="D35" s="5">
        <v>1753</v>
      </c>
      <c r="E35" s="271">
        <v>4397</v>
      </c>
      <c r="F35" s="5">
        <v>19504</v>
      </c>
      <c r="G35" s="5">
        <v>741</v>
      </c>
      <c r="H35" s="144">
        <v>20245</v>
      </c>
      <c r="I35" s="272">
        <v>24642</v>
      </c>
      <c r="J35" s="317">
        <v>82</v>
      </c>
      <c r="K35" s="321">
        <v>24724</v>
      </c>
      <c r="L35" s="278">
        <v>13700</v>
      </c>
      <c r="M35" s="289">
        <v>11024</v>
      </c>
      <c r="N35" s="5">
        <v>14330</v>
      </c>
      <c r="O35" s="5">
        <v>6259</v>
      </c>
      <c r="P35" s="5">
        <v>1418</v>
      </c>
      <c r="Q35" s="5">
        <v>2413</v>
      </c>
      <c r="R35" s="5">
        <v>304</v>
      </c>
    </row>
    <row r="36" spans="2:18" s="176" customFormat="1" x14ac:dyDescent="0.2">
      <c r="B36" s="3" t="s">
        <v>639</v>
      </c>
      <c r="C36" s="5">
        <v>2194</v>
      </c>
      <c r="D36" s="5">
        <v>1559</v>
      </c>
      <c r="E36" s="271">
        <v>3753</v>
      </c>
      <c r="F36" s="5">
        <v>23756</v>
      </c>
      <c r="G36" s="5">
        <v>845</v>
      </c>
      <c r="H36" s="144">
        <v>24601</v>
      </c>
      <c r="I36" s="272">
        <v>28354</v>
      </c>
      <c r="J36" s="317">
        <v>114</v>
      </c>
      <c r="K36" s="321">
        <v>28468</v>
      </c>
      <c r="L36" s="278">
        <v>15880</v>
      </c>
      <c r="M36" s="289">
        <v>12588</v>
      </c>
      <c r="N36" s="5">
        <v>18418</v>
      </c>
      <c r="O36" s="5">
        <v>6699</v>
      </c>
      <c r="P36" s="5">
        <v>997</v>
      </c>
      <c r="Q36" s="5">
        <v>2050</v>
      </c>
      <c r="R36" s="5">
        <v>304</v>
      </c>
    </row>
    <row r="37" spans="2:18" s="176" customFormat="1" x14ac:dyDescent="0.2">
      <c r="B37" s="3" t="s">
        <v>640</v>
      </c>
      <c r="C37" s="5">
        <v>1649</v>
      </c>
      <c r="D37" s="5">
        <v>1119</v>
      </c>
      <c r="E37" s="271">
        <v>2768</v>
      </c>
      <c r="F37" s="5">
        <v>12303</v>
      </c>
      <c r="G37" s="5">
        <v>527</v>
      </c>
      <c r="H37" s="144">
        <v>12830</v>
      </c>
      <c r="I37" s="272">
        <v>15598</v>
      </c>
      <c r="J37" s="317">
        <v>65</v>
      </c>
      <c r="K37" s="321">
        <v>15663</v>
      </c>
      <c r="L37" s="278">
        <v>8600</v>
      </c>
      <c r="M37" s="289">
        <v>7063</v>
      </c>
      <c r="N37" s="5">
        <v>8419</v>
      </c>
      <c r="O37" s="5">
        <v>4526</v>
      </c>
      <c r="P37" s="5">
        <v>596</v>
      </c>
      <c r="Q37" s="5">
        <v>1605</v>
      </c>
      <c r="R37" s="5">
        <v>517</v>
      </c>
    </row>
    <row r="38" spans="2:18" s="176" customFormat="1" x14ac:dyDescent="0.2">
      <c r="B38" s="3" t="s">
        <v>641</v>
      </c>
      <c r="C38" s="5">
        <v>1030</v>
      </c>
      <c r="D38" s="5">
        <v>462</v>
      </c>
      <c r="E38" s="271">
        <v>1492</v>
      </c>
      <c r="F38" s="5">
        <v>6427</v>
      </c>
      <c r="G38" s="5">
        <v>450</v>
      </c>
      <c r="H38" s="144">
        <v>6877</v>
      </c>
      <c r="I38" s="272">
        <v>8369</v>
      </c>
      <c r="J38" s="317">
        <v>22</v>
      </c>
      <c r="K38" s="321">
        <v>8391</v>
      </c>
      <c r="L38" s="278">
        <v>4485</v>
      </c>
      <c r="M38" s="289">
        <v>3906</v>
      </c>
      <c r="N38" s="5">
        <v>2616</v>
      </c>
      <c r="O38" s="5">
        <v>3657</v>
      </c>
      <c r="P38" s="5">
        <v>316</v>
      </c>
      <c r="Q38" s="5">
        <v>1022</v>
      </c>
      <c r="R38" s="5">
        <v>780</v>
      </c>
    </row>
    <row r="39" spans="2:18" s="176" customFormat="1" x14ac:dyDescent="0.2">
      <c r="B39" s="3" t="s">
        <v>642</v>
      </c>
      <c r="C39" s="5">
        <v>1683</v>
      </c>
      <c r="D39" s="5">
        <v>843</v>
      </c>
      <c r="E39" s="271">
        <v>2526</v>
      </c>
      <c r="F39" s="5">
        <v>10478</v>
      </c>
      <c r="G39" s="5">
        <v>718</v>
      </c>
      <c r="H39" s="144">
        <v>11196</v>
      </c>
      <c r="I39" s="272">
        <v>13722</v>
      </c>
      <c r="J39" s="317">
        <v>35</v>
      </c>
      <c r="K39" s="321">
        <v>13757</v>
      </c>
      <c r="L39" s="278">
        <v>7278</v>
      </c>
      <c r="M39" s="289">
        <v>6479</v>
      </c>
      <c r="N39" s="5">
        <v>4644</v>
      </c>
      <c r="O39" s="5">
        <v>4963</v>
      </c>
      <c r="P39" s="5">
        <v>365</v>
      </c>
      <c r="Q39" s="5">
        <v>1049</v>
      </c>
      <c r="R39" s="5">
        <v>2736</v>
      </c>
    </row>
    <row r="40" spans="2:18" s="176" customFormat="1" x14ac:dyDescent="0.2">
      <c r="B40" s="3" t="s">
        <v>643</v>
      </c>
      <c r="C40" s="5">
        <v>1879</v>
      </c>
      <c r="D40" s="5">
        <v>773</v>
      </c>
      <c r="E40" s="271">
        <v>2652</v>
      </c>
      <c r="F40" s="5">
        <v>9126</v>
      </c>
      <c r="G40" s="5">
        <v>637</v>
      </c>
      <c r="H40" s="144">
        <v>9763</v>
      </c>
      <c r="I40" s="272">
        <v>12415</v>
      </c>
      <c r="J40" s="317">
        <v>38</v>
      </c>
      <c r="K40" s="321">
        <v>12453</v>
      </c>
      <c r="L40" s="278">
        <v>6803</v>
      </c>
      <c r="M40" s="289">
        <v>5650</v>
      </c>
      <c r="N40" s="5">
        <v>4156</v>
      </c>
      <c r="O40" s="5">
        <v>4756</v>
      </c>
      <c r="P40" s="5">
        <v>409</v>
      </c>
      <c r="Q40" s="5">
        <v>997</v>
      </c>
      <c r="R40" s="5">
        <v>2135</v>
      </c>
    </row>
    <row r="41" spans="2:18" s="176" customFormat="1" x14ac:dyDescent="0.2">
      <c r="B41" s="3" t="s">
        <v>644</v>
      </c>
      <c r="C41" s="5">
        <v>2375</v>
      </c>
      <c r="D41" s="5">
        <v>940</v>
      </c>
      <c r="E41" s="271">
        <v>3315</v>
      </c>
      <c r="F41" s="5">
        <v>10951</v>
      </c>
      <c r="G41" s="5">
        <v>529</v>
      </c>
      <c r="H41" s="144">
        <v>11480</v>
      </c>
      <c r="I41" s="272">
        <v>14795</v>
      </c>
      <c r="J41" s="317">
        <v>39</v>
      </c>
      <c r="K41" s="321">
        <v>14834</v>
      </c>
      <c r="L41" s="278">
        <v>8662</v>
      </c>
      <c r="M41" s="289">
        <v>6172</v>
      </c>
      <c r="N41" s="5">
        <v>6120</v>
      </c>
      <c r="O41" s="5">
        <v>3426</v>
      </c>
      <c r="P41" s="5">
        <v>485</v>
      </c>
      <c r="Q41" s="5">
        <v>1437</v>
      </c>
      <c r="R41" s="5">
        <v>3366</v>
      </c>
    </row>
    <row r="42" spans="2:18" s="176" customFormat="1" x14ac:dyDescent="0.2">
      <c r="B42" s="3" t="s">
        <v>645</v>
      </c>
      <c r="C42" s="5">
        <v>3040</v>
      </c>
      <c r="D42" s="5">
        <v>1181</v>
      </c>
      <c r="E42" s="271">
        <v>4221</v>
      </c>
      <c r="F42" s="5">
        <v>14311</v>
      </c>
      <c r="G42" s="5">
        <v>627</v>
      </c>
      <c r="H42" s="144">
        <v>14938</v>
      </c>
      <c r="I42" s="272">
        <v>19159</v>
      </c>
      <c r="J42" s="317">
        <v>35</v>
      </c>
      <c r="K42" s="321">
        <v>19194</v>
      </c>
      <c r="L42" s="278">
        <v>11159</v>
      </c>
      <c r="M42" s="289">
        <v>8035</v>
      </c>
      <c r="N42" s="5">
        <v>8598</v>
      </c>
      <c r="O42" s="5">
        <v>3183</v>
      </c>
      <c r="P42" s="5">
        <v>840</v>
      </c>
      <c r="Q42" s="5">
        <v>1615</v>
      </c>
      <c r="R42" s="5">
        <v>4958</v>
      </c>
    </row>
    <row r="43" spans="2:18" s="176" customFormat="1" x14ac:dyDescent="0.2">
      <c r="B43" s="3" t="s">
        <v>646</v>
      </c>
      <c r="C43" s="5">
        <v>2987</v>
      </c>
      <c r="D43" s="5">
        <v>1422</v>
      </c>
      <c r="E43" s="271">
        <v>4409</v>
      </c>
      <c r="F43" s="5">
        <v>13924</v>
      </c>
      <c r="G43" s="5">
        <v>732</v>
      </c>
      <c r="H43" s="144">
        <v>14656</v>
      </c>
      <c r="I43" s="272">
        <v>19065</v>
      </c>
      <c r="J43" s="317">
        <v>34</v>
      </c>
      <c r="K43" s="321">
        <v>19099</v>
      </c>
      <c r="L43" s="278">
        <v>11514</v>
      </c>
      <c r="M43" s="289">
        <v>7585</v>
      </c>
      <c r="N43" s="5">
        <v>8317</v>
      </c>
      <c r="O43" s="5">
        <v>4085</v>
      </c>
      <c r="P43" s="5">
        <v>572</v>
      </c>
      <c r="Q43" s="5">
        <v>1625</v>
      </c>
      <c r="R43" s="5">
        <v>4500</v>
      </c>
    </row>
    <row r="44" spans="2:18" s="176" customFormat="1" x14ac:dyDescent="0.2">
      <c r="B44" s="3" t="s">
        <v>647</v>
      </c>
      <c r="C44" s="5">
        <v>3219</v>
      </c>
      <c r="D44" s="5">
        <v>1811</v>
      </c>
      <c r="E44" s="271">
        <v>5030</v>
      </c>
      <c r="F44" s="5">
        <v>14957</v>
      </c>
      <c r="G44" s="5">
        <v>835</v>
      </c>
      <c r="H44" s="144">
        <v>15792</v>
      </c>
      <c r="I44" s="272">
        <v>20822</v>
      </c>
      <c r="J44" s="317">
        <v>24</v>
      </c>
      <c r="K44" s="321">
        <v>20846</v>
      </c>
      <c r="L44" s="278">
        <v>12634</v>
      </c>
      <c r="M44" s="289">
        <v>8212</v>
      </c>
      <c r="N44" s="5">
        <v>8740</v>
      </c>
      <c r="O44" s="5">
        <v>6240</v>
      </c>
      <c r="P44" s="5">
        <v>649</v>
      </c>
      <c r="Q44" s="5">
        <v>1927</v>
      </c>
      <c r="R44" s="5">
        <v>3290</v>
      </c>
    </row>
    <row r="45" spans="2:18" s="176" customFormat="1" x14ac:dyDescent="0.2">
      <c r="B45" s="3" t="s">
        <v>648</v>
      </c>
      <c r="C45" s="5">
        <v>2831</v>
      </c>
      <c r="D45" s="5">
        <v>1602</v>
      </c>
      <c r="E45" s="271">
        <v>4433</v>
      </c>
      <c r="F45" s="5">
        <v>13593</v>
      </c>
      <c r="G45" s="5">
        <v>605</v>
      </c>
      <c r="H45" s="144">
        <v>14198</v>
      </c>
      <c r="I45" s="272">
        <v>18631</v>
      </c>
      <c r="J45" s="317">
        <v>18</v>
      </c>
      <c r="K45" s="321">
        <v>18649</v>
      </c>
      <c r="L45" s="278">
        <v>11241</v>
      </c>
      <c r="M45" s="289">
        <v>7408</v>
      </c>
      <c r="N45" s="5">
        <v>8029</v>
      </c>
      <c r="O45" s="5">
        <v>4936</v>
      </c>
      <c r="P45" s="5">
        <v>679</v>
      </c>
      <c r="Q45" s="5">
        <v>1876</v>
      </c>
      <c r="R45" s="5">
        <v>3129</v>
      </c>
    </row>
    <row r="46" spans="2:18" s="176" customFormat="1" x14ac:dyDescent="0.2">
      <c r="B46" s="3" t="s">
        <v>649</v>
      </c>
      <c r="C46" s="5">
        <v>2596</v>
      </c>
      <c r="D46" s="5">
        <v>1545</v>
      </c>
      <c r="E46" s="271">
        <v>4141</v>
      </c>
      <c r="F46" s="5">
        <v>12177</v>
      </c>
      <c r="G46" s="5">
        <v>490</v>
      </c>
      <c r="H46" s="144">
        <v>12667</v>
      </c>
      <c r="I46" s="272">
        <v>16808</v>
      </c>
      <c r="J46" s="317">
        <v>25</v>
      </c>
      <c r="K46" s="321">
        <v>16833</v>
      </c>
      <c r="L46" s="278">
        <v>10043</v>
      </c>
      <c r="M46" s="289">
        <v>6790</v>
      </c>
      <c r="N46" s="5">
        <v>7874</v>
      </c>
      <c r="O46" s="5">
        <v>3537</v>
      </c>
      <c r="P46" s="5">
        <v>769</v>
      </c>
      <c r="Q46" s="5">
        <v>1665</v>
      </c>
      <c r="R46" s="5">
        <v>2988</v>
      </c>
    </row>
    <row r="47" spans="2:18" x14ac:dyDescent="0.2">
      <c r="B47" s="2" t="s">
        <v>650</v>
      </c>
      <c r="C47" s="143">
        <v>28127</v>
      </c>
      <c r="D47" s="143">
        <v>15010</v>
      </c>
      <c r="E47" s="269">
        <v>43137</v>
      </c>
      <c r="F47" s="143">
        <v>161507</v>
      </c>
      <c r="G47" s="143">
        <v>7736</v>
      </c>
      <c r="H47" s="143">
        <v>169243</v>
      </c>
      <c r="I47" s="270">
        <v>212380</v>
      </c>
      <c r="J47" s="316">
        <v>531</v>
      </c>
      <c r="K47" s="320">
        <v>212911</v>
      </c>
      <c r="L47" s="277">
        <v>121999</v>
      </c>
      <c r="M47" s="285">
        <v>90912</v>
      </c>
      <c r="N47" s="143">
        <v>100261</v>
      </c>
      <c r="O47" s="143">
        <v>56267</v>
      </c>
      <c r="P47" s="143">
        <v>8095</v>
      </c>
      <c r="Q47" s="143">
        <v>19281</v>
      </c>
      <c r="R47" s="143">
        <v>29007</v>
      </c>
    </row>
    <row r="48" spans="2:18" s="176" customFormat="1" x14ac:dyDescent="0.2">
      <c r="B48" s="3" t="s">
        <v>651</v>
      </c>
      <c r="C48" s="5">
        <v>2603</v>
      </c>
      <c r="D48" s="5">
        <v>1886</v>
      </c>
      <c r="E48" s="271">
        <v>4489</v>
      </c>
      <c r="F48" s="5">
        <v>12324</v>
      </c>
      <c r="G48" s="5">
        <v>945</v>
      </c>
      <c r="H48" s="144">
        <v>13269</v>
      </c>
      <c r="I48" s="272">
        <v>17758</v>
      </c>
      <c r="J48" s="317">
        <v>14</v>
      </c>
      <c r="K48" s="321">
        <v>17772</v>
      </c>
      <c r="L48" s="278">
        <v>10745</v>
      </c>
      <c r="M48" s="289">
        <v>7027</v>
      </c>
      <c r="N48" s="5">
        <v>7972</v>
      </c>
      <c r="O48" s="5">
        <v>4195</v>
      </c>
      <c r="P48" s="5">
        <v>577</v>
      </c>
      <c r="Q48" s="5">
        <v>1756</v>
      </c>
      <c r="R48" s="5">
        <v>3272</v>
      </c>
    </row>
    <row r="49" spans="2:18" s="176" customFormat="1" x14ac:dyDescent="0.2">
      <c r="B49" s="3" t="s">
        <v>652</v>
      </c>
      <c r="C49" s="5">
        <v>2048</v>
      </c>
      <c r="D49" s="5">
        <v>1607</v>
      </c>
      <c r="E49" s="271">
        <v>3655</v>
      </c>
      <c r="F49" s="5">
        <v>11899</v>
      </c>
      <c r="G49" s="5">
        <v>862</v>
      </c>
      <c r="H49" s="144">
        <v>12761</v>
      </c>
      <c r="I49" s="272">
        <v>16416</v>
      </c>
      <c r="J49" s="317">
        <v>18</v>
      </c>
      <c r="K49" s="321">
        <v>16434</v>
      </c>
      <c r="L49" s="278">
        <v>9726</v>
      </c>
      <c r="M49" s="289">
        <v>6708</v>
      </c>
      <c r="N49" s="5">
        <v>7120</v>
      </c>
      <c r="O49" s="5">
        <v>4444</v>
      </c>
      <c r="P49" s="5">
        <v>565</v>
      </c>
      <c r="Q49" s="5">
        <v>1522</v>
      </c>
      <c r="R49" s="5">
        <v>2783</v>
      </c>
    </row>
    <row r="50" spans="2:18" s="176" customFormat="1" x14ac:dyDescent="0.2">
      <c r="B50" s="3" t="s">
        <v>653</v>
      </c>
      <c r="C50" s="5">
        <v>2349</v>
      </c>
      <c r="D50" s="5">
        <v>1932</v>
      </c>
      <c r="E50" s="271">
        <v>4281</v>
      </c>
      <c r="F50" s="5">
        <v>14197</v>
      </c>
      <c r="G50" s="5">
        <v>2799</v>
      </c>
      <c r="H50" s="144">
        <v>16996</v>
      </c>
      <c r="I50" s="272">
        <v>21277</v>
      </c>
      <c r="J50" s="317">
        <v>14</v>
      </c>
      <c r="K50" s="321">
        <v>21291</v>
      </c>
      <c r="L50" s="278">
        <v>12018</v>
      </c>
      <c r="M50" s="289">
        <v>9273</v>
      </c>
      <c r="N50" s="5">
        <v>8293</v>
      </c>
      <c r="O50" s="5">
        <v>6039</v>
      </c>
      <c r="P50" s="5">
        <v>684</v>
      </c>
      <c r="Q50" s="5">
        <v>1939</v>
      </c>
      <c r="R50" s="5">
        <v>4336</v>
      </c>
    </row>
    <row r="51" spans="2:18" s="176" customFormat="1" x14ac:dyDescent="0.2">
      <c r="B51" s="3" t="s">
        <v>654</v>
      </c>
      <c r="C51" s="5">
        <v>2577</v>
      </c>
      <c r="D51" s="5">
        <v>2129</v>
      </c>
      <c r="E51" s="271">
        <v>4706</v>
      </c>
      <c r="F51" s="5">
        <v>13329</v>
      </c>
      <c r="G51" s="5">
        <v>3061</v>
      </c>
      <c r="H51" s="144">
        <v>16390</v>
      </c>
      <c r="I51" s="272">
        <v>21096</v>
      </c>
      <c r="J51" s="317">
        <v>32</v>
      </c>
      <c r="K51" s="321">
        <v>21128</v>
      </c>
      <c r="L51" s="278">
        <v>12293</v>
      </c>
      <c r="M51" s="289">
        <v>8835</v>
      </c>
      <c r="N51" s="5">
        <v>7021</v>
      </c>
      <c r="O51" s="5">
        <v>5833</v>
      </c>
      <c r="P51" s="5">
        <v>465</v>
      </c>
      <c r="Q51" s="5">
        <v>1791</v>
      </c>
      <c r="R51" s="5">
        <v>6018</v>
      </c>
    </row>
    <row r="52" spans="2:18" s="176" customFormat="1" x14ac:dyDescent="0.2">
      <c r="B52" s="3" t="s">
        <v>655</v>
      </c>
      <c r="C52" s="5">
        <v>3310</v>
      </c>
      <c r="D52" s="5">
        <v>2280</v>
      </c>
      <c r="E52" s="271">
        <v>5590</v>
      </c>
      <c r="F52" s="5">
        <v>13264</v>
      </c>
      <c r="G52" s="5">
        <v>2116</v>
      </c>
      <c r="H52" s="144">
        <v>15380</v>
      </c>
      <c r="I52" s="272">
        <v>20970</v>
      </c>
      <c r="J52" s="317">
        <v>19</v>
      </c>
      <c r="K52" s="321">
        <v>20989</v>
      </c>
      <c r="L52" s="278">
        <v>12401</v>
      </c>
      <c r="M52" s="289">
        <v>8588</v>
      </c>
      <c r="N52" s="5">
        <v>8166</v>
      </c>
      <c r="O52" s="5">
        <v>5537</v>
      </c>
      <c r="P52" s="5">
        <v>535</v>
      </c>
      <c r="Q52" s="5">
        <v>1858</v>
      </c>
      <c r="R52" s="5">
        <v>4893</v>
      </c>
    </row>
    <row r="53" spans="2:18" s="176" customFormat="1" x14ac:dyDescent="0.2">
      <c r="B53" s="3" t="s">
        <v>656</v>
      </c>
      <c r="C53" s="5">
        <v>3128</v>
      </c>
      <c r="D53" s="5">
        <v>2127</v>
      </c>
      <c r="E53" s="271">
        <v>5255</v>
      </c>
      <c r="F53" s="5">
        <v>12930</v>
      </c>
      <c r="G53" s="5">
        <v>1736</v>
      </c>
      <c r="H53" s="144">
        <v>14666</v>
      </c>
      <c r="I53" s="272">
        <v>19921</v>
      </c>
      <c r="J53" s="317">
        <v>24</v>
      </c>
      <c r="K53" s="321">
        <v>19945</v>
      </c>
      <c r="L53" s="278">
        <v>11881</v>
      </c>
      <c r="M53" s="289">
        <v>8064</v>
      </c>
      <c r="N53" s="5">
        <v>7242</v>
      </c>
      <c r="O53" s="5">
        <v>5322</v>
      </c>
      <c r="P53" s="5">
        <v>484</v>
      </c>
      <c r="Q53" s="5">
        <v>1979</v>
      </c>
      <c r="R53" s="5">
        <v>4918</v>
      </c>
    </row>
    <row r="54" spans="2:18" s="176" customFormat="1" x14ac:dyDescent="0.2">
      <c r="B54" s="3" t="s">
        <v>657</v>
      </c>
      <c r="C54" s="5">
        <v>3643</v>
      </c>
      <c r="D54" s="5">
        <v>2417</v>
      </c>
      <c r="E54" s="271">
        <v>6060</v>
      </c>
      <c r="F54" s="5">
        <v>15245</v>
      </c>
      <c r="G54" s="5">
        <v>1601</v>
      </c>
      <c r="H54" s="144">
        <v>16846</v>
      </c>
      <c r="I54" s="272">
        <v>22906</v>
      </c>
      <c r="J54" s="317">
        <v>23</v>
      </c>
      <c r="K54" s="321">
        <v>22929</v>
      </c>
      <c r="L54" s="278">
        <v>13726</v>
      </c>
      <c r="M54" s="289">
        <v>9203</v>
      </c>
      <c r="N54" s="5">
        <v>8807</v>
      </c>
      <c r="O54" s="5">
        <v>6378</v>
      </c>
      <c r="P54" s="5">
        <v>585</v>
      </c>
      <c r="Q54" s="5">
        <v>2314</v>
      </c>
      <c r="R54" s="5">
        <v>4845</v>
      </c>
    </row>
    <row r="55" spans="2:18" s="176" customFormat="1" x14ac:dyDescent="0.2">
      <c r="B55" s="3" t="s">
        <v>658</v>
      </c>
      <c r="C55" s="5">
        <v>3828</v>
      </c>
      <c r="D55" s="5">
        <v>2651</v>
      </c>
      <c r="E55" s="271">
        <v>6479</v>
      </c>
      <c r="F55" s="5">
        <v>17612</v>
      </c>
      <c r="G55" s="5">
        <v>1543</v>
      </c>
      <c r="H55" s="144">
        <v>19155</v>
      </c>
      <c r="I55" s="272">
        <v>25634</v>
      </c>
      <c r="J55" s="317">
        <v>44</v>
      </c>
      <c r="K55" s="321">
        <v>25678</v>
      </c>
      <c r="L55" s="278">
        <v>15043</v>
      </c>
      <c r="M55" s="289">
        <v>10635</v>
      </c>
      <c r="N55" s="5">
        <v>10027</v>
      </c>
      <c r="O55" s="5">
        <v>7197</v>
      </c>
      <c r="P55" s="5">
        <v>632</v>
      </c>
      <c r="Q55" s="5">
        <v>2358</v>
      </c>
      <c r="R55" s="5">
        <v>5464</v>
      </c>
    </row>
    <row r="56" spans="2:18" s="176" customFormat="1" x14ac:dyDescent="0.2">
      <c r="B56" s="3" t="s">
        <v>659</v>
      </c>
      <c r="C56" s="5">
        <v>3709</v>
      </c>
      <c r="D56" s="5">
        <v>2341</v>
      </c>
      <c r="E56" s="271">
        <v>6050</v>
      </c>
      <c r="F56" s="5">
        <v>18655</v>
      </c>
      <c r="G56" s="5">
        <v>1433</v>
      </c>
      <c r="H56" s="144">
        <v>20088</v>
      </c>
      <c r="I56" s="272">
        <v>26138</v>
      </c>
      <c r="J56" s="317">
        <v>49</v>
      </c>
      <c r="K56" s="321">
        <v>26187</v>
      </c>
      <c r="L56" s="278">
        <v>15483</v>
      </c>
      <c r="M56" s="289">
        <v>10704</v>
      </c>
      <c r="N56" s="5">
        <v>10506</v>
      </c>
      <c r="O56" s="5">
        <v>7119</v>
      </c>
      <c r="P56" s="5">
        <v>719</v>
      </c>
      <c r="Q56" s="5">
        <v>2229</v>
      </c>
      <c r="R56" s="5">
        <v>5614</v>
      </c>
    </row>
    <row r="57" spans="2:18" s="176" customFormat="1" x14ac:dyDescent="0.2">
      <c r="B57" s="3" t="s">
        <v>660</v>
      </c>
      <c r="C57" s="5">
        <v>3499</v>
      </c>
      <c r="D57" s="5">
        <v>2482</v>
      </c>
      <c r="E57" s="271">
        <v>5981</v>
      </c>
      <c r="F57" s="5">
        <v>17627</v>
      </c>
      <c r="G57" s="5">
        <v>1415</v>
      </c>
      <c r="H57" s="144">
        <v>19042</v>
      </c>
      <c r="I57" s="272">
        <v>25023</v>
      </c>
      <c r="J57" s="317">
        <v>50</v>
      </c>
      <c r="K57" s="321">
        <v>25073</v>
      </c>
      <c r="L57" s="278">
        <v>14740</v>
      </c>
      <c r="M57" s="289">
        <v>10333</v>
      </c>
      <c r="N57" s="5">
        <v>10332</v>
      </c>
      <c r="O57" s="5">
        <v>7122</v>
      </c>
      <c r="P57" s="5">
        <v>630</v>
      </c>
      <c r="Q57" s="5">
        <v>2100</v>
      </c>
      <c r="R57" s="5">
        <v>4889</v>
      </c>
    </row>
    <row r="58" spans="2:18" s="176" customFormat="1" x14ac:dyDescent="0.2">
      <c r="B58" s="3" t="s">
        <v>661</v>
      </c>
      <c r="C58" s="5">
        <v>3513</v>
      </c>
      <c r="D58" s="5">
        <v>2692</v>
      </c>
      <c r="E58" s="271">
        <v>6205</v>
      </c>
      <c r="F58" s="5">
        <v>19480</v>
      </c>
      <c r="G58" s="5">
        <v>1463</v>
      </c>
      <c r="H58" s="144">
        <v>20943</v>
      </c>
      <c r="I58" s="272">
        <v>27148</v>
      </c>
      <c r="J58" s="317">
        <v>59</v>
      </c>
      <c r="K58" s="321">
        <v>27207</v>
      </c>
      <c r="L58" s="278">
        <v>16334</v>
      </c>
      <c r="M58" s="289">
        <v>10873</v>
      </c>
      <c r="N58" s="5">
        <v>11848</v>
      </c>
      <c r="O58" s="5">
        <v>7394</v>
      </c>
      <c r="P58" s="5">
        <v>599</v>
      </c>
      <c r="Q58" s="5">
        <v>2319</v>
      </c>
      <c r="R58" s="5">
        <v>5047</v>
      </c>
    </row>
    <row r="59" spans="2:18" s="176" customFormat="1" x14ac:dyDescent="0.2">
      <c r="B59" s="3" t="s">
        <v>662</v>
      </c>
      <c r="C59" s="5">
        <v>3634</v>
      </c>
      <c r="D59" s="5">
        <v>2513</v>
      </c>
      <c r="E59" s="271">
        <v>6147</v>
      </c>
      <c r="F59" s="5">
        <v>18182</v>
      </c>
      <c r="G59" s="5">
        <v>1451</v>
      </c>
      <c r="H59" s="144">
        <v>19633</v>
      </c>
      <c r="I59" s="272">
        <v>25780</v>
      </c>
      <c r="J59" s="317">
        <v>75</v>
      </c>
      <c r="K59" s="321">
        <v>25855</v>
      </c>
      <c r="L59" s="278">
        <v>14949</v>
      </c>
      <c r="M59" s="289">
        <v>10906</v>
      </c>
      <c r="N59" s="5">
        <v>10917</v>
      </c>
      <c r="O59" s="5">
        <v>7198</v>
      </c>
      <c r="P59" s="5">
        <v>689</v>
      </c>
      <c r="Q59" s="5">
        <v>2170</v>
      </c>
      <c r="R59" s="5">
        <v>4881</v>
      </c>
    </row>
    <row r="60" spans="2:18" x14ac:dyDescent="0.2">
      <c r="B60" s="2" t="s">
        <v>663</v>
      </c>
      <c r="C60" s="143">
        <v>37841</v>
      </c>
      <c r="D60" s="143">
        <v>27057</v>
      </c>
      <c r="E60" s="269">
        <v>64898</v>
      </c>
      <c r="F60" s="143">
        <v>184744</v>
      </c>
      <c r="G60" s="143">
        <v>20425</v>
      </c>
      <c r="H60" s="143">
        <v>205169</v>
      </c>
      <c r="I60" s="270">
        <v>270067</v>
      </c>
      <c r="J60" s="316">
        <v>421</v>
      </c>
      <c r="K60" s="320">
        <v>270488</v>
      </c>
      <c r="L60" s="277">
        <v>159339</v>
      </c>
      <c r="M60" s="285">
        <v>111149</v>
      </c>
      <c r="N60" s="143">
        <v>108251</v>
      </c>
      <c r="O60" s="143">
        <v>73778</v>
      </c>
      <c r="P60" s="143">
        <v>7164</v>
      </c>
      <c r="Q60" s="143">
        <v>24335</v>
      </c>
      <c r="R60" s="143">
        <v>56960</v>
      </c>
    </row>
    <row r="61" spans="2:18" s="176" customFormat="1" ht="12.75" thickBot="1" x14ac:dyDescent="0.25">
      <c r="B61" s="332" t="s">
        <v>28</v>
      </c>
      <c r="C61" s="333">
        <v>533327</v>
      </c>
      <c r="D61" s="334">
        <v>303579</v>
      </c>
      <c r="E61" s="334">
        <v>836905</v>
      </c>
      <c r="F61" s="334">
        <v>1750371</v>
      </c>
      <c r="G61" s="334">
        <v>110404</v>
      </c>
      <c r="H61" s="334">
        <v>1860776</v>
      </c>
      <c r="I61" s="335">
        <v>2697681</v>
      </c>
      <c r="J61" s="336">
        <v>953</v>
      </c>
      <c r="K61" s="337">
        <v>2698634</v>
      </c>
      <c r="L61" s="334">
        <v>1670611</v>
      </c>
      <c r="M61" s="334">
        <v>1028023</v>
      </c>
      <c r="N61" s="334">
        <v>1608386</v>
      </c>
      <c r="O61" s="334">
        <v>473886</v>
      </c>
      <c r="P61" s="334">
        <v>77608</v>
      </c>
      <c r="Q61" s="338">
        <v>450200</v>
      </c>
      <c r="R61" s="339">
        <v>88554</v>
      </c>
    </row>
    <row r="62" spans="2:18" x14ac:dyDescent="0.2">
      <c r="B62" s="176" t="s">
        <v>129</v>
      </c>
    </row>
  </sheetData>
  <mergeCells count="7">
    <mergeCell ref="B5:Q5"/>
    <mergeCell ref="B6:Q6"/>
    <mergeCell ref="B9:B10"/>
    <mergeCell ref="C9:I9"/>
    <mergeCell ref="L9:M9"/>
    <mergeCell ref="N9:R9"/>
    <mergeCell ref="B8:R8"/>
  </mergeCells>
  <phoneticPr fontId="73" type="noConversion"/>
  <hyperlinks>
    <hyperlink ref="S5" location="'Índice Pensiones Solidarias'!A1" display="Volver Sistema de Pensiones Solidadias" xr:uid="{00000000-0004-0000-0300-000000000000}"/>
  </hyperlinks>
  <pageMargins left="0.7" right="0.7" top="0.75" bottom="0.75" header="0.3" footer="0.3"/>
  <pageSetup orientation="portrait"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2"/>
  <dimension ref="A2:S70"/>
  <sheetViews>
    <sheetView showGridLines="0" zoomScale="90" zoomScaleNormal="90" workbookViewId="0">
      <pane xSplit="2" ySplit="10" topLeftCell="C52" activePane="bottomRight" state="frozen"/>
      <selection activeCell="B6" sqref="B6:R6"/>
      <selection pane="topRight" activeCell="B6" sqref="B6:R6"/>
      <selection pane="bottomLeft" activeCell="B6" sqref="B6:R6"/>
      <selection pane="bottomRight" activeCell="K59" sqref="K59"/>
    </sheetView>
  </sheetViews>
  <sheetFormatPr baseColWidth="10" defaultColWidth="11.42578125" defaultRowHeight="12" x14ac:dyDescent="0.2"/>
  <cols>
    <col min="1" max="1" width="6" style="25" customWidth="1"/>
    <col min="2" max="2" width="14" style="25" customWidth="1"/>
    <col min="3" max="9" width="11.42578125" style="25"/>
    <col min="10" max="11" width="11.42578125" style="176"/>
    <col min="12" max="16384" width="11.42578125" style="25"/>
  </cols>
  <sheetData>
    <row r="2" spans="1:19" s="106" customFormat="1" ht="12.75" x14ac:dyDescent="0.2">
      <c r="A2" s="47" t="s">
        <v>101</v>
      </c>
    </row>
    <row r="3" spans="1:19" s="106" customFormat="1" ht="12.75" x14ac:dyDescent="0.2">
      <c r="A3" s="47" t="s">
        <v>102</v>
      </c>
    </row>
    <row r="4" spans="1:19" s="106" customFormat="1" ht="12.75" x14ac:dyDescent="0.2"/>
    <row r="5" spans="1:19" s="106" customFormat="1" ht="12.75" x14ac:dyDescent="0.2">
      <c r="B5" s="369" t="s">
        <v>572</v>
      </c>
      <c r="C5" s="369"/>
      <c r="D5" s="369"/>
      <c r="E5" s="369"/>
      <c r="F5" s="369"/>
      <c r="G5" s="369"/>
      <c r="H5" s="369"/>
      <c r="I5" s="369"/>
      <c r="J5" s="369"/>
      <c r="K5" s="369"/>
      <c r="L5" s="369"/>
      <c r="M5" s="369"/>
      <c r="N5" s="369"/>
      <c r="O5" s="369"/>
      <c r="P5" s="369"/>
      <c r="Q5" s="369"/>
      <c r="S5" s="123" t="s">
        <v>568</v>
      </c>
    </row>
    <row r="6" spans="1:19" s="106" customFormat="1" ht="12.75" x14ac:dyDescent="0.2">
      <c r="B6" s="369" t="str">
        <f>'Solicitudes Nacional'!B6:Q6</f>
        <v>Julio de 2008 a diciembre de 2021</v>
      </c>
      <c r="C6" s="369"/>
      <c r="D6" s="369"/>
      <c r="E6" s="369"/>
      <c r="F6" s="369"/>
      <c r="G6" s="369"/>
      <c r="H6" s="369"/>
      <c r="I6" s="369"/>
      <c r="J6" s="369"/>
      <c r="K6" s="369"/>
      <c r="L6" s="369"/>
      <c r="M6" s="369"/>
      <c r="N6" s="369"/>
      <c r="O6" s="369"/>
      <c r="P6" s="369"/>
      <c r="Q6" s="369"/>
    </row>
    <row r="7" spans="1:19" ht="12.75" thickBot="1" x14ac:dyDescent="0.25"/>
    <row r="8" spans="1:19" ht="15.75" customHeight="1" thickBot="1" x14ac:dyDescent="0.25">
      <c r="B8" s="380" t="s">
        <v>29</v>
      </c>
      <c r="C8" s="381"/>
      <c r="D8" s="381"/>
      <c r="E8" s="381"/>
      <c r="F8" s="381"/>
      <c r="G8" s="381"/>
      <c r="H8" s="381"/>
      <c r="I8" s="381"/>
      <c r="J8" s="381"/>
      <c r="K8" s="381"/>
      <c r="L8" s="381"/>
      <c r="M8" s="381"/>
      <c r="N8" s="381"/>
      <c r="O8" s="381"/>
      <c r="P8" s="381"/>
      <c r="Q8" s="381"/>
      <c r="R8" s="382"/>
    </row>
    <row r="9" spans="1:19" ht="12.75" thickBot="1" x14ac:dyDescent="0.25">
      <c r="B9" s="378" t="s">
        <v>30</v>
      </c>
      <c r="C9" s="372" t="s">
        <v>2</v>
      </c>
      <c r="D9" s="373"/>
      <c r="E9" s="373"/>
      <c r="F9" s="373"/>
      <c r="G9" s="373"/>
      <c r="H9" s="373"/>
      <c r="I9" s="374"/>
      <c r="J9" s="263"/>
      <c r="K9" s="263"/>
      <c r="L9" s="372" t="s">
        <v>3</v>
      </c>
      <c r="M9" s="374"/>
      <c r="N9" s="372" t="s">
        <v>4</v>
      </c>
      <c r="O9" s="373"/>
      <c r="P9" s="373"/>
      <c r="Q9" s="373"/>
      <c r="R9" s="374"/>
    </row>
    <row r="10" spans="1:19" ht="24.75" thickBot="1" x14ac:dyDescent="0.25">
      <c r="B10" s="379"/>
      <c r="C10" s="16" t="s">
        <v>5</v>
      </c>
      <c r="D10" s="7" t="s">
        <v>6</v>
      </c>
      <c r="E10" s="8" t="s">
        <v>7</v>
      </c>
      <c r="F10" s="7" t="s">
        <v>8</v>
      </c>
      <c r="G10" s="7" t="s">
        <v>9</v>
      </c>
      <c r="H10" s="9" t="s">
        <v>10</v>
      </c>
      <c r="I10" s="12" t="s">
        <v>31</v>
      </c>
      <c r="J10" s="280" t="s">
        <v>584</v>
      </c>
      <c r="K10" s="11" t="s">
        <v>585</v>
      </c>
      <c r="L10" s="280" t="s">
        <v>32</v>
      </c>
      <c r="M10" s="11" t="s">
        <v>13</v>
      </c>
      <c r="N10" s="280" t="s">
        <v>14</v>
      </c>
      <c r="O10" s="10" t="s">
        <v>15</v>
      </c>
      <c r="P10" s="10" t="s">
        <v>16</v>
      </c>
      <c r="Q10" s="10" t="s">
        <v>17</v>
      </c>
      <c r="R10" s="281" t="s">
        <v>586</v>
      </c>
    </row>
    <row r="11" spans="1:19" x14ac:dyDescent="0.2">
      <c r="B11" s="4" t="s">
        <v>18</v>
      </c>
      <c r="C11" s="277">
        <v>83731</v>
      </c>
      <c r="D11" s="143">
        <v>21440</v>
      </c>
      <c r="E11" s="143">
        <v>105171</v>
      </c>
      <c r="F11" s="143">
        <v>9486</v>
      </c>
      <c r="G11" s="143">
        <v>1541</v>
      </c>
      <c r="H11" s="143">
        <v>11027</v>
      </c>
      <c r="I11" s="270">
        <v>116198</v>
      </c>
      <c r="J11" s="282">
        <v>0</v>
      </c>
      <c r="K11" s="283">
        <v>116198</v>
      </c>
      <c r="L11" s="288">
        <v>89477</v>
      </c>
      <c r="M11" s="283">
        <v>26721</v>
      </c>
      <c r="N11" s="143">
        <v>78766</v>
      </c>
      <c r="O11" s="143">
        <v>988</v>
      </c>
      <c r="P11" s="143">
        <v>0</v>
      </c>
      <c r="Q11" s="143">
        <v>36444</v>
      </c>
      <c r="R11" s="143">
        <v>0</v>
      </c>
    </row>
    <row r="12" spans="1:19" x14ac:dyDescent="0.2">
      <c r="B12" s="4" t="s">
        <v>19</v>
      </c>
      <c r="C12" s="277">
        <v>57975</v>
      </c>
      <c r="D12" s="143">
        <v>21272</v>
      </c>
      <c r="E12" s="143">
        <v>79247</v>
      </c>
      <c r="F12" s="143">
        <v>277144</v>
      </c>
      <c r="G12" s="143">
        <v>9873</v>
      </c>
      <c r="H12" s="143">
        <v>287017</v>
      </c>
      <c r="I12" s="270">
        <v>366264</v>
      </c>
      <c r="J12" s="284">
        <v>0</v>
      </c>
      <c r="K12" s="285">
        <v>366264</v>
      </c>
      <c r="L12" s="277">
        <v>225377</v>
      </c>
      <c r="M12" s="285">
        <v>140887</v>
      </c>
      <c r="N12" s="143">
        <v>273407</v>
      </c>
      <c r="O12" s="143">
        <v>26670</v>
      </c>
      <c r="P12" s="143">
        <v>0</v>
      </c>
      <c r="Q12" s="143">
        <v>66187</v>
      </c>
      <c r="R12" s="143">
        <v>0</v>
      </c>
    </row>
    <row r="13" spans="1:19" x14ac:dyDescent="0.2">
      <c r="B13" s="4" t="s">
        <v>20</v>
      </c>
      <c r="C13" s="277">
        <v>36125</v>
      </c>
      <c r="D13" s="143">
        <v>13245</v>
      </c>
      <c r="E13" s="143">
        <v>49370</v>
      </c>
      <c r="F13" s="143">
        <v>137904</v>
      </c>
      <c r="G13" s="143">
        <v>9915</v>
      </c>
      <c r="H13" s="143">
        <v>147819</v>
      </c>
      <c r="I13" s="270">
        <v>197189</v>
      </c>
      <c r="J13" s="284">
        <v>0</v>
      </c>
      <c r="K13" s="285">
        <v>197189</v>
      </c>
      <c r="L13" s="277">
        <v>119677</v>
      </c>
      <c r="M13" s="285">
        <v>77512</v>
      </c>
      <c r="N13" s="143">
        <v>120976</v>
      </c>
      <c r="O13" s="143">
        <v>25694</v>
      </c>
      <c r="P13" s="143">
        <v>3837</v>
      </c>
      <c r="Q13" s="143">
        <v>46682</v>
      </c>
      <c r="R13" s="143">
        <v>0</v>
      </c>
    </row>
    <row r="14" spans="1:19" x14ac:dyDescent="0.2">
      <c r="B14" s="4" t="s">
        <v>21</v>
      </c>
      <c r="C14" s="277">
        <v>29976</v>
      </c>
      <c r="D14" s="143">
        <v>10364</v>
      </c>
      <c r="E14" s="143">
        <v>40340</v>
      </c>
      <c r="F14" s="143">
        <v>90271</v>
      </c>
      <c r="G14" s="143">
        <v>8697</v>
      </c>
      <c r="H14" s="143">
        <v>98968</v>
      </c>
      <c r="I14" s="270">
        <v>139308</v>
      </c>
      <c r="J14" s="284">
        <v>0</v>
      </c>
      <c r="K14" s="285">
        <v>139308</v>
      </c>
      <c r="L14" s="277">
        <v>84838</v>
      </c>
      <c r="M14" s="285">
        <v>54470</v>
      </c>
      <c r="N14" s="143">
        <v>81472</v>
      </c>
      <c r="O14" s="143">
        <v>19161</v>
      </c>
      <c r="P14" s="143">
        <v>8015</v>
      </c>
      <c r="Q14" s="143">
        <v>30660</v>
      </c>
      <c r="R14" s="143">
        <v>0</v>
      </c>
    </row>
    <row r="15" spans="1:19" x14ac:dyDescent="0.2">
      <c r="B15" s="4" t="s">
        <v>22</v>
      </c>
      <c r="C15" s="277">
        <v>29369</v>
      </c>
      <c r="D15" s="143">
        <v>10380</v>
      </c>
      <c r="E15" s="143">
        <v>39749</v>
      </c>
      <c r="F15" s="143">
        <v>113369</v>
      </c>
      <c r="G15" s="143">
        <v>7014</v>
      </c>
      <c r="H15" s="143">
        <v>120383</v>
      </c>
      <c r="I15" s="270">
        <v>160132</v>
      </c>
      <c r="J15" s="284">
        <v>0</v>
      </c>
      <c r="K15" s="285">
        <v>160132</v>
      </c>
      <c r="L15" s="277">
        <v>95754</v>
      </c>
      <c r="M15" s="285">
        <v>64378</v>
      </c>
      <c r="N15" s="143">
        <v>106541</v>
      </c>
      <c r="O15" s="143">
        <v>20848</v>
      </c>
      <c r="P15" s="143">
        <v>7850</v>
      </c>
      <c r="Q15" s="143">
        <v>24893</v>
      </c>
      <c r="R15" s="143">
        <v>0</v>
      </c>
    </row>
    <row r="16" spans="1:19" x14ac:dyDescent="0.2">
      <c r="B16" s="4" t="s">
        <v>23</v>
      </c>
      <c r="C16" s="277">
        <v>29479</v>
      </c>
      <c r="D16" s="143">
        <v>9014</v>
      </c>
      <c r="E16" s="143">
        <v>38493</v>
      </c>
      <c r="F16" s="143">
        <v>65567</v>
      </c>
      <c r="G16" s="143">
        <v>6048</v>
      </c>
      <c r="H16" s="143">
        <v>71615</v>
      </c>
      <c r="I16" s="270">
        <v>110108</v>
      </c>
      <c r="J16" s="284">
        <v>0</v>
      </c>
      <c r="K16" s="285">
        <v>110108</v>
      </c>
      <c r="L16" s="277">
        <v>65748</v>
      </c>
      <c r="M16" s="285">
        <v>44360</v>
      </c>
      <c r="N16" s="143">
        <v>68722</v>
      </c>
      <c r="O16" s="143">
        <v>19387</v>
      </c>
      <c r="P16" s="143">
        <v>5326</v>
      </c>
      <c r="Q16" s="143">
        <v>16673</v>
      </c>
      <c r="R16" s="143">
        <v>0</v>
      </c>
    </row>
    <row r="17" spans="2:18" x14ac:dyDescent="0.2">
      <c r="B17" s="4" t="s">
        <v>24</v>
      </c>
      <c r="C17" s="277">
        <v>32567</v>
      </c>
      <c r="D17" s="143">
        <v>9988</v>
      </c>
      <c r="E17" s="143">
        <v>42555</v>
      </c>
      <c r="F17" s="143">
        <v>70060</v>
      </c>
      <c r="G17" s="143">
        <v>5270</v>
      </c>
      <c r="H17" s="143">
        <v>75330</v>
      </c>
      <c r="I17" s="270">
        <v>117885</v>
      </c>
      <c r="J17" s="284">
        <v>0</v>
      </c>
      <c r="K17" s="285">
        <v>117885</v>
      </c>
      <c r="L17" s="277">
        <v>70004</v>
      </c>
      <c r="M17" s="285">
        <v>47881</v>
      </c>
      <c r="N17" s="143">
        <v>72035</v>
      </c>
      <c r="O17" s="143">
        <v>22552</v>
      </c>
      <c r="P17" s="143">
        <v>5134</v>
      </c>
      <c r="Q17" s="143">
        <v>18164</v>
      </c>
      <c r="R17" s="143">
        <v>0</v>
      </c>
    </row>
    <row r="18" spans="2:18" x14ac:dyDescent="0.2">
      <c r="B18" s="4" t="s">
        <v>25</v>
      </c>
      <c r="C18" s="277">
        <v>26363</v>
      </c>
      <c r="D18" s="143">
        <v>11711</v>
      </c>
      <c r="E18" s="143">
        <v>38074</v>
      </c>
      <c r="F18" s="143">
        <v>71190</v>
      </c>
      <c r="G18" s="143">
        <v>2081</v>
      </c>
      <c r="H18" s="143">
        <v>73271</v>
      </c>
      <c r="I18" s="270">
        <v>111345</v>
      </c>
      <c r="J18" s="284">
        <v>0</v>
      </c>
      <c r="K18" s="285">
        <v>111345</v>
      </c>
      <c r="L18" s="277">
        <v>65990</v>
      </c>
      <c r="M18" s="285">
        <v>45355</v>
      </c>
      <c r="N18" s="143">
        <v>65223</v>
      </c>
      <c r="O18" s="143">
        <v>24957</v>
      </c>
      <c r="P18" s="143">
        <v>4304</v>
      </c>
      <c r="Q18" s="143">
        <v>16861</v>
      </c>
      <c r="R18" s="143">
        <v>0</v>
      </c>
    </row>
    <row r="19" spans="2:18" x14ac:dyDescent="0.2">
      <c r="B19" s="4" t="s">
        <v>26</v>
      </c>
      <c r="C19" s="277">
        <v>22256</v>
      </c>
      <c r="D19" s="143">
        <v>11810</v>
      </c>
      <c r="E19" s="143">
        <v>34066</v>
      </c>
      <c r="F19" s="143">
        <v>65772</v>
      </c>
      <c r="G19" s="143">
        <v>2218</v>
      </c>
      <c r="H19" s="143">
        <v>67990</v>
      </c>
      <c r="I19" s="270">
        <v>102056</v>
      </c>
      <c r="J19" s="284">
        <v>0</v>
      </c>
      <c r="K19" s="285">
        <v>102056</v>
      </c>
      <c r="L19" s="277">
        <v>61350</v>
      </c>
      <c r="M19" s="285">
        <v>40706</v>
      </c>
      <c r="N19" s="143">
        <v>59376</v>
      </c>
      <c r="O19" s="143">
        <v>23640</v>
      </c>
      <c r="P19" s="143">
        <v>3451</v>
      </c>
      <c r="Q19" s="143">
        <v>15560</v>
      </c>
      <c r="R19" s="143">
        <v>29</v>
      </c>
    </row>
    <row r="20" spans="2:18" x14ac:dyDescent="0.2">
      <c r="B20" s="4" t="s">
        <v>27</v>
      </c>
      <c r="C20" s="277">
        <v>21991</v>
      </c>
      <c r="D20" s="143">
        <v>11910</v>
      </c>
      <c r="E20" s="143">
        <v>33901</v>
      </c>
      <c r="F20" s="143">
        <v>79386</v>
      </c>
      <c r="G20" s="143">
        <v>2802</v>
      </c>
      <c r="H20" s="143">
        <v>82188</v>
      </c>
      <c r="I20" s="270">
        <v>116089</v>
      </c>
      <c r="J20" s="284">
        <v>0</v>
      </c>
      <c r="K20" s="285">
        <v>116089</v>
      </c>
      <c r="L20" s="277">
        <v>67429</v>
      </c>
      <c r="M20" s="285">
        <v>48660</v>
      </c>
      <c r="N20" s="143">
        <v>66296</v>
      </c>
      <c r="O20" s="143">
        <v>28517</v>
      </c>
      <c r="P20" s="143">
        <v>3602</v>
      </c>
      <c r="Q20" s="143">
        <v>17423</v>
      </c>
      <c r="R20" s="143">
        <v>251</v>
      </c>
    </row>
    <row r="21" spans="2:18" x14ac:dyDescent="0.2">
      <c r="B21" s="2" t="s">
        <v>580</v>
      </c>
      <c r="C21" s="277">
        <v>24873</v>
      </c>
      <c r="D21" s="143">
        <v>10989</v>
      </c>
      <c r="E21" s="143">
        <v>35862</v>
      </c>
      <c r="F21" s="143">
        <v>108927</v>
      </c>
      <c r="G21" s="143">
        <v>5864</v>
      </c>
      <c r="H21" s="143">
        <v>114791</v>
      </c>
      <c r="I21" s="270">
        <v>150653</v>
      </c>
      <c r="J21" s="284">
        <v>0</v>
      </c>
      <c r="K21" s="285">
        <v>150653</v>
      </c>
      <c r="L21" s="277">
        <v>87284</v>
      </c>
      <c r="M21" s="285">
        <v>63369</v>
      </c>
      <c r="N21" s="143">
        <v>85791</v>
      </c>
      <c r="O21" s="143">
        <v>40174</v>
      </c>
      <c r="P21" s="143">
        <v>4487</v>
      </c>
      <c r="Q21" s="143">
        <v>19524</v>
      </c>
      <c r="R21" s="143">
        <v>677</v>
      </c>
    </row>
    <row r="22" spans="2:18" x14ac:dyDescent="0.2">
      <c r="B22" s="3" t="s">
        <v>664</v>
      </c>
      <c r="C22" s="278">
        <v>2170</v>
      </c>
      <c r="D22" s="5">
        <v>954</v>
      </c>
      <c r="E22" s="144">
        <v>3124</v>
      </c>
      <c r="F22" s="5">
        <v>9048</v>
      </c>
      <c r="G22" s="5">
        <v>518</v>
      </c>
      <c r="H22" s="144">
        <v>9566</v>
      </c>
      <c r="I22" s="272">
        <v>12690</v>
      </c>
      <c r="J22" s="286">
        <v>0</v>
      </c>
      <c r="K22" s="287">
        <v>12690</v>
      </c>
      <c r="L22" s="278">
        <v>7291</v>
      </c>
      <c r="M22" s="289">
        <v>5399</v>
      </c>
      <c r="N22" s="5">
        <v>6946</v>
      </c>
      <c r="O22" s="5">
        <v>3744</v>
      </c>
      <c r="P22" s="5">
        <v>306</v>
      </c>
      <c r="Q22" s="5">
        <v>1640</v>
      </c>
      <c r="R22" s="5">
        <v>54</v>
      </c>
    </row>
    <row r="23" spans="2:18" x14ac:dyDescent="0.2">
      <c r="B23" s="3" t="s">
        <v>627</v>
      </c>
      <c r="C23" s="278">
        <v>1621</v>
      </c>
      <c r="D23" s="5">
        <v>843</v>
      </c>
      <c r="E23" s="144">
        <v>2464</v>
      </c>
      <c r="F23" s="5">
        <v>7549</v>
      </c>
      <c r="G23" s="5">
        <v>646</v>
      </c>
      <c r="H23" s="144">
        <v>8195</v>
      </c>
      <c r="I23" s="272">
        <v>10659</v>
      </c>
      <c r="J23" s="286">
        <v>0</v>
      </c>
      <c r="K23" s="287">
        <v>10659</v>
      </c>
      <c r="L23" s="278">
        <v>6055</v>
      </c>
      <c r="M23" s="289">
        <v>4604</v>
      </c>
      <c r="N23" s="5">
        <v>5746</v>
      </c>
      <c r="O23" s="5">
        <v>3339</v>
      </c>
      <c r="P23" s="5">
        <v>271</v>
      </c>
      <c r="Q23" s="5">
        <v>1257</v>
      </c>
      <c r="R23" s="5">
        <v>46</v>
      </c>
    </row>
    <row r="24" spans="2:18" x14ac:dyDescent="0.2">
      <c r="B24" s="3" t="s">
        <v>628</v>
      </c>
      <c r="C24" s="278">
        <v>1873</v>
      </c>
      <c r="D24" s="5">
        <v>964</v>
      </c>
      <c r="E24" s="144">
        <v>2837</v>
      </c>
      <c r="F24" s="5">
        <v>8225</v>
      </c>
      <c r="G24" s="5">
        <v>599</v>
      </c>
      <c r="H24" s="144">
        <v>8824</v>
      </c>
      <c r="I24" s="272">
        <v>11661</v>
      </c>
      <c r="J24" s="286">
        <v>0</v>
      </c>
      <c r="K24" s="287">
        <v>11661</v>
      </c>
      <c r="L24" s="278">
        <v>6637</v>
      </c>
      <c r="M24" s="289">
        <v>5024</v>
      </c>
      <c r="N24" s="5">
        <v>6287</v>
      </c>
      <c r="O24" s="5">
        <v>3456</v>
      </c>
      <c r="P24" s="5">
        <v>322</v>
      </c>
      <c r="Q24" s="5">
        <v>1532</v>
      </c>
      <c r="R24" s="5">
        <v>64</v>
      </c>
    </row>
    <row r="25" spans="2:18" x14ac:dyDescent="0.2">
      <c r="B25" s="3" t="s">
        <v>629</v>
      </c>
      <c r="C25" s="278">
        <v>1807</v>
      </c>
      <c r="D25" s="5">
        <v>989</v>
      </c>
      <c r="E25" s="144">
        <v>2796</v>
      </c>
      <c r="F25" s="5">
        <v>8075</v>
      </c>
      <c r="G25" s="5">
        <v>539</v>
      </c>
      <c r="H25" s="144">
        <v>8614</v>
      </c>
      <c r="I25" s="272">
        <v>11410</v>
      </c>
      <c r="J25" s="286">
        <v>0</v>
      </c>
      <c r="K25" s="287">
        <v>11410</v>
      </c>
      <c r="L25" s="278">
        <v>6463</v>
      </c>
      <c r="M25" s="289">
        <v>4947</v>
      </c>
      <c r="N25" s="5">
        <v>6042</v>
      </c>
      <c r="O25" s="5">
        <v>3448</v>
      </c>
      <c r="P25" s="5">
        <v>285</v>
      </c>
      <c r="Q25" s="5">
        <v>1559</v>
      </c>
      <c r="R25" s="5">
        <v>76</v>
      </c>
    </row>
    <row r="26" spans="2:18" x14ac:dyDescent="0.2">
      <c r="B26" s="3" t="s">
        <v>630</v>
      </c>
      <c r="C26" s="278">
        <v>1832</v>
      </c>
      <c r="D26" s="5">
        <v>865</v>
      </c>
      <c r="E26" s="144">
        <v>2697</v>
      </c>
      <c r="F26" s="5">
        <v>8270</v>
      </c>
      <c r="G26" s="5">
        <v>450</v>
      </c>
      <c r="H26" s="144">
        <v>8720</v>
      </c>
      <c r="I26" s="272">
        <v>11417</v>
      </c>
      <c r="J26" s="286">
        <v>0</v>
      </c>
      <c r="K26" s="287">
        <v>11417</v>
      </c>
      <c r="L26" s="278">
        <v>6242</v>
      </c>
      <c r="M26" s="289">
        <v>5175</v>
      </c>
      <c r="N26" s="5">
        <v>5980</v>
      </c>
      <c r="O26" s="5">
        <v>3413</v>
      </c>
      <c r="P26" s="5">
        <v>319</v>
      </c>
      <c r="Q26" s="5">
        <v>1640</v>
      </c>
      <c r="R26" s="5">
        <v>65</v>
      </c>
    </row>
    <row r="27" spans="2:18" x14ac:dyDescent="0.2">
      <c r="B27" s="3" t="s">
        <v>631</v>
      </c>
      <c r="C27" s="278">
        <v>1528</v>
      </c>
      <c r="D27" s="5">
        <v>925</v>
      </c>
      <c r="E27" s="144">
        <v>2453</v>
      </c>
      <c r="F27" s="5">
        <v>6932</v>
      </c>
      <c r="G27" s="5">
        <v>365</v>
      </c>
      <c r="H27" s="144">
        <v>7297</v>
      </c>
      <c r="I27" s="272">
        <v>9750</v>
      </c>
      <c r="J27" s="286">
        <v>0</v>
      </c>
      <c r="K27" s="287">
        <v>9750</v>
      </c>
      <c r="L27" s="278">
        <v>5368</v>
      </c>
      <c r="M27" s="289">
        <v>4382</v>
      </c>
      <c r="N27" s="5">
        <v>5356</v>
      </c>
      <c r="O27" s="5">
        <v>2764</v>
      </c>
      <c r="P27" s="5">
        <v>286</v>
      </c>
      <c r="Q27" s="5">
        <v>1246</v>
      </c>
      <c r="R27" s="5">
        <v>98</v>
      </c>
    </row>
    <row r="28" spans="2:18" x14ac:dyDescent="0.2">
      <c r="B28" s="3" t="s">
        <v>632</v>
      </c>
      <c r="C28" s="278">
        <v>1906</v>
      </c>
      <c r="D28" s="5">
        <v>1029</v>
      </c>
      <c r="E28" s="144">
        <v>2935</v>
      </c>
      <c r="F28" s="5">
        <v>8956</v>
      </c>
      <c r="G28" s="5">
        <v>448</v>
      </c>
      <c r="H28" s="144">
        <v>9404</v>
      </c>
      <c r="I28" s="272">
        <v>12339</v>
      </c>
      <c r="J28" s="286">
        <v>0</v>
      </c>
      <c r="K28" s="287">
        <v>12339</v>
      </c>
      <c r="L28" s="278">
        <v>6986</v>
      </c>
      <c r="M28" s="289">
        <v>5353</v>
      </c>
      <c r="N28" s="5">
        <v>6749</v>
      </c>
      <c r="O28" s="5">
        <v>3569</v>
      </c>
      <c r="P28" s="5">
        <v>360</v>
      </c>
      <c r="Q28" s="5">
        <v>1558</v>
      </c>
      <c r="R28" s="5">
        <v>103</v>
      </c>
    </row>
    <row r="29" spans="2:18" x14ac:dyDescent="0.2">
      <c r="B29" s="3" t="s">
        <v>633</v>
      </c>
      <c r="C29" s="278">
        <v>1863</v>
      </c>
      <c r="D29" s="5">
        <v>959</v>
      </c>
      <c r="E29" s="144">
        <v>2822</v>
      </c>
      <c r="F29" s="5">
        <v>8354</v>
      </c>
      <c r="G29" s="5">
        <v>388</v>
      </c>
      <c r="H29" s="144">
        <v>8742</v>
      </c>
      <c r="I29" s="272">
        <v>11564</v>
      </c>
      <c r="J29" s="286">
        <v>0</v>
      </c>
      <c r="K29" s="287">
        <v>11564</v>
      </c>
      <c r="L29" s="278">
        <v>6711</v>
      </c>
      <c r="M29" s="289">
        <v>4853</v>
      </c>
      <c r="N29" s="5">
        <v>6899</v>
      </c>
      <c r="O29" s="5">
        <v>2939</v>
      </c>
      <c r="P29" s="5">
        <v>259</v>
      </c>
      <c r="Q29" s="5">
        <v>1367</v>
      </c>
      <c r="R29" s="5">
        <v>100</v>
      </c>
    </row>
    <row r="30" spans="2:18" x14ac:dyDescent="0.2">
      <c r="B30" s="3" t="s">
        <v>634</v>
      </c>
      <c r="C30" s="278">
        <v>1801</v>
      </c>
      <c r="D30" s="5">
        <v>781</v>
      </c>
      <c r="E30" s="144">
        <v>2582</v>
      </c>
      <c r="F30" s="5">
        <v>7603</v>
      </c>
      <c r="G30" s="5">
        <v>422</v>
      </c>
      <c r="H30" s="144">
        <v>8025</v>
      </c>
      <c r="I30" s="272">
        <v>10607</v>
      </c>
      <c r="J30" s="286">
        <v>0</v>
      </c>
      <c r="K30" s="287">
        <v>10607</v>
      </c>
      <c r="L30" s="278">
        <v>6143</v>
      </c>
      <c r="M30" s="289">
        <v>4464</v>
      </c>
      <c r="N30" s="5">
        <v>5617</v>
      </c>
      <c r="O30" s="5">
        <v>3282</v>
      </c>
      <c r="P30" s="5">
        <v>260</v>
      </c>
      <c r="Q30" s="5">
        <v>1371</v>
      </c>
      <c r="R30" s="5">
        <v>77</v>
      </c>
    </row>
    <row r="31" spans="2:18" x14ac:dyDescent="0.2">
      <c r="B31" s="3" t="s">
        <v>635</v>
      </c>
      <c r="C31" s="278">
        <v>1744</v>
      </c>
      <c r="D31" s="5">
        <v>733</v>
      </c>
      <c r="E31" s="144">
        <v>2477</v>
      </c>
      <c r="F31" s="5">
        <v>6768</v>
      </c>
      <c r="G31" s="5">
        <v>336</v>
      </c>
      <c r="H31" s="144">
        <v>7104</v>
      </c>
      <c r="I31" s="272">
        <v>9581</v>
      </c>
      <c r="J31" s="286">
        <v>0</v>
      </c>
      <c r="K31" s="287">
        <v>9581</v>
      </c>
      <c r="L31" s="278">
        <v>5736</v>
      </c>
      <c r="M31" s="289">
        <v>3845</v>
      </c>
      <c r="N31" s="5">
        <v>4925</v>
      </c>
      <c r="O31" s="5">
        <v>2862</v>
      </c>
      <c r="P31" s="5">
        <v>219</v>
      </c>
      <c r="Q31" s="5">
        <v>1483</v>
      </c>
      <c r="R31" s="5">
        <v>92</v>
      </c>
    </row>
    <row r="32" spans="2:18" x14ac:dyDescent="0.2">
      <c r="B32" s="3" t="s">
        <v>636</v>
      </c>
      <c r="C32" s="278">
        <v>1717</v>
      </c>
      <c r="D32" s="5">
        <v>693</v>
      </c>
      <c r="E32" s="144">
        <v>2410</v>
      </c>
      <c r="F32" s="5">
        <v>6904</v>
      </c>
      <c r="G32" s="5">
        <v>361</v>
      </c>
      <c r="H32" s="144">
        <v>7265</v>
      </c>
      <c r="I32" s="272">
        <v>9675</v>
      </c>
      <c r="J32" s="286">
        <v>0</v>
      </c>
      <c r="K32" s="287">
        <v>9675</v>
      </c>
      <c r="L32" s="278">
        <v>5713</v>
      </c>
      <c r="M32" s="289">
        <v>3962</v>
      </c>
      <c r="N32" s="5">
        <v>4415</v>
      </c>
      <c r="O32" s="5">
        <v>3207</v>
      </c>
      <c r="P32" s="5">
        <v>284</v>
      </c>
      <c r="Q32" s="5">
        <v>1583</v>
      </c>
      <c r="R32" s="5">
        <v>186</v>
      </c>
    </row>
    <row r="33" spans="2:18" x14ac:dyDescent="0.2">
      <c r="B33" s="3" t="s">
        <v>637</v>
      </c>
      <c r="C33" s="278">
        <v>2300</v>
      </c>
      <c r="D33" s="5">
        <v>1067</v>
      </c>
      <c r="E33" s="144">
        <v>3367</v>
      </c>
      <c r="F33" s="5">
        <v>11854</v>
      </c>
      <c r="G33" s="5">
        <v>557</v>
      </c>
      <c r="H33" s="144">
        <v>12411</v>
      </c>
      <c r="I33" s="272">
        <v>15778</v>
      </c>
      <c r="J33" s="286">
        <v>0</v>
      </c>
      <c r="K33" s="287">
        <v>15778</v>
      </c>
      <c r="L33" s="278">
        <v>8881</v>
      </c>
      <c r="M33" s="289">
        <v>6897</v>
      </c>
      <c r="N33" s="5">
        <v>9270</v>
      </c>
      <c r="O33" s="5">
        <v>3833</v>
      </c>
      <c r="P33" s="5">
        <v>681</v>
      </c>
      <c r="Q33" s="5">
        <v>1828</v>
      </c>
      <c r="R33" s="5">
        <v>166</v>
      </c>
    </row>
    <row r="34" spans="2:18" s="176" customFormat="1" x14ac:dyDescent="0.2">
      <c r="B34" s="2" t="s">
        <v>583</v>
      </c>
      <c r="C34" s="277">
        <v>22162</v>
      </c>
      <c r="D34" s="143">
        <v>10802</v>
      </c>
      <c r="E34" s="143">
        <v>32964</v>
      </c>
      <c r="F34" s="143">
        <v>98538</v>
      </c>
      <c r="G34" s="143">
        <v>5629</v>
      </c>
      <c r="H34" s="143">
        <v>104167</v>
      </c>
      <c r="I34" s="270">
        <v>137131</v>
      </c>
      <c r="J34" s="284">
        <v>0</v>
      </c>
      <c r="K34" s="285">
        <v>137131</v>
      </c>
      <c r="L34" s="277">
        <v>78226</v>
      </c>
      <c r="M34" s="285">
        <v>58905</v>
      </c>
      <c r="N34" s="143">
        <v>74232</v>
      </c>
      <c r="O34" s="143">
        <v>39856</v>
      </c>
      <c r="P34" s="143">
        <v>3852</v>
      </c>
      <c r="Q34" s="143">
        <v>18064</v>
      </c>
      <c r="R34" s="143">
        <v>1127</v>
      </c>
    </row>
    <row r="35" spans="2:18" s="176" customFormat="1" x14ac:dyDescent="0.2">
      <c r="B35" s="3" t="s">
        <v>665</v>
      </c>
      <c r="C35" s="278">
        <v>2326</v>
      </c>
      <c r="D35" s="5">
        <v>1109</v>
      </c>
      <c r="E35" s="144">
        <v>3435</v>
      </c>
      <c r="F35" s="5">
        <v>17661</v>
      </c>
      <c r="G35" s="5">
        <v>664</v>
      </c>
      <c r="H35" s="144">
        <v>18325</v>
      </c>
      <c r="I35" s="272">
        <v>21760</v>
      </c>
      <c r="J35" s="286">
        <v>2</v>
      </c>
      <c r="K35" s="287">
        <v>21762</v>
      </c>
      <c r="L35" s="278">
        <v>11530</v>
      </c>
      <c r="M35" s="289">
        <v>10232</v>
      </c>
      <c r="N35" s="5">
        <v>12353</v>
      </c>
      <c r="O35" s="5">
        <v>5745</v>
      </c>
      <c r="P35" s="5">
        <v>1328</v>
      </c>
      <c r="Q35" s="5">
        <v>2073</v>
      </c>
      <c r="R35" s="5">
        <v>263</v>
      </c>
    </row>
    <row r="36" spans="2:18" s="176" customFormat="1" x14ac:dyDescent="0.2">
      <c r="B36" s="3" t="s">
        <v>666</v>
      </c>
      <c r="C36" s="278">
        <v>1886</v>
      </c>
      <c r="D36" s="5">
        <v>1011</v>
      </c>
      <c r="E36" s="144">
        <v>2897</v>
      </c>
      <c r="F36" s="5">
        <v>21107</v>
      </c>
      <c r="G36" s="5">
        <v>790</v>
      </c>
      <c r="H36" s="144">
        <v>21897</v>
      </c>
      <c r="I36" s="272">
        <v>24794</v>
      </c>
      <c r="J36" s="286">
        <v>1</v>
      </c>
      <c r="K36" s="287">
        <v>24795</v>
      </c>
      <c r="L36" s="278">
        <v>13182</v>
      </c>
      <c r="M36" s="289">
        <v>11613</v>
      </c>
      <c r="N36" s="5">
        <v>15764</v>
      </c>
      <c r="O36" s="5">
        <v>6121</v>
      </c>
      <c r="P36" s="5">
        <v>920</v>
      </c>
      <c r="Q36" s="5">
        <v>1736</v>
      </c>
      <c r="R36" s="5">
        <v>254</v>
      </c>
    </row>
    <row r="37" spans="2:18" s="176" customFormat="1" x14ac:dyDescent="0.2">
      <c r="B37" s="3" t="s">
        <v>640</v>
      </c>
      <c r="C37" s="278">
        <v>1456</v>
      </c>
      <c r="D37" s="5">
        <v>738</v>
      </c>
      <c r="E37" s="144">
        <v>2194</v>
      </c>
      <c r="F37" s="5">
        <v>11096</v>
      </c>
      <c r="G37" s="5">
        <v>481</v>
      </c>
      <c r="H37" s="144">
        <v>11577</v>
      </c>
      <c r="I37" s="272">
        <v>13771</v>
      </c>
      <c r="J37" s="286">
        <v>1</v>
      </c>
      <c r="K37" s="287">
        <v>13772</v>
      </c>
      <c r="L37" s="278">
        <v>7341</v>
      </c>
      <c r="M37" s="289">
        <v>6431</v>
      </c>
      <c r="N37" s="5">
        <v>7317</v>
      </c>
      <c r="O37" s="5">
        <v>4086</v>
      </c>
      <c r="P37" s="5">
        <v>549</v>
      </c>
      <c r="Q37" s="5">
        <v>1375</v>
      </c>
      <c r="R37" s="5">
        <v>445</v>
      </c>
    </row>
    <row r="38" spans="2:18" s="176" customFormat="1" x14ac:dyDescent="0.2">
      <c r="B38" s="3" t="s">
        <v>641</v>
      </c>
      <c r="C38" s="278">
        <v>957</v>
      </c>
      <c r="D38" s="5">
        <v>370</v>
      </c>
      <c r="E38" s="144">
        <v>1327</v>
      </c>
      <c r="F38" s="5">
        <v>5981</v>
      </c>
      <c r="G38" s="5">
        <v>435</v>
      </c>
      <c r="H38" s="144">
        <v>6416</v>
      </c>
      <c r="I38" s="272">
        <v>7743</v>
      </c>
      <c r="J38" s="286">
        <v>2</v>
      </c>
      <c r="K38" s="287">
        <v>7745</v>
      </c>
      <c r="L38" s="278">
        <v>4051</v>
      </c>
      <c r="M38" s="289">
        <v>3694</v>
      </c>
      <c r="N38" s="5">
        <v>2354</v>
      </c>
      <c r="O38" s="5">
        <v>3430</v>
      </c>
      <c r="P38" s="5">
        <v>288</v>
      </c>
      <c r="Q38" s="5">
        <v>939</v>
      </c>
      <c r="R38" s="5">
        <v>734</v>
      </c>
    </row>
    <row r="39" spans="2:18" s="176" customFormat="1" x14ac:dyDescent="0.2">
      <c r="B39" s="3" t="s">
        <v>642</v>
      </c>
      <c r="C39" s="278">
        <v>1511</v>
      </c>
      <c r="D39" s="5">
        <v>601</v>
      </c>
      <c r="E39" s="144">
        <v>2112</v>
      </c>
      <c r="F39" s="5">
        <v>9733</v>
      </c>
      <c r="G39" s="5">
        <v>690</v>
      </c>
      <c r="H39" s="144">
        <v>10423</v>
      </c>
      <c r="I39" s="272">
        <v>12535</v>
      </c>
      <c r="J39" s="286">
        <v>1</v>
      </c>
      <c r="K39" s="287">
        <v>12536</v>
      </c>
      <c r="L39" s="278">
        <v>6501</v>
      </c>
      <c r="M39" s="289">
        <v>6035</v>
      </c>
      <c r="N39" s="5">
        <v>4128</v>
      </c>
      <c r="O39" s="5">
        <v>4660</v>
      </c>
      <c r="P39" s="5">
        <v>341</v>
      </c>
      <c r="Q39" s="5">
        <v>944</v>
      </c>
      <c r="R39" s="5">
        <v>2463</v>
      </c>
    </row>
    <row r="40" spans="2:18" s="176" customFormat="1" x14ac:dyDescent="0.2">
      <c r="B40" s="3" t="s">
        <v>643</v>
      </c>
      <c r="C40" s="278">
        <v>1719</v>
      </c>
      <c r="D40" s="5">
        <v>550</v>
      </c>
      <c r="E40" s="144">
        <v>2269</v>
      </c>
      <c r="F40" s="5">
        <v>8295</v>
      </c>
      <c r="G40" s="5">
        <v>607</v>
      </c>
      <c r="H40" s="144">
        <v>8902</v>
      </c>
      <c r="I40" s="272">
        <v>11171</v>
      </c>
      <c r="J40" s="286">
        <v>0</v>
      </c>
      <c r="K40" s="287">
        <v>11171</v>
      </c>
      <c r="L40" s="278">
        <v>5963</v>
      </c>
      <c r="M40" s="289">
        <v>5208</v>
      </c>
      <c r="N40" s="5">
        <v>3690</v>
      </c>
      <c r="O40" s="5">
        <v>4413</v>
      </c>
      <c r="P40" s="5">
        <v>364</v>
      </c>
      <c r="Q40" s="5">
        <v>861</v>
      </c>
      <c r="R40" s="5">
        <v>1843</v>
      </c>
    </row>
    <row r="41" spans="2:18" s="176" customFormat="1" x14ac:dyDescent="0.2">
      <c r="B41" s="3" t="s">
        <v>644</v>
      </c>
      <c r="C41" s="278">
        <v>2113</v>
      </c>
      <c r="D41" s="5">
        <v>648</v>
      </c>
      <c r="E41" s="144">
        <v>2761</v>
      </c>
      <c r="F41" s="5">
        <v>9884</v>
      </c>
      <c r="G41" s="5">
        <v>497</v>
      </c>
      <c r="H41" s="144">
        <v>10381</v>
      </c>
      <c r="I41" s="272">
        <v>13142</v>
      </c>
      <c r="J41" s="286">
        <v>0</v>
      </c>
      <c r="K41" s="287">
        <v>13142</v>
      </c>
      <c r="L41" s="278">
        <v>7490</v>
      </c>
      <c r="M41" s="289">
        <v>5652</v>
      </c>
      <c r="N41" s="5">
        <v>5333</v>
      </c>
      <c r="O41" s="5">
        <v>3176</v>
      </c>
      <c r="P41" s="5">
        <v>450</v>
      </c>
      <c r="Q41" s="5">
        <v>1267</v>
      </c>
      <c r="R41" s="5">
        <v>2916</v>
      </c>
    </row>
    <row r="42" spans="2:18" s="176" customFormat="1" x14ac:dyDescent="0.2">
      <c r="B42" s="3" t="s">
        <v>645</v>
      </c>
      <c r="C42" s="278">
        <v>2708</v>
      </c>
      <c r="D42" s="5">
        <v>791</v>
      </c>
      <c r="E42" s="144">
        <v>3499</v>
      </c>
      <c r="F42" s="5">
        <v>12679</v>
      </c>
      <c r="G42" s="5">
        <v>593</v>
      </c>
      <c r="H42" s="144">
        <v>13272</v>
      </c>
      <c r="I42" s="272">
        <v>16771</v>
      </c>
      <c r="J42" s="286">
        <v>1</v>
      </c>
      <c r="K42" s="287">
        <v>16772</v>
      </c>
      <c r="L42" s="278">
        <v>9435</v>
      </c>
      <c r="M42" s="289">
        <v>7337</v>
      </c>
      <c r="N42" s="5">
        <v>7481</v>
      </c>
      <c r="O42" s="5">
        <v>2902</v>
      </c>
      <c r="P42" s="5">
        <v>748</v>
      </c>
      <c r="Q42" s="5">
        <v>1437</v>
      </c>
      <c r="R42" s="5">
        <v>4204</v>
      </c>
    </row>
    <row r="43" spans="2:18" s="176" customFormat="1" x14ac:dyDescent="0.2">
      <c r="B43" s="3" t="s">
        <v>646</v>
      </c>
      <c r="C43" s="278">
        <v>2652</v>
      </c>
      <c r="D43" s="5">
        <v>915</v>
      </c>
      <c r="E43" s="144">
        <v>3567</v>
      </c>
      <c r="F43" s="5">
        <v>12458</v>
      </c>
      <c r="G43" s="5">
        <v>670</v>
      </c>
      <c r="H43" s="144">
        <v>13128</v>
      </c>
      <c r="I43" s="272">
        <v>16695</v>
      </c>
      <c r="J43" s="286">
        <v>1</v>
      </c>
      <c r="K43" s="287">
        <v>16696</v>
      </c>
      <c r="L43" s="278">
        <v>9801</v>
      </c>
      <c r="M43" s="289">
        <v>6895</v>
      </c>
      <c r="N43" s="5">
        <v>7232</v>
      </c>
      <c r="O43" s="5">
        <v>3732</v>
      </c>
      <c r="P43" s="5">
        <v>522</v>
      </c>
      <c r="Q43" s="5">
        <v>1413</v>
      </c>
      <c r="R43" s="5">
        <v>3797</v>
      </c>
    </row>
    <row r="44" spans="2:18" s="176" customFormat="1" x14ac:dyDescent="0.2">
      <c r="B44" s="3" t="s">
        <v>647</v>
      </c>
      <c r="C44" s="278">
        <v>2843</v>
      </c>
      <c r="D44" s="5">
        <v>1144</v>
      </c>
      <c r="E44" s="144">
        <v>3987</v>
      </c>
      <c r="F44" s="5">
        <v>13575</v>
      </c>
      <c r="G44" s="5">
        <v>762</v>
      </c>
      <c r="H44" s="144">
        <v>14337</v>
      </c>
      <c r="I44" s="272">
        <v>18324</v>
      </c>
      <c r="J44" s="286">
        <v>0</v>
      </c>
      <c r="K44" s="287">
        <v>18324</v>
      </c>
      <c r="L44" s="278">
        <v>10746</v>
      </c>
      <c r="M44" s="289">
        <v>7578</v>
      </c>
      <c r="N44" s="5">
        <v>7579</v>
      </c>
      <c r="O44" s="5">
        <v>5780</v>
      </c>
      <c r="P44" s="5">
        <v>589</v>
      </c>
      <c r="Q44" s="5">
        <v>1665</v>
      </c>
      <c r="R44" s="5">
        <v>2711</v>
      </c>
    </row>
    <row r="45" spans="2:18" s="176" customFormat="1" x14ac:dyDescent="0.2">
      <c r="B45" s="3" t="s">
        <v>648</v>
      </c>
      <c r="C45" s="278">
        <v>2516</v>
      </c>
      <c r="D45" s="5">
        <v>965</v>
      </c>
      <c r="E45" s="144">
        <v>3481</v>
      </c>
      <c r="F45" s="5">
        <v>12237</v>
      </c>
      <c r="G45" s="5">
        <v>529</v>
      </c>
      <c r="H45" s="144">
        <v>12766</v>
      </c>
      <c r="I45" s="272">
        <v>16247</v>
      </c>
      <c r="J45" s="286">
        <v>1</v>
      </c>
      <c r="K45" s="287">
        <v>16248</v>
      </c>
      <c r="L45" s="278">
        <v>9440</v>
      </c>
      <c r="M45" s="289">
        <v>6808</v>
      </c>
      <c r="N45" s="5">
        <v>6898</v>
      </c>
      <c r="O45" s="5">
        <v>4523</v>
      </c>
      <c r="P45" s="5">
        <v>619</v>
      </c>
      <c r="Q45" s="5">
        <v>1576</v>
      </c>
      <c r="R45" s="5">
        <v>2632</v>
      </c>
    </row>
    <row r="46" spans="2:18" s="176" customFormat="1" x14ac:dyDescent="0.2">
      <c r="B46" s="3" t="s">
        <v>649</v>
      </c>
      <c r="C46" s="278">
        <v>2278</v>
      </c>
      <c r="D46" s="5">
        <v>944</v>
      </c>
      <c r="E46" s="144">
        <v>3222</v>
      </c>
      <c r="F46" s="5">
        <v>10817</v>
      </c>
      <c r="G46" s="5">
        <v>436</v>
      </c>
      <c r="H46" s="144">
        <v>11253</v>
      </c>
      <c r="I46" s="272">
        <v>14475</v>
      </c>
      <c r="J46" s="286">
        <v>0</v>
      </c>
      <c r="K46" s="287">
        <v>14475</v>
      </c>
      <c r="L46" s="278">
        <v>8322</v>
      </c>
      <c r="M46" s="289">
        <v>6153</v>
      </c>
      <c r="N46" s="5">
        <v>6681</v>
      </c>
      <c r="O46" s="5">
        <v>3220</v>
      </c>
      <c r="P46" s="5">
        <v>700</v>
      </c>
      <c r="Q46" s="5">
        <v>1384</v>
      </c>
      <c r="R46" s="5">
        <v>2490</v>
      </c>
    </row>
    <row r="47" spans="2:18" s="176" customFormat="1" x14ac:dyDescent="0.2">
      <c r="B47" s="2" t="s">
        <v>650</v>
      </c>
      <c r="C47" s="277">
        <v>24965</v>
      </c>
      <c r="D47" s="143">
        <v>9786</v>
      </c>
      <c r="E47" s="143">
        <v>34751</v>
      </c>
      <c r="F47" s="143">
        <v>145523</v>
      </c>
      <c r="G47" s="143">
        <v>7154</v>
      </c>
      <c r="H47" s="143">
        <v>152677</v>
      </c>
      <c r="I47" s="270">
        <v>187428</v>
      </c>
      <c r="J47" s="284">
        <v>10</v>
      </c>
      <c r="K47" s="285">
        <v>187438</v>
      </c>
      <c r="L47" s="277">
        <v>103802</v>
      </c>
      <c r="M47" s="285">
        <v>83636</v>
      </c>
      <c r="N47" s="143">
        <v>86810</v>
      </c>
      <c r="O47" s="143">
        <v>51788</v>
      </c>
      <c r="P47" s="143">
        <v>7418</v>
      </c>
      <c r="Q47" s="143">
        <v>16670</v>
      </c>
      <c r="R47" s="143">
        <v>24752</v>
      </c>
    </row>
    <row r="48" spans="2:18" s="176" customFormat="1" x14ac:dyDescent="0.2">
      <c r="B48" s="3" t="s">
        <v>667</v>
      </c>
      <c r="C48" s="278">
        <v>2264</v>
      </c>
      <c r="D48" s="5">
        <v>1277</v>
      </c>
      <c r="E48" s="144">
        <v>3541</v>
      </c>
      <c r="F48" s="5">
        <v>11037</v>
      </c>
      <c r="G48" s="5">
        <v>865</v>
      </c>
      <c r="H48" s="144">
        <v>11902</v>
      </c>
      <c r="I48" s="272">
        <v>15443</v>
      </c>
      <c r="J48" s="286">
        <v>0</v>
      </c>
      <c r="K48" s="287">
        <v>15443</v>
      </c>
      <c r="L48" s="278">
        <v>8986</v>
      </c>
      <c r="M48" s="289">
        <v>6457</v>
      </c>
      <c r="N48" s="5">
        <v>6826</v>
      </c>
      <c r="O48" s="5">
        <v>3866</v>
      </c>
      <c r="P48" s="5">
        <v>540</v>
      </c>
      <c r="Q48" s="5">
        <v>1496</v>
      </c>
      <c r="R48" s="5">
        <v>2715</v>
      </c>
    </row>
    <row r="49" spans="2:18" s="176" customFormat="1" x14ac:dyDescent="0.2">
      <c r="B49" s="3" t="s">
        <v>668</v>
      </c>
      <c r="C49" s="278">
        <v>1721</v>
      </c>
      <c r="D49" s="5">
        <v>1053</v>
      </c>
      <c r="E49" s="144">
        <v>2774</v>
      </c>
      <c r="F49" s="5">
        <v>10603</v>
      </c>
      <c r="G49" s="5">
        <v>793</v>
      </c>
      <c r="H49" s="144">
        <v>11396</v>
      </c>
      <c r="I49" s="272">
        <v>14170</v>
      </c>
      <c r="J49" s="286">
        <v>3</v>
      </c>
      <c r="K49" s="287">
        <v>14173</v>
      </c>
      <c r="L49" s="278">
        <v>8047</v>
      </c>
      <c r="M49" s="289">
        <v>6126</v>
      </c>
      <c r="N49" s="5">
        <v>5991</v>
      </c>
      <c r="O49" s="5">
        <v>4109</v>
      </c>
      <c r="P49" s="5">
        <v>520</v>
      </c>
      <c r="Q49" s="5">
        <v>1278</v>
      </c>
      <c r="R49" s="5">
        <v>2275</v>
      </c>
    </row>
    <row r="50" spans="2:18" s="176" customFormat="1" x14ac:dyDescent="0.2">
      <c r="B50" s="3" t="s">
        <v>653</v>
      </c>
      <c r="C50" s="278">
        <v>2017</v>
      </c>
      <c r="D50" s="5">
        <v>1171</v>
      </c>
      <c r="E50" s="144">
        <v>3188</v>
      </c>
      <c r="F50" s="5">
        <v>12558</v>
      </c>
      <c r="G50" s="5">
        <v>2727</v>
      </c>
      <c r="H50" s="144">
        <v>15285</v>
      </c>
      <c r="I50" s="272">
        <v>18473</v>
      </c>
      <c r="J50" s="286">
        <v>2</v>
      </c>
      <c r="K50" s="287">
        <v>18475</v>
      </c>
      <c r="L50" s="278">
        <v>9998</v>
      </c>
      <c r="M50" s="289">
        <v>8477</v>
      </c>
      <c r="N50" s="5">
        <v>6982</v>
      </c>
      <c r="O50" s="5">
        <v>5639</v>
      </c>
      <c r="P50" s="5">
        <v>623</v>
      </c>
      <c r="Q50" s="5">
        <v>1609</v>
      </c>
      <c r="R50" s="5">
        <v>3622</v>
      </c>
    </row>
    <row r="51" spans="2:18" s="176" customFormat="1" x14ac:dyDescent="0.2">
      <c r="B51" s="3" t="s">
        <v>654</v>
      </c>
      <c r="C51" s="278">
        <v>2145</v>
      </c>
      <c r="D51" s="5">
        <v>1202</v>
      </c>
      <c r="E51" s="144">
        <v>3347</v>
      </c>
      <c r="F51" s="5">
        <v>11518</v>
      </c>
      <c r="G51" s="5">
        <v>2962</v>
      </c>
      <c r="H51" s="144">
        <v>14480</v>
      </c>
      <c r="I51" s="272">
        <v>17827</v>
      </c>
      <c r="J51" s="286">
        <v>1</v>
      </c>
      <c r="K51" s="287">
        <v>17828</v>
      </c>
      <c r="L51" s="278">
        <v>9940</v>
      </c>
      <c r="M51" s="289">
        <v>7888</v>
      </c>
      <c r="N51" s="5">
        <v>5846</v>
      </c>
      <c r="O51" s="5">
        <v>5361</v>
      </c>
      <c r="P51" s="5">
        <v>412</v>
      </c>
      <c r="Q51" s="5">
        <v>1452</v>
      </c>
      <c r="R51" s="5">
        <v>4757</v>
      </c>
    </row>
    <row r="52" spans="2:18" s="176" customFormat="1" x14ac:dyDescent="0.2">
      <c r="B52" s="3" t="s">
        <v>655</v>
      </c>
      <c r="C52" s="278">
        <v>2798</v>
      </c>
      <c r="D52" s="5">
        <v>1356</v>
      </c>
      <c r="E52" s="144">
        <v>4154</v>
      </c>
      <c r="F52" s="5">
        <v>11245</v>
      </c>
      <c r="G52" s="5">
        <v>2006</v>
      </c>
      <c r="H52" s="144">
        <v>13251</v>
      </c>
      <c r="I52" s="272">
        <v>17405</v>
      </c>
      <c r="J52" s="286">
        <v>1</v>
      </c>
      <c r="K52" s="287">
        <v>17406</v>
      </c>
      <c r="L52" s="278">
        <v>9829</v>
      </c>
      <c r="M52" s="289">
        <v>7577</v>
      </c>
      <c r="N52" s="5">
        <v>6683</v>
      </c>
      <c r="O52" s="5">
        <v>4983</v>
      </c>
      <c r="P52" s="5">
        <v>472</v>
      </c>
      <c r="Q52" s="5">
        <v>1477</v>
      </c>
      <c r="R52" s="5">
        <v>3791</v>
      </c>
    </row>
    <row r="53" spans="2:18" s="176" customFormat="1" x14ac:dyDescent="0.2">
      <c r="B53" s="3" t="s">
        <v>656</v>
      </c>
      <c r="C53" s="278">
        <v>2526</v>
      </c>
      <c r="D53" s="5">
        <v>1176</v>
      </c>
      <c r="E53" s="144">
        <v>3702</v>
      </c>
      <c r="F53" s="5">
        <v>11073</v>
      </c>
      <c r="G53" s="5">
        <v>1581</v>
      </c>
      <c r="H53" s="144">
        <v>12654</v>
      </c>
      <c r="I53" s="272">
        <v>16356</v>
      </c>
      <c r="J53" s="286">
        <v>0</v>
      </c>
      <c r="K53" s="287">
        <v>16356</v>
      </c>
      <c r="L53" s="278">
        <v>9253</v>
      </c>
      <c r="M53" s="289">
        <v>7103</v>
      </c>
      <c r="N53" s="5">
        <v>5768</v>
      </c>
      <c r="O53" s="5">
        <v>4850</v>
      </c>
      <c r="P53" s="5">
        <v>413</v>
      </c>
      <c r="Q53" s="5">
        <v>1525</v>
      </c>
      <c r="R53" s="5">
        <v>3800</v>
      </c>
    </row>
    <row r="54" spans="2:18" s="176" customFormat="1" x14ac:dyDescent="0.2">
      <c r="B54" s="3" t="s">
        <v>657</v>
      </c>
      <c r="C54" s="278">
        <v>3047</v>
      </c>
      <c r="D54" s="5">
        <v>1109</v>
      </c>
      <c r="E54" s="144">
        <v>4156</v>
      </c>
      <c r="F54" s="5">
        <v>13261</v>
      </c>
      <c r="G54" s="5">
        <v>1461</v>
      </c>
      <c r="H54" s="144">
        <v>14722</v>
      </c>
      <c r="I54" s="272">
        <v>18878</v>
      </c>
      <c r="J54" s="286">
        <v>1</v>
      </c>
      <c r="K54" s="287">
        <v>18879</v>
      </c>
      <c r="L54" s="278">
        <v>10781</v>
      </c>
      <c r="M54" s="289">
        <v>8098</v>
      </c>
      <c r="N54" s="5">
        <v>7085</v>
      </c>
      <c r="O54" s="5">
        <v>5725</v>
      </c>
      <c r="P54" s="5">
        <v>519</v>
      </c>
      <c r="Q54" s="5">
        <v>1766</v>
      </c>
      <c r="R54" s="5">
        <v>3784</v>
      </c>
    </row>
    <row r="55" spans="2:18" s="176" customFormat="1" x14ac:dyDescent="0.2">
      <c r="B55" s="3" t="s">
        <v>658</v>
      </c>
      <c r="C55" s="278">
        <v>3182</v>
      </c>
      <c r="D55" s="5">
        <v>955</v>
      </c>
      <c r="E55" s="144">
        <v>4137</v>
      </c>
      <c r="F55" s="5">
        <v>15226</v>
      </c>
      <c r="G55" s="5">
        <v>1392</v>
      </c>
      <c r="H55" s="144">
        <v>16618</v>
      </c>
      <c r="I55" s="272">
        <v>20755</v>
      </c>
      <c r="J55" s="286">
        <v>2</v>
      </c>
      <c r="K55" s="287">
        <v>20757</v>
      </c>
      <c r="L55" s="278">
        <v>11516</v>
      </c>
      <c r="M55" s="289">
        <v>9241</v>
      </c>
      <c r="N55" s="5">
        <v>7739</v>
      </c>
      <c r="O55" s="5">
        <v>6533</v>
      </c>
      <c r="P55" s="5">
        <v>535</v>
      </c>
      <c r="Q55" s="5">
        <v>1671</v>
      </c>
      <c r="R55" s="5">
        <v>4279</v>
      </c>
    </row>
    <row r="56" spans="2:18" s="176" customFormat="1" x14ac:dyDescent="0.2">
      <c r="B56" s="3" t="s">
        <v>659</v>
      </c>
      <c r="C56" s="278">
        <v>3090</v>
      </c>
      <c r="D56" s="5">
        <v>607</v>
      </c>
      <c r="E56" s="144">
        <v>3697</v>
      </c>
      <c r="F56" s="5">
        <v>16319</v>
      </c>
      <c r="G56" s="5">
        <v>1252</v>
      </c>
      <c r="H56" s="144">
        <v>17571</v>
      </c>
      <c r="I56" s="272">
        <v>21268</v>
      </c>
      <c r="J56" s="286">
        <v>5</v>
      </c>
      <c r="K56" s="287">
        <v>21273</v>
      </c>
      <c r="L56" s="278">
        <v>11933</v>
      </c>
      <c r="M56" s="289">
        <v>9340</v>
      </c>
      <c r="N56" s="5">
        <v>8177</v>
      </c>
      <c r="O56" s="5">
        <v>6498</v>
      </c>
      <c r="P56" s="5">
        <v>637</v>
      </c>
      <c r="Q56" s="5">
        <v>1571</v>
      </c>
      <c r="R56" s="5">
        <v>4390</v>
      </c>
    </row>
    <row r="57" spans="2:18" s="176" customFormat="1" x14ac:dyDescent="0.2">
      <c r="B57" s="3" t="s">
        <v>660</v>
      </c>
      <c r="C57" s="278">
        <v>2879</v>
      </c>
      <c r="D57" s="5">
        <v>396</v>
      </c>
      <c r="E57" s="144">
        <v>3275</v>
      </c>
      <c r="F57" s="5">
        <v>15410</v>
      </c>
      <c r="G57" s="5">
        <v>1277</v>
      </c>
      <c r="H57" s="144">
        <v>16687</v>
      </c>
      <c r="I57" s="272">
        <v>19962</v>
      </c>
      <c r="J57" s="286">
        <v>1</v>
      </c>
      <c r="K57" s="287">
        <v>19963</v>
      </c>
      <c r="L57" s="278">
        <v>11121</v>
      </c>
      <c r="M57" s="289">
        <v>8842</v>
      </c>
      <c r="N57" s="5">
        <v>7695</v>
      </c>
      <c r="O57" s="5">
        <v>6432</v>
      </c>
      <c r="P57" s="5">
        <v>552</v>
      </c>
      <c r="Q57" s="5">
        <v>1375</v>
      </c>
      <c r="R57" s="5">
        <v>3909</v>
      </c>
    </row>
    <row r="58" spans="2:18" s="176" customFormat="1" x14ac:dyDescent="0.2">
      <c r="B58" s="3" t="s">
        <v>661</v>
      </c>
      <c r="C58" s="278">
        <v>2928</v>
      </c>
      <c r="D58" s="5">
        <v>377</v>
      </c>
      <c r="E58" s="144">
        <v>3305</v>
      </c>
      <c r="F58" s="5">
        <v>16772</v>
      </c>
      <c r="G58" s="5">
        <v>1328</v>
      </c>
      <c r="H58" s="144">
        <v>18100</v>
      </c>
      <c r="I58" s="272">
        <v>21405</v>
      </c>
      <c r="J58" s="286">
        <v>5</v>
      </c>
      <c r="K58" s="287">
        <v>21410</v>
      </c>
      <c r="L58" s="278">
        <v>12192</v>
      </c>
      <c r="M58" s="289">
        <v>9218</v>
      </c>
      <c r="N58" s="5">
        <v>8934</v>
      </c>
      <c r="O58" s="5">
        <v>6614</v>
      </c>
      <c r="P58" s="5">
        <v>511</v>
      </c>
      <c r="Q58" s="5">
        <v>1493</v>
      </c>
      <c r="R58" s="5">
        <v>3858</v>
      </c>
    </row>
    <row r="59" spans="2:18" s="176" customFormat="1" x14ac:dyDescent="0.2">
      <c r="B59" s="3" t="s">
        <v>662</v>
      </c>
      <c r="C59" s="278">
        <v>1384</v>
      </c>
      <c r="D59" s="5">
        <v>59</v>
      </c>
      <c r="E59" s="144">
        <v>1443</v>
      </c>
      <c r="F59" s="5">
        <v>13363</v>
      </c>
      <c r="G59" s="5">
        <v>1117</v>
      </c>
      <c r="H59" s="144">
        <v>14480</v>
      </c>
      <c r="I59" s="272">
        <v>15923</v>
      </c>
      <c r="J59" s="286">
        <v>3</v>
      </c>
      <c r="K59" s="287">
        <v>15926</v>
      </c>
      <c r="L59" s="278">
        <v>8890</v>
      </c>
      <c r="M59" s="289">
        <v>7036</v>
      </c>
      <c r="N59" s="5">
        <v>6413</v>
      </c>
      <c r="O59" s="5">
        <v>4845</v>
      </c>
      <c r="P59" s="5">
        <v>571</v>
      </c>
      <c r="Q59" s="5">
        <v>953</v>
      </c>
      <c r="R59" s="5">
        <v>3144</v>
      </c>
    </row>
    <row r="60" spans="2:18" s="176" customFormat="1" x14ac:dyDescent="0.2">
      <c r="B60" s="2" t="s">
        <v>663</v>
      </c>
      <c r="C60" s="277">
        <v>29981</v>
      </c>
      <c r="D60" s="143">
        <v>10738</v>
      </c>
      <c r="E60" s="143">
        <v>40719</v>
      </c>
      <c r="F60" s="143">
        <v>158385</v>
      </c>
      <c r="G60" s="143">
        <v>18761</v>
      </c>
      <c r="H60" s="143">
        <v>177146</v>
      </c>
      <c r="I60" s="270">
        <v>217865</v>
      </c>
      <c r="J60" s="284">
        <v>24</v>
      </c>
      <c r="K60" s="285">
        <v>217889</v>
      </c>
      <c r="L60" s="277">
        <v>122486</v>
      </c>
      <c r="M60" s="285">
        <v>95403</v>
      </c>
      <c r="N60" s="143">
        <v>84139</v>
      </c>
      <c r="O60" s="143">
        <v>65455</v>
      </c>
      <c r="P60" s="143">
        <v>6305</v>
      </c>
      <c r="Q60" s="143">
        <v>17666</v>
      </c>
      <c r="R60" s="143">
        <v>44324</v>
      </c>
    </row>
    <row r="61" spans="2:18" s="176" customFormat="1" x14ac:dyDescent="0.2">
      <c r="B61" s="262" t="s">
        <v>28</v>
      </c>
      <c r="C61" s="279">
        <v>471813</v>
      </c>
      <c r="D61" s="144">
        <v>173449</v>
      </c>
      <c r="E61" s="144">
        <v>645262</v>
      </c>
      <c r="F61" s="144">
        <v>1491522</v>
      </c>
      <c r="G61" s="144">
        <v>92867</v>
      </c>
      <c r="H61" s="144">
        <v>1584389</v>
      </c>
      <c r="I61" s="272">
        <v>2229651</v>
      </c>
      <c r="J61" s="286">
        <v>34</v>
      </c>
      <c r="K61" s="287">
        <v>2229685</v>
      </c>
      <c r="L61" s="279">
        <v>1337442</v>
      </c>
      <c r="M61" s="287">
        <v>892243</v>
      </c>
      <c r="N61" s="144">
        <v>1323786</v>
      </c>
      <c r="O61" s="144">
        <v>409687</v>
      </c>
      <c r="P61" s="144">
        <v>63581</v>
      </c>
      <c r="Q61" s="144">
        <v>361471</v>
      </c>
      <c r="R61" s="144">
        <v>71160</v>
      </c>
    </row>
    <row r="62" spans="2:18" x14ac:dyDescent="0.2">
      <c r="B62" s="25" t="s">
        <v>129</v>
      </c>
    </row>
    <row r="63" spans="2:18" ht="12" customHeight="1" x14ac:dyDescent="0.2">
      <c r="B63" s="25" t="s">
        <v>130</v>
      </c>
      <c r="C63" s="69"/>
      <c r="D63" s="69"/>
      <c r="E63" s="69"/>
      <c r="F63" s="69"/>
      <c r="G63" s="69"/>
      <c r="H63" s="69"/>
      <c r="I63" s="69"/>
      <c r="J63" s="69"/>
      <c r="K63" s="69"/>
      <c r="L63" s="69"/>
      <c r="M63" s="69"/>
      <c r="N63" s="69"/>
    </row>
    <row r="64" spans="2:18" ht="104.25" customHeight="1" x14ac:dyDescent="0.2">
      <c r="B64" s="377" t="s">
        <v>599</v>
      </c>
      <c r="C64" s="377"/>
      <c r="D64" s="377"/>
      <c r="E64" s="377"/>
      <c r="F64" s="377"/>
      <c r="G64" s="377"/>
      <c r="H64" s="377"/>
      <c r="I64" s="377"/>
      <c r="J64" s="377"/>
      <c r="K64" s="377"/>
      <c r="L64" s="377"/>
      <c r="M64" s="377"/>
      <c r="N64" s="377"/>
    </row>
    <row r="65" spans="2:14" x14ac:dyDescent="0.2">
      <c r="B65" s="69"/>
      <c r="C65" s="69"/>
      <c r="D65" s="69"/>
      <c r="E65" s="69"/>
      <c r="F65" s="69"/>
      <c r="G65" s="69"/>
      <c r="H65" s="69"/>
      <c r="I65" s="69"/>
      <c r="J65" s="69"/>
      <c r="K65" s="69"/>
      <c r="L65" s="69"/>
      <c r="M65" s="69"/>
      <c r="N65" s="69"/>
    </row>
    <row r="66" spans="2:14" x14ac:dyDescent="0.2">
      <c r="B66" s="69"/>
      <c r="C66" s="69"/>
      <c r="D66" s="69"/>
      <c r="E66" s="69"/>
      <c r="F66" s="69"/>
      <c r="G66" s="69"/>
      <c r="H66" s="69"/>
      <c r="I66" s="69"/>
      <c r="J66" s="69"/>
      <c r="K66" s="69"/>
      <c r="L66" s="69"/>
      <c r="M66" s="69"/>
      <c r="N66" s="69"/>
    </row>
    <row r="67" spans="2:14" x14ac:dyDescent="0.2">
      <c r="B67" s="69"/>
      <c r="C67" s="69"/>
      <c r="D67" s="69"/>
      <c r="E67" s="69"/>
      <c r="F67" s="69"/>
      <c r="G67" s="69"/>
      <c r="H67" s="69"/>
      <c r="I67" s="69"/>
      <c r="J67" s="69"/>
      <c r="K67" s="69"/>
      <c r="L67" s="69"/>
      <c r="M67" s="69"/>
      <c r="N67" s="69"/>
    </row>
    <row r="68" spans="2:14" x14ac:dyDescent="0.2">
      <c r="B68" s="69"/>
      <c r="C68" s="69"/>
      <c r="D68" s="69"/>
      <c r="E68" s="69"/>
      <c r="F68" s="69"/>
      <c r="G68" s="69"/>
      <c r="H68" s="69"/>
      <c r="I68" s="69"/>
      <c r="J68" s="69"/>
      <c r="K68" s="69"/>
      <c r="L68" s="69"/>
      <c r="M68" s="69"/>
      <c r="N68" s="69"/>
    </row>
    <row r="69" spans="2:14" x14ac:dyDescent="0.2">
      <c r="B69" s="69"/>
      <c r="C69" s="69"/>
      <c r="D69" s="69"/>
      <c r="E69" s="69"/>
      <c r="F69" s="69"/>
      <c r="G69" s="69"/>
      <c r="H69" s="69"/>
      <c r="I69" s="69"/>
      <c r="J69" s="69"/>
      <c r="K69" s="69"/>
      <c r="L69" s="69"/>
      <c r="M69" s="69"/>
      <c r="N69" s="69"/>
    </row>
    <row r="70" spans="2:14" x14ac:dyDescent="0.2">
      <c r="B70" s="69"/>
      <c r="C70" s="69"/>
      <c r="D70" s="69"/>
      <c r="E70" s="69"/>
      <c r="F70" s="69"/>
      <c r="G70" s="69"/>
      <c r="H70" s="69"/>
      <c r="I70" s="69"/>
      <c r="J70" s="69"/>
      <c r="K70" s="69"/>
    </row>
  </sheetData>
  <mergeCells count="8">
    <mergeCell ref="B5:Q5"/>
    <mergeCell ref="B6:Q6"/>
    <mergeCell ref="B64:N64"/>
    <mergeCell ref="B9:B10"/>
    <mergeCell ref="C9:I9"/>
    <mergeCell ref="L9:M9"/>
    <mergeCell ref="N9:R9"/>
    <mergeCell ref="B8:R8"/>
  </mergeCells>
  <hyperlinks>
    <hyperlink ref="S5" location="'Índice Pensiones Solidarias'!A1" display="Volver Sistema de Pensiones Solidadias" xr:uid="{00000000-0004-0000-0400-000000000000}"/>
  </hyperlinks>
  <pageMargins left="0.7" right="0.7" top="0.75" bottom="0.75" header="0.3" footer="0.3"/>
  <pageSetup orientation="portrait"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3"/>
  <dimension ref="A2:T30"/>
  <sheetViews>
    <sheetView showGridLines="0" topLeftCell="A4" zoomScale="90" zoomScaleNormal="90" workbookViewId="0">
      <selection activeCell="H22" sqref="H22"/>
    </sheetView>
  </sheetViews>
  <sheetFormatPr baseColWidth="10" defaultColWidth="11.42578125" defaultRowHeight="12" x14ac:dyDescent="0.2"/>
  <cols>
    <col min="1" max="1" width="6" style="25" customWidth="1"/>
    <col min="2" max="2" width="21.5703125" style="25" customWidth="1"/>
    <col min="3" max="8" width="11.42578125" style="25"/>
    <col min="9" max="10" width="11.42578125" style="176"/>
    <col min="11" max="16384" width="11.42578125" style="25"/>
  </cols>
  <sheetData>
    <row r="2" spans="1:20" s="106" customFormat="1" ht="12.75" x14ac:dyDescent="0.2">
      <c r="A2" s="47" t="s">
        <v>101</v>
      </c>
    </row>
    <row r="3" spans="1:20" s="106" customFormat="1" ht="12.75" x14ac:dyDescent="0.2">
      <c r="A3" s="47" t="s">
        <v>102</v>
      </c>
    </row>
    <row r="4" spans="1:20" s="106" customFormat="1" ht="12.75" x14ac:dyDescent="0.2"/>
    <row r="5" spans="1:20" s="106" customFormat="1" ht="12.75" x14ac:dyDescent="0.2">
      <c r="B5" s="369" t="s">
        <v>52</v>
      </c>
      <c r="C5" s="369"/>
      <c r="D5" s="369"/>
      <c r="E5" s="369"/>
      <c r="F5" s="369"/>
      <c r="G5" s="369"/>
      <c r="H5" s="369"/>
      <c r="I5" s="369"/>
      <c r="J5" s="369"/>
      <c r="K5" s="369"/>
      <c r="L5" s="369"/>
      <c r="M5" s="369"/>
      <c r="N5" s="369"/>
      <c r="O5" s="369"/>
      <c r="P5" s="369"/>
      <c r="Q5" s="369"/>
      <c r="R5" s="369"/>
      <c r="T5" s="121" t="s">
        <v>568</v>
      </c>
    </row>
    <row r="6" spans="1:20" s="106" customFormat="1" ht="12.75" x14ac:dyDescent="0.2">
      <c r="B6" s="385" t="s">
        <v>602</v>
      </c>
      <c r="C6" s="385"/>
      <c r="D6" s="385"/>
      <c r="E6" s="385"/>
      <c r="F6" s="385"/>
      <c r="G6" s="385"/>
      <c r="H6" s="385"/>
      <c r="I6" s="385"/>
      <c r="J6" s="385"/>
      <c r="K6" s="385"/>
      <c r="L6" s="385"/>
      <c r="M6" s="385"/>
      <c r="N6" s="385"/>
      <c r="O6" s="385"/>
      <c r="P6" s="385"/>
      <c r="Q6" s="385"/>
      <c r="R6" s="385"/>
    </row>
    <row r="7" spans="1:20" ht="12.75" thickBot="1" x14ac:dyDescent="0.25"/>
    <row r="8" spans="1:20" ht="15.75" customHeight="1" thickBot="1" x14ac:dyDescent="0.25">
      <c r="B8" s="372" t="s">
        <v>0</v>
      </c>
      <c r="C8" s="373"/>
      <c r="D8" s="373"/>
      <c r="E8" s="373"/>
      <c r="F8" s="373"/>
      <c r="G8" s="373"/>
      <c r="H8" s="373"/>
      <c r="I8" s="373"/>
      <c r="J8" s="373"/>
      <c r="K8" s="373"/>
      <c r="L8" s="373"/>
      <c r="M8" s="373"/>
      <c r="N8" s="373"/>
      <c r="O8" s="373"/>
      <c r="P8" s="373"/>
      <c r="Q8" s="373"/>
      <c r="R8" s="373"/>
      <c r="S8" s="374"/>
    </row>
    <row r="9" spans="1:20" ht="15.75" customHeight="1" thickBot="1" x14ac:dyDescent="0.25">
      <c r="B9" s="378" t="s">
        <v>33</v>
      </c>
      <c r="C9" s="372" t="s">
        <v>2</v>
      </c>
      <c r="D9" s="373"/>
      <c r="E9" s="373"/>
      <c r="F9" s="373"/>
      <c r="G9" s="373"/>
      <c r="H9" s="373"/>
      <c r="I9" s="374"/>
      <c r="J9" s="259"/>
      <c r="K9" s="372" t="s">
        <v>28</v>
      </c>
      <c r="L9" s="374"/>
      <c r="M9" s="386" t="s">
        <v>3</v>
      </c>
      <c r="N9" s="387"/>
      <c r="O9" s="372" t="s">
        <v>4</v>
      </c>
      <c r="P9" s="373"/>
      <c r="Q9" s="373"/>
      <c r="R9" s="373"/>
      <c r="S9" s="374"/>
    </row>
    <row r="10" spans="1:20" ht="24.75" thickBot="1" x14ac:dyDescent="0.25">
      <c r="B10" s="379"/>
      <c r="C10" s="196" t="s">
        <v>5</v>
      </c>
      <c r="D10" s="197" t="s">
        <v>6</v>
      </c>
      <c r="E10" s="198" t="s">
        <v>7</v>
      </c>
      <c r="F10" s="197" t="s">
        <v>8</v>
      </c>
      <c r="G10" s="197" t="s">
        <v>9</v>
      </c>
      <c r="H10" s="198" t="s">
        <v>10</v>
      </c>
      <c r="I10" s="199" t="s">
        <v>11</v>
      </c>
      <c r="J10" s="293" t="s">
        <v>584</v>
      </c>
      <c r="K10" s="264" t="s">
        <v>587</v>
      </c>
      <c r="L10" s="199" t="s">
        <v>588</v>
      </c>
      <c r="M10" s="199" t="s">
        <v>32</v>
      </c>
      <c r="N10" s="199" t="s">
        <v>13</v>
      </c>
      <c r="O10" s="199" t="s">
        <v>14</v>
      </c>
      <c r="P10" s="199" t="s">
        <v>15</v>
      </c>
      <c r="Q10" s="199" t="s">
        <v>16</v>
      </c>
      <c r="R10" s="199" t="s">
        <v>17</v>
      </c>
      <c r="S10" s="199" t="s">
        <v>586</v>
      </c>
    </row>
    <row r="11" spans="1:20" x14ac:dyDescent="0.2">
      <c r="B11" s="13" t="s">
        <v>34</v>
      </c>
      <c r="C11" s="211">
        <v>6332</v>
      </c>
      <c r="D11" s="212">
        <v>2944</v>
      </c>
      <c r="E11" s="212">
        <v>9276</v>
      </c>
      <c r="F11" s="212">
        <v>22732</v>
      </c>
      <c r="G11" s="212">
        <v>1260</v>
      </c>
      <c r="H11" s="212">
        <v>23992</v>
      </c>
      <c r="I11" s="213">
        <v>33268</v>
      </c>
      <c r="J11" s="294">
        <v>22</v>
      </c>
      <c r="K11" s="290">
        <v>33290</v>
      </c>
      <c r="L11" s="214">
        <v>1.233587066641864E-2</v>
      </c>
      <c r="M11" s="211">
        <v>19758</v>
      </c>
      <c r="N11" s="213">
        <v>13532</v>
      </c>
      <c r="O11" s="211">
        <v>19144</v>
      </c>
      <c r="P11" s="212">
        <v>6914</v>
      </c>
      <c r="Q11" s="212">
        <v>1098</v>
      </c>
      <c r="R11" s="212">
        <v>5172</v>
      </c>
      <c r="S11" s="215">
        <v>962</v>
      </c>
    </row>
    <row r="12" spans="1:20" x14ac:dyDescent="0.2">
      <c r="B12" s="13" t="s">
        <v>35</v>
      </c>
      <c r="C12" s="216">
        <v>6544</v>
      </c>
      <c r="D12" s="217">
        <v>4917</v>
      </c>
      <c r="E12" s="217">
        <v>11461</v>
      </c>
      <c r="F12" s="217">
        <v>24801</v>
      </c>
      <c r="G12" s="217">
        <v>2060</v>
      </c>
      <c r="H12" s="217">
        <v>26861</v>
      </c>
      <c r="I12" s="218">
        <v>38322</v>
      </c>
      <c r="J12" s="295">
        <v>17</v>
      </c>
      <c r="K12" s="291">
        <v>38339</v>
      </c>
      <c r="L12" s="219">
        <v>1.4206817226789554E-2</v>
      </c>
      <c r="M12" s="216">
        <v>23413</v>
      </c>
      <c r="N12" s="218">
        <v>14926</v>
      </c>
      <c r="O12" s="216">
        <v>21769</v>
      </c>
      <c r="P12" s="217">
        <v>6164</v>
      </c>
      <c r="Q12" s="217">
        <v>1476</v>
      </c>
      <c r="R12" s="217">
        <v>7532</v>
      </c>
      <c r="S12" s="220">
        <v>1398</v>
      </c>
    </row>
    <row r="13" spans="1:20" x14ac:dyDescent="0.2">
      <c r="B13" s="13" t="s">
        <v>36</v>
      </c>
      <c r="C13" s="216">
        <v>12836</v>
      </c>
      <c r="D13" s="217">
        <v>6278</v>
      </c>
      <c r="E13" s="217">
        <v>19114</v>
      </c>
      <c r="F13" s="217">
        <v>42364</v>
      </c>
      <c r="G13" s="217">
        <v>2342</v>
      </c>
      <c r="H13" s="217">
        <v>44706</v>
      </c>
      <c r="I13" s="218">
        <v>63820</v>
      </c>
      <c r="J13" s="295">
        <v>36</v>
      </c>
      <c r="K13" s="291">
        <v>63856</v>
      </c>
      <c r="L13" s="219">
        <v>2.3662341762536156E-2</v>
      </c>
      <c r="M13" s="216">
        <v>41662</v>
      </c>
      <c r="N13" s="218">
        <v>22194</v>
      </c>
      <c r="O13" s="216">
        <v>43593</v>
      </c>
      <c r="P13" s="217">
        <v>9894</v>
      </c>
      <c r="Q13" s="217">
        <v>944</v>
      </c>
      <c r="R13" s="217">
        <v>7194</v>
      </c>
      <c r="S13" s="220">
        <v>2231</v>
      </c>
    </row>
    <row r="14" spans="1:20" x14ac:dyDescent="0.2">
      <c r="B14" s="13" t="s">
        <v>37</v>
      </c>
      <c r="C14" s="216">
        <v>8205</v>
      </c>
      <c r="D14" s="217">
        <v>4214</v>
      </c>
      <c r="E14" s="217">
        <v>12419</v>
      </c>
      <c r="F14" s="217">
        <v>27338</v>
      </c>
      <c r="G14" s="217">
        <v>1538</v>
      </c>
      <c r="H14" s="217">
        <v>28876</v>
      </c>
      <c r="I14" s="218">
        <v>41295</v>
      </c>
      <c r="J14" s="295">
        <v>31</v>
      </c>
      <c r="K14" s="291">
        <v>41326</v>
      </c>
      <c r="L14" s="219">
        <v>1.531367351037599E-2</v>
      </c>
      <c r="M14" s="216">
        <v>25265</v>
      </c>
      <c r="N14" s="218">
        <v>16061</v>
      </c>
      <c r="O14" s="216">
        <v>24473</v>
      </c>
      <c r="P14" s="217">
        <v>7765</v>
      </c>
      <c r="Q14" s="217">
        <v>1192</v>
      </c>
      <c r="R14" s="217">
        <v>6846</v>
      </c>
      <c r="S14" s="220">
        <v>1050</v>
      </c>
    </row>
    <row r="15" spans="1:20" x14ac:dyDescent="0.2">
      <c r="B15" s="13" t="s">
        <v>38</v>
      </c>
      <c r="C15" s="216">
        <v>24051</v>
      </c>
      <c r="D15" s="217">
        <v>11581</v>
      </c>
      <c r="E15" s="217">
        <v>35632</v>
      </c>
      <c r="F15" s="217">
        <v>80724</v>
      </c>
      <c r="G15" s="217">
        <v>4462</v>
      </c>
      <c r="H15" s="217">
        <v>85186</v>
      </c>
      <c r="I15" s="218">
        <v>120818</v>
      </c>
      <c r="J15" s="295">
        <v>65</v>
      </c>
      <c r="K15" s="291">
        <v>120883</v>
      </c>
      <c r="L15" s="219">
        <v>4.4794144000260876E-2</v>
      </c>
      <c r="M15" s="216">
        <v>73986</v>
      </c>
      <c r="N15" s="218">
        <v>46897</v>
      </c>
      <c r="O15" s="216">
        <v>86403</v>
      </c>
      <c r="P15" s="217">
        <v>18261</v>
      </c>
      <c r="Q15" s="217">
        <v>1903</v>
      </c>
      <c r="R15" s="217">
        <v>11159</v>
      </c>
      <c r="S15" s="220">
        <v>3155</v>
      </c>
    </row>
    <row r="16" spans="1:20" x14ac:dyDescent="0.2">
      <c r="B16" s="13" t="s">
        <v>39</v>
      </c>
      <c r="C16" s="216">
        <v>58556</v>
      </c>
      <c r="D16" s="217">
        <v>29625</v>
      </c>
      <c r="E16" s="217">
        <v>88181</v>
      </c>
      <c r="F16" s="217">
        <v>218279</v>
      </c>
      <c r="G16" s="217">
        <v>13326</v>
      </c>
      <c r="H16" s="217">
        <v>231605</v>
      </c>
      <c r="I16" s="218">
        <v>319786</v>
      </c>
      <c r="J16" s="295">
        <v>117</v>
      </c>
      <c r="K16" s="291">
        <v>319903</v>
      </c>
      <c r="L16" s="219">
        <v>0.11854256635023497</v>
      </c>
      <c r="M16" s="216">
        <v>200070</v>
      </c>
      <c r="N16" s="218">
        <v>119833</v>
      </c>
      <c r="O16" s="216">
        <v>196112</v>
      </c>
      <c r="P16" s="217">
        <v>62875</v>
      </c>
      <c r="Q16" s="217">
        <v>7789</v>
      </c>
      <c r="R16" s="217">
        <v>42754</v>
      </c>
      <c r="S16" s="220">
        <v>10373</v>
      </c>
    </row>
    <row r="17" spans="2:19" x14ac:dyDescent="0.2">
      <c r="B17" s="13" t="s">
        <v>40</v>
      </c>
      <c r="C17" s="216">
        <v>27998</v>
      </c>
      <c r="D17" s="217">
        <v>17394</v>
      </c>
      <c r="E17" s="217">
        <v>45392</v>
      </c>
      <c r="F17" s="217">
        <v>102359</v>
      </c>
      <c r="G17" s="217">
        <v>7543</v>
      </c>
      <c r="H17" s="217">
        <v>109902</v>
      </c>
      <c r="I17" s="218">
        <v>155294</v>
      </c>
      <c r="J17" s="295">
        <v>34</v>
      </c>
      <c r="K17" s="291">
        <v>155328</v>
      </c>
      <c r="L17" s="219">
        <v>5.7558008977875476E-2</v>
      </c>
      <c r="M17" s="216">
        <v>92828</v>
      </c>
      <c r="N17" s="218">
        <v>62500</v>
      </c>
      <c r="O17" s="216">
        <v>88347</v>
      </c>
      <c r="P17" s="217">
        <v>25511</v>
      </c>
      <c r="Q17" s="217">
        <v>3906</v>
      </c>
      <c r="R17" s="217">
        <v>33987</v>
      </c>
      <c r="S17" s="220">
        <v>3577</v>
      </c>
    </row>
    <row r="18" spans="2:19" x14ac:dyDescent="0.2">
      <c r="B18" s="13" t="s">
        <v>41</v>
      </c>
      <c r="C18" s="216">
        <v>38101</v>
      </c>
      <c r="D18" s="217">
        <v>22635</v>
      </c>
      <c r="E18" s="217">
        <v>60736</v>
      </c>
      <c r="F18" s="217">
        <v>119508</v>
      </c>
      <c r="G18" s="217">
        <v>8269</v>
      </c>
      <c r="H18" s="217">
        <v>127777</v>
      </c>
      <c r="I18" s="218">
        <v>188513</v>
      </c>
      <c r="J18" s="295">
        <v>50</v>
      </c>
      <c r="K18" s="291">
        <v>188563</v>
      </c>
      <c r="L18" s="219">
        <v>6.9873498962808589E-2</v>
      </c>
      <c r="M18" s="216">
        <v>109683</v>
      </c>
      <c r="N18" s="218">
        <v>78880</v>
      </c>
      <c r="O18" s="216">
        <v>110054</v>
      </c>
      <c r="P18" s="217">
        <v>36165</v>
      </c>
      <c r="Q18" s="217">
        <v>5148</v>
      </c>
      <c r="R18" s="217">
        <v>33370</v>
      </c>
      <c r="S18" s="220">
        <v>3825</v>
      </c>
    </row>
    <row r="19" spans="2:19" x14ac:dyDescent="0.2">
      <c r="B19" s="13" t="s">
        <v>578</v>
      </c>
      <c r="C19" s="216">
        <v>19864</v>
      </c>
      <c r="D19" s="217">
        <v>23935</v>
      </c>
      <c r="E19" s="217">
        <v>43799</v>
      </c>
      <c r="F19" s="217">
        <v>54822</v>
      </c>
      <c r="G19" s="217">
        <v>6187</v>
      </c>
      <c r="H19" s="217">
        <v>61009</v>
      </c>
      <c r="I19" s="218">
        <v>104808</v>
      </c>
      <c r="J19" s="295">
        <v>32</v>
      </c>
      <c r="K19" s="291">
        <v>104840</v>
      </c>
      <c r="L19" s="219">
        <v>3.8849284489856722E-2</v>
      </c>
      <c r="M19" s="216">
        <v>63846</v>
      </c>
      <c r="N19" s="218">
        <v>40994</v>
      </c>
      <c r="O19" s="216">
        <v>60697</v>
      </c>
      <c r="P19" s="217">
        <v>17423</v>
      </c>
      <c r="Q19" s="217">
        <v>2093</v>
      </c>
      <c r="R19" s="217">
        <v>24627</v>
      </c>
      <c r="S19" s="220">
        <v>0</v>
      </c>
    </row>
    <row r="20" spans="2:19" x14ac:dyDescent="0.2">
      <c r="B20" s="13" t="s">
        <v>42</v>
      </c>
      <c r="C20" s="216">
        <v>51960</v>
      </c>
      <c r="D20" s="217">
        <v>38734</v>
      </c>
      <c r="E20" s="217">
        <v>90694</v>
      </c>
      <c r="F20" s="217">
        <v>165167</v>
      </c>
      <c r="G20" s="217">
        <v>11072</v>
      </c>
      <c r="H20" s="217">
        <v>176239</v>
      </c>
      <c r="I20" s="218">
        <v>266933</v>
      </c>
      <c r="J20" s="295">
        <v>89</v>
      </c>
      <c r="K20" s="291">
        <v>267022</v>
      </c>
      <c r="L20" s="219">
        <v>9.8947096938673415E-2</v>
      </c>
      <c r="M20" s="216">
        <v>166849</v>
      </c>
      <c r="N20" s="218">
        <v>100173</v>
      </c>
      <c r="O20" s="216">
        <v>157538</v>
      </c>
      <c r="P20" s="217">
        <v>43599</v>
      </c>
      <c r="Q20" s="217">
        <v>8491</v>
      </c>
      <c r="R20" s="217">
        <v>57394</v>
      </c>
      <c r="S20" s="220">
        <v>0</v>
      </c>
    </row>
    <row r="21" spans="2:19" x14ac:dyDescent="0.2">
      <c r="B21" s="13" t="s">
        <v>43</v>
      </c>
      <c r="C21" s="216">
        <v>41520</v>
      </c>
      <c r="D21" s="217">
        <v>26753</v>
      </c>
      <c r="E21" s="217">
        <v>68273</v>
      </c>
      <c r="F21" s="217">
        <v>93514</v>
      </c>
      <c r="G21" s="217">
        <v>6734</v>
      </c>
      <c r="H21" s="217">
        <v>100248</v>
      </c>
      <c r="I21" s="218">
        <v>168521</v>
      </c>
      <c r="J21" s="295">
        <v>40</v>
      </c>
      <c r="K21" s="291">
        <v>168561</v>
      </c>
      <c r="L21" s="219">
        <v>6.2461600943292048E-2</v>
      </c>
      <c r="M21" s="216">
        <v>101475</v>
      </c>
      <c r="N21" s="218">
        <v>67086</v>
      </c>
      <c r="O21" s="216">
        <v>108561</v>
      </c>
      <c r="P21" s="217">
        <v>28746</v>
      </c>
      <c r="Q21" s="217">
        <v>4427</v>
      </c>
      <c r="R21" s="217">
        <v>23235</v>
      </c>
      <c r="S21" s="220">
        <v>3592</v>
      </c>
    </row>
    <row r="22" spans="2:19" x14ac:dyDescent="0.2">
      <c r="B22" s="13" t="s">
        <v>44</v>
      </c>
      <c r="C22" s="216">
        <v>14590</v>
      </c>
      <c r="D22" s="217">
        <v>10102</v>
      </c>
      <c r="E22" s="217">
        <v>24692</v>
      </c>
      <c r="F22" s="217">
        <v>42275</v>
      </c>
      <c r="G22" s="217">
        <v>4195</v>
      </c>
      <c r="H22" s="217">
        <v>46470</v>
      </c>
      <c r="I22" s="218">
        <v>71162</v>
      </c>
      <c r="J22" s="295">
        <v>28</v>
      </c>
      <c r="K22" s="291">
        <v>71190</v>
      </c>
      <c r="L22" s="219">
        <v>2.638001299916921E-2</v>
      </c>
      <c r="M22" s="216">
        <v>42847</v>
      </c>
      <c r="N22" s="218">
        <v>28343</v>
      </c>
      <c r="O22" s="216">
        <v>48970</v>
      </c>
      <c r="P22" s="217">
        <v>13786</v>
      </c>
      <c r="Q22" s="217">
        <v>2209</v>
      </c>
      <c r="R22" s="217">
        <v>4727</v>
      </c>
      <c r="S22" s="220">
        <v>1496</v>
      </c>
    </row>
    <row r="23" spans="2:19" x14ac:dyDescent="0.2">
      <c r="B23" s="13" t="s">
        <v>45</v>
      </c>
      <c r="C23" s="216">
        <v>29263</v>
      </c>
      <c r="D23" s="217">
        <v>18772</v>
      </c>
      <c r="E23" s="217">
        <v>48035</v>
      </c>
      <c r="F23" s="217">
        <v>74647</v>
      </c>
      <c r="G23" s="217">
        <v>6894</v>
      </c>
      <c r="H23" s="217">
        <v>81541</v>
      </c>
      <c r="I23" s="218">
        <v>129576</v>
      </c>
      <c r="J23" s="295">
        <v>30</v>
      </c>
      <c r="K23" s="291">
        <v>129606</v>
      </c>
      <c r="L23" s="219">
        <v>4.8026520083864654E-2</v>
      </c>
      <c r="M23" s="216">
        <v>76050</v>
      </c>
      <c r="N23" s="218">
        <v>53556</v>
      </c>
      <c r="O23" s="216">
        <v>82585</v>
      </c>
      <c r="P23" s="217">
        <v>28110</v>
      </c>
      <c r="Q23" s="217">
        <v>4152</v>
      </c>
      <c r="R23" s="217">
        <v>12043</v>
      </c>
      <c r="S23" s="220">
        <v>2716</v>
      </c>
    </row>
    <row r="24" spans="2:19" x14ac:dyDescent="0.2">
      <c r="B24" s="13" t="s">
        <v>46</v>
      </c>
      <c r="C24" s="216">
        <v>2808</v>
      </c>
      <c r="D24" s="217">
        <v>1534</v>
      </c>
      <c r="E24" s="217">
        <v>4342</v>
      </c>
      <c r="F24" s="217">
        <v>8805</v>
      </c>
      <c r="G24" s="217">
        <v>707</v>
      </c>
      <c r="H24" s="217">
        <v>9512</v>
      </c>
      <c r="I24" s="218">
        <v>13854</v>
      </c>
      <c r="J24" s="295">
        <v>5</v>
      </c>
      <c r="K24" s="291">
        <v>13859</v>
      </c>
      <c r="L24" s="219">
        <v>5.1355611765063359E-3</v>
      </c>
      <c r="M24" s="216">
        <v>7603</v>
      </c>
      <c r="N24" s="218">
        <v>6256</v>
      </c>
      <c r="O24" s="216">
        <v>9850</v>
      </c>
      <c r="P24" s="217">
        <v>2699</v>
      </c>
      <c r="Q24" s="217">
        <v>233</v>
      </c>
      <c r="R24" s="217">
        <v>794</v>
      </c>
      <c r="S24" s="220">
        <v>283</v>
      </c>
    </row>
    <row r="25" spans="2:19" x14ac:dyDescent="0.2">
      <c r="B25" s="13" t="s">
        <v>47</v>
      </c>
      <c r="C25" s="216">
        <v>4568</v>
      </c>
      <c r="D25" s="217">
        <v>1928</v>
      </c>
      <c r="E25" s="217">
        <v>6496</v>
      </c>
      <c r="F25" s="217">
        <v>17314</v>
      </c>
      <c r="G25" s="217">
        <v>948</v>
      </c>
      <c r="H25" s="217">
        <v>18262</v>
      </c>
      <c r="I25" s="218">
        <v>24758</v>
      </c>
      <c r="J25" s="295">
        <v>10</v>
      </c>
      <c r="K25" s="291">
        <v>24768</v>
      </c>
      <c r="L25" s="219">
        <v>9.1779767096983149E-3</v>
      </c>
      <c r="M25" s="216">
        <v>15222</v>
      </c>
      <c r="N25" s="218">
        <v>9546</v>
      </c>
      <c r="O25" s="216">
        <v>18595</v>
      </c>
      <c r="P25" s="217">
        <v>4367</v>
      </c>
      <c r="Q25" s="217">
        <v>1040</v>
      </c>
      <c r="R25" s="217">
        <v>69</v>
      </c>
      <c r="S25" s="220">
        <v>697</v>
      </c>
    </row>
    <row r="26" spans="2:19" x14ac:dyDescent="0.2">
      <c r="B26" s="13" t="s">
        <v>48</v>
      </c>
      <c r="C26" s="216">
        <v>186131</v>
      </c>
      <c r="D26" s="217">
        <v>82233</v>
      </c>
      <c r="E26" s="217">
        <v>268364</v>
      </c>
      <c r="F26" s="217">
        <v>655722</v>
      </c>
      <c r="G26" s="217">
        <v>32867</v>
      </c>
      <c r="H26" s="217">
        <v>688589</v>
      </c>
      <c r="I26" s="218">
        <v>956953</v>
      </c>
      <c r="J26" s="295">
        <v>347</v>
      </c>
      <c r="K26" s="291">
        <v>957300</v>
      </c>
      <c r="L26" s="219">
        <v>0.35473502520163908</v>
      </c>
      <c r="M26" s="216">
        <v>610052</v>
      </c>
      <c r="N26" s="218">
        <v>347248</v>
      </c>
      <c r="O26" s="216">
        <v>539766</v>
      </c>
      <c r="P26" s="217">
        <v>161610</v>
      </c>
      <c r="Q26" s="217">
        <v>31525</v>
      </c>
      <c r="R26" s="217">
        <v>179311</v>
      </c>
      <c r="S26" s="220">
        <v>45088</v>
      </c>
    </row>
    <row r="27" spans="2:19" ht="12.75" thickBot="1" x14ac:dyDescent="0.25">
      <c r="B27" s="14" t="s">
        <v>49</v>
      </c>
      <c r="C27" s="221">
        <v>533327</v>
      </c>
      <c r="D27" s="222">
        <v>303579</v>
      </c>
      <c r="E27" s="222">
        <v>836906</v>
      </c>
      <c r="F27" s="222">
        <v>1750371</v>
      </c>
      <c r="G27" s="222">
        <v>110404</v>
      </c>
      <c r="H27" s="222">
        <v>1860775</v>
      </c>
      <c r="I27" s="223">
        <v>2697681</v>
      </c>
      <c r="J27" s="296">
        <v>953</v>
      </c>
      <c r="K27" s="292">
        <v>2698634</v>
      </c>
      <c r="L27" s="224">
        <v>1</v>
      </c>
      <c r="M27" s="221">
        <v>1670609</v>
      </c>
      <c r="N27" s="223">
        <v>1028025</v>
      </c>
      <c r="O27" s="221">
        <v>1616457</v>
      </c>
      <c r="P27" s="222">
        <v>473889</v>
      </c>
      <c r="Q27" s="222">
        <v>77626</v>
      </c>
      <c r="R27" s="222">
        <v>450214</v>
      </c>
      <c r="S27" s="225">
        <v>80443</v>
      </c>
    </row>
    <row r="28" spans="2:19" ht="12.75" thickBot="1" x14ac:dyDescent="0.25">
      <c r="B28" s="15" t="s">
        <v>50</v>
      </c>
      <c r="C28" s="226">
        <f>+C27/$K$27</f>
        <v>0.19762850390234465</v>
      </c>
      <c r="D28" s="227">
        <f>+D27/$K$27</f>
        <v>0.11249358008533206</v>
      </c>
      <c r="E28" s="227"/>
      <c r="F28" s="227">
        <f>+F27/$K$27</f>
        <v>0.64861370604535484</v>
      </c>
      <c r="G28" s="227">
        <f>+G27/$K$27</f>
        <v>4.0911068340501157E-2</v>
      </c>
      <c r="H28" s="228"/>
      <c r="I28" s="265"/>
      <c r="J28" s="265"/>
      <c r="K28" s="383">
        <f>C28+D28+F28+G28</f>
        <v>0.99964685837353273</v>
      </c>
      <c r="L28" s="384"/>
      <c r="M28" s="229">
        <f t="shared" ref="M28:Q28" si="0">+M27/$K$27</f>
        <v>0.61905727119720566</v>
      </c>
      <c r="N28" s="230">
        <f t="shared" si="0"/>
        <v>0.38094272880279428</v>
      </c>
      <c r="O28" s="297">
        <f t="shared" si="0"/>
        <v>0.59899082276440596</v>
      </c>
      <c r="P28" s="298">
        <f t="shared" si="0"/>
        <v>0.17560328669986372</v>
      </c>
      <c r="Q28" s="298">
        <f t="shared" si="0"/>
        <v>2.8764923290820466E-2</v>
      </c>
      <c r="R28" s="298">
        <f>+R27/$K$27</f>
        <v>0.16683032971495951</v>
      </c>
      <c r="S28" s="299">
        <f>+S27/$K$27</f>
        <v>2.9808784740724383E-2</v>
      </c>
    </row>
    <row r="29" spans="2:19" x14ac:dyDescent="0.2">
      <c r="B29" s="25" t="s">
        <v>129</v>
      </c>
    </row>
    <row r="30" spans="2:19" x14ac:dyDescent="0.2">
      <c r="B30" s="25" t="s">
        <v>130</v>
      </c>
    </row>
  </sheetData>
  <mergeCells count="9">
    <mergeCell ref="K28:L28"/>
    <mergeCell ref="B9:B10"/>
    <mergeCell ref="B5:R5"/>
    <mergeCell ref="B6:R6"/>
    <mergeCell ref="K9:L9"/>
    <mergeCell ref="M9:N9"/>
    <mergeCell ref="O9:S9"/>
    <mergeCell ref="B8:S8"/>
    <mergeCell ref="C9:I9"/>
  </mergeCells>
  <hyperlinks>
    <hyperlink ref="T5" location="'Índice Pensiones Solidarias'!A1" display="Volver Sistema de Pensiones Solidadias" xr:uid="{00000000-0004-0000-0500-000000000000}"/>
  </hyperlinks>
  <pageMargins left="0.7" right="0.7" top="0.75" bottom="0.75" header="0.3" footer="0.3"/>
  <pageSetup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4"/>
  <dimension ref="A2:T30"/>
  <sheetViews>
    <sheetView showGridLines="0" zoomScale="90" zoomScaleNormal="90" workbookViewId="0">
      <selection activeCell="K27" sqref="K27"/>
    </sheetView>
  </sheetViews>
  <sheetFormatPr baseColWidth="10" defaultColWidth="11.42578125" defaultRowHeight="12" x14ac:dyDescent="0.2"/>
  <cols>
    <col min="1" max="1" width="6" style="25" customWidth="1"/>
    <col min="2" max="2" width="21.5703125" style="25" customWidth="1"/>
    <col min="3" max="8" width="11.42578125" style="25"/>
    <col min="9" max="10" width="11.42578125" style="176"/>
    <col min="11" max="16384" width="11.42578125" style="25"/>
  </cols>
  <sheetData>
    <row r="2" spans="1:20" s="106" customFormat="1" ht="12.75" x14ac:dyDescent="0.2">
      <c r="A2" s="47" t="s">
        <v>101</v>
      </c>
    </row>
    <row r="3" spans="1:20" s="106" customFormat="1" ht="12.75" x14ac:dyDescent="0.2">
      <c r="A3" s="47" t="s">
        <v>102</v>
      </c>
    </row>
    <row r="4" spans="1:20" s="106" customFormat="1" ht="12.75" x14ac:dyDescent="0.2"/>
    <row r="5" spans="1:20" s="106" customFormat="1" ht="12.75" x14ac:dyDescent="0.2">
      <c r="B5" s="388" t="s">
        <v>53</v>
      </c>
      <c r="C5" s="388"/>
      <c r="D5" s="388"/>
      <c r="E5" s="388"/>
      <c r="F5" s="388"/>
      <c r="G5" s="388"/>
      <c r="H5" s="388"/>
      <c r="I5" s="388"/>
      <c r="J5" s="388"/>
      <c r="K5" s="388"/>
      <c r="L5" s="388"/>
      <c r="M5" s="388"/>
      <c r="N5" s="388"/>
      <c r="O5" s="388"/>
      <c r="P5" s="388"/>
      <c r="Q5" s="388"/>
      <c r="R5" s="388"/>
      <c r="T5" s="121" t="s">
        <v>568</v>
      </c>
    </row>
    <row r="6" spans="1:20" s="106" customFormat="1" ht="12.75" x14ac:dyDescent="0.2">
      <c r="B6" s="385" t="str">
        <f>'Solicitudes Regiones'!B6:R6</f>
        <v>Acumuladas de julio de 2008 a diciembre de 2021</v>
      </c>
      <c r="C6" s="385"/>
      <c r="D6" s="385"/>
      <c r="E6" s="385"/>
      <c r="F6" s="385"/>
      <c r="G6" s="385"/>
      <c r="H6" s="385"/>
      <c r="I6" s="385"/>
      <c r="J6" s="385"/>
      <c r="K6" s="385"/>
      <c r="L6" s="385"/>
      <c r="M6" s="385"/>
      <c r="N6" s="385"/>
      <c r="O6" s="385"/>
      <c r="P6" s="385"/>
      <c r="Q6" s="385"/>
      <c r="R6" s="385"/>
    </row>
    <row r="7" spans="1:20" ht="12.75" thickBot="1" x14ac:dyDescent="0.25"/>
    <row r="8" spans="1:20" ht="15.75" customHeight="1" thickBot="1" x14ac:dyDescent="0.25">
      <c r="B8" s="372" t="s">
        <v>51</v>
      </c>
      <c r="C8" s="373"/>
      <c r="D8" s="373"/>
      <c r="E8" s="373"/>
      <c r="F8" s="373"/>
      <c r="G8" s="373"/>
      <c r="H8" s="373"/>
      <c r="I8" s="373"/>
      <c r="J8" s="373"/>
      <c r="K8" s="373"/>
      <c r="L8" s="373"/>
      <c r="M8" s="373"/>
      <c r="N8" s="373"/>
      <c r="O8" s="373"/>
      <c r="P8" s="373"/>
      <c r="Q8" s="373"/>
      <c r="R8" s="373"/>
      <c r="S8" s="374"/>
    </row>
    <row r="9" spans="1:20" ht="15.75" customHeight="1" thickBot="1" x14ac:dyDescent="0.25">
      <c r="B9" s="391" t="s">
        <v>33</v>
      </c>
      <c r="C9" s="372" t="s">
        <v>2</v>
      </c>
      <c r="D9" s="373"/>
      <c r="E9" s="373"/>
      <c r="F9" s="373"/>
      <c r="G9" s="373"/>
      <c r="H9" s="373"/>
      <c r="I9" s="374"/>
      <c r="J9" s="266"/>
      <c r="K9" s="393" t="s">
        <v>28</v>
      </c>
      <c r="L9" s="394"/>
      <c r="M9" s="395" t="s">
        <v>3</v>
      </c>
      <c r="N9" s="396"/>
      <c r="O9" s="372" t="s">
        <v>4</v>
      </c>
      <c r="P9" s="373"/>
      <c r="Q9" s="373"/>
      <c r="R9" s="373"/>
      <c r="S9" s="374"/>
    </row>
    <row r="10" spans="1:20" ht="24" x14ac:dyDescent="0.2">
      <c r="B10" s="392"/>
      <c r="C10" s="300" t="s">
        <v>5</v>
      </c>
      <c r="D10" s="301" t="s">
        <v>6</v>
      </c>
      <c r="E10" s="302" t="s">
        <v>7</v>
      </c>
      <c r="F10" s="301" t="s">
        <v>8</v>
      </c>
      <c r="G10" s="301" t="s">
        <v>9</v>
      </c>
      <c r="H10" s="302" t="s">
        <v>10</v>
      </c>
      <c r="I10" s="303" t="s">
        <v>11</v>
      </c>
      <c r="J10" s="293" t="s">
        <v>584</v>
      </c>
      <c r="K10" s="264" t="s">
        <v>587</v>
      </c>
      <c r="L10" s="199" t="s">
        <v>588</v>
      </c>
      <c r="M10" s="199" t="s">
        <v>32</v>
      </c>
      <c r="N10" s="199" t="s">
        <v>13</v>
      </c>
      <c r="O10" s="199" t="s">
        <v>14</v>
      </c>
      <c r="P10" s="199" t="s">
        <v>15</v>
      </c>
      <c r="Q10" s="199" t="s">
        <v>16</v>
      </c>
      <c r="R10" s="199" t="s">
        <v>17</v>
      </c>
      <c r="S10" s="199" t="s">
        <v>586</v>
      </c>
    </row>
    <row r="11" spans="1:20" x14ac:dyDescent="0.2">
      <c r="B11" s="17" t="s">
        <v>34</v>
      </c>
      <c r="C11" s="235">
        <v>5677</v>
      </c>
      <c r="D11" s="236">
        <v>2054</v>
      </c>
      <c r="E11" s="236">
        <v>7731</v>
      </c>
      <c r="F11" s="236">
        <v>19573</v>
      </c>
      <c r="G11" s="236">
        <v>1069</v>
      </c>
      <c r="H11" s="236">
        <v>20642</v>
      </c>
      <c r="I11" s="304">
        <v>28373</v>
      </c>
      <c r="J11" s="308">
        <v>0</v>
      </c>
      <c r="K11" s="306">
        <v>28373</v>
      </c>
      <c r="L11" s="234">
        <v>1.2725115879597342E-2</v>
      </c>
      <c r="M11" s="231">
        <v>16545</v>
      </c>
      <c r="N11" s="233">
        <v>11828</v>
      </c>
      <c r="O11" s="231">
        <v>16280</v>
      </c>
      <c r="P11" s="232">
        <v>5979</v>
      </c>
      <c r="Q11" s="232">
        <v>920</v>
      </c>
      <c r="R11" s="232">
        <v>4457</v>
      </c>
      <c r="S11" s="233">
        <v>737</v>
      </c>
    </row>
    <row r="12" spans="1:20" x14ac:dyDescent="0.2">
      <c r="B12" s="17" t="s">
        <v>35</v>
      </c>
      <c r="C12" s="235">
        <v>5518</v>
      </c>
      <c r="D12" s="236">
        <v>2920</v>
      </c>
      <c r="E12" s="236">
        <v>8438</v>
      </c>
      <c r="F12" s="236">
        <v>20167</v>
      </c>
      <c r="G12" s="236">
        <v>1645</v>
      </c>
      <c r="H12" s="236">
        <v>21812</v>
      </c>
      <c r="I12" s="304">
        <v>30250</v>
      </c>
      <c r="J12" s="309">
        <v>1</v>
      </c>
      <c r="K12" s="307">
        <v>30251</v>
      </c>
      <c r="L12" s="238">
        <v>1.356738732152748E-2</v>
      </c>
      <c r="M12" s="235">
        <v>17892</v>
      </c>
      <c r="N12" s="237">
        <v>12359</v>
      </c>
      <c r="O12" s="235">
        <v>17273</v>
      </c>
      <c r="P12" s="236">
        <v>5151</v>
      </c>
      <c r="Q12" s="236">
        <v>1181</v>
      </c>
      <c r="R12" s="236">
        <v>5621</v>
      </c>
      <c r="S12" s="237">
        <v>1025</v>
      </c>
    </row>
    <row r="13" spans="1:20" x14ac:dyDescent="0.2">
      <c r="B13" s="17" t="s">
        <v>36</v>
      </c>
      <c r="C13" s="235">
        <v>10281</v>
      </c>
      <c r="D13" s="236">
        <v>3797</v>
      </c>
      <c r="E13" s="236">
        <v>14078</v>
      </c>
      <c r="F13" s="236">
        <v>34090</v>
      </c>
      <c r="G13" s="236">
        <v>1894</v>
      </c>
      <c r="H13" s="236">
        <v>35984</v>
      </c>
      <c r="I13" s="304">
        <v>50062</v>
      </c>
      <c r="J13" s="309">
        <v>1</v>
      </c>
      <c r="K13" s="307">
        <v>50063</v>
      </c>
      <c r="L13" s="238">
        <v>2.2452947389429448E-2</v>
      </c>
      <c r="M13" s="235">
        <v>31608</v>
      </c>
      <c r="N13" s="237">
        <v>18455</v>
      </c>
      <c r="O13" s="235">
        <v>33852</v>
      </c>
      <c r="P13" s="236">
        <v>7934</v>
      </c>
      <c r="Q13" s="236">
        <v>781</v>
      </c>
      <c r="R13" s="236">
        <v>5881</v>
      </c>
      <c r="S13" s="237">
        <v>1615</v>
      </c>
    </row>
    <row r="14" spans="1:20" x14ac:dyDescent="0.2">
      <c r="B14" s="17" t="s">
        <v>37</v>
      </c>
      <c r="C14" s="235">
        <v>7025</v>
      </c>
      <c r="D14" s="236">
        <v>2652</v>
      </c>
      <c r="E14" s="236">
        <v>9677</v>
      </c>
      <c r="F14" s="236">
        <v>23169</v>
      </c>
      <c r="G14" s="236">
        <v>1263</v>
      </c>
      <c r="H14" s="236">
        <v>24432</v>
      </c>
      <c r="I14" s="304">
        <v>34109</v>
      </c>
      <c r="J14" s="309">
        <v>0</v>
      </c>
      <c r="K14" s="307">
        <v>34109</v>
      </c>
      <c r="L14" s="238">
        <v>1.5297676577633163E-2</v>
      </c>
      <c r="M14" s="235">
        <v>20194</v>
      </c>
      <c r="N14" s="237">
        <v>13915</v>
      </c>
      <c r="O14" s="235">
        <v>19882</v>
      </c>
      <c r="P14" s="236">
        <v>6694</v>
      </c>
      <c r="Q14" s="236">
        <v>930</v>
      </c>
      <c r="R14" s="236">
        <v>5788</v>
      </c>
      <c r="S14" s="237">
        <v>815</v>
      </c>
    </row>
    <row r="15" spans="1:20" x14ac:dyDescent="0.2">
      <c r="B15" s="17" t="s">
        <v>38</v>
      </c>
      <c r="C15" s="235">
        <v>20933</v>
      </c>
      <c r="D15" s="236">
        <v>7227</v>
      </c>
      <c r="E15" s="236">
        <v>28160</v>
      </c>
      <c r="F15" s="236">
        <v>68554</v>
      </c>
      <c r="G15" s="236">
        <v>3897</v>
      </c>
      <c r="H15" s="236">
        <v>72451</v>
      </c>
      <c r="I15" s="304">
        <v>100611</v>
      </c>
      <c r="J15" s="309">
        <v>4</v>
      </c>
      <c r="K15" s="307">
        <v>100615</v>
      </c>
      <c r="L15" s="238">
        <v>4.5125208269329524E-2</v>
      </c>
      <c r="M15" s="235">
        <v>59390</v>
      </c>
      <c r="N15" s="237">
        <v>41225</v>
      </c>
      <c r="O15" s="235">
        <v>71660</v>
      </c>
      <c r="P15" s="236">
        <v>15855</v>
      </c>
      <c r="Q15" s="236">
        <v>1486</v>
      </c>
      <c r="R15" s="236">
        <v>9056</v>
      </c>
      <c r="S15" s="237">
        <v>2558</v>
      </c>
    </row>
    <row r="16" spans="1:20" x14ac:dyDescent="0.2">
      <c r="B16" s="17" t="s">
        <v>39</v>
      </c>
      <c r="C16" s="235">
        <v>51226</v>
      </c>
      <c r="D16" s="236">
        <v>18893</v>
      </c>
      <c r="E16" s="236">
        <v>70119</v>
      </c>
      <c r="F16" s="236">
        <v>182607</v>
      </c>
      <c r="G16" s="236">
        <v>11158</v>
      </c>
      <c r="H16" s="236">
        <v>193765</v>
      </c>
      <c r="I16" s="304">
        <v>263884</v>
      </c>
      <c r="J16" s="309">
        <v>4</v>
      </c>
      <c r="K16" s="307">
        <v>263888</v>
      </c>
      <c r="L16" s="238">
        <v>0.11835214391270515</v>
      </c>
      <c r="M16" s="235">
        <v>160662</v>
      </c>
      <c r="N16" s="237">
        <v>103225</v>
      </c>
      <c r="O16" s="235">
        <v>159832</v>
      </c>
      <c r="P16" s="236">
        <v>53640</v>
      </c>
      <c r="Q16" s="236">
        <v>6302</v>
      </c>
      <c r="R16" s="236">
        <v>35788</v>
      </c>
      <c r="S16" s="237">
        <v>8326</v>
      </c>
    </row>
    <row r="17" spans="2:19" x14ac:dyDescent="0.2">
      <c r="B17" s="17" t="s">
        <v>40</v>
      </c>
      <c r="C17" s="235">
        <v>24283</v>
      </c>
      <c r="D17" s="236">
        <v>9148</v>
      </c>
      <c r="E17" s="236">
        <v>33431</v>
      </c>
      <c r="F17" s="236">
        <v>87625</v>
      </c>
      <c r="G17" s="236">
        <v>6335</v>
      </c>
      <c r="H17" s="236">
        <v>93960</v>
      </c>
      <c r="I17" s="304">
        <v>127391</v>
      </c>
      <c r="J17" s="309">
        <v>1</v>
      </c>
      <c r="K17" s="307">
        <v>127392</v>
      </c>
      <c r="L17" s="238">
        <v>5.7134527971439912E-2</v>
      </c>
      <c r="M17" s="235">
        <v>72891</v>
      </c>
      <c r="N17" s="237">
        <v>54501</v>
      </c>
      <c r="O17" s="235">
        <v>72203</v>
      </c>
      <c r="P17" s="236">
        <v>22184</v>
      </c>
      <c r="Q17" s="236">
        <v>3239</v>
      </c>
      <c r="R17" s="236">
        <v>26961</v>
      </c>
      <c r="S17" s="237">
        <v>2805</v>
      </c>
    </row>
    <row r="18" spans="2:19" x14ac:dyDescent="0.2">
      <c r="B18" s="17" t="s">
        <v>41</v>
      </c>
      <c r="C18" s="235">
        <v>34382</v>
      </c>
      <c r="D18" s="236">
        <v>12432</v>
      </c>
      <c r="E18" s="236">
        <v>46814</v>
      </c>
      <c r="F18" s="236">
        <v>104584</v>
      </c>
      <c r="G18" s="236">
        <v>6875</v>
      </c>
      <c r="H18" s="236">
        <v>111459</v>
      </c>
      <c r="I18" s="304">
        <v>158273</v>
      </c>
      <c r="J18" s="309">
        <v>2</v>
      </c>
      <c r="K18" s="307">
        <v>158275</v>
      </c>
      <c r="L18" s="238">
        <v>7.0985363403350696E-2</v>
      </c>
      <c r="M18" s="235">
        <v>88937</v>
      </c>
      <c r="N18" s="237">
        <v>69338</v>
      </c>
      <c r="O18" s="235">
        <v>92388</v>
      </c>
      <c r="P18" s="236">
        <v>32245</v>
      </c>
      <c r="Q18" s="236">
        <v>4254</v>
      </c>
      <c r="R18" s="236">
        <v>26274</v>
      </c>
      <c r="S18" s="237">
        <v>3114</v>
      </c>
    </row>
    <row r="19" spans="2:19" x14ac:dyDescent="0.2">
      <c r="B19" s="17" t="s">
        <v>578</v>
      </c>
      <c r="C19" s="235">
        <v>18091</v>
      </c>
      <c r="D19" s="236">
        <v>10523</v>
      </c>
      <c r="E19" s="236">
        <v>28614</v>
      </c>
      <c r="F19" s="236">
        <v>48136</v>
      </c>
      <c r="G19" s="236">
        <v>5387</v>
      </c>
      <c r="H19" s="236">
        <v>53523</v>
      </c>
      <c r="I19" s="304">
        <v>82137</v>
      </c>
      <c r="J19" s="309">
        <v>0</v>
      </c>
      <c r="K19" s="307">
        <v>82137</v>
      </c>
      <c r="L19" s="238">
        <v>3.6837938991382192E-2</v>
      </c>
      <c r="M19" s="235">
        <v>46784</v>
      </c>
      <c r="N19" s="237">
        <v>35353</v>
      </c>
      <c r="O19" s="235">
        <v>48470</v>
      </c>
      <c r="P19" s="236">
        <v>15658</v>
      </c>
      <c r="Q19" s="236">
        <v>1792</v>
      </c>
      <c r="R19" s="236">
        <v>16217</v>
      </c>
      <c r="S19" s="237">
        <v>0</v>
      </c>
    </row>
    <row r="20" spans="2:19" x14ac:dyDescent="0.2">
      <c r="B20" s="17" t="s">
        <v>42</v>
      </c>
      <c r="C20" s="235">
        <v>45607</v>
      </c>
      <c r="D20" s="236">
        <v>19268</v>
      </c>
      <c r="E20" s="236">
        <v>64875</v>
      </c>
      <c r="F20" s="236">
        <v>139929</v>
      </c>
      <c r="G20" s="236">
        <v>9279</v>
      </c>
      <c r="H20" s="236">
        <v>149208</v>
      </c>
      <c r="I20" s="304">
        <v>214083</v>
      </c>
      <c r="J20" s="309">
        <v>3</v>
      </c>
      <c r="K20" s="307">
        <v>214086</v>
      </c>
      <c r="L20" s="238">
        <v>9.6016253416962488E-2</v>
      </c>
      <c r="M20" s="235">
        <v>127178</v>
      </c>
      <c r="N20" s="237">
        <v>86908</v>
      </c>
      <c r="O20" s="235">
        <v>127366</v>
      </c>
      <c r="P20" s="236">
        <v>37123</v>
      </c>
      <c r="Q20" s="236">
        <v>6847</v>
      </c>
      <c r="R20" s="236">
        <v>42750</v>
      </c>
      <c r="S20" s="237">
        <v>0</v>
      </c>
    </row>
    <row r="21" spans="2:19" x14ac:dyDescent="0.2">
      <c r="B21" s="17" t="s">
        <v>43</v>
      </c>
      <c r="C21" s="235">
        <v>38003</v>
      </c>
      <c r="D21" s="236">
        <v>12680</v>
      </c>
      <c r="E21" s="236">
        <v>50683</v>
      </c>
      <c r="F21" s="236">
        <v>80830</v>
      </c>
      <c r="G21" s="236">
        <v>5727</v>
      </c>
      <c r="H21" s="236">
        <v>86557</v>
      </c>
      <c r="I21" s="304">
        <v>137240</v>
      </c>
      <c r="J21" s="309">
        <v>2</v>
      </c>
      <c r="K21" s="307">
        <v>137242</v>
      </c>
      <c r="L21" s="238">
        <v>6.1552192350040474E-2</v>
      </c>
      <c r="M21" s="235">
        <v>78699</v>
      </c>
      <c r="N21" s="237">
        <v>58543</v>
      </c>
      <c r="O21" s="235">
        <v>87903</v>
      </c>
      <c r="P21" s="236">
        <v>25439</v>
      </c>
      <c r="Q21" s="236">
        <v>3483</v>
      </c>
      <c r="R21" s="236">
        <v>17633</v>
      </c>
      <c r="S21" s="237">
        <v>2784</v>
      </c>
    </row>
    <row r="22" spans="2:19" x14ac:dyDescent="0.2">
      <c r="B22" s="17" t="s">
        <v>44</v>
      </c>
      <c r="C22" s="235">
        <v>13379</v>
      </c>
      <c r="D22" s="236">
        <v>6838</v>
      </c>
      <c r="E22" s="236">
        <v>20217</v>
      </c>
      <c r="F22" s="236">
        <v>36425</v>
      </c>
      <c r="G22" s="236">
        <v>3650</v>
      </c>
      <c r="H22" s="236">
        <v>40075</v>
      </c>
      <c r="I22" s="304">
        <v>60292</v>
      </c>
      <c r="J22" s="309">
        <v>1</v>
      </c>
      <c r="K22" s="307">
        <v>60293</v>
      </c>
      <c r="L22" s="238">
        <v>2.704103942933643E-2</v>
      </c>
      <c r="M22" s="235">
        <v>35184</v>
      </c>
      <c r="N22" s="237">
        <v>25109</v>
      </c>
      <c r="O22" s="235">
        <v>41178</v>
      </c>
      <c r="P22" s="236">
        <v>12139</v>
      </c>
      <c r="Q22" s="236">
        <v>1807</v>
      </c>
      <c r="R22" s="236">
        <v>3960</v>
      </c>
      <c r="S22" s="237">
        <v>1209</v>
      </c>
    </row>
    <row r="23" spans="2:19" x14ac:dyDescent="0.2">
      <c r="B23" s="17" t="s">
        <v>45</v>
      </c>
      <c r="C23" s="235">
        <v>26919</v>
      </c>
      <c r="D23" s="236">
        <v>10761</v>
      </c>
      <c r="E23" s="236">
        <v>37680</v>
      </c>
      <c r="F23" s="236">
        <v>65202</v>
      </c>
      <c r="G23" s="236">
        <v>5859</v>
      </c>
      <c r="H23" s="236">
        <v>71061</v>
      </c>
      <c r="I23" s="304">
        <v>108741</v>
      </c>
      <c r="J23" s="309">
        <v>1</v>
      </c>
      <c r="K23" s="307">
        <v>108742</v>
      </c>
      <c r="L23" s="238">
        <v>4.8770117752059146E-2</v>
      </c>
      <c r="M23" s="235">
        <v>61975</v>
      </c>
      <c r="N23" s="237">
        <v>46767</v>
      </c>
      <c r="O23" s="235">
        <v>67886</v>
      </c>
      <c r="P23" s="236">
        <v>25080</v>
      </c>
      <c r="Q23" s="236">
        <v>3465</v>
      </c>
      <c r="R23" s="236">
        <v>10166</v>
      </c>
      <c r="S23" s="237">
        <v>2145</v>
      </c>
    </row>
    <row r="24" spans="2:19" x14ac:dyDescent="0.2">
      <c r="B24" s="17" t="s">
        <v>46</v>
      </c>
      <c r="C24" s="235">
        <v>2484</v>
      </c>
      <c r="D24" s="236">
        <v>751</v>
      </c>
      <c r="E24" s="236">
        <v>3235</v>
      </c>
      <c r="F24" s="236">
        <v>7295</v>
      </c>
      <c r="G24" s="236">
        <v>575</v>
      </c>
      <c r="H24" s="236">
        <v>7870</v>
      </c>
      <c r="I24" s="304">
        <v>11105</v>
      </c>
      <c r="J24" s="309">
        <v>0</v>
      </c>
      <c r="K24" s="307">
        <v>11105</v>
      </c>
      <c r="L24" s="238">
        <v>4.980524154757286E-3</v>
      </c>
      <c r="M24" s="235">
        <v>5809</v>
      </c>
      <c r="N24" s="237">
        <v>5296</v>
      </c>
      <c r="O24" s="235">
        <v>7823</v>
      </c>
      <c r="P24" s="236">
        <v>2240</v>
      </c>
      <c r="Q24" s="236">
        <v>171</v>
      </c>
      <c r="R24" s="236">
        <v>655</v>
      </c>
      <c r="S24" s="237">
        <v>216</v>
      </c>
    </row>
    <row r="25" spans="2:19" x14ac:dyDescent="0.2">
      <c r="B25" s="17" t="s">
        <v>47</v>
      </c>
      <c r="C25" s="235">
        <v>4011</v>
      </c>
      <c r="D25" s="236">
        <v>1281</v>
      </c>
      <c r="E25" s="236">
        <v>5292</v>
      </c>
      <c r="F25" s="236">
        <v>14101</v>
      </c>
      <c r="G25" s="236">
        <v>788</v>
      </c>
      <c r="H25" s="236">
        <v>14889</v>
      </c>
      <c r="I25" s="304">
        <v>20181</v>
      </c>
      <c r="J25" s="309">
        <v>0</v>
      </c>
      <c r="K25" s="307">
        <v>20181</v>
      </c>
      <c r="L25" s="238">
        <v>9.0510542969074112E-3</v>
      </c>
      <c r="M25" s="235">
        <v>11987</v>
      </c>
      <c r="N25" s="237">
        <v>8194</v>
      </c>
      <c r="O25" s="235">
        <v>15142</v>
      </c>
      <c r="P25" s="236">
        <v>3581</v>
      </c>
      <c r="Q25" s="236">
        <v>854</v>
      </c>
      <c r="R25" s="236">
        <v>56</v>
      </c>
      <c r="S25" s="237">
        <v>548</v>
      </c>
    </row>
    <row r="26" spans="2:19" x14ac:dyDescent="0.2">
      <c r="B26" s="17" t="s">
        <v>48</v>
      </c>
      <c r="C26" s="235">
        <v>163994</v>
      </c>
      <c r="D26" s="236">
        <v>52224</v>
      </c>
      <c r="E26" s="236">
        <v>216218</v>
      </c>
      <c r="F26" s="236">
        <v>559235</v>
      </c>
      <c r="G26" s="236">
        <v>27466</v>
      </c>
      <c r="H26" s="236">
        <v>586701</v>
      </c>
      <c r="I26" s="304">
        <v>802919</v>
      </c>
      <c r="J26" s="309">
        <v>14</v>
      </c>
      <c r="K26" s="307">
        <v>802933</v>
      </c>
      <c r="L26" s="238">
        <v>0.36011050888354185</v>
      </c>
      <c r="M26" s="235">
        <v>501705</v>
      </c>
      <c r="N26" s="237">
        <v>301228</v>
      </c>
      <c r="O26" s="235">
        <v>450961</v>
      </c>
      <c r="P26" s="236">
        <v>138745</v>
      </c>
      <c r="Q26" s="236">
        <v>26069</v>
      </c>
      <c r="R26" s="236">
        <v>150208</v>
      </c>
      <c r="S26" s="237">
        <v>36950</v>
      </c>
    </row>
    <row r="27" spans="2:19" ht="12.75" thickBot="1" x14ac:dyDescent="0.25">
      <c r="B27" s="14" t="s">
        <v>49</v>
      </c>
      <c r="C27" s="221">
        <v>471813</v>
      </c>
      <c r="D27" s="222">
        <v>173449</v>
      </c>
      <c r="E27" s="222">
        <v>645262</v>
      </c>
      <c r="F27" s="222">
        <v>1491522</v>
      </c>
      <c r="G27" s="222">
        <v>92867</v>
      </c>
      <c r="H27" s="222">
        <v>1584389</v>
      </c>
      <c r="I27" s="305">
        <v>2229651</v>
      </c>
      <c r="J27" s="296">
        <v>34</v>
      </c>
      <c r="K27" s="292">
        <v>2229685</v>
      </c>
      <c r="L27" s="224">
        <v>1</v>
      </c>
      <c r="M27" s="221">
        <v>1337440</v>
      </c>
      <c r="N27" s="223">
        <v>892244</v>
      </c>
      <c r="O27" s="221">
        <v>1330099</v>
      </c>
      <c r="P27" s="222">
        <v>409687</v>
      </c>
      <c r="Q27" s="222">
        <v>63581</v>
      </c>
      <c r="R27" s="222">
        <v>361471</v>
      </c>
      <c r="S27" s="225">
        <v>64847</v>
      </c>
    </row>
    <row r="28" spans="2:19" ht="12.75" thickBot="1" x14ac:dyDescent="0.25">
      <c r="B28" s="15" t="s">
        <v>50</v>
      </c>
      <c r="C28" s="239">
        <f>+C27/$K$27</f>
        <v>0.21160522674727597</v>
      </c>
      <c r="D28" s="240">
        <f>+D27/$K$27</f>
        <v>7.7790809015623283E-2</v>
      </c>
      <c r="E28" s="240"/>
      <c r="F28" s="240">
        <f>+F27/$K$27</f>
        <v>0.66893843749229154</v>
      </c>
      <c r="G28" s="240">
        <f>+G27/$K$27</f>
        <v>4.1650277954060774E-2</v>
      </c>
      <c r="H28" s="241"/>
      <c r="I28" s="267"/>
      <c r="J28" s="267"/>
      <c r="K28" s="389">
        <f>C28+D28+F28+G28</f>
        <v>0.99998475120925157</v>
      </c>
      <c r="L28" s="390"/>
      <c r="M28" s="239">
        <f t="shared" ref="M28:S28" si="0">+M27/$K$27</f>
        <v>0.5998336087833035</v>
      </c>
      <c r="N28" s="241">
        <f t="shared" si="0"/>
        <v>0.400165942722851</v>
      </c>
      <c r="O28" s="239">
        <f t="shared" si="0"/>
        <v>0.59654121546317085</v>
      </c>
      <c r="P28" s="240">
        <f t="shared" si="0"/>
        <v>0.18374209809905884</v>
      </c>
      <c r="Q28" s="240">
        <f t="shared" si="0"/>
        <v>2.8515687193482488E-2</v>
      </c>
      <c r="R28" s="240">
        <f t="shared" si="0"/>
        <v>0.16211751884234768</v>
      </c>
      <c r="S28" s="241">
        <f t="shared" si="0"/>
        <v>2.9083480401940184E-2</v>
      </c>
    </row>
    <row r="29" spans="2:19" x14ac:dyDescent="0.2">
      <c r="B29" s="25" t="s">
        <v>129</v>
      </c>
    </row>
    <row r="30" spans="2:19" x14ac:dyDescent="0.2">
      <c r="B30" s="25" t="s">
        <v>130</v>
      </c>
    </row>
  </sheetData>
  <mergeCells count="9">
    <mergeCell ref="B5:R5"/>
    <mergeCell ref="B6:R6"/>
    <mergeCell ref="K28:L28"/>
    <mergeCell ref="B9:B10"/>
    <mergeCell ref="K9:L9"/>
    <mergeCell ref="M9:N9"/>
    <mergeCell ref="O9:S9"/>
    <mergeCell ref="B8:S8"/>
    <mergeCell ref="C9:I9"/>
  </mergeCells>
  <hyperlinks>
    <hyperlink ref="T5" location="'Índice Pensiones Solidarias'!A1" display="Volver Sistema de Pensiones Solidadias"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5"/>
  <dimension ref="A2:O32"/>
  <sheetViews>
    <sheetView showGridLines="0" zoomScaleNormal="100" workbookViewId="0"/>
  </sheetViews>
  <sheetFormatPr baseColWidth="10" defaultColWidth="11.42578125" defaultRowHeight="12" x14ac:dyDescent="0.2"/>
  <cols>
    <col min="1" max="1" width="6" style="25" customWidth="1"/>
    <col min="2" max="2" width="15.85546875" style="25" customWidth="1"/>
    <col min="3" max="4" width="7.140625" style="25" bestFit="1" customWidth="1"/>
    <col min="5" max="6" width="7.85546875" style="25" bestFit="1" customWidth="1"/>
    <col min="7" max="7" width="7.140625" style="25" bestFit="1" customWidth="1"/>
    <col min="8" max="8" width="9.28515625" style="25" bestFit="1" customWidth="1"/>
    <col min="9" max="10" width="7.85546875" style="25" bestFit="1" customWidth="1"/>
    <col min="11" max="11" width="12.140625" style="25" customWidth="1"/>
    <col min="12" max="16384" width="11.42578125" style="25"/>
  </cols>
  <sheetData>
    <row r="2" spans="1:15" x14ac:dyDescent="0.2">
      <c r="A2" s="47" t="s">
        <v>101</v>
      </c>
    </row>
    <row r="3" spans="1:15" x14ac:dyDescent="0.2">
      <c r="A3" s="47" t="s">
        <v>102</v>
      </c>
    </row>
    <row r="5" spans="1:15" ht="12.75" x14ac:dyDescent="0.2">
      <c r="B5" s="369" t="s">
        <v>71</v>
      </c>
      <c r="C5" s="369"/>
      <c r="D5" s="369"/>
      <c r="E5" s="369"/>
      <c r="F5" s="369"/>
      <c r="G5" s="369"/>
      <c r="H5" s="369"/>
      <c r="I5" s="369"/>
      <c r="J5" s="369"/>
      <c r="K5" s="369"/>
      <c r="M5" s="113" t="s">
        <v>566</v>
      </c>
      <c r="O5" s="97"/>
    </row>
    <row r="6" spans="1:15" ht="12.75" x14ac:dyDescent="0.2">
      <c r="B6" s="385" t="str">
        <f>'Solicitudes Regiones'!$B$6:$R$6</f>
        <v>Acumuladas de julio de 2008 a diciembre de 2021</v>
      </c>
      <c r="C6" s="385"/>
      <c r="D6" s="385"/>
      <c r="E6" s="385"/>
      <c r="F6" s="385"/>
      <c r="G6" s="385"/>
      <c r="H6" s="385"/>
      <c r="I6" s="385"/>
      <c r="J6" s="385"/>
      <c r="K6" s="385"/>
    </row>
    <row r="8" spans="1:15" ht="12" customHeight="1" x14ac:dyDescent="0.2">
      <c r="B8" s="399" t="s">
        <v>55</v>
      </c>
      <c r="C8" s="399"/>
      <c r="D8" s="399"/>
      <c r="E8" s="399"/>
      <c r="F8" s="399"/>
      <c r="G8" s="399"/>
      <c r="H8" s="399"/>
      <c r="I8" s="399"/>
      <c r="J8" s="399"/>
      <c r="K8" s="399"/>
      <c r="L8" s="399"/>
      <c r="M8" s="399"/>
    </row>
    <row r="9" spans="1:15" ht="15" customHeight="1" x14ac:dyDescent="0.2">
      <c r="B9" s="399" t="s">
        <v>56</v>
      </c>
      <c r="C9" s="397" t="s">
        <v>2</v>
      </c>
      <c r="D9" s="400"/>
      <c r="E9" s="400"/>
      <c r="F9" s="400"/>
      <c r="G9" s="400"/>
      <c r="H9" s="400"/>
      <c r="I9" s="400"/>
      <c r="J9" s="400"/>
      <c r="K9" s="398"/>
      <c r="L9" s="397"/>
      <c r="M9" s="398"/>
    </row>
    <row r="10" spans="1:15" ht="24" x14ac:dyDescent="0.2">
      <c r="B10" s="399"/>
      <c r="C10" s="23" t="s">
        <v>57</v>
      </c>
      <c r="D10" s="23" t="s">
        <v>58</v>
      </c>
      <c r="E10" s="23" t="s">
        <v>59</v>
      </c>
      <c r="F10" s="23" t="s">
        <v>60</v>
      </c>
      <c r="G10" s="23" t="s">
        <v>8</v>
      </c>
      <c r="H10" s="23" t="s">
        <v>61</v>
      </c>
      <c r="I10" s="23" t="s">
        <v>62</v>
      </c>
      <c r="J10" s="23" t="s">
        <v>63</v>
      </c>
      <c r="K10" s="261" t="s">
        <v>31</v>
      </c>
      <c r="L10" s="261" t="s">
        <v>584</v>
      </c>
      <c r="M10" s="261" t="s">
        <v>587</v>
      </c>
    </row>
    <row r="11" spans="1:15" x14ac:dyDescent="0.2">
      <c r="B11" s="18" t="s">
        <v>67</v>
      </c>
      <c r="C11" s="18">
        <v>6173</v>
      </c>
      <c r="D11" s="18">
        <v>2873</v>
      </c>
      <c r="E11" s="18">
        <f t="shared" ref="E11:E15" si="0">C11+D11</f>
        <v>9046</v>
      </c>
      <c r="F11" s="19">
        <f>E11/$E$15</f>
        <v>0.97520482966796029</v>
      </c>
      <c r="G11" s="18">
        <v>22551</v>
      </c>
      <c r="H11" s="18">
        <v>1257</v>
      </c>
      <c r="I11" s="18">
        <f t="shared" ref="I11:I15" si="1">G11+H11</f>
        <v>23808</v>
      </c>
      <c r="J11" s="19">
        <f>I11/$I$15</f>
        <v>0.99233077692564187</v>
      </c>
      <c r="K11" s="18">
        <f t="shared" ref="K11:K15" si="2">E11+I11</f>
        <v>32854</v>
      </c>
      <c r="L11" s="18">
        <v>22</v>
      </c>
      <c r="M11" s="18">
        <f>K11+L11</f>
        <v>32876</v>
      </c>
    </row>
    <row r="12" spans="1:15" x14ac:dyDescent="0.2">
      <c r="B12" s="18" t="s">
        <v>68</v>
      </c>
      <c r="C12" s="18">
        <v>29</v>
      </c>
      <c r="D12" s="18">
        <v>10</v>
      </c>
      <c r="E12" s="18">
        <f t="shared" si="0"/>
        <v>39</v>
      </c>
      <c r="F12" s="19">
        <f t="shared" ref="F12:F15" si="3">E12/$E$15</f>
        <v>4.2043984476067267E-3</v>
      </c>
      <c r="G12" s="18">
        <v>47</v>
      </c>
      <c r="H12" s="18">
        <v>1</v>
      </c>
      <c r="I12" s="18">
        <f t="shared" si="1"/>
        <v>48</v>
      </c>
      <c r="J12" s="19">
        <f t="shared" ref="J12:J15" si="4">I12/$I$15</f>
        <v>2.0006668889629878E-3</v>
      </c>
      <c r="K12" s="18">
        <f t="shared" si="2"/>
        <v>87</v>
      </c>
      <c r="L12" s="18">
        <v>0</v>
      </c>
      <c r="M12" s="18">
        <f t="shared" ref="M12:M14" si="5">K12+L12</f>
        <v>87</v>
      </c>
    </row>
    <row r="13" spans="1:15" x14ac:dyDescent="0.2">
      <c r="B13" s="18" t="s">
        <v>69</v>
      </c>
      <c r="C13" s="18">
        <v>91</v>
      </c>
      <c r="D13" s="18">
        <v>41</v>
      </c>
      <c r="E13" s="18">
        <f t="shared" si="0"/>
        <v>132</v>
      </c>
      <c r="F13" s="19">
        <f t="shared" si="3"/>
        <v>1.4230271668822769E-2</v>
      </c>
      <c r="G13" s="18">
        <v>116</v>
      </c>
      <c r="H13" s="18">
        <v>2</v>
      </c>
      <c r="I13" s="18">
        <f t="shared" si="1"/>
        <v>118</v>
      </c>
      <c r="J13" s="19">
        <f t="shared" si="4"/>
        <v>4.9183061020340113E-3</v>
      </c>
      <c r="K13" s="18">
        <f t="shared" si="2"/>
        <v>250</v>
      </c>
      <c r="L13" s="18">
        <v>0</v>
      </c>
      <c r="M13" s="18">
        <f t="shared" si="5"/>
        <v>250</v>
      </c>
    </row>
    <row r="14" spans="1:15" x14ac:dyDescent="0.2">
      <c r="B14" s="18" t="s">
        <v>70</v>
      </c>
      <c r="C14" s="18">
        <v>39</v>
      </c>
      <c r="D14" s="18">
        <v>20</v>
      </c>
      <c r="E14" s="18">
        <f t="shared" si="0"/>
        <v>59</v>
      </c>
      <c r="F14" s="19">
        <f t="shared" si="3"/>
        <v>6.3605002156101771E-3</v>
      </c>
      <c r="G14" s="18">
        <v>18</v>
      </c>
      <c r="H14" s="18">
        <v>0</v>
      </c>
      <c r="I14" s="18">
        <f t="shared" si="1"/>
        <v>18</v>
      </c>
      <c r="J14" s="19">
        <f t="shared" si="4"/>
        <v>7.5025008336112036E-4</v>
      </c>
      <c r="K14" s="18">
        <f t="shared" si="2"/>
        <v>77</v>
      </c>
      <c r="L14" s="18">
        <v>0</v>
      </c>
      <c r="M14" s="18">
        <f t="shared" si="5"/>
        <v>77</v>
      </c>
    </row>
    <row r="15" spans="1:15" x14ac:dyDescent="0.2">
      <c r="B15" s="20" t="s">
        <v>49</v>
      </c>
      <c r="C15" s="18">
        <f t="shared" ref="C15:D15" si="6">SUM(C11:C14)</f>
        <v>6332</v>
      </c>
      <c r="D15" s="18">
        <f t="shared" si="6"/>
        <v>2944</v>
      </c>
      <c r="E15" s="20">
        <f t="shared" si="0"/>
        <v>9276</v>
      </c>
      <c r="F15" s="19">
        <f t="shared" si="3"/>
        <v>1</v>
      </c>
      <c r="G15" s="18">
        <f t="shared" ref="G15:H15" si="7">SUM(G11:G14)</f>
        <v>22732</v>
      </c>
      <c r="H15" s="18">
        <f t="shared" si="7"/>
        <v>1260</v>
      </c>
      <c r="I15" s="20">
        <f t="shared" si="1"/>
        <v>23992</v>
      </c>
      <c r="J15" s="19">
        <f t="shared" si="4"/>
        <v>1</v>
      </c>
      <c r="K15" s="20">
        <f t="shared" si="2"/>
        <v>33268</v>
      </c>
      <c r="L15" s="20">
        <f t="shared" ref="L15:M15" si="8">SUM(L11:L14)</f>
        <v>22</v>
      </c>
      <c r="M15" s="20">
        <f t="shared" si="8"/>
        <v>33290</v>
      </c>
    </row>
    <row r="16" spans="1:15" ht="24" x14ac:dyDescent="0.2">
      <c r="B16" s="32" t="s">
        <v>64</v>
      </c>
      <c r="C16" s="33">
        <f>+C15/$M$15</f>
        <v>0.19020726945028538</v>
      </c>
      <c r="D16" s="33">
        <f t="shared" ref="D16:E16" si="9">+D15/$M$15</f>
        <v>8.8434965455091621E-2</v>
      </c>
      <c r="E16" s="34">
        <f t="shared" si="9"/>
        <v>0.27864223490537698</v>
      </c>
      <c r="F16" s="34"/>
      <c r="G16" s="33">
        <f>+G15/$K$15</f>
        <v>0.68329926656246243</v>
      </c>
      <c r="H16" s="33">
        <f t="shared" ref="H16:I16" si="10">+H15/$M$15</f>
        <v>3.7849203965154704E-2</v>
      </c>
      <c r="I16" s="33">
        <f t="shared" si="10"/>
        <v>0.72069690597777114</v>
      </c>
      <c r="J16" s="34"/>
      <c r="K16" s="34">
        <f>E16+I16</f>
        <v>0.99933914088314812</v>
      </c>
      <c r="L16" s="34">
        <f>+L15/M15</f>
        <v>6.6085911685190746E-4</v>
      </c>
      <c r="M16" s="34">
        <f>K16+L16</f>
        <v>1</v>
      </c>
    </row>
    <row r="17" spans="1:13" x14ac:dyDescent="0.2">
      <c r="A17" s="48"/>
      <c r="B17" s="52"/>
      <c r="C17" s="52"/>
      <c r="D17" s="52"/>
      <c r="E17" s="52"/>
      <c r="F17" s="52"/>
      <c r="G17" s="52"/>
      <c r="H17" s="52"/>
      <c r="I17" s="52"/>
      <c r="J17" s="52"/>
      <c r="K17" s="53"/>
      <c r="L17" s="48"/>
    </row>
    <row r="18" spans="1:13" x14ac:dyDescent="0.2">
      <c r="A18" s="48"/>
      <c r="B18" s="52"/>
      <c r="C18" s="52"/>
      <c r="D18" s="52"/>
      <c r="E18" s="52"/>
      <c r="F18" s="52"/>
      <c r="G18" s="52"/>
      <c r="H18" s="52"/>
      <c r="I18" s="52"/>
      <c r="J18" s="52"/>
      <c r="K18" s="53"/>
      <c r="L18" s="48"/>
    </row>
    <row r="19" spans="1:13" ht="12.75" x14ac:dyDescent="0.2">
      <c r="A19" s="48"/>
      <c r="B19" s="369" t="s">
        <v>126</v>
      </c>
      <c r="C19" s="369"/>
      <c r="D19" s="369"/>
      <c r="E19" s="369"/>
      <c r="F19" s="369"/>
      <c r="G19" s="369"/>
      <c r="H19" s="369"/>
      <c r="I19" s="369"/>
      <c r="J19" s="369"/>
      <c r="K19" s="369"/>
      <c r="L19" s="48"/>
    </row>
    <row r="20" spans="1:13" ht="12.75" x14ac:dyDescent="0.2">
      <c r="A20" s="48"/>
      <c r="B20" s="385" t="str">
        <f>'Solicitudes Regiones'!$B$6:$R$6</f>
        <v>Acumuladas de julio de 2008 a diciembre de 2021</v>
      </c>
      <c r="C20" s="385"/>
      <c r="D20" s="385"/>
      <c r="E20" s="385"/>
      <c r="F20" s="385"/>
      <c r="G20" s="385"/>
      <c r="H20" s="385"/>
      <c r="I20" s="385"/>
      <c r="J20" s="385"/>
      <c r="K20" s="385"/>
      <c r="L20" s="48"/>
    </row>
    <row r="21" spans="1:13" x14ac:dyDescent="0.2">
      <c r="A21" s="48"/>
      <c r="B21" s="52"/>
      <c r="C21" s="52"/>
      <c r="D21" s="52"/>
      <c r="E21" s="52"/>
      <c r="F21" s="52"/>
      <c r="G21" s="52"/>
      <c r="H21" s="52"/>
      <c r="I21" s="52"/>
      <c r="J21" s="52"/>
      <c r="K21" s="53"/>
      <c r="L21" s="48"/>
    </row>
    <row r="22" spans="1:13" ht="12" customHeight="1" x14ac:dyDescent="0.2">
      <c r="B22" s="399" t="s">
        <v>65</v>
      </c>
      <c r="C22" s="399"/>
      <c r="D22" s="399"/>
      <c r="E22" s="399"/>
      <c r="F22" s="399"/>
      <c r="G22" s="399"/>
      <c r="H22" s="399"/>
      <c r="I22" s="399"/>
      <c r="J22" s="399"/>
      <c r="K22" s="399"/>
      <c r="L22" s="399"/>
      <c r="M22" s="399"/>
    </row>
    <row r="23" spans="1:13" ht="15" customHeight="1" x14ac:dyDescent="0.2">
      <c r="B23" s="399" t="s">
        <v>56</v>
      </c>
      <c r="C23" s="399" t="s">
        <v>2</v>
      </c>
      <c r="D23" s="399"/>
      <c r="E23" s="399"/>
      <c r="F23" s="399"/>
      <c r="G23" s="399"/>
      <c r="H23" s="399"/>
      <c r="I23" s="399"/>
      <c r="J23" s="399"/>
      <c r="K23" s="399"/>
      <c r="L23" s="397"/>
      <c r="M23" s="400"/>
    </row>
    <row r="24" spans="1:13" ht="24" x14ac:dyDescent="0.2">
      <c r="B24" s="399"/>
      <c r="C24" s="23" t="s">
        <v>57</v>
      </c>
      <c r="D24" s="23" t="s">
        <v>58</v>
      </c>
      <c r="E24" s="23" t="s">
        <v>59</v>
      </c>
      <c r="F24" s="23" t="s">
        <v>60</v>
      </c>
      <c r="G24" s="23" t="s">
        <v>8</v>
      </c>
      <c r="H24" s="23" t="s">
        <v>61</v>
      </c>
      <c r="I24" s="23" t="s">
        <v>62</v>
      </c>
      <c r="J24" s="23" t="s">
        <v>63</v>
      </c>
      <c r="K24" s="24" t="s">
        <v>31</v>
      </c>
      <c r="L24" s="261" t="s">
        <v>584</v>
      </c>
      <c r="M24" s="261" t="s">
        <v>587</v>
      </c>
    </row>
    <row r="25" spans="1:13" x14ac:dyDescent="0.2">
      <c r="B25" s="18" t="s">
        <v>67</v>
      </c>
      <c r="C25" s="18">
        <v>5537</v>
      </c>
      <c r="D25" s="18">
        <v>2025</v>
      </c>
      <c r="E25" s="18">
        <v>7562</v>
      </c>
      <c r="F25" s="202">
        <f t="shared" ref="F25:F29" si="11">E25/$E$29</f>
        <v>0.97813995602121329</v>
      </c>
      <c r="G25" s="18">
        <v>19419</v>
      </c>
      <c r="H25" s="18">
        <v>1066</v>
      </c>
      <c r="I25" s="18">
        <v>20485</v>
      </c>
      <c r="J25" s="201">
        <f t="shared" ref="J25:J29" si="12">I25/$I$29</f>
        <v>0.99239414785389013</v>
      </c>
      <c r="K25" s="18">
        <v>28047</v>
      </c>
      <c r="L25" s="18">
        <v>0</v>
      </c>
      <c r="M25" s="18">
        <f>K25+L25</f>
        <v>28047</v>
      </c>
    </row>
    <row r="26" spans="1:13" x14ac:dyDescent="0.2">
      <c r="B26" s="18" t="s">
        <v>68</v>
      </c>
      <c r="C26" s="54">
        <v>26</v>
      </c>
      <c r="D26" s="54">
        <v>4</v>
      </c>
      <c r="E26" s="18">
        <v>30</v>
      </c>
      <c r="F26" s="202">
        <f t="shared" si="11"/>
        <v>3.8804811796662787E-3</v>
      </c>
      <c r="G26" s="54">
        <v>43</v>
      </c>
      <c r="H26" s="18">
        <v>1</v>
      </c>
      <c r="I26" s="54">
        <f>G26+H26</f>
        <v>44</v>
      </c>
      <c r="J26" s="201">
        <f t="shared" si="12"/>
        <v>2.1315763976358878E-3</v>
      </c>
      <c r="K26" s="54">
        <f t="shared" ref="K26:K29" si="13">E26+I26</f>
        <v>74</v>
      </c>
      <c r="L26" s="54">
        <v>0</v>
      </c>
      <c r="M26" s="18">
        <f t="shared" ref="M26:M28" si="14">K26+L26</f>
        <v>74</v>
      </c>
    </row>
    <row r="27" spans="1:13" x14ac:dyDescent="0.2">
      <c r="B27" s="18" t="s">
        <v>69</v>
      </c>
      <c r="C27" s="54">
        <v>81</v>
      </c>
      <c r="D27" s="54">
        <v>18</v>
      </c>
      <c r="E27" s="18">
        <v>99</v>
      </c>
      <c r="F27" s="202">
        <f t="shared" si="11"/>
        <v>1.2805587892898719E-2</v>
      </c>
      <c r="G27" s="54">
        <v>96</v>
      </c>
      <c r="H27" s="18">
        <v>2</v>
      </c>
      <c r="I27" s="54">
        <f t="shared" ref="I27:I29" si="15">G27+H27</f>
        <v>98</v>
      </c>
      <c r="J27" s="201">
        <f t="shared" si="12"/>
        <v>4.7476019765526596E-3</v>
      </c>
      <c r="K27" s="54">
        <f>E27+I27</f>
        <v>197</v>
      </c>
      <c r="L27" s="54">
        <v>0</v>
      </c>
      <c r="M27" s="18">
        <f t="shared" si="14"/>
        <v>197</v>
      </c>
    </row>
    <row r="28" spans="1:13" x14ac:dyDescent="0.2">
      <c r="B28" s="18" t="s">
        <v>70</v>
      </c>
      <c r="C28" s="54">
        <v>33</v>
      </c>
      <c r="D28" s="54">
        <v>7</v>
      </c>
      <c r="E28" s="18">
        <v>40</v>
      </c>
      <c r="F28" s="202">
        <f t="shared" si="11"/>
        <v>5.1739749062217049E-3</v>
      </c>
      <c r="G28" s="54">
        <v>15</v>
      </c>
      <c r="H28" s="18">
        <v>0</v>
      </c>
      <c r="I28" s="54">
        <f t="shared" si="15"/>
        <v>15</v>
      </c>
      <c r="J28" s="201">
        <f t="shared" si="12"/>
        <v>7.2667377192132542E-4</v>
      </c>
      <c r="K28" s="54">
        <f t="shared" si="13"/>
        <v>55</v>
      </c>
      <c r="L28" s="54">
        <v>0</v>
      </c>
      <c r="M28" s="18">
        <f t="shared" si="14"/>
        <v>55</v>
      </c>
    </row>
    <row r="29" spans="1:13" x14ac:dyDescent="0.2">
      <c r="B29" s="55" t="s">
        <v>49</v>
      </c>
      <c r="C29" s="54">
        <f t="shared" ref="C29:G29" si="16">SUM(C25:C28)</f>
        <v>5677</v>
      </c>
      <c r="D29" s="54">
        <f t="shared" si="16"/>
        <v>2054</v>
      </c>
      <c r="E29" s="18">
        <v>7731</v>
      </c>
      <c r="F29" s="202">
        <f t="shared" si="11"/>
        <v>1</v>
      </c>
      <c r="G29" s="55">
        <f t="shared" si="16"/>
        <v>19573</v>
      </c>
      <c r="H29" s="18">
        <v>1069</v>
      </c>
      <c r="I29" s="55">
        <f t="shared" si="15"/>
        <v>20642</v>
      </c>
      <c r="J29" s="201">
        <f t="shared" si="12"/>
        <v>1</v>
      </c>
      <c r="K29" s="55">
        <f t="shared" si="13"/>
        <v>28373</v>
      </c>
      <c r="L29" s="55">
        <f t="shared" ref="L29" si="17">SUM(L25:L28)</f>
        <v>0</v>
      </c>
      <c r="M29" s="55">
        <f>SUM(M25:M28)</f>
        <v>28373</v>
      </c>
    </row>
    <row r="30" spans="1:13" ht="24" x14ac:dyDescent="0.2">
      <c r="B30" s="32" t="s">
        <v>66</v>
      </c>
      <c r="C30" s="33">
        <f>+C29/M29</f>
        <v>0.20008458745990906</v>
      </c>
      <c r="D30" s="33">
        <f>+D29/M29</f>
        <v>7.2392767772177777E-2</v>
      </c>
      <c r="E30" s="34">
        <f>+E29/M29</f>
        <v>0.27247735523208683</v>
      </c>
      <c r="F30" s="34"/>
      <c r="G30" s="33">
        <f>+G29/M29</f>
        <v>0.6898459803334156</v>
      </c>
      <c r="H30" s="33">
        <f>+H29/M29</f>
        <v>3.7676664434497582E-2</v>
      </c>
      <c r="I30" s="34">
        <f>+I29/M29</f>
        <v>0.72752264476791317</v>
      </c>
      <c r="J30" s="34"/>
      <c r="K30" s="34">
        <f>+K29/M29</f>
        <v>1</v>
      </c>
      <c r="L30" s="34">
        <f>+L29/M29</f>
        <v>0</v>
      </c>
      <c r="M30" s="34">
        <f>K30+L30</f>
        <v>1</v>
      </c>
    </row>
    <row r="31" spans="1:13" x14ac:dyDescent="0.2">
      <c r="B31" s="25" t="s">
        <v>129</v>
      </c>
    </row>
    <row r="32" spans="1:13" x14ac:dyDescent="0.2">
      <c r="B32" s="25" t="s">
        <v>130</v>
      </c>
    </row>
  </sheetData>
  <mergeCells count="12">
    <mergeCell ref="L9:M9"/>
    <mergeCell ref="B8:M8"/>
    <mergeCell ref="L23:M23"/>
    <mergeCell ref="B22:M22"/>
    <mergeCell ref="B5:K5"/>
    <mergeCell ref="B6:K6"/>
    <mergeCell ref="B19:K19"/>
    <mergeCell ref="B20:K20"/>
    <mergeCell ref="B23:B24"/>
    <mergeCell ref="C23:K23"/>
    <mergeCell ref="B9:B10"/>
    <mergeCell ref="C9:K9"/>
  </mergeCells>
  <hyperlinks>
    <hyperlink ref="M5" location="'Índice Pensiones Solidarias'!A1" display="Volver Sistema de Pensiones Solidadias"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6">
    <pageSetUpPr fitToPage="1"/>
  </sheetPr>
  <dimension ref="A1:P41"/>
  <sheetViews>
    <sheetView showGridLines="0" topLeftCell="A22" zoomScaleNormal="100" workbookViewId="0">
      <selection activeCell="K13" sqref="K13"/>
    </sheetView>
  </sheetViews>
  <sheetFormatPr baseColWidth="10" defaultRowHeight="12" x14ac:dyDescent="0.2"/>
  <cols>
    <col min="1" max="1" width="6" style="26" customWidth="1"/>
    <col min="2" max="2" width="18.140625" style="26" customWidth="1"/>
    <col min="3" max="4" width="7.28515625" style="26" bestFit="1" customWidth="1"/>
    <col min="5" max="6" width="7.28515625" style="26" customWidth="1"/>
    <col min="7" max="8" width="7.28515625" style="26" bestFit="1" customWidth="1"/>
    <col min="9" max="11" width="7.28515625" style="26" customWidth="1"/>
    <col min="12" max="12" width="10.28515625" style="26" customWidth="1"/>
    <col min="13" max="251" width="11.42578125" style="26"/>
    <col min="252" max="252" width="18.140625" style="26" customWidth="1"/>
    <col min="253" max="254" width="7.28515625" style="26" bestFit="1" customWidth="1"/>
    <col min="255" max="256" width="7.28515625" style="26" customWidth="1"/>
    <col min="257" max="258" width="7.28515625" style="26" bestFit="1" customWidth="1"/>
    <col min="259" max="261" width="7.28515625" style="26" customWidth="1"/>
    <col min="262" max="267" width="0" style="26" hidden="1" customWidth="1"/>
    <col min="268" max="268" width="10.28515625" style="26" customWidth="1"/>
    <col min="269" max="507" width="11.42578125" style="26"/>
    <col min="508" max="508" width="18.140625" style="26" customWidth="1"/>
    <col min="509" max="510" width="7.28515625" style="26" bestFit="1" customWidth="1"/>
    <col min="511" max="512" width="7.28515625" style="26" customWidth="1"/>
    <col min="513" max="514" width="7.28515625" style="26" bestFit="1" customWidth="1"/>
    <col min="515" max="517" width="7.28515625" style="26" customWidth="1"/>
    <col min="518" max="523" width="0" style="26" hidden="1" customWidth="1"/>
    <col min="524" max="524" width="10.28515625" style="26" customWidth="1"/>
    <col min="525" max="763" width="11.42578125" style="26"/>
    <col min="764" max="764" width="18.140625" style="26" customWidth="1"/>
    <col min="765" max="766" width="7.28515625" style="26" bestFit="1" customWidth="1"/>
    <col min="767" max="768" width="7.28515625" style="26" customWidth="1"/>
    <col min="769" max="770" width="7.28515625" style="26" bestFit="1" customWidth="1"/>
    <col min="771" max="773" width="7.28515625" style="26" customWidth="1"/>
    <col min="774" max="779" width="0" style="26" hidden="1" customWidth="1"/>
    <col min="780" max="780" width="10.28515625" style="26" customWidth="1"/>
    <col min="781" max="1019" width="11.42578125" style="26"/>
    <col min="1020" max="1020" width="18.140625" style="26" customWidth="1"/>
    <col min="1021" max="1022" width="7.28515625" style="26" bestFit="1" customWidth="1"/>
    <col min="1023" max="1024" width="7.28515625" style="26" customWidth="1"/>
    <col min="1025" max="1026" width="7.28515625" style="26" bestFit="1" customWidth="1"/>
    <col min="1027" max="1029" width="7.28515625" style="26" customWidth="1"/>
    <col min="1030" max="1035" width="0" style="26" hidden="1" customWidth="1"/>
    <col min="1036" max="1036" width="10.28515625" style="26" customWidth="1"/>
    <col min="1037" max="1275" width="11.42578125" style="26"/>
    <col min="1276" max="1276" width="18.140625" style="26" customWidth="1"/>
    <col min="1277" max="1278" width="7.28515625" style="26" bestFit="1" customWidth="1"/>
    <col min="1279" max="1280" width="7.28515625" style="26" customWidth="1"/>
    <col min="1281" max="1282" width="7.28515625" style="26" bestFit="1" customWidth="1"/>
    <col min="1283" max="1285" width="7.28515625" style="26" customWidth="1"/>
    <col min="1286" max="1291" width="0" style="26" hidden="1" customWidth="1"/>
    <col min="1292" max="1292" width="10.28515625" style="26" customWidth="1"/>
    <col min="1293" max="1531" width="11.42578125" style="26"/>
    <col min="1532" max="1532" width="18.140625" style="26" customWidth="1"/>
    <col min="1533" max="1534" width="7.28515625" style="26" bestFit="1" customWidth="1"/>
    <col min="1535" max="1536" width="7.28515625" style="26" customWidth="1"/>
    <col min="1537" max="1538" width="7.28515625" style="26" bestFit="1" customWidth="1"/>
    <col min="1539" max="1541" width="7.28515625" style="26" customWidth="1"/>
    <col min="1542" max="1547" width="0" style="26" hidden="1" customWidth="1"/>
    <col min="1548" max="1548" width="10.28515625" style="26" customWidth="1"/>
    <col min="1549" max="1787" width="11.42578125" style="26"/>
    <col min="1788" max="1788" width="18.140625" style="26" customWidth="1"/>
    <col min="1789" max="1790" width="7.28515625" style="26" bestFit="1" customWidth="1"/>
    <col min="1791" max="1792" width="7.28515625" style="26" customWidth="1"/>
    <col min="1793" max="1794" width="7.28515625" style="26" bestFit="1" customWidth="1"/>
    <col min="1795" max="1797" width="7.28515625" style="26" customWidth="1"/>
    <col min="1798" max="1803" width="0" style="26" hidden="1" customWidth="1"/>
    <col min="1804" max="1804" width="10.28515625" style="26" customWidth="1"/>
    <col min="1805" max="2043" width="11.42578125" style="26"/>
    <col min="2044" max="2044" width="18.140625" style="26" customWidth="1"/>
    <col min="2045" max="2046" width="7.28515625" style="26" bestFit="1" customWidth="1"/>
    <col min="2047" max="2048" width="7.28515625" style="26" customWidth="1"/>
    <col min="2049" max="2050" width="7.28515625" style="26" bestFit="1" customWidth="1"/>
    <col min="2051" max="2053" width="7.28515625" style="26" customWidth="1"/>
    <col min="2054" max="2059" width="0" style="26" hidden="1" customWidth="1"/>
    <col min="2060" max="2060" width="10.28515625" style="26" customWidth="1"/>
    <col min="2061" max="2299" width="11.42578125" style="26"/>
    <col min="2300" max="2300" width="18.140625" style="26" customWidth="1"/>
    <col min="2301" max="2302" width="7.28515625" style="26" bestFit="1" customWidth="1"/>
    <col min="2303" max="2304" width="7.28515625" style="26" customWidth="1"/>
    <col min="2305" max="2306" width="7.28515625" style="26" bestFit="1" customWidth="1"/>
    <col min="2307" max="2309" width="7.28515625" style="26" customWidth="1"/>
    <col min="2310" max="2315" width="0" style="26" hidden="1" customWidth="1"/>
    <col min="2316" max="2316" width="10.28515625" style="26" customWidth="1"/>
    <col min="2317" max="2555" width="11.42578125" style="26"/>
    <col min="2556" max="2556" width="18.140625" style="26" customWidth="1"/>
    <col min="2557" max="2558" width="7.28515625" style="26" bestFit="1" customWidth="1"/>
    <col min="2559" max="2560" width="7.28515625" style="26" customWidth="1"/>
    <col min="2561" max="2562" width="7.28515625" style="26" bestFit="1" customWidth="1"/>
    <col min="2563" max="2565" width="7.28515625" style="26" customWidth="1"/>
    <col min="2566" max="2571" width="0" style="26" hidden="1" customWidth="1"/>
    <col min="2572" max="2572" width="10.28515625" style="26" customWidth="1"/>
    <col min="2573" max="2811" width="11.42578125" style="26"/>
    <col min="2812" max="2812" width="18.140625" style="26" customWidth="1"/>
    <col min="2813" max="2814" width="7.28515625" style="26" bestFit="1" customWidth="1"/>
    <col min="2815" max="2816" width="7.28515625" style="26" customWidth="1"/>
    <col min="2817" max="2818" width="7.28515625" style="26" bestFit="1" customWidth="1"/>
    <col min="2819" max="2821" width="7.28515625" style="26" customWidth="1"/>
    <col min="2822" max="2827" width="0" style="26" hidden="1" customWidth="1"/>
    <col min="2828" max="2828" width="10.28515625" style="26" customWidth="1"/>
    <col min="2829" max="3067" width="11.42578125" style="26"/>
    <col min="3068" max="3068" width="18.140625" style="26" customWidth="1"/>
    <col min="3069" max="3070" width="7.28515625" style="26" bestFit="1" customWidth="1"/>
    <col min="3071" max="3072" width="7.28515625" style="26" customWidth="1"/>
    <col min="3073" max="3074" width="7.28515625" style="26" bestFit="1" customWidth="1"/>
    <col min="3075" max="3077" width="7.28515625" style="26" customWidth="1"/>
    <col min="3078" max="3083" width="0" style="26" hidden="1" customWidth="1"/>
    <col min="3084" max="3084" width="10.28515625" style="26" customWidth="1"/>
    <col min="3085" max="3323" width="11.42578125" style="26"/>
    <col min="3324" max="3324" width="18.140625" style="26" customWidth="1"/>
    <col min="3325" max="3326" width="7.28515625" style="26" bestFit="1" customWidth="1"/>
    <col min="3327" max="3328" width="7.28515625" style="26" customWidth="1"/>
    <col min="3329" max="3330" width="7.28515625" style="26" bestFit="1" customWidth="1"/>
    <col min="3331" max="3333" width="7.28515625" style="26" customWidth="1"/>
    <col min="3334" max="3339" width="0" style="26" hidden="1" customWidth="1"/>
    <col min="3340" max="3340" width="10.28515625" style="26" customWidth="1"/>
    <col min="3341" max="3579" width="11.42578125" style="26"/>
    <col min="3580" max="3580" width="18.140625" style="26" customWidth="1"/>
    <col min="3581" max="3582" width="7.28515625" style="26" bestFit="1" customWidth="1"/>
    <col min="3583" max="3584" width="7.28515625" style="26" customWidth="1"/>
    <col min="3585" max="3586" width="7.28515625" style="26" bestFit="1" customWidth="1"/>
    <col min="3587" max="3589" width="7.28515625" style="26" customWidth="1"/>
    <col min="3590" max="3595" width="0" style="26" hidden="1" customWidth="1"/>
    <col min="3596" max="3596" width="10.28515625" style="26" customWidth="1"/>
    <col min="3597" max="3835" width="11.42578125" style="26"/>
    <col min="3836" max="3836" width="18.140625" style="26" customWidth="1"/>
    <col min="3837" max="3838" width="7.28515625" style="26" bestFit="1" customWidth="1"/>
    <col min="3839" max="3840" width="7.28515625" style="26" customWidth="1"/>
    <col min="3841" max="3842" width="7.28515625" style="26" bestFit="1" customWidth="1"/>
    <col min="3843" max="3845" width="7.28515625" style="26" customWidth="1"/>
    <col min="3846" max="3851" width="0" style="26" hidden="1" customWidth="1"/>
    <col min="3852" max="3852" width="10.28515625" style="26" customWidth="1"/>
    <col min="3853" max="4091" width="11.42578125" style="26"/>
    <col min="4092" max="4092" width="18.140625" style="26" customWidth="1"/>
    <col min="4093" max="4094" width="7.28515625" style="26" bestFit="1" customWidth="1"/>
    <col min="4095" max="4096" width="7.28515625" style="26" customWidth="1"/>
    <col min="4097" max="4098" width="7.28515625" style="26" bestFit="1" customWidth="1"/>
    <col min="4099" max="4101" width="7.28515625" style="26" customWidth="1"/>
    <col min="4102" max="4107" width="0" style="26" hidden="1" customWidth="1"/>
    <col min="4108" max="4108" width="10.28515625" style="26" customWidth="1"/>
    <col min="4109" max="4347" width="11.42578125" style="26"/>
    <col min="4348" max="4348" width="18.140625" style="26" customWidth="1"/>
    <col min="4349" max="4350" width="7.28515625" style="26" bestFit="1" customWidth="1"/>
    <col min="4351" max="4352" width="7.28515625" style="26" customWidth="1"/>
    <col min="4353" max="4354" width="7.28515625" style="26" bestFit="1" customWidth="1"/>
    <col min="4355" max="4357" width="7.28515625" style="26" customWidth="1"/>
    <col min="4358" max="4363" width="0" style="26" hidden="1" customWidth="1"/>
    <col min="4364" max="4364" width="10.28515625" style="26" customWidth="1"/>
    <col min="4365" max="4603" width="11.42578125" style="26"/>
    <col min="4604" max="4604" width="18.140625" style="26" customWidth="1"/>
    <col min="4605" max="4606" width="7.28515625" style="26" bestFit="1" customWidth="1"/>
    <col min="4607" max="4608" width="7.28515625" style="26" customWidth="1"/>
    <col min="4609" max="4610" width="7.28515625" style="26" bestFit="1" customWidth="1"/>
    <col min="4611" max="4613" width="7.28515625" style="26" customWidth="1"/>
    <col min="4614" max="4619" width="0" style="26" hidden="1" customWidth="1"/>
    <col min="4620" max="4620" width="10.28515625" style="26" customWidth="1"/>
    <col min="4621" max="4859" width="11.42578125" style="26"/>
    <col min="4860" max="4860" width="18.140625" style="26" customWidth="1"/>
    <col min="4861" max="4862" width="7.28515625" style="26" bestFit="1" customWidth="1"/>
    <col min="4863" max="4864" width="7.28515625" style="26" customWidth="1"/>
    <col min="4865" max="4866" width="7.28515625" style="26" bestFit="1" customWidth="1"/>
    <col min="4867" max="4869" width="7.28515625" style="26" customWidth="1"/>
    <col min="4870" max="4875" width="0" style="26" hidden="1" customWidth="1"/>
    <col min="4876" max="4876" width="10.28515625" style="26" customWidth="1"/>
    <col min="4877" max="5115" width="11.42578125" style="26"/>
    <col min="5116" max="5116" width="18.140625" style="26" customWidth="1"/>
    <col min="5117" max="5118" width="7.28515625" style="26" bestFit="1" customWidth="1"/>
    <col min="5119" max="5120" width="7.28515625" style="26" customWidth="1"/>
    <col min="5121" max="5122" width="7.28515625" style="26" bestFit="1" customWidth="1"/>
    <col min="5123" max="5125" width="7.28515625" style="26" customWidth="1"/>
    <col min="5126" max="5131" width="0" style="26" hidden="1" customWidth="1"/>
    <col min="5132" max="5132" width="10.28515625" style="26" customWidth="1"/>
    <col min="5133" max="5371" width="11.42578125" style="26"/>
    <col min="5372" max="5372" width="18.140625" style="26" customWidth="1"/>
    <col min="5373" max="5374" width="7.28515625" style="26" bestFit="1" customWidth="1"/>
    <col min="5375" max="5376" width="7.28515625" style="26" customWidth="1"/>
    <col min="5377" max="5378" width="7.28515625" style="26" bestFit="1" customWidth="1"/>
    <col min="5379" max="5381" width="7.28515625" style="26" customWidth="1"/>
    <col min="5382" max="5387" width="0" style="26" hidden="1" customWidth="1"/>
    <col min="5388" max="5388" width="10.28515625" style="26" customWidth="1"/>
    <col min="5389" max="5627" width="11.42578125" style="26"/>
    <col min="5628" max="5628" width="18.140625" style="26" customWidth="1"/>
    <col min="5629" max="5630" width="7.28515625" style="26" bestFit="1" customWidth="1"/>
    <col min="5631" max="5632" width="7.28515625" style="26" customWidth="1"/>
    <col min="5633" max="5634" width="7.28515625" style="26" bestFit="1" customWidth="1"/>
    <col min="5635" max="5637" width="7.28515625" style="26" customWidth="1"/>
    <col min="5638" max="5643" width="0" style="26" hidden="1" customWidth="1"/>
    <col min="5644" max="5644" width="10.28515625" style="26" customWidth="1"/>
    <col min="5645" max="5883" width="11.42578125" style="26"/>
    <col min="5884" max="5884" width="18.140625" style="26" customWidth="1"/>
    <col min="5885" max="5886" width="7.28515625" style="26" bestFit="1" customWidth="1"/>
    <col min="5887" max="5888" width="7.28515625" style="26" customWidth="1"/>
    <col min="5889" max="5890" width="7.28515625" style="26" bestFit="1" customWidth="1"/>
    <col min="5891" max="5893" width="7.28515625" style="26" customWidth="1"/>
    <col min="5894" max="5899" width="0" style="26" hidden="1" customWidth="1"/>
    <col min="5900" max="5900" width="10.28515625" style="26" customWidth="1"/>
    <col min="5901" max="6139" width="11.42578125" style="26"/>
    <col min="6140" max="6140" width="18.140625" style="26" customWidth="1"/>
    <col min="6141" max="6142" width="7.28515625" style="26" bestFit="1" customWidth="1"/>
    <col min="6143" max="6144" width="7.28515625" style="26" customWidth="1"/>
    <col min="6145" max="6146" width="7.28515625" style="26" bestFit="1" customWidth="1"/>
    <col min="6147" max="6149" width="7.28515625" style="26" customWidth="1"/>
    <col min="6150" max="6155" width="0" style="26" hidden="1" customWidth="1"/>
    <col min="6156" max="6156" width="10.28515625" style="26" customWidth="1"/>
    <col min="6157" max="6395" width="11.42578125" style="26"/>
    <col min="6396" max="6396" width="18.140625" style="26" customWidth="1"/>
    <col min="6397" max="6398" width="7.28515625" style="26" bestFit="1" customWidth="1"/>
    <col min="6399" max="6400" width="7.28515625" style="26" customWidth="1"/>
    <col min="6401" max="6402" width="7.28515625" style="26" bestFit="1" customWidth="1"/>
    <col min="6403" max="6405" width="7.28515625" style="26" customWidth="1"/>
    <col min="6406" max="6411" width="0" style="26" hidden="1" customWidth="1"/>
    <col min="6412" max="6412" width="10.28515625" style="26" customWidth="1"/>
    <col min="6413" max="6651" width="11.42578125" style="26"/>
    <col min="6652" max="6652" width="18.140625" style="26" customWidth="1"/>
    <col min="6653" max="6654" width="7.28515625" style="26" bestFit="1" customWidth="1"/>
    <col min="6655" max="6656" width="7.28515625" style="26" customWidth="1"/>
    <col min="6657" max="6658" width="7.28515625" style="26" bestFit="1" customWidth="1"/>
    <col min="6659" max="6661" width="7.28515625" style="26" customWidth="1"/>
    <col min="6662" max="6667" width="0" style="26" hidden="1" customWidth="1"/>
    <col min="6668" max="6668" width="10.28515625" style="26" customWidth="1"/>
    <col min="6669" max="6907" width="11.42578125" style="26"/>
    <col min="6908" max="6908" width="18.140625" style="26" customWidth="1"/>
    <col min="6909" max="6910" width="7.28515625" style="26" bestFit="1" customWidth="1"/>
    <col min="6911" max="6912" width="7.28515625" style="26" customWidth="1"/>
    <col min="6913" max="6914" width="7.28515625" style="26" bestFit="1" customWidth="1"/>
    <col min="6915" max="6917" width="7.28515625" style="26" customWidth="1"/>
    <col min="6918" max="6923" width="0" style="26" hidden="1" customWidth="1"/>
    <col min="6924" max="6924" width="10.28515625" style="26" customWidth="1"/>
    <col min="6925" max="7163" width="11.42578125" style="26"/>
    <col min="7164" max="7164" width="18.140625" style="26" customWidth="1"/>
    <col min="7165" max="7166" width="7.28515625" style="26" bestFit="1" customWidth="1"/>
    <col min="7167" max="7168" width="7.28515625" style="26" customWidth="1"/>
    <col min="7169" max="7170" width="7.28515625" style="26" bestFit="1" customWidth="1"/>
    <col min="7171" max="7173" width="7.28515625" style="26" customWidth="1"/>
    <col min="7174" max="7179" width="0" style="26" hidden="1" customWidth="1"/>
    <col min="7180" max="7180" width="10.28515625" style="26" customWidth="1"/>
    <col min="7181" max="7419" width="11.42578125" style="26"/>
    <col min="7420" max="7420" width="18.140625" style="26" customWidth="1"/>
    <col min="7421" max="7422" width="7.28515625" style="26" bestFit="1" customWidth="1"/>
    <col min="7423" max="7424" width="7.28515625" style="26" customWidth="1"/>
    <col min="7425" max="7426" width="7.28515625" style="26" bestFit="1" customWidth="1"/>
    <col min="7427" max="7429" width="7.28515625" style="26" customWidth="1"/>
    <col min="7430" max="7435" width="0" style="26" hidden="1" customWidth="1"/>
    <col min="7436" max="7436" width="10.28515625" style="26" customWidth="1"/>
    <col min="7437" max="7675" width="11.42578125" style="26"/>
    <col min="7676" max="7676" width="18.140625" style="26" customWidth="1"/>
    <col min="7677" max="7678" width="7.28515625" style="26" bestFit="1" customWidth="1"/>
    <col min="7679" max="7680" width="7.28515625" style="26" customWidth="1"/>
    <col min="7681" max="7682" width="7.28515625" style="26" bestFit="1" customWidth="1"/>
    <col min="7683" max="7685" width="7.28515625" style="26" customWidth="1"/>
    <col min="7686" max="7691" width="0" style="26" hidden="1" customWidth="1"/>
    <col min="7692" max="7692" width="10.28515625" style="26" customWidth="1"/>
    <col min="7693" max="7931" width="11.42578125" style="26"/>
    <col min="7932" max="7932" width="18.140625" style="26" customWidth="1"/>
    <col min="7933" max="7934" width="7.28515625" style="26" bestFit="1" customWidth="1"/>
    <col min="7935" max="7936" width="7.28515625" style="26" customWidth="1"/>
    <col min="7937" max="7938" width="7.28515625" style="26" bestFit="1" customWidth="1"/>
    <col min="7939" max="7941" width="7.28515625" style="26" customWidth="1"/>
    <col min="7942" max="7947" width="0" style="26" hidden="1" customWidth="1"/>
    <col min="7948" max="7948" width="10.28515625" style="26" customWidth="1"/>
    <col min="7949" max="8187" width="11.42578125" style="26"/>
    <col min="8188" max="8188" width="18.140625" style="26" customWidth="1"/>
    <col min="8189" max="8190" width="7.28515625" style="26" bestFit="1" customWidth="1"/>
    <col min="8191" max="8192" width="7.28515625" style="26" customWidth="1"/>
    <col min="8193" max="8194" width="7.28515625" style="26" bestFit="1" customWidth="1"/>
    <col min="8195" max="8197" width="7.28515625" style="26" customWidth="1"/>
    <col min="8198" max="8203" width="0" style="26" hidden="1" customWidth="1"/>
    <col min="8204" max="8204" width="10.28515625" style="26" customWidth="1"/>
    <col min="8205" max="8443" width="11.42578125" style="26"/>
    <col min="8444" max="8444" width="18.140625" style="26" customWidth="1"/>
    <col min="8445" max="8446" width="7.28515625" style="26" bestFit="1" customWidth="1"/>
    <col min="8447" max="8448" width="7.28515625" style="26" customWidth="1"/>
    <col min="8449" max="8450" width="7.28515625" style="26" bestFit="1" customWidth="1"/>
    <col min="8451" max="8453" width="7.28515625" style="26" customWidth="1"/>
    <col min="8454" max="8459" width="0" style="26" hidden="1" customWidth="1"/>
    <col min="8460" max="8460" width="10.28515625" style="26" customWidth="1"/>
    <col min="8461" max="8699" width="11.42578125" style="26"/>
    <col min="8700" max="8700" width="18.140625" style="26" customWidth="1"/>
    <col min="8701" max="8702" width="7.28515625" style="26" bestFit="1" customWidth="1"/>
    <col min="8703" max="8704" width="7.28515625" style="26" customWidth="1"/>
    <col min="8705" max="8706" width="7.28515625" style="26" bestFit="1" customWidth="1"/>
    <col min="8707" max="8709" width="7.28515625" style="26" customWidth="1"/>
    <col min="8710" max="8715" width="0" style="26" hidden="1" customWidth="1"/>
    <col min="8716" max="8716" width="10.28515625" style="26" customWidth="1"/>
    <col min="8717" max="8955" width="11.42578125" style="26"/>
    <col min="8956" max="8956" width="18.140625" style="26" customWidth="1"/>
    <col min="8957" max="8958" width="7.28515625" style="26" bestFit="1" customWidth="1"/>
    <col min="8959" max="8960" width="7.28515625" style="26" customWidth="1"/>
    <col min="8961" max="8962" width="7.28515625" style="26" bestFit="1" customWidth="1"/>
    <col min="8963" max="8965" width="7.28515625" style="26" customWidth="1"/>
    <col min="8966" max="8971" width="0" style="26" hidden="1" customWidth="1"/>
    <col min="8972" max="8972" width="10.28515625" style="26" customWidth="1"/>
    <col min="8973" max="9211" width="11.42578125" style="26"/>
    <col min="9212" max="9212" width="18.140625" style="26" customWidth="1"/>
    <col min="9213" max="9214" width="7.28515625" style="26" bestFit="1" customWidth="1"/>
    <col min="9215" max="9216" width="7.28515625" style="26" customWidth="1"/>
    <col min="9217" max="9218" width="7.28515625" style="26" bestFit="1" customWidth="1"/>
    <col min="9219" max="9221" width="7.28515625" style="26" customWidth="1"/>
    <col min="9222" max="9227" width="0" style="26" hidden="1" customWidth="1"/>
    <col min="9228" max="9228" width="10.28515625" style="26" customWidth="1"/>
    <col min="9229" max="9467" width="11.42578125" style="26"/>
    <col min="9468" max="9468" width="18.140625" style="26" customWidth="1"/>
    <col min="9469" max="9470" width="7.28515625" style="26" bestFit="1" customWidth="1"/>
    <col min="9471" max="9472" width="7.28515625" style="26" customWidth="1"/>
    <col min="9473" max="9474" width="7.28515625" style="26" bestFit="1" customWidth="1"/>
    <col min="9475" max="9477" width="7.28515625" style="26" customWidth="1"/>
    <col min="9478" max="9483" width="0" style="26" hidden="1" customWidth="1"/>
    <col min="9484" max="9484" width="10.28515625" style="26" customWidth="1"/>
    <col min="9485" max="9723" width="11.42578125" style="26"/>
    <col min="9724" max="9724" width="18.140625" style="26" customWidth="1"/>
    <col min="9725" max="9726" width="7.28515625" style="26" bestFit="1" customWidth="1"/>
    <col min="9727" max="9728" width="7.28515625" style="26" customWidth="1"/>
    <col min="9729" max="9730" width="7.28515625" style="26" bestFit="1" customWidth="1"/>
    <col min="9731" max="9733" width="7.28515625" style="26" customWidth="1"/>
    <col min="9734" max="9739" width="0" style="26" hidden="1" customWidth="1"/>
    <col min="9740" max="9740" width="10.28515625" style="26" customWidth="1"/>
    <col min="9741" max="9979" width="11.42578125" style="26"/>
    <col min="9980" max="9980" width="18.140625" style="26" customWidth="1"/>
    <col min="9981" max="9982" width="7.28515625" style="26" bestFit="1" customWidth="1"/>
    <col min="9983" max="9984" width="7.28515625" style="26" customWidth="1"/>
    <col min="9985" max="9986" width="7.28515625" style="26" bestFit="1" customWidth="1"/>
    <col min="9987" max="9989" width="7.28515625" style="26" customWidth="1"/>
    <col min="9990" max="9995" width="0" style="26" hidden="1" customWidth="1"/>
    <col min="9996" max="9996" width="10.28515625" style="26" customWidth="1"/>
    <col min="9997" max="10235" width="11.42578125" style="26"/>
    <col min="10236" max="10236" width="18.140625" style="26" customWidth="1"/>
    <col min="10237" max="10238" width="7.28515625" style="26" bestFit="1" customWidth="1"/>
    <col min="10239" max="10240" width="7.28515625" style="26" customWidth="1"/>
    <col min="10241" max="10242" width="7.28515625" style="26" bestFit="1" customWidth="1"/>
    <col min="10243" max="10245" width="7.28515625" style="26" customWidth="1"/>
    <col min="10246" max="10251" width="0" style="26" hidden="1" customWidth="1"/>
    <col min="10252" max="10252" width="10.28515625" style="26" customWidth="1"/>
    <col min="10253" max="10491" width="11.42578125" style="26"/>
    <col min="10492" max="10492" width="18.140625" style="26" customWidth="1"/>
    <col min="10493" max="10494" width="7.28515625" style="26" bestFit="1" customWidth="1"/>
    <col min="10495" max="10496" width="7.28515625" style="26" customWidth="1"/>
    <col min="10497" max="10498" width="7.28515625" style="26" bestFit="1" customWidth="1"/>
    <col min="10499" max="10501" width="7.28515625" style="26" customWidth="1"/>
    <col min="10502" max="10507" width="0" style="26" hidden="1" customWidth="1"/>
    <col min="10508" max="10508" width="10.28515625" style="26" customWidth="1"/>
    <col min="10509" max="10747" width="11.42578125" style="26"/>
    <col min="10748" max="10748" width="18.140625" style="26" customWidth="1"/>
    <col min="10749" max="10750" width="7.28515625" style="26" bestFit="1" customWidth="1"/>
    <col min="10751" max="10752" width="7.28515625" style="26" customWidth="1"/>
    <col min="10753" max="10754" width="7.28515625" style="26" bestFit="1" customWidth="1"/>
    <col min="10755" max="10757" width="7.28515625" style="26" customWidth="1"/>
    <col min="10758" max="10763" width="0" style="26" hidden="1" customWidth="1"/>
    <col min="10764" max="10764" width="10.28515625" style="26" customWidth="1"/>
    <col min="10765" max="11003" width="11.42578125" style="26"/>
    <col min="11004" max="11004" width="18.140625" style="26" customWidth="1"/>
    <col min="11005" max="11006" width="7.28515625" style="26" bestFit="1" customWidth="1"/>
    <col min="11007" max="11008" width="7.28515625" style="26" customWidth="1"/>
    <col min="11009" max="11010" width="7.28515625" style="26" bestFit="1" customWidth="1"/>
    <col min="11011" max="11013" width="7.28515625" style="26" customWidth="1"/>
    <col min="11014" max="11019" width="0" style="26" hidden="1" customWidth="1"/>
    <col min="11020" max="11020" width="10.28515625" style="26" customWidth="1"/>
    <col min="11021" max="11259" width="11.42578125" style="26"/>
    <col min="11260" max="11260" width="18.140625" style="26" customWidth="1"/>
    <col min="11261" max="11262" width="7.28515625" style="26" bestFit="1" customWidth="1"/>
    <col min="11263" max="11264" width="7.28515625" style="26" customWidth="1"/>
    <col min="11265" max="11266" width="7.28515625" style="26" bestFit="1" customWidth="1"/>
    <col min="11267" max="11269" width="7.28515625" style="26" customWidth="1"/>
    <col min="11270" max="11275" width="0" style="26" hidden="1" customWidth="1"/>
    <col min="11276" max="11276" width="10.28515625" style="26" customWidth="1"/>
    <col min="11277" max="11515" width="11.42578125" style="26"/>
    <col min="11516" max="11516" width="18.140625" style="26" customWidth="1"/>
    <col min="11517" max="11518" width="7.28515625" style="26" bestFit="1" customWidth="1"/>
    <col min="11519" max="11520" width="7.28515625" style="26" customWidth="1"/>
    <col min="11521" max="11522" width="7.28515625" style="26" bestFit="1" customWidth="1"/>
    <col min="11523" max="11525" width="7.28515625" style="26" customWidth="1"/>
    <col min="11526" max="11531" width="0" style="26" hidden="1" customWidth="1"/>
    <col min="11532" max="11532" width="10.28515625" style="26" customWidth="1"/>
    <col min="11533" max="11771" width="11.42578125" style="26"/>
    <col min="11772" max="11772" width="18.140625" style="26" customWidth="1"/>
    <col min="11773" max="11774" width="7.28515625" style="26" bestFit="1" customWidth="1"/>
    <col min="11775" max="11776" width="7.28515625" style="26" customWidth="1"/>
    <col min="11777" max="11778" width="7.28515625" style="26" bestFit="1" customWidth="1"/>
    <col min="11779" max="11781" width="7.28515625" style="26" customWidth="1"/>
    <col min="11782" max="11787" width="0" style="26" hidden="1" customWidth="1"/>
    <col min="11788" max="11788" width="10.28515625" style="26" customWidth="1"/>
    <col min="11789" max="12027" width="11.42578125" style="26"/>
    <col min="12028" max="12028" width="18.140625" style="26" customWidth="1"/>
    <col min="12029" max="12030" width="7.28515625" style="26" bestFit="1" customWidth="1"/>
    <col min="12031" max="12032" width="7.28515625" style="26" customWidth="1"/>
    <col min="12033" max="12034" width="7.28515625" style="26" bestFit="1" customWidth="1"/>
    <col min="12035" max="12037" width="7.28515625" style="26" customWidth="1"/>
    <col min="12038" max="12043" width="0" style="26" hidden="1" customWidth="1"/>
    <col min="12044" max="12044" width="10.28515625" style="26" customWidth="1"/>
    <col min="12045" max="12283" width="11.42578125" style="26"/>
    <col min="12284" max="12284" width="18.140625" style="26" customWidth="1"/>
    <col min="12285" max="12286" width="7.28515625" style="26" bestFit="1" customWidth="1"/>
    <col min="12287" max="12288" width="7.28515625" style="26" customWidth="1"/>
    <col min="12289" max="12290" width="7.28515625" style="26" bestFit="1" customWidth="1"/>
    <col min="12291" max="12293" width="7.28515625" style="26" customWidth="1"/>
    <col min="12294" max="12299" width="0" style="26" hidden="1" customWidth="1"/>
    <col min="12300" max="12300" width="10.28515625" style="26" customWidth="1"/>
    <col min="12301" max="12539" width="11.42578125" style="26"/>
    <col min="12540" max="12540" width="18.140625" style="26" customWidth="1"/>
    <col min="12541" max="12542" width="7.28515625" style="26" bestFit="1" customWidth="1"/>
    <col min="12543" max="12544" width="7.28515625" style="26" customWidth="1"/>
    <col min="12545" max="12546" width="7.28515625" style="26" bestFit="1" customWidth="1"/>
    <col min="12547" max="12549" width="7.28515625" style="26" customWidth="1"/>
    <col min="12550" max="12555" width="0" style="26" hidden="1" customWidth="1"/>
    <col min="12556" max="12556" width="10.28515625" style="26" customWidth="1"/>
    <col min="12557" max="12795" width="11.42578125" style="26"/>
    <col min="12796" max="12796" width="18.140625" style="26" customWidth="1"/>
    <col min="12797" max="12798" width="7.28515625" style="26" bestFit="1" customWidth="1"/>
    <col min="12799" max="12800" width="7.28515625" style="26" customWidth="1"/>
    <col min="12801" max="12802" width="7.28515625" style="26" bestFit="1" customWidth="1"/>
    <col min="12803" max="12805" width="7.28515625" style="26" customWidth="1"/>
    <col min="12806" max="12811" width="0" style="26" hidden="1" customWidth="1"/>
    <col min="12812" max="12812" width="10.28515625" style="26" customWidth="1"/>
    <col min="12813" max="13051" width="11.42578125" style="26"/>
    <col min="13052" max="13052" width="18.140625" style="26" customWidth="1"/>
    <col min="13053" max="13054" width="7.28515625" style="26" bestFit="1" customWidth="1"/>
    <col min="13055" max="13056" width="7.28515625" style="26" customWidth="1"/>
    <col min="13057" max="13058" width="7.28515625" style="26" bestFit="1" customWidth="1"/>
    <col min="13059" max="13061" width="7.28515625" style="26" customWidth="1"/>
    <col min="13062" max="13067" width="0" style="26" hidden="1" customWidth="1"/>
    <col min="13068" max="13068" width="10.28515625" style="26" customWidth="1"/>
    <col min="13069" max="13307" width="11.42578125" style="26"/>
    <col min="13308" max="13308" width="18.140625" style="26" customWidth="1"/>
    <col min="13309" max="13310" width="7.28515625" style="26" bestFit="1" customWidth="1"/>
    <col min="13311" max="13312" width="7.28515625" style="26" customWidth="1"/>
    <col min="13313" max="13314" width="7.28515625" style="26" bestFit="1" customWidth="1"/>
    <col min="13315" max="13317" width="7.28515625" style="26" customWidth="1"/>
    <col min="13318" max="13323" width="0" style="26" hidden="1" customWidth="1"/>
    <col min="13324" max="13324" width="10.28515625" style="26" customWidth="1"/>
    <col min="13325" max="13563" width="11.42578125" style="26"/>
    <col min="13564" max="13564" width="18.140625" style="26" customWidth="1"/>
    <col min="13565" max="13566" width="7.28515625" style="26" bestFit="1" customWidth="1"/>
    <col min="13567" max="13568" width="7.28515625" style="26" customWidth="1"/>
    <col min="13569" max="13570" width="7.28515625" style="26" bestFit="1" customWidth="1"/>
    <col min="13571" max="13573" width="7.28515625" style="26" customWidth="1"/>
    <col min="13574" max="13579" width="0" style="26" hidden="1" customWidth="1"/>
    <col min="13580" max="13580" width="10.28515625" style="26" customWidth="1"/>
    <col min="13581" max="13819" width="11.42578125" style="26"/>
    <col min="13820" max="13820" width="18.140625" style="26" customWidth="1"/>
    <col min="13821" max="13822" width="7.28515625" style="26" bestFit="1" customWidth="1"/>
    <col min="13823" max="13824" width="7.28515625" style="26" customWidth="1"/>
    <col min="13825" max="13826" width="7.28515625" style="26" bestFit="1" customWidth="1"/>
    <col min="13827" max="13829" width="7.28515625" style="26" customWidth="1"/>
    <col min="13830" max="13835" width="0" style="26" hidden="1" customWidth="1"/>
    <col min="13836" max="13836" width="10.28515625" style="26" customWidth="1"/>
    <col min="13837" max="14075" width="11.42578125" style="26"/>
    <col min="14076" max="14076" width="18.140625" style="26" customWidth="1"/>
    <col min="14077" max="14078" width="7.28515625" style="26" bestFit="1" customWidth="1"/>
    <col min="14079" max="14080" width="7.28515625" style="26" customWidth="1"/>
    <col min="14081" max="14082" width="7.28515625" style="26" bestFit="1" customWidth="1"/>
    <col min="14083" max="14085" width="7.28515625" style="26" customWidth="1"/>
    <col min="14086" max="14091" width="0" style="26" hidden="1" customWidth="1"/>
    <col min="14092" max="14092" width="10.28515625" style="26" customWidth="1"/>
    <col min="14093" max="14331" width="11.42578125" style="26"/>
    <col min="14332" max="14332" width="18.140625" style="26" customWidth="1"/>
    <col min="14333" max="14334" width="7.28515625" style="26" bestFit="1" customWidth="1"/>
    <col min="14335" max="14336" width="7.28515625" style="26" customWidth="1"/>
    <col min="14337" max="14338" width="7.28515625" style="26" bestFit="1" customWidth="1"/>
    <col min="14339" max="14341" width="7.28515625" style="26" customWidth="1"/>
    <col min="14342" max="14347" width="0" style="26" hidden="1" customWidth="1"/>
    <col min="14348" max="14348" width="10.28515625" style="26" customWidth="1"/>
    <col min="14349" max="14587" width="11.42578125" style="26"/>
    <col min="14588" max="14588" width="18.140625" style="26" customWidth="1"/>
    <col min="14589" max="14590" width="7.28515625" style="26" bestFit="1" customWidth="1"/>
    <col min="14591" max="14592" width="7.28515625" style="26" customWidth="1"/>
    <col min="14593" max="14594" width="7.28515625" style="26" bestFit="1" customWidth="1"/>
    <col min="14595" max="14597" width="7.28515625" style="26" customWidth="1"/>
    <col min="14598" max="14603" width="0" style="26" hidden="1" customWidth="1"/>
    <col min="14604" max="14604" width="10.28515625" style="26" customWidth="1"/>
    <col min="14605" max="14843" width="11.42578125" style="26"/>
    <col min="14844" max="14844" width="18.140625" style="26" customWidth="1"/>
    <col min="14845" max="14846" width="7.28515625" style="26" bestFit="1" customWidth="1"/>
    <col min="14847" max="14848" width="7.28515625" style="26" customWidth="1"/>
    <col min="14849" max="14850" width="7.28515625" style="26" bestFit="1" customWidth="1"/>
    <col min="14851" max="14853" width="7.28515625" style="26" customWidth="1"/>
    <col min="14854" max="14859" width="0" style="26" hidden="1" customWidth="1"/>
    <col min="14860" max="14860" width="10.28515625" style="26" customWidth="1"/>
    <col min="14861" max="15099" width="11.42578125" style="26"/>
    <col min="15100" max="15100" width="18.140625" style="26" customWidth="1"/>
    <col min="15101" max="15102" width="7.28515625" style="26" bestFit="1" customWidth="1"/>
    <col min="15103" max="15104" width="7.28515625" style="26" customWidth="1"/>
    <col min="15105" max="15106" width="7.28515625" style="26" bestFit="1" customWidth="1"/>
    <col min="15107" max="15109" width="7.28515625" style="26" customWidth="1"/>
    <col min="15110" max="15115" width="0" style="26" hidden="1" customWidth="1"/>
    <col min="15116" max="15116" width="10.28515625" style="26" customWidth="1"/>
    <col min="15117" max="15355" width="11.42578125" style="26"/>
    <col min="15356" max="15356" width="18.140625" style="26" customWidth="1"/>
    <col min="15357" max="15358" width="7.28515625" style="26" bestFit="1" customWidth="1"/>
    <col min="15359" max="15360" width="7.28515625" style="26" customWidth="1"/>
    <col min="15361" max="15362" width="7.28515625" style="26" bestFit="1" customWidth="1"/>
    <col min="15363" max="15365" width="7.28515625" style="26" customWidth="1"/>
    <col min="15366" max="15371" width="0" style="26" hidden="1" customWidth="1"/>
    <col min="15372" max="15372" width="10.28515625" style="26" customWidth="1"/>
    <col min="15373" max="15611" width="11.42578125" style="26"/>
    <col min="15612" max="15612" width="18.140625" style="26" customWidth="1"/>
    <col min="15613" max="15614" width="7.28515625" style="26" bestFit="1" customWidth="1"/>
    <col min="15615" max="15616" width="7.28515625" style="26" customWidth="1"/>
    <col min="15617" max="15618" width="7.28515625" style="26" bestFit="1" customWidth="1"/>
    <col min="15619" max="15621" width="7.28515625" style="26" customWidth="1"/>
    <col min="15622" max="15627" width="0" style="26" hidden="1" customWidth="1"/>
    <col min="15628" max="15628" width="10.28515625" style="26" customWidth="1"/>
    <col min="15629" max="15867" width="11.42578125" style="26"/>
    <col min="15868" max="15868" width="18.140625" style="26" customWidth="1"/>
    <col min="15869" max="15870" width="7.28515625" style="26" bestFit="1" customWidth="1"/>
    <col min="15871" max="15872" width="7.28515625" style="26" customWidth="1"/>
    <col min="15873" max="15874" width="7.28515625" style="26" bestFit="1" customWidth="1"/>
    <col min="15875" max="15877" width="7.28515625" style="26" customWidth="1"/>
    <col min="15878" max="15883" width="0" style="26" hidden="1" customWidth="1"/>
    <col min="15884" max="15884" width="10.28515625" style="26" customWidth="1"/>
    <col min="15885" max="16123" width="11.42578125" style="26"/>
    <col min="16124" max="16124" width="18.140625" style="26" customWidth="1"/>
    <col min="16125" max="16126" width="7.28515625" style="26" bestFit="1" customWidth="1"/>
    <col min="16127" max="16128" width="7.28515625" style="26" customWidth="1"/>
    <col min="16129" max="16130" width="7.28515625" style="26" bestFit="1" customWidth="1"/>
    <col min="16131" max="16133" width="7.28515625" style="26" customWidth="1"/>
    <col min="16134" max="16139" width="0" style="26" hidden="1" customWidth="1"/>
    <col min="16140" max="16140" width="10.28515625" style="26" customWidth="1"/>
    <col min="16141" max="16384" width="11.42578125" style="26"/>
  </cols>
  <sheetData>
    <row r="1" spans="1:16" s="27" customFormat="1" x14ac:dyDescent="0.2"/>
    <row r="2" spans="1:16" s="27" customFormat="1" x14ac:dyDescent="0.2">
      <c r="A2" s="47" t="s">
        <v>101</v>
      </c>
    </row>
    <row r="3" spans="1:16" s="27" customFormat="1" x14ac:dyDescent="0.2">
      <c r="A3" s="47" t="s">
        <v>102</v>
      </c>
    </row>
    <row r="4" spans="1:16" s="27" customFormat="1" x14ac:dyDescent="0.2"/>
    <row r="5" spans="1:16" s="27" customFormat="1" ht="12.75" x14ac:dyDescent="0.2">
      <c r="B5" s="369" t="s">
        <v>79</v>
      </c>
      <c r="C5" s="369"/>
      <c r="D5" s="369"/>
      <c r="E5" s="369"/>
      <c r="F5" s="369"/>
      <c r="G5" s="369"/>
      <c r="H5" s="369"/>
      <c r="I5" s="369"/>
      <c r="J5" s="369"/>
      <c r="K5" s="369"/>
      <c r="M5" s="122" t="s">
        <v>566</v>
      </c>
      <c r="O5" s="96"/>
    </row>
    <row r="6" spans="1:16" s="27" customFormat="1" ht="12.75" x14ac:dyDescent="0.2">
      <c r="B6" s="385" t="str">
        <f>'Solicitudes Regiones'!$B$6:$R$6</f>
        <v>Acumuladas de julio de 2008 a diciembre de 2021</v>
      </c>
      <c r="C6" s="385"/>
      <c r="D6" s="385"/>
      <c r="E6" s="385"/>
      <c r="F6" s="385"/>
      <c r="G6" s="385"/>
      <c r="H6" s="385"/>
      <c r="I6" s="385"/>
      <c r="J6" s="385"/>
      <c r="K6" s="385"/>
    </row>
    <row r="7" spans="1:16" x14ac:dyDescent="0.2">
      <c r="B7" s="28"/>
    </row>
    <row r="8" spans="1:16" ht="15" customHeight="1" x14ac:dyDescent="0.2">
      <c r="B8" s="399" t="s">
        <v>55</v>
      </c>
      <c r="C8" s="399"/>
      <c r="D8" s="399"/>
      <c r="E8" s="399"/>
      <c r="F8" s="399"/>
      <c r="G8" s="399"/>
      <c r="H8" s="399"/>
      <c r="I8" s="399"/>
      <c r="J8" s="399"/>
      <c r="K8" s="399"/>
      <c r="L8" s="399"/>
      <c r="M8" s="399"/>
    </row>
    <row r="9" spans="1:16" ht="21" customHeight="1" x14ac:dyDescent="0.2">
      <c r="B9" s="399" t="s">
        <v>56</v>
      </c>
      <c r="C9" s="397" t="s">
        <v>2</v>
      </c>
      <c r="D9" s="400"/>
      <c r="E9" s="400"/>
      <c r="F9" s="400"/>
      <c r="G9" s="400"/>
      <c r="H9" s="400"/>
      <c r="I9" s="400"/>
      <c r="J9" s="400"/>
      <c r="K9" s="398"/>
      <c r="L9" s="397"/>
      <c r="M9" s="398"/>
    </row>
    <row r="10" spans="1:16" ht="24" x14ac:dyDescent="0.2">
      <c r="B10" s="399"/>
      <c r="C10" s="23" t="s">
        <v>57</v>
      </c>
      <c r="D10" s="23" t="s">
        <v>58</v>
      </c>
      <c r="E10" s="23" t="s">
        <v>59</v>
      </c>
      <c r="F10" s="23" t="s">
        <v>60</v>
      </c>
      <c r="G10" s="23" t="s">
        <v>8</v>
      </c>
      <c r="H10" s="23" t="s">
        <v>61</v>
      </c>
      <c r="I10" s="23" t="s">
        <v>62</v>
      </c>
      <c r="J10" s="23" t="s">
        <v>63</v>
      </c>
      <c r="K10" s="261" t="s">
        <v>31</v>
      </c>
      <c r="L10" s="261" t="s">
        <v>584</v>
      </c>
      <c r="M10" s="261" t="s">
        <v>587</v>
      </c>
    </row>
    <row r="11" spans="1:16" x14ac:dyDescent="0.2">
      <c r="B11" s="18" t="s">
        <v>131</v>
      </c>
      <c r="C11" s="18">
        <v>4439</v>
      </c>
      <c r="D11" s="18">
        <v>2769</v>
      </c>
      <c r="E11" s="18">
        <f>C11+D11</f>
        <v>7208</v>
      </c>
      <c r="F11" s="19">
        <f>E11/$E$18</f>
        <v>0.6289154524038042</v>
      </c>
      <c r="G11" s="18">
        <v>17789</v>
      </c>
      <c r="H11" s="18">
        <v>1248</v>
      </c>
      <c r="I11" s="18">
        <f>G11+H11</f>
        <v>19037</v>
      </c>
      <c r="J11" s="19">
        <f>I11/$I$18</f>
        <v>0.70872268344439893</v>
      </c>
      <c r="K11" s="18">
        <f t="shared" ref="K11:K17" si="0">E11+I11</f>
        <v>26245</v>
      </c>
      <c r="L11" s="18">
        <v>17</v>
      </c>
      <c r="M11" s="18">
        <f>K11+L11</f>
        <v>26262</v>
      </c>
      <c r="P11" s="31"/>
    </row>
    <row r="12" spans="1:16" x14ac:dyDescent="0.2">
      <c r="B12" s="18" t="s">
        <v>72</v>
      </c>
      <c r="C12" s="18">
        <v>1357</v>
      </c>
      <c r="D12" s="18">
        <v>1678</v>
      </c>
      <c r="E12" s="18">
        <f t="shared" ref="E12:E17" si="1">C12+D12</f>
        <v>3035</v>
      </c>
      <c r="F12" s="19">
        <f t="shared" ref="F12:F17" si="2">E12/$E$18</f>
        <v>0.26481109850798362</v>
      </c>
      <c r="G12" s="18">
        <v>5057</v>
      </c>
      <c r="H12" s="18">
        <v>662</v>
      </c>
      <c r="I12" s="18">
        <f t="shared" ref="I12:I17" si="3">G12+H12</f>
        <v>5719</v>
      </c>
      <c r="J12" s="19">
        <f t="shared" ref="J12:J17" si="4">I12/$I$18</f>
        <v>0.21291091173076207</v>
      </c>
      <c r="K12" s="18">
        <f t="shared" si="0"/>
        <v>8754</v>
      </c>
      <c r="L12" s="18">
        <v>0</v>
      </c>
      <c r="M12" s="18">
        <f t="shared" ref="M12:M18" si="5">K12+L12</f>
        <v>8754</v>
      </c>
      <c r="P12" s="31"/>
    </row>
    <row r="13" spans="1:16" x14ac:dyDescent="0.2">
      <c r="B13" s="18" t="s">
        <v>73</v>
      </c>
      <c r="C13" s="18">
        <v>320</v>
      </c>
      <c r="D13" s="18">
        <v>201</v>
      </c>
      <c r="E13" s="18">
        <f t="shared" si="1"/>
        <v>521</v>
      </c>
      <c r="F13" s="19">
        <f t="shared" si="2"/>
        <v>4.5458511473693397E-2</v>
      </c>
      <c r="G13" s="18">
        <v>1004</v>
      </c>
      <c r="H13" s="18">
        <v>80</v>
      </c>
      <c r="I13" s="18">
        <f t="shared" si="3"/>
        <v>1084</v>
      </c>
      <c r="J13" s="19">
        <f t="shared" si="4"/>
        <v>4.0355906332601166E-2</v>
      </c>
      <c r="K13" s="18">
        <f t="shared" si="0"/>
        <v>1605</v>
      </c>
      <c r="L13" s="18">
        <v>0</v>
      </c>
      <c r="M13" s="18">
        <f t="shared" si="5"/>
        <v>1605</v>
      </c>
      <c r="P13" s="31"/>
    </row>
    <row r="14" spans="1:16" x14ac:dyDescent="0.2">
      <c r="B14" s="18" t="s">
        <v>74</v>
      </c>
      <c r="C14" s="18">
        <v>62</v>
      </c>
      <c r="D14" s="18">
        <v>43</v>
      </c>
      <c r="E14" s="18">
        <f t="shared" si="1"/>
        <v>105</v>
      </c>
      <c r="F14" s="19">
        <f t="shared" si="2"/>
        <v>9.1615042317424317E-3</v>
      </c>
      <c r="G14" s="18">
        <v>83</v>
      </c>
      <c r="H14" s="18">
        <v>11</v>
      </c>
      <c r="I14" s="18">
        <f t="shared" si="3"/>
        <v>94</v>
      </c>
      <c r="J14" s="19">
        <f t="shared" si="4"/>
        <v>3.4994974126056366E-3</v>
      </c>
      <c r="K14" s="18">
        <f t="shared" si="0"/>
        <v>199</v>
      </c>
      <c r="L14" s="18">
        <v>0</v>
      </c>
      <c r="M14" s="18">
        <f t="shared" si="5"/>
        <v>199</v>
      </c>
      <c r="P14" s="31"/>
    </row>
    <row r="15" spans="1:16" x14ac:dyDescent="0.2">
      <c r="B15" s="18" t="s">
        <v>75</v>
      </c>
      <c r="C15" s="18">
        <v>60</v>
      </c>
      <c r="D15" s="18">
        <v>36</v>
      </c>
      <c r="E15" s="18">
        <f t="shared" si="1"/>
        <v>96</v>
      </c>
      <c r="F15" s="19">
        <f t="shared" si="2"/>
        <v>8.3762324404502222E-3</v>
      </c>
      <c r="G15" s="18">
        <v>45</v>
      </c>
      <c r="H15" s="18">
        <v>5</v>
      </c>
      <c r="I15" s="18">
        <f t="shared" si="3"/>
        <v>50</v>
      </c>
      <c r="J15" s="19">
        <f t="shared" si="4"/>
        <v>1.8614347939391682E-3</v>
      </c>
      <c r="K15" s="18">
        <f t="shared" si="0"/>
        <v>146</v>
      </c>
      <c r="L15" s="18">
        <v>0</v>
      </c>
      <c r="M15" s="18">
        <f t="shared" si="5"/>
        <v>146</v>
      </c>
      <c r="P15" s="31"/>
    </row>
    <row r="16" spans="1:16" x14ac:dyDescent="0.2">
      <c r="B16" s="18" t="s">
        <v>76</v>
      </c>
      <c r="C16" s="18">
        <v>119</v>
      </c>
      <c r="D16" s="18">
        <v>88</v>
      </c>
      <c r="E16" s="18">
        <f t="shared" si="1"/>
        <v>207</v>
      </c>
      <c r="F16" s="19">
        <f t="shared" si="2"/>
        <v>1.8061251199720792E-2</v>
      </c>
      <c r="G16" s="18">
        <v>277</v>
      </c>
      <c r="H16" s="18">
        <v>23</v>
      </c>
      <c r="I16" s="18">
        <f t="shared" si="3"/>
        <v>300</v>
      </c>
      <c r="J16" s="19">
        <f t="shared" si="4"/>
        <v>1.1168608763635009E-2</v>
      </c>
      <c r="K16" s="18">
        <f t="shared" si="0"/>
        <v>507</v>
      </c>
      <c r="L16" s="18">
        <v>0</v>
      </c>
      <c r="M16" s="18">
        <f t="shared" si="5"/>
        <v>507</v>
      </c>
      <c r="P16" s="31"/>
    </row>
    <row r="17" spans="2:16" x14ac:dyDescent="0.2">
      <c r="B17" s="18" t="s">
        <v>77</v>
      </c>
      <c r="C17" s="18">
        <v>187</v>
      </c>
      <c r="D17" s="18">
        <v>102</v>
      </c>
      <c r="E17" s="18">
        <f t="shared" si="1"/>
        <v>289</v>
      </c>
      <c r="F17" s="19">
        <f t="shared" si="2"/>
        <v>2.5215949742605357E-2</v>
      </c>
      <c r="G17" s="18">
        <v>546</v>
      </c>
      <c r="H17" s="18">
        <v>31</v>
      </c>
      <c r="I17" s="18">
        <f t="shared" si="3"/>
        <v>577</v>
      </c>
      <c r="J17" s="19">
        <f t="shared" si="4"/>
        <v>2.1480957522058003E-2</v>
      </c>
      <c r="K17" s="18">
        <f t="shared" si="0"/>
        <v>866</v>
      </c>
      <c r="L17" s="18">
        <v>0</v>
      </c>
      <c r="M17" s="18">
        <f t="shared" si="5"/>
        <v>866</v>
      </c>
      <c r="P17" s="31"/>
    </row>
    <row r="18" spans="2:16" x14ac:dyDescent="0.2">
      <c r="B18" s="20" t="s">
        <v>49</v>
      </c>
      <c r="C18" s="18">
        <f>SUM(C11:C17)</f>
        <v>6544</v>
      </c>
      <c r="D18" s="18">
        <f t="shared" ref="D18:H18" si="6">SUM(D11:D17)</f>
        <v>4917</v>
      </c>
      <c r="E18" s="20">
        <f t="shared" ref="E18" si="7">C18+D18</f>
        <v>11461</v>
      </c>
      <c r="F18" s="21">
        <f t="shared" ref="F18" si="8">E18/$E$18</f>
        <v>1</v>
      </c>
      <c r="G18" s="18">
        <f t="shared" si="6"/>
        <v>24801</v>
      </c>
      <c r="H18" s="18">
        <f t="shared" si="6"/>
        <v>2060</v>
      </c>
      <c r="I18" s="20">
        <f t="shared" ref="I18" si="9">G18+H18</f>
        <v>26861</v>
      </c>
      <c r="J18" s="22">
        <f t="shared" ref="J18" si="10">I18/$I$18</f>
        <v>1</v>
      </c>
      <c r="K18" s="20">
        <f>SUM(K11:K17)</f>
        <v>38322</v>
      </c>
      <c r="L18" s="18">
        <f t="shared" ref="L18" si="11">SUM(L11:L17)</f>
        <v>17</v>
      </c>
      <c r="M18" s="20">
        <f t="shared" si="5"/>
        <v>38339</v>
      </c>
      <c r="P18" s="31"/>
    </row>
    <row r="19" spans="2:16" ht="25.5" customHeight="1" x14ac:dyDescent="0.2">
      <c r="B19" s="32" t="s">
        <v>64</v>
      </c>
      <c r="C19" s="33">
        <f>+C18/M18</f>
        <v>0.1706878113670153</v>
      </c>
      <c r="D19" s="33">
        <f>+D18/M18</f>
        <v>0.12825060643209266</v>
      </c>
      <c r="E19" s="34">
        <f>+E18/M18</f>
        <v>0.29893841779910796</v>
      </c>
      <c r="F19" s="34"/>
      <c r="G19" s="33">
        <f>+G18/M18</f>
        <v>0.64688698192441119</v>
      </c>
      <c r="H19" s="33">
        <f>+H18/M18</f>
        <v>5.3731187563577559E-2</v>
      </c>
      <c r="I19" s="34">
        <f>+I18/M18</f>
        <v>0.70061816948798872</v>
      </c>
      <c r="J19" s="34"/>
      <c r="K19" s="34">
        <f>+K18/M18</f>
        <v>0.99955658728709673</v>
      </c>
      <c r="L19" s="34">
        <f>+L18/M18</f>
        <v>4.4341271290330997E-4</v>
      </c>
      <c r="M19" s="34">
        <f>K19+L19</f>
        <v>1</v>
      </c>
    </row>
    <row r="20" spans="2:16" x14ac:dyDescent="0.2">
      <c r="B20" s="35"/>
      <c r="C20" s="50"/>
      <c r="D20" s="50"/>
      <c r="E20" s="51"/>
      <c r="F20" s="51"/>
      <c r="G20" s="50"/>
      <c r="H20" s="50"/>
      <c r="I20" s="51"/>
      <c r="J20" s="51"/>
      <c r="K20" s="51"/>
    </row>
    <row r="21" spans="2:16" ht="12.75" x14ac:dyDescent="0.2">
      <c r="B21" s="369" t="s">
        <v>128</v>
      </c>
      <c r="C21" s="369"/>
      <c r="D21" s="369"/>
      <c r="E21" s="369"/>
      <c r="F21" s="369"/>
      <c r="G21" s="369"/>
      <c r="H21" s="369"/>
      <c r="I21" s="369"/>
      <c r="J21" s="369"/>
      <c r="K21" s="369"/>
    </row>
    <row r="22" spans="2:16" ht="12.75" x14ac:dyDescent="0.2">
      <c r="B22" s="385" t="str">
        <f>'Solicitudes Regiones'!$B$6:$R$6</f>
        <v>Acumuladas de julio de 2008 a diciembre de 2021</v>
      </c>
      <c r="C22" s="385"/>
      <c r="D22" s="385"/>
      <c r="E22" s="385"/>
      <c r="F22" s="385"/>
      <c r="G22" s="385"/>
      <c r="H22" s="385"/>
      <c r="I22" s="385"/>
      <c r="J22" s="385"/>
      <c r="K22" s="385"/>
    </row>
    <row r="23" spans="2:16" x14ac:dyDescent="0.2">
      <c r="B23" s="35"/>
      <c r="C23" s="51"/>
      <c r="D23" s="51"/>
      <c r="E23" s="51"/>
      <c r="F23" s="51"/>
      <c r="G23" s="51"/>
      <c r="H23" s="51"/>
      <c r="I23" s="51"/>
      <c r="J23" s="51"/>
      <c r="K23" s="51"/>
      <c r="L23" s="63"/>
    </row>
    <row r="24" spans="2:16" ht="12.75" customHeight="1" x14ac:dyDescent="0.2">
      <c r="B24" s="399" t="s">
        <v>65</v>
      </c>
      <c r="C24" s="399"/>
      <c r="D24" s="399"/>
      <c r="E24" s="399"/>
      <c r="F24" s="399"/>
      <c r="G24" s="399"/>
      <c r="H24" s="399"/>
      <c r="I24" s="399"/>
      <c r="J24" s="399"/>
      <c r="K24" s="399"/>
      <c r="L24" s="399"/>
      <c r="M24" s="399"/>
    </row>
    <row r="25" spans="2:16" ht="20.25" customHeight="1" x14ac:dyDescent="0.2">
      <c r="B25" s="399" t="s">
        <v>56</v>
      </c>
      <c r="C25" s="399" t="s">
        <v>2</v>
      </c>
      <c r="D25" s="399"/>
      <c r="E25" s="399"/>
      <c r="F25" s="399"/>
      <c r="G25" s="399"/>
      <c r="H25" s="399"/>
      <c r="I25" s="399"/>
      <c r="J25" s="399"/>
      <c r="K25" s="399"/>
      <c r="L25" s="397"/>
      <c r="M25" s="398"/>
    </row>
    <row r="26" spans="2:16" ht="21" customHeight="1" x14ac:dyDescent="0.2">
      <c r="B26" s="399"/>
      <c r="C26" s="23" t="s">
        <v>57</v>
      </c>
      <c r="D26" s="23" t="s">
        <v>58</v>
      </c>
      <c r="E26" s="23" t="s">
        <v>59</v>
      </c>
      <c r="F26" s="23" t="s">
        <v>60</v>
      </c>
      <c r="G26" s="23" t="s">
        <v>8</v>
      </c>
      <c r="H26" s="23" t="s">
        <v>61</v>
      </c>
      <c r="I26" s="23" t="s">
        <v>62</v>
      </c>
      <c r="J26" s="23" t="s">
        <v>63</v>
      </c>
      <c r="K26" s="24" t="s">
        <v>31</v>
      </c>
      <c r="L26" s="261" t="s">
        <v>584</v>
      </c>
      <c r="M26" s="261" t="s">
        <v>587</v>
      </c>
    </row>
    <row r="27" spans="2:16" x14ac:dyDescent="0.2">
      <c r="B27" s="18" t="s">
        <v>131</v>
      </c>
      <c r="C27" s="18">
        <v>3704</v>
      </c>
      <c r="D27" s="18">
        <v>1678</v>
      </c>
      <c r="E27" s="18">
        <f>C27+D27</f>
        <v>5382</v>
      </c>
      <c r="F27" s="19">
        <f>E27/$E$18</f>
        <v>0.46959253119274058</v>
      </c>
      <c r="G27" s="18">
        <v>14236</v>
      </c>
      <c r="H27" s="18">
        <v>987</v>
      </c>
      <c r="I27" s="18">
        <f>G27+H27</f>
        <v>15223</v>
      </c>
      <c r="J27" s="19">
        <f>I27/$I$18</f>
        <v>0.56673243736271917</v>
      </c>
      <c r="K27" s="18">
        <f t="shared" ref="K27:K33" si="12">E27+I27</f>
        <v>20605</v>
      </c>
      <c r="L27" s="18">
        <v>1</v>
      </c>
      <c r="M27" s="18">
        <f>K27+L27</f>
        <v>20606</v>
      </c>
    </row>
    <row r="28" spans="2:16" x14ac:dyDescent="0.2">
      <c r="B28" s="18" t="s">
        <v>72</v>
      </c>
      <c r="C28" s="18">
        <v>1175</v>
      </c>
      <c r="D28" s="18">
        <v>990</v>
      </c>
      <c r="E28" s="18">
        <f t="shared" ref="E28:E33" si="13">C28+D28</f>
        <v>2165</v>
      </c>
      <c r="F28" s="19">
        <f t="shared" ref="F28:F33" si="14">E28/$E$18</f>
        <v>0.18890149201640347</v>
      </c>
      <c r="G28" s="18">
        <v>4313</v>
      </c>
      <c r="H28" s="18">
        <v>537</v>
      </c>
      <c r="I28" s="18">
        <f t="shared" ref="I28:I33" si="15">G28+H28</f>
        <v>4850</v>
      </c>
      <c r="J28" s="19">
        <f t="shared" ref="J28:J33" si="16">I28/$I$18</f>
        <v>0.18055917501209934</v>
      </c>
      <c r="K28" s="18">
        <f t="shared" si="12"/>
        <v>7015</v>
      </c>
      <c r="L28" s="18">
        <v>0</v>
      </c>
      <c r="M28" s="18">
        <f t="shared" ref="M28:M34" si="17">K28+L28</f>
        <v>7015</v>
      </c>
    </row>
    <row r="29" spans="2:16" x14ac:dyDescent="0.2">
      <c r="B29" s="18" t="s">
        <v>73</v>
      </c>
      <c r="C29" s="18">
        <v>264</v>
      </c>
      <c r="D29" s="18">
        <v>104</v>
      </c>
      <c r="E29" s="18">
        <f t="shared" si="13"/>
        <v>368</v>
      </c>
      <c r="F29" s="19">
        <f t="shared" si="14"/>
        <v>3.2108891021725851E-2</v>
      </c>
      <c r="G29" s="18">
        <v>813</v>
      </c>
      <c r="H29" s="18">
        <v>63</v>
      </c>
      <c r="I29" s="18">
        <f t="shared" si="15"/>
        <v>876</v>
      </c>
      <c r="J29" s="19">
        <f t="shared" si="16"/>
        <v>3.261233758981423E-2</v>
      </c>
      <c r="K29" s="18">
        <f t="shared" si="12"/>
        <v>1244</v>
      </c>
      <c r="L29" s="18">
        <v>0</v>
      </c>
      <c r="M29" s="18">
        <f t="shared" si="17"/>
        <v>1244</v>
      </c>
    </row>
    <row r="30" spans="2:16" x14ac:dyDescent="0.2">
      <c r="B30" s="18" t="s">
        <v>74</v>
      </c>
      <c r="C30" s="18">
        <v>59</v>
      </c>
      <c r="D30" s="18">
        <v>23</v>
      </c>
      <c r="E30" s="18">
        <f t="shared" si="13"/>
        <v>82</v>
      </c>
      <c r="F30" s="19">
        <f t="shared" si="14"/>
        <v>7.1546985428845647E-3</v>
      </c>
      <c r="G30" s="18">
        <v>74</v>
      </c>
      <c r="H30" s="18">
        <v>9</v>
      </c>
      <c r="I30" s="18">
        <f t="shared" si="15"/>
        <v>83</v>
      </c>
      <c r="J30" s="19">
        <f t="shared" si="16"/>
        <v>3.0899817579390196E-3</v>
      </c>
      <c r="K30" s="18">
        <f t="shared" si="12"/>
        <v>165</v>
      </c>
      <c r="L30" s="18">
        <v>0</v>
      </c>
      <c r="M30" s="18">
        <f t="shared" si="17"/>
        <v>165</v>
      </c>
    </row>
    <row r="31" spans="2:16" x14ac:dyDescent="0.2">
      <c r="B31" s="18" t="s">
        <v>75</v>
      </c>
      <c r="C31" s="18">
        <v>56</v>
      </c>
      <c r="D31" s="18">
        <v>19</v>
      </c>
      <c r="E31" s="18">
        <f t="shared" si="13"/>
        <v>75</v>
      </c>
      <c r="F31" s="19">
        <f t="shared" si="14"/>
        <v>6.5439315941017359E-3</v>
      </c>
      <c r="G31" s="18">
        <v>41</v>
      </c>
      <c r="H31" s="18">
        <v>5</v>
      </c>
      <c r="I31" s="18">
        <f t="shared" si="15"/>
        <v>46</v>
      </c>
      <c r="J31" s="19">
        <f t="shared" si="16"/>
        <v>1.7125200104240348E-3</v>
      </c>
      <c r="K31" s="18">
        <f t="shared" si="12"/>
        <v>121</v>
      </c>
      <c r="L31" s="18">
        <v>0</v>
      </c>
      <c r="M31" s="18">
        <f t="shared" si="17"/>
        <v>121</v>
      </c>
    </row>
    <row r="32" spans="2:16" x14ac:dyDescent="0.2">
      <c r="B32" s="18" t="s">
        <v>76</v>
      </c>
      <c r="C32" s="18">
        <v>106</v>
      </c>
      <c r="D32" s="18">
        <v>46</v>
      </c>
      <c r="E32" s="18">
        <f t="shared" si="13"/>
        <v>152</v>
      </c>
      <c r="F32" s="19">
        <f t="shared" si="14"/>
        <v>1.3262368030712852E-2</v>
      </c>
      <c r="G32" s="18">
        <v>235</v>
      </c>
      <c r="H32" s="18">
        <v>23</v>
      </c>
      <c r="I32" s="18">
        <f t="shared" si="15"/>
        <v>258</v>
      </c>
      <c r="J32" s="19">
        <f t="shared" si="16"/>
        <v>9.6050035367261088E-3</v>
      </c>
      <c r="K32" s="18">
        <f t="shared" si="12"/>
        <v>410</v>
      </c>
      <c r="L32" s="18">
        <v>0</v>
      </c>
      <c r="M32" s="18">
        <f t="shared" si="17"/>
        <v>410</v>
      </c>
    </row>
    <row r="33" spans="2:13" x14ac:dyDescent="0.2">
      <c r="B33" s="18" t="s">
        <v>77</v>
      </c>
      <c r="C33" s="18">
        <v>154</v>
      </c>
      <c r="D33" s="18">
        <v>60</v>
      </c>
      <c r="E33" s="18">
        <f t="shared" si="13"/>
        <v>214</v>
      </c>
      <c r="F33" s="19">
        <f t="shared" si="14"/>
        <v>1.8672018148503621E-2</v>
      </c>
      <c r="G33" s="18">
        <v>455</v>
      </c>
      <c r="H33" s="18">
        <v>21</v>
      </c>
      <c r="I33" s="18">
        <f t="shared" si="15"/>
        <v>476</v>
      </c>
      <c r="J33" s="19">
        <f t="shared" si="16"/>
        <v>1.7720859238300881E-2</v>
      </c>
      <c r="K33" s="18">
        <f t="shared" si="12"/>
        <v>690</v>
      </c>
      <c r="L33" s="18">
        <v>0</v>
      </c>
      <c r="M33" s="18">
        <f t="shared" si="17"/>
        <v>690</v>
      </c>
    </row>
    <row r="34" spans="2:13" x14ac:dyDescent="0.2">
      <c r="B34" s="20" t="s">
        <v>49</v>
      </c>
      <c r="C34" s="18">
        <f>SUM(C27:C33)</f>
        <v>5518</v>
      </c>
      <c r="D34" s="18">
        <f>SUM(D27:D33)</f>
        <v>2920</v>
      </c>
      <c r="E34" s="20">
        <f t="shared" ref="E34" si="18">C34+D34</f>
        <v>8438</v>
      </c>
      <c r="F34" s="21">
        <f t="shared" ref="F34" si="19">E34/$E$18</f>
        <v>0.7362359305470727</v>
      </c>
      <c r="G34" s="18">
        <f>SUM(G27:G33)</f>
        <v>20167</v>
      </c>
      <c r="H34" s="18">
        <f>SUM(H27:H33)</f>
        <v>1645</v>
      </c>
      <c r="I34" s="20">
        <f t="shared" ref="I34" si="20">G34+H34</f>
        <v>21812</v>
      </c>
      <c r="J34" s="22">
        <f t="shared" ref="J34" si="21">I34/$I$18</f>
        <v>0.81203231450802282</v>
      </c>
      <c r="K34" s="20">
        <f>SUM(K27:K33)</f>
        <v>30250</v>
      </c>
      <c r="L34" s="20">
        <f>SUM(L27:L33)</f>
        <v>1</v>
      </c>
      <c r="M34" s="20">
        <f t="shared" si="17"/>
        <v>30251</v>
      </c>
    </row>
    <row r="35" spans="2:13" ht="24" x14ac:dyDescent="0.2">
      <c r="B35" s="32" t="s">
        <v>66</v>
      </c>
      <c r="C35" s="33">
        <f>+C34/M34</f>
        <v>0.18240719315063963</v>
      </c>
      <c r="D35" s="33">
        <f>+D34/M34</f>
        <v>9.6525734686456643E-2</v>
      </c>
      <c r="E35" s="34">
        <f>+E34/M34</f>
        <v>0.27893292783709628</v>
      </c>
      <c r="F35" s="34"/>
      <c r="G35" s="33">
        <f>+G34/M34</f>
        <v>0.66665564774718189</v>
      </c>
      <c r="H35" s="33">
        <f>+H34/M34</f>
        <v>5.4378367657267529E-2</v>
      </c>
      <c r="I35" s="34">
        <f>+I34/M34</f>
        <v>0.72103401540444945</v>
      </c>
      <c r="J35" s="34"/>
      <c r="K35" s="34">
        <f>+K34/M34</f>
        <v>0.99996694324154578</v>
      </c>
      <c r="L35" s="34">
        <f>+L34/M34</f>
        <v>3.3056758454265975E-5</v>
      </c>
      <c r="M35" s="34">
        <f>K35+L35</f>
        <v>1</v>
      </c>
    </row>
    <row r="36" spans="2:13" x14ac:dyDescent="0.2">
      <c r="B36" s="25" t="s">
        <v>129</v>
      </c>
      <c r="L36" s="27"/>
    </row>
    <row r="37" spans="2:13" x14ac:dyDescent="0.2">
      <c r="B37" s="25" t="s">
        <v>130</v>
      </c>
      <c r="C37" s="64"/>
      <c r="D37" s="64"/>
      <c r="E37" s="64"/>
      <c r="F37" s="64"/>
      <c r="G37" s="64"/>
      <c r="H37" s="64"/>
      <c r="I37" s="64"/>
      <c r="J37" s="64"/>
      <c r="K37" s="64"/>
    </row>
    <row r="38" spans="2:13" x14ac:dyDescent="0.2">
      <c r="C38" s="65"/>
      <c r="D38" s="64"/>
      <c r="E38" s="64"/>
      <c r="F38" s="64"/>
      <c r="G38" s="64"/>
      <c r="H38" s="64"/>
      <c r="I38" s="64"/>
      <c r="J38" s="64"/>
      <c r="K38" s="64"/>
      <c r="L38" s="66"/>
    </row>
    <row r="39" spans="2:13" ht="15.75" customHeight="1" x14ac:dyDescent="0.2">
      <c r="D39" s="67"/>
      <c r="E39" s="67"/>
      <c r="F39" s="67"/>
      <c r="G39" s="67"/>
      <c r="H39" s="67"/>
      <c r="I39" s="67"/>
      <c r="J39" s="67"/>
      <c r="K39" s="67"/>
      <c r="L39" s="66"/>
    </row>
    <row r="40" spans="2:13" ht="15.75" customHeight="1" x14ac:dyDescent="0.2">
      <c r="C40" s="68"/>
      <c r="D40" s="68"/>
      <c r="E40" s="68"/>
      <c r="F40" s="68"/>
      <c r="G40" s="68"/>
      <c r="H40" s="68"/>
      <c r="I40" s="68"/>
      <c r="J40" s="68"/>
      <c r="K40" s="68"/>
      <c r="L40" s="67"/>
    </row>
    <row r="41" spans="2:13" x14ac:dyDescent="0.2">
      <c r="L41" s="27"/>
    </row>
  </sheetData>
  <mergeCells count="12">
    <mergeCell ref="B6:K6"/>
    <mergeCell ref="B5:K5"/>
    <mergeCell ref="B21:K21"/>
    <mergeCell ref="B22:K22"/>
    <mergeCell ref="B25:B26"/>
    <mergeCell ref="C25:K25"/>
    <mergeCell ref="B9:B10"/>
    <mergeCell ref="C9:K9"/>
    <mergeCell ref="B8:M8"/>
    <mergeCell ref="L9:M9"/>
    <mergeCell ref="B24:M24"/>
    <mergeCell ref="L25:M25"/>
  </mergeCells>
  <hyperlinks>
    <hyperlink ref="M5" location="'Índice Pensiones Solidarias'!A1" display="Volver Sistema de Pensiones Solidadias" xr:uid="{00000000-0004-0000-0800-000000000000}"/>
  </hyperlinks>
  <pageMargins left="0.74803149606299213" right="0.74803149606299213" top="0.98425196850393704" bottom="0.98425196850393704" header="0" footer="0"/>
  <pageSetup scale="84" orientation="portrait" r:id="rId1"/>
  <headerFooter alignWithMargins="0"/>
  <ignoredErrors>
    <ignoredError sqref="K18 K34"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7">
    <pageSetUpPr fitToPage="1"/>
  </sheetPr>
  <dimension ref="A1:Q131"/>
  <sheetViews>
    <sheetView showGridLines="0" zoomScaleNormal="100" workbookViewId="0">
      <selection sqref="A1:XFD1048576"/>
    </sheetView>
  </sheetViews>
  <sheetFormatPr baseColWidth="10" defaultRowHeight="12" x14ac:dyDescent="0.2"/>
  <cols>
    <col min="1" max="1" width="6" style="26" customWidth="1"/>
    <col min="2" max="2" width="18.140625" style="26" customWidth="1"/>
    <col min="3" max="4" width="8.5703125" style="26" bestFit="1" customWidth="1"/>
    <col min="5" max="6" width="8.5703125" style="26" customWidth="1"/>
    <col min="7" max="7" width="9.42578125" style="26" bestFit="1" customWidth="1"/>
    <col min="8" max="8" width="7.5703125" style="26" bestFit="1" customWidth="1"/>
    <col min="9" max="10" width="7.5703125" style="26" customWidth="1"/>
    <col min="11" max="11" width="9.7109375" style="26" customWidth="1"/>
    <col min="12" max="12" width="11.140625" style="26" customWidth="1"/>
    <col min="13" max="14" width="11.42578125" style="26"/>
    <col min="15" max="15" width="12.42578125" style="26" bestFit="1" customWidth="1"/>
    <col min="16" max="251" width="11.42578125" style="26"/>
    <col min="252" max="252" width="18.140625" style="26" customWidth="1"/>
    <col min="253" max="254" width="8.5703125" style="26" bestFit="1" customWidth="1"/>
    <col min="255" max="256" width="8.5703125" style="26" customWidth="1"/>
    <col min="257" max="257" width="9.42578125" style="26" bestFit="1" customWidth="1"/>
    <col min="258" max="258" width="7.5703125" style="26" bestFit="1" customWidth="1"/>
    <col min="259" max="260" width="7.5703125" style="26" customWidth="1"/>
    <col min="261" max="261" width="9.7109375" style="26" customWidth="1"/>
    <col min="262" max="267" width="0" style="26" hidden="1" customWidth="1"/>
    <col min="268" max="268" width="11.140625" style="26" customWidth="1"/>
    <col min="269" max="270" width="11.42578125" style="26"/>
    <col min="271" max="271" width="12.42578125" style="26" bestFit="1" customWidth="1"/>
    <col min="272" max="507" width="11.42578125" style="26"/>
    <col min="508" max="508" width="18.140625" style="26" customWidth="1"/>
    <col min="509" max="510" width="8.5703125" style="26" bestFit="1" customWidth="1"/>
    <col min="511" max="512" width="8.5703125" style="26" customWidth="1"/>
    <col min="513" max="513" width="9.42578125" style="26" bestFit="1" customWidth="1"/>
    <col min="514" max="514" width="7.5703125" style="26" bestFit="1" customWidth="1"/>
    <col min="515" max="516" width="7.5703125" style="26" customWidth="1"/>
    <col min="517" max="517" width="9.7109375" style="26" customWidth="1"/>
    <col min="518" max="523" width="0" style="26" hidden="1" customWidth="1"/>
    <col min="524" max="524" width="11.140625" style="26" customWidth="1"/>
    <col min="525" max="526" width="11.42578125" style="26"/>
    <col min="527" max="527" width="12.42578125" style="26" bestFit="1" customWidth="1"/>
    <col min="528" max="763" width="11.42578125" style="26"/>
    <col min="764" max="764" width="18.140625" style="26" customWidth="1"/>
    <col min="765" max="766" width="8.5703125" style="26" bestFit="1" customWidth="1"/>
    <col min="767" max="768" width="8.5703125" style="26" customWidth="1"/>
    <col min="769" max="769" width="9.42578125" style="26" bestFit="1" customWidth="1"/>
    <col min="770" max="770" width="7.5703125" style="26" bestFit="1" customWidth="1"/>
    <col min="771" max="772" width="7.5703125" style="26" customWidth="1"/>
    <col min="773" max="773" width="9.7109375" style="26" customWidth="1"/>
    <col min="774" max="779" width="0" style="26" hidden="1" customWidth="1"/>
    <col min="780" max="780" width="11.140625" style="26" customWidth="1"/>
    <col min="781" max="782" width="11.42578125" style="26"/>
    <col min="783" max="783" width="12.42578125" style="26" bestFit="1" customWidth="1"/>
    <col min="784" max="1019" width="11.42578125" style="26"/>
    <col min="1020" max="1020" width="18.140625" style="26" customWidth="1"/>
    <col min="1021" max="1022" width="8.5703125" style="26" bestFit="1" customWidth="1"/>
    <col min="1023" max="1024" width="8.5703125" style="26" customWidth="1"/>
    <col min="1025" max="1025" width="9.42578125" style="26" bestFit="1" customWidth="1"/>
    <col min="1026" max="1026" width="7.5703125" style="26" bestFit="1" customWidth="1"/>
    <col min="1027" max="1028" width="7.5703125" style="26" customWidth="1"/>
    <col min="1029" max="1029" width="9.7109375" style="26" customWidth="1"/>
    <col min="1030" max="1035" width="0" style="26" hidden="1" customWidth="1"/>
    <col min="1036" max="1036" width="11.140625" style="26" customWidth="1"/>
    <col min="1037" max="1038" width="11.42578125" style="26"/>
    <col min="1039" max="1039" width="12.42578125" style="26" bestFit="1" customWidth="1"/>
    <col min="1040" max="1275" width="11.42578125" style="26"/>
    <col min="1276" max="1276" width="18.140625" style="26" customWidth="1"/>
    <col min="1277" max="1278" width="8.5703125" style="26" bestFit="1" customWidth="1"/>
    <col min="1279" max="1280" width="8.5703125" style="26" customWidth="1"/>
    <col min="1281" max="1281" width="9.42578125" style="26" bestFit="1" customWidth="1"/>
    <col min="1282" max="1282" width="7.5703125" style="26" bestFit="1" customWidth="1"/>
    <col min="1283" max="1284" width="7.5703125" style="26" customWidth="1"/>
    <col min="1285" max="1285" width="9.7109375" style="26" customWidth="1"/>
    <col min="1286" max="1291" width="0" style="26" hidden="1" customWidth="1"/>
    <col min="1292" max="1292" width="11.140625" style="26" customWidth="1"/>
    <col min="1293" max="1294" width="11.42578125" style="26"/>
    <col min="1295" max="1295" width="12.42578125" style="26" bestFit="1" customWidth="1"/>
    <col min="1296" max="1531" width="11.42578125" style="26"/>
    <col min="1532" max="1532" width="18.140625" style="26" customWidth="1"/>
    <col min="1533" max="1534" width="8.5703125" style="26" bestFit="1" customWidth="1"/>
    <col min="1535" max="1536" width="8.5703125" style="26" customWidth="1"/>
    <col min="1537" max="1537" width="9.42578125" style="26" bestFit="1" customWidth="1"/>
    <col min="1538" max="1538" width="7.5703125" style="26" bestFit="1" customWidth="1"/>
    <col min="1539" max="1540" width="7.5703125" style="26" customWidth="1"/>
    <col min="1541" max="1541" width="9.7109375" style="26" customWidth="1"/>
    <col min="1542" max="1547" width="0" style="26" hidden="1" customWidth="1"/>
    <col min="1548" max="1548" width="11.140625" style="26" customWidth="1"/>
    <col min="1549" max="1550" width="11.42578125" style="26"/>
    <col min="1551" max="1551" width="12.42578125" style="26" bestFit="1" customWidth="1"/>
    <col min="1552" max="1787" width="11.42578125" style="26"/>
    <col min="1788" max="1788" width="18.140625" style="26" customWidth="1"/>
    <col min="1789" max="1790" width="8.5703125" style="26" bestFit="1" customWidth="1"/>
    <col min="1791" max="1792" width="8.5703125" style="26" customWidth="1"/>
    <col min="1793" max="1793" width="9.42578125" style="26" bestFit="1" customWidth="1"/>
    <col min="1794" max="1794" width="7.5703125" style="26" bestFit="1" customWidth="1"/>
    <col min="1795" max="1796" width="7.5703125" style="26" customWidth="1"/>
    <col min="1797" max="1797" width="9.7109375" style="26" customWidth="1"/>
    <col min="1798" max="1803" width="0" style="26" hidden="1" customWidth="1"/>
    <col min="1804" max="1804" width="11.140625" style="26" customWidth="1"/>
    <col min="1805" max="1806" width="11.42578125" style="26"/>
    <col min="1807" max="1807" width="12.42578125" style="26" bestFit="1" customWidth="1"/>
    <col min="1808" max="2043" width="11.42578125" style="26"/>
    <col min="2044" max="2044" width="18.140625" style="26" customWidth="1"/>
    <col min="2045" max="2046" width="8.5703125" style="26" bestFit="1" customWidth="1"/>
    <col min="2047" max="2048" width="8.5703125" style="26" customWidth="1"/>
    <col min="2049" max="2049" width="9.42578125" style="26" bestFit="1" customWidth="1"/>
    <col min="2050" max="2050" width="7.5703125" style="26" bestFit="1" customWidth="1"/>
    <col min="2051" max="2052" width="7.5703125" style="26" customWidth="1"/>
    <col min="2053" max="2053" width="9.7109375" style="26" customWidth="1"/>
    <col min="2054" max="2059" width="0" style="26" hidden="1" customWidth="1"/>
    <col min="2060" max="2060" width="11.140625" style="26" customWidth="1"/>
    <col min="2061" max="2062" width="11.42578125" style="26"/>
    <col min="2063" max="2063" width="12.42578125" style="26" bestFit="1" customWidth="1"/>
    <col min="2064" max="2299" width="11.42578125" style="26"/>
    <col min="2300" max="2300" width="18.140625" style="26" customWidth="1"/>
    <col min="2301" max="2302" width="8.5703125" style="26" bestFit="1" customWidth="1"/>
    <col min="2303" max="2304" width="8.5703125" style="26" customWidth="1"/>
    <col min="2305" max="2305" width="9.42578125" style="26" bestFit="1" customWidth="1"/>
    <col min="2306" max="2306" width="7.5703125" style="26" bestFit="1" customWidth="1"/>
    <col min="2307" max="2308" width="7.5703125" style="26" customWidth="1"/>
    <col min="2309" max="2309" width="9.7109375" style="26" customWidth="1"/>
    <col min="2310" max="2315" width="0" style="26" hidden="1" customWidth="1"/>
    <col min="2316" max="2316" width="11.140625" style="26" customWidth="1"/>
    <col min="2317" max="2318" width="11.42578125" style="26"/>
    <col min="2319" max="2319" width="12.42578125" style="26" bestFit="1" customWidth="1"/>
    <col min="2320" max="2555" width="11.42578125" style="26"/>
    <col min="2556" max="2556" width="18.140625" style="26" customWidth="1"/>
    <col min="2557" max="2558" width="8.5703125" style="26" bestFit="1" customWidth="1"/>
    <col min="2559" max="2560" width="8.5703125" style="26" customWidth="1"/>
    <col min="2561" max="2561" width="9.42578125" style="26" bestFit="1" customWidth="1"/>
    <col min="2562" max="2562" width="7.5703125" style="26" bestFit="1" customWidth="1"/>
    <col min="2563" max="2564" width="7.5703125" style="26" customWidth="1"/>
    <col min="2565" max="2565" width="9.7109375" style="26" customWidth="1"/>
    <col min="2566" max="2571" width="0" style="26" hidden="1" customWidth="1"/>
    <col min="2572" max="2572" width="11.140625" style="26" customWidth="1"/>
    <col min="2573" max="2574" width="11.42578125" style="26"/>
    <col min="2575" max="2575" width="12.42578125" style="26" bestFit="1" customWidth="1"/>
    <col min="2576" max="2811" width="11.42578125" style="26"/>
    <col min="2812" max="2812" width="18.140625" style="26" customWidth="1"/>
    <col min="2813" max="2814" width="8.5703125" style="26" bestFit="1" customWidth="1"/>
    <col min="2815" max="2816" width="8.5703125" style="26" customWidth="1"/>
    <col min="2817" max="2817" width="9.42578125" style="26" bestFit="1" customWidth="1"/>
    <col min="2818" max="2818" width="7.5703125" style="26" bestFit="1" customWidth="1"/>
    <col min="2819" max="2820" width="7.5703125" style="26" customWidth="1"/>
    <col min="2821" max="2821" width="9.7109375" style="26" customWidth="1"/>
    <col min="2822" max="2827" width="0" style="26" hidden="1" customWidth="1"/>
    <col min="2828" max="2828" width="11.140625" style="26" customWidth="1"/>
    <col min="2829" max="2830" width="11.42578125" style="26"/>
    <col min="2831" max="2831" width="12.42578125" style="26" bestFit="1" customWidth="1"/>
    <col min="2832" max="3067" width="11.42578125" style="26"/>
    <col min="3068" max="3068" width="18.140625" style="26" customWidth="1"/>
    <col min="3069" max="3070" width="8.5703125" style="26" bestFit="1" customWidth="1"/>
    <col min="3071" max="3072" width="8.5703125" style="26" customWidth="1"/>
    <col min="3073" max="3073" width="9.42578125" style="26" bestFit="1" customWidth="1"/>
    <col min="3074" max="3074" width="7.5703125" style="26" bestFit="1" customWidth="1"/>
    <col min="3075" max="3076" width="7.5703125" style="26" customWidth="1"/>
    <col min="3077" max="3077" width="9.7109375" style="26" customWidth="1"/>
    <col min="3078" max="3083" width="0" style="26" hidden="1" customWidth="1"/>
    <col min="3084" max="3084" width="11.140625" style="26" customWidth="1"/>
    <col min="3085" max="3086" width="11.42578125" style="26"/>
    <col min="3087" max="3087" width="12.42578125" style="26" bestFit="1" customWidth="1"/>
    <col min="3088" max="3323" width="11.42578125" style="26"/>
    <col min="3324" max="3324" width="18.140625" style="26" customWidth="1"/>
    <col min="3325" max="3326" width="8.5703125" style="26" bestFit="1" customWidth="1"/>
    <col min="3327" max="3328" width="8.5703125" style="26" customWidth="1"/>
    <col min="3329" max="3329" width="9.42578125" style="26" bestFit="1" customWidth="1"/>
    <col min="3330" max="3330" width="7.5703125" style="26" bestFit="1" customWidth="1"/>
    <col min="3331" max="3332" width="7.5703125" style="26" customWidth="1"/>
    <col min="3333" max="3333" width="9.7109375" style="26" customWidth="1"/>
    <col min="3334" max="3339" width="0" style="26" hidden="1" customWidth="1"/>
    <col min="3340" max="3340" width="11.140625" style="26" customWidth="1"/>
    <col min="3341" max="3342" width="11.42578125" style="26"/>
    <col min="3343" max="3343" width="12.42578125" style="26" bestFit="1" customWidth="1"/>
    <col min="3344" max="3579" width="11.42578125" style="26"/>
    <col min="3580" max="3580" width="18.140625" style="26" customWidth="1"/>
    <col min="3581" max="3582" width="8.5703125" style="26" bestFit="1" customWidth="1"/>
    <col min="3583" max="3584" width="8.5703125" style="26" customWidth="1"/>
    <col min="3585" max="3585" width="9.42578125" style="26" bestFit="1" customWidth="1"/>
    <col min="3586" max="3586" width="7.5703125" style="26" bestFit="1" customWidth="1"/>
    <col min="3587" max="3588" width="7.5703125" style="26" customWidth="1"/>
    <col min="3589" max="3589" width="9.7109375" style="26" customWidth="1"/>
    <col min="3590" max="3595" width="0" style="26" hidden="1" customWidth="1"/>
    <col min="3596" max="3596" width="11.140625" style="26" customWidth="1"/>
    <col min="3597" max="3598" width="11.42578125" style="26"/>
    <col min="3599" max="3599" width="12.42578125" style="26" bestFit="1" customWidth="1"/>
    <col min="3600" max="3835" width="11.42578125" style="26"/>
    <col min="3836" max="3836" width="18.140625" style="26" customWidth="1"/>
    <col min="3837" max="3838" width="8.5703125" style="26" bestFit="1" customWidth="1"/>
    <col min="3839" max="3840" width="8.5703125" style="26" customWidth="1"/>
    <col min="3841" max="3841" width="9.42578125" style="26" bestFit="1" customWidth="1"/>
    <col min="3842" max="3842" width="7.5703125" style="26" bestFit="1" customWidth="1"/>
    <col min="3843" max="3844" width="7.5703125" style="26" customWidth="1"/>
    <col min="3845" max="3845" width="9.7109375" style="26" customWidth="1"/>
    <col min="3846" max="3851" width="0" style="26" hidden="1" customWidth="1"/>
    <col min="3852" max="3852" width="11.140625" style="26" customWidth="1"/>
    <col min="3853" max="3854" width="11.42578125" style="26"/>
    <col min="3855" max="3855" width="12.42578125" style="26" bestFit="1" customWidth="1"/>
    <col min="3856" max="4091" width="11.42578125" style="26"/>
    <col min="4092" max="4092" width="18.140625" style="26" customWidth="1"/>
    <col min="4093" max="4094" width="8.5703125" style="26" bestFit="1" customWidth="1"/>
    <col min="4095" max="4096" width="8.5703125" style="26" customWidth="1"/>
    <col min="4097" max="4097" width="9.42578125" style="26" bestFit="1" customWidth="1"/>
    <col min="4098" max="4098" width="7.5703125" style="26" bestFit="1" customWidth="1"/>
    <col min="4099" max="4100" width="7.5703125" style="26" customWidth="1"/>
    <col min="4101" max="4101" width="9.7109375" style="26" customWidth="1"/>
    <col min="4102" max="4107" width="0" style="26" hidden="1" customWidth="1"/>
    <col min="4108" max="4108" width="11.140625" style="26" customWidth="1"/>
    <col min="4109" max="4110" width="11.42578125" style="26"/>
    <col min="4111" max="4111" width="12.42578125" style="26" bestFit="1" customWidth="1"/>
    <col min="4112" max="4347" width="11.42578125" style="26"/>
    <col min="4348" max="4348" width="18.140625" style="26" customWidth="1"/>
    <col min="4349" max="4350" width="8.5703125" style="26" bestFit="1" customWidth="1"/>
    <col min="4351" max="4352" width="8.5703125" style="26" customWidth="1"/>
    <col min="4353" max="4353" width="9.42578125" style="26" bestFit="1" customWidth="1"/>
    <col min="4354" max="4354" width="7.5703125" style="26" bestFit="1" customWidth="1"/>
    <col min="4355" max="4356" width="7.5703125" style="26" customWidth="1"/>
    <col min="4357" max="4357" width="9.7109375" style="26" customWidth="1"/>
    <col min="4358" max="4363" width="0" style="26" hidden="1" customWidth="1"/>
    <col min="4364" max="4364" width="11.140625" style="26" customWidth="1"/>
    <col min="4365" max="4366" width="11.42578125" style="26"/>
    <col min="4367" max="4367" width="12.42578125" style="26" bestFit="1" customWidth="1"/>
    <col min="4368" max="4603" width="11.42578125" style="26"/>
    <col min="4604" max="4604" width="18.140625" style="26" customWidth="1"/>
    <col min="4605" max="4606" width="8.5703125" style="26" bestFit="1" customWidth="1"/>
    <col min="4607" max="4608" width="8.5703125" style="26" customWidth="1"/>
    <col min="4609" max="4609" width="9.42578125" style="26" bestFit="1" customWidth="1"/>
    <col min="4610" max="4610" width="7.5703125" style="26" bestFit="1" customWidth="1"/>
    <col min="4611" max="4612" width="7.5703125" style="26" customWidth="1"/>
    <col min="4613" max="4613" width="9.7109375" style="26" customWidth="1"/>
    <col min="4614" max="4619" width="0" style="26" hidden="1" customWidth="1"/>
    <col min="4620" max="4620" width="11.140625" style="26" customWidth="1"/>
    <col min="4621" max="4622" width="11.42578125" style="26"/>
    <col min="4623" max="4623" width="12.42578125" style="26" bestFit="1" customWidth="1"/>
    <col min="4624" max="4859" width="11.42578125" style="26"/>
    <col min="4860" max="4860" width="18.140625" style="26" customWidth="1"/>
    <col min="4861" max="4862" width="8.5703125" style="26" bestFit="1" customWidth="1"/>
    <col min="4863" max="4864" width="8.5703125" style="26" customWidth="1"/>
    <col min="4865" max="4865" width="9.42578125" style="26" bestFit="1" customWidth="1"/>
    <col min="4866" max="4866" width="7.5703125" style="26" bestFit="1" customWidth="1"/>
    <col min="4867" max="4868" width="7.5703125" style="26" customWidth="1"/>
    <col min="4869" max="4869" width="9.7109375" style="26" customWidth="1"/>
    <col min="4870" max="4875" width="0" style="26" hidden="1" customWidth="1"/>
    <col min="4876" max="4876" width="11.140625" style="26" customWidth="1"/>
    <col min="4877" max="4878" width="11.42578125" style="26"/>
    <col min="4879" max="4879" width="12.42578125" style="26" bestFit="1" customWidth="1"/>
    <col min="4880" max="5115" width="11.42578125" style="26"/>
    <col min="5116" max="5116" width="18.140625" style="26" customWidth="1"/>
    <col min="5117" max="5118" width="8.5703125" style="26" bestFit="1" customWidth="1"/>
    <col min="5119" max="5120" width="8.5703125" style="26" customWidth="1"/>
    <col min="5121" max="5121" width="9.42578125" style="26" bestFit="1" customWidth="1"/>
    <col min="5122" max="5122" width="7.5703125" style="26" bestFit="1" customWidth="1"/>
    <col min="5123" max="5124" width="7.5703125" style="26" customWidth="1"/>
    <col min="5125" max="5125" width="9.7109375" style="26" customWidth="1"/>
    <col min="5126" max="5131" width="0" style="26" hidden="1" customWidth="1"/>
    <col min="5132" max="5132" width="11.140625" style="26" customWidth="1"/>
    <col min="5133" max="5134" width="11.42578125" style="26"/>
    <col min="5135" max="5135" width="12.42578125" style="26" bestFit="1" customWidth="1"/>
    <col min="5136" max="5371" width="11.42578125" style="26"/>
    <col min="5372" max="5372" width="18.140625" style="26" customWidth="1"/>
    <col min="5373" max="5374" width="8.5703125" style="26" bestFit="1" customWidth="1"/>
    <col min="5375" max="5376" width="8.5703125" style="26" customWidth="1"/>
    <col min="5377" max="5377" width="9.42578125" style="26" bestFit="1" customWidth="1"/>
    <col min="5378" max="5378" width="7.5703125" style="26" bestFit="1" customWidth="1"/>
    <col min="5379" max="5380" width="7.5703125" style="26" customWidth="1"/>
    <col min="5381" max="5381" width="9.7109375" style="26" customWidth="1"/>
    <col min="5382" max="5387" width="0" style="26" hidden="1" customWidth="1"/>
    <col min="5388" max="5388" width="11.140625" style="26" customWidth="1"/>
    <col min="5389" max="5390" width="11.42578125" style="26"/>
    <col min="5391" max="5391" width="12.42578125" style="26" bestFit="1" customWidth="1"/>
    <col min="5392" max="5627" width="11.42578125" style="26"/>
    <col min="5628" max="5628" width="18.140625" style="26" customWidth="1"/>
    <col min="5629" max="5630" width="8.5703125" style="26" bestFit="1" customWidth="1"/>
    <col min="5631" max="5632" width="8.5703125" style="26" customWidth="1"/>
    <col min="5633" max="5633" width="9.42578125" style="26" bestFit="1" customWidth="1"/>
    <col min="5634" max="5634" width="7.5703125" style="26" bestFit="1" customWidth="1"/>
    <col min="5635" max="5636" width="7.5703125" style="26" customWidth="1"/>
    <col min="5637" max="5637" width="9.7109375" style="26" customWidth="1"/>
    <col min="5638" max="5643" width="0" style="26" hidden="1" customWidth="1"/>
    <col min="5644" max="5644" width="11.140625" style="26" customWidth="1"/>
    <col min="5645" max="5646" width="11.42578125" style="26"/>
    <col min="5647" max="5647" width="12.42578125" style="26" bestFit="1" customWidth="1"/>
    <col min="5648" max="5883" width="11.42578125" style="26"/>
    <col min="5884" max="5884" width="18.140625" style="26" customWidth="1"/>
    <col min="5885" max="5886" width="8.5703125" style="26" bestFit="1" customWidth="1"/>
    <col min="5887" max="5888" width="8.5703125" style="26" customWidth="1"/>
    <col min="5889" max="5889" width="9.42578125" style="26" bestFit="1" customWidth="1"/>
    <col min="5890" max="5890" width="7.5703125" style="26" bestFit="1" customWidth="1"/>
    <col min="5891" max="5892" width="7.5703125" style="26" customWidth="1"/>
    <col min="5893" max="5893" width="9.7109375" style="26" customWidth="1"/>
    <col min="5894" max="5899" width="0" style="26" hidden="1" customWidth="1"/>
    <col min="5900" max="5900" width="11.140625" style="26" customWidth="1"/>
    <col min="5901" max="5902" width="11.42578125" style="26"/>
    <col min="5903" max="5903" width="12.42578125" style="26" bestFit="1" customWidth="1"/>
    <col min="5904" max="6139" width="11.42578125" style="26"/>
    <col min="6140" max="6140" width="18.140625" style="26" customWidth="1"/>
    <col min="6141" max="6142" width="8.5703125" style="26" bestFit="1" customWidth="1"/>
    <col min="6143" max="6144" width="8.5703125" style="26" customWidth="1"/>
    <col min="6145" max="6145" width="9.42578125" style="26" bestFit="1" customWidth="1"/>
    <col min="6146" max="6146" width="7.5703125" style="26" bestFit="1" customWidth="1"/>
    <col min="6147" max="6148" width="7.5703125" style="26" customWidth="1"/>
    <col min="6149" max="6149" width="9.7109375" style="26" customWidth="1"/>
    <col min="6150" max="6155" width="0" style="26" hidden="1" customWidth="1"/>
    <col min="6156" max="6156" width="11.140625" style="26" customWidth="1"/>
    <col min="6157" max="6158" width="11.42578125" style="26"/>
    <col min="6159" max="6159" width="12.42578125" style="26" bestFit="1" customWidth="1"/>
    <col min="6160" max="6395" width="11.42578125" style="26"/>
    <col min="6396" max="6396" width="18.140625" style="26" customWidth="1"/>
    <col min="6397" max="6398" width="8.5703125" style="26" bestFit="1" customWidth="1"/>
    <col min="6399" max="6400" width="8.5703125" style="26" customWidth="1"/>
    <col min="6401" max="6401" width="9.42578125" style="26" bestFit="1" customWidth="1"/>
    <col min="6402" max="6402" width="7.5703125" style="26" bestFit="1" customWidth="1"/>
    <col min="6403" max="6404" width="7.5703125" style="26" customWidth="1"/>
    <col min="6405" max="6405" width="9.7109375" style="26" customWidth="1"/>
    <col min="6406" max="6411" width="0" style="26" hidden="1" customWidth="1"/>
    <col min="6412" max="6412" width="11.140625" style="26" customWidth="1"/>
    <col min="6413" max="6414" width="11.42578125" style="26"/>
    <col min="6415" max="6415" width="12.42578125" style="26" bestFit="1" customWidth="1"/>
    <col min="6416" max="6651" width="11.42578125" style="26"/>
    <col min="6652" max="6652" width="18.140625" style="26" customWidth="1"/>
    <col min="6653" max="6654" width="8.5703125" style="26" bestFit="1" customWidth="1"/>
    <col min="6655" max="6656" width="8.5703125" style="26" customWidth="1"/>
    <col min="6657" max="6657" width="9.42578125" style="26" bestFit="1" customWidth="1"/>
    <col min="6658" max="6658" width="7.5703125" style="26" bestFit="1" customWidth="1"/>
    <col min="6659" max="6660" width="7.5703125" style="26" customWidth="1"/>
    <col min="6661" max="6661" width="9.7109375" style="26" customWidth="1"/>
    <col min="6662" max="6667" width="0" style="26" hidden="1" customWidth="1"/>
    <col min="6668" max="6668" width="11.140625" style="26" customWidth="1"/>
    <col min="6669" max="6670" width="11.42578125" style="26"/>
    <col min="6671" max="6671" width="12.42578125" style="26" bestFit="1" customWidth="1"/>
    <col min="6672" max="6907" width="11.42578125" style="26"/>
    <col min="6908" max="6908" width="18.140625" style="26" customWidth="1"/>
    <col min="6909" max="6910" width="8.5703125" style="26" bestFit="1" customWidth="1"/>
    <col min="6911" max="6912" width="8.5703125" style="26" customWidth="1"/>
    <col min="6913" max="6913" width="9.42578125" style="26" bestFit="1" customWidth="1"/>
    <col min="6914" max="6914" width="7.5703125" style="26" bestFit="1" customWidth="1"/>
    <col min="6915" max="6916" width="7.5703125" style="26" customWidth="1"/>
    <col min="6917" max="6917" width="9.7109375" style="26" customWidth="1"/>
    <col min="6918" max="6923" width="0" style="26" hidden="1" customWidth="1"/>
    <col min="6924" max="6924" width="11.140625" style="26" customWidth="1"/>
    <col min="6925" max="6926" width="11.42578125" style="26"/>
    <col min="6927" max="6927" width="12.42578125" style="26" bestFit="1" customWidth="1"/>
    <col min="6928" max="7163" width="11.42578125" style="26"/>
    <col min="7164" max="7164" width="18.140625" style="26" customWidth="1"/>
    <col min="7165" max="7166" width="8.5703125" style="26" bestFit="1" customWidth="1"/>
    <col min="7167" max="7168" width="8.5703125" style="26" customWidth="1"/>
    <col min="7169" max="7169" width="9.42578125" style="26" bestFit="1" customWidth="1"/>
    <col min="7170" max="7170" width="7.5703125" style="26" bestFit="1" customWidth="1"/>
    <col min="7171" max="7172" width="7.5703125" style="26" customWidth="1"/>
    <col min="7173" max="7173" width="9.7109375" style="26" customWidth="1"/>
    <col min="7174" max="7179" width="0" style="26" hidden="1" customWidth="1"/>
    <col min="7180" max="7180" width="11.140625" style="26" customWidth="1"/>
    <col min="7181" max="7182" width="11.42578125" style="26"/>
    <col min="7183" max="7183" width="12.42578125" style="26" bestFit="1" customWidth="1"/>
    <col min="7184" max="7419" width="11.42578125" style="26"/>
    <col min="7420" max="7420" width="18.140625" style="26" customWidth="1"/>
    <col min="7421" max="7422" width="8.5703125" style="26" bestFit="1" customWidth="1"/>
    <col min="7423" max="7424" width="8.5703125" style="26" customWidth="1"/>
    <col min="7425" max="7425" width="9.42578125" style="26" bestFit="1" customWidth="1"/>
    <col min="7426" max="7426" width="7.5703125" style="26" bestFit="1" customWidth="1"/>
    <col min="7427" max="7428" width="7.5703125" style="26" customWidth="1"/>
    <col min="7429" max="7429" width="9.7109375" style="26" customWidth="1"/>
    <col min="7430" max="7435" width="0" style="26" hidden="1" customWidth="1"/>
    <col min="7436" max="7436" width="11.140625" style="26" customWidth="1"/>
    <col min="7437" max="7438" width="11.42578125" style="26"/>
    <col min="7439" max="7439" width="12.42578125" style="26" bestFit="1" customWidth="1"/>
    <col min="7440" max="7675" width="11.42578125" style="26"/>
    <col min="7676" max="7676" width="18.140625" style="26" customWidth="1"/>
    <col min="7677" max="7678" width="8.5703125" style="26" bestFit="1" customWidth="1"/>
    <col min="7679" max="7680" width="8.5703125" style="26" customWidth="1"/>
    <col min="7681" max="7681" width="9.42578125" style="26" bestFit="1" customWidth="1"/>
    <col min="7682" max="7682" width="7.5703125" style="26" bestFit="1" customWidth="1"/>
    <col min="7683" max="7684" width="7.5703125" style="26" customWidth="1"/>
    <col min="7685" max="7685" width="9.7109375" style="26" customWidth="1"/>
    <col min="7686" max="7691" width="0" style="26" hidden="1" customWidth="1"/>
    <col min="7692" max="7692" width="11.140625" style="26" customWidth="1"/>
    <col min="7693" max="7694" width="11.42578125" style="26"/>
    <col min="7695" max="7695" width="12.42578125" style="26" bestFit="1" customWidth="1"/>
    <col min="7696" max="7931" width="11.42578125" style="26"/>
    <col min="7932" max="7932" width="18.140625" style="26" customWidth="1"/>
    <col min="7933" max="7934" width="8.5703125" style="26" bestFit="1" customWidth="1"/>
    <col min="7935" max="7936" width="8.5703125" style="26" customWidth="1"/>
    <col min="7937" max="7937" width="9.42578125" style="26" bestFit="1" customWidth="1"/>
    <col min="7938" max="7938" width="7.5703125" style="26" bestFit="1" customWidth="1"/>
    <col min="7939" max="7940" width="7.5703125" style="26" customWidth="1"/>
    <col min="7941" max="7941" width="9.7109375" style="26" customWidth="1"/>
    <col min="7942" max="7947" width="0" style="26" hidden="1" customWidth="1"/>
    <col min="7948" max="7948" width="11.140625" style="26" customWidth="1"/>
    <col min="7949" max="7950" width="11.42578125" style="26"/>
    <col min="7951" max="7951" width="12.42578125" style="26" bestFit="1" customWidth="1"/>
    <col min="7952" max="8187" width="11.42578125" style="26"/>
    <col min="8188" max="8188" width="18.140625" style="26" customWidth="1"/>
    <col min="8189" max="8190" width="8.5703125" style="26" bestFit="1" customWidth="1"/>
    <col min="8191" max="8192" width="8.5703125" style="26" customWidth="1"/>
    <col min="8193" max="8193" width="9.42578125" style="26" bestFit="1" customWidth="1"/>
    <col min="8194" max="8194" width="7.5703125" style="26" bestFit="1" customWidth="1"/>
    <col min="8195" max="8196" width="7.5703125" style="26" customWidth="1"/>
    <col min="8197" max="8197" width="9.7109375" style="26" customWidth="1"/>
    <col min="8198" max="8203" width="0" style="26" hidden="1" customWidth="1"/>
    <col min="8204" max="8204" width="11.140625" style="26" customWidth="1"/>
    <col min="8205" max="8206" width="11.42578125" style="26"/>
    <col min="8207" max="8207" width="12.42578125" style="26" bestFit="1" customWidth="1"/>
    <col min="8208" max="8443" width="11.42578125" style="26"/>
    <col min="8444" max="8444" width="18.140625" style="26" customWidth="1"/>
    <col min="8445" max="8446" width="8.5703125" style="26" bestFit="1" customWidth="1"/>
    <col min="8447" max="8448" width="8.5703125" style="26" customWidth="1"/>
    <col min="8449" max="8449" width="9.42578125" style="26" bestFit="1" customWidth="1"/>
    <col min="8450" max="8450" width="7.5703125" style="26" bestFit="1" customWidth="1"/>
    <col min="8451" max="8452" width="7.5703125" style="26" customWidth="1"/>
    <col min="8453" max="8453" width="9.7109375" style="26" customWidth="1"/>
    <col min="8454" max="8459" width="0" style="26" hidden="1" customWidth="1"/>
    <col min="8460" max="8460" width="11.140625" style="26" customWidth="1"/>
    <col min="8461" max="8462" width="11.42578125" style="26"/>
    <col min="8463" max="8463" width="12.42578125" style="26" bestFit="1" customWidth="1"/>
    <col min="8464" max="8699" width="11.42578125" style="26"/>
    <col min="8700" max="8700" width="18.140625" style="26" customWidth="1"/>
    <col min="8701" max="8702" width="8.5703125" style="26" bestFit="1" customWidth="1"/>
    <col min="8703" max="8704" width="8.5703125" style="26" customWidth="1"/>
    <col min="8705" max="8705" width="9.42578125" style="26" bestFit="1" customWidth="1"/>
    <col min="8706" max="8706" width="7.5703125" style="26" bestFit="1" customWidth="1"/>
    <col min="8707" max="8708" width="7.5703125" style="26" customWidth="1"/>
    <col min="8709" max="8709" width="9.7109375" style="26" customWidth="1"/>
    <col min="8710" max="8715" width="0" style="26" hidden="1" customWidth="1"/>
    <col min="8716" max="8716" width="11.140625" style="26" customWidth="1"/>
    <col min="8717" max="8718" width="11.42578125" style="26"/>
    <col min="8719" max="8719" width="12.42578125" style="26" bestFit="1" customWidth="1"/>
    <col min="8720" max="8955" width="11.42578125" style="26"/>
    <col min="8956" max="8956" width="18.140625" style="26" customWidth="1"/>
    <col min="8957" max="8958" width="8.5703125" style="26" bestFit="1" customWidth="1"/>
    <col min="8959" max="8960" width="8.5703125" style="26" customWidth="1"/>
    <col min="8961" max="8961" width="9.42578125" style="26" bestFit="1" customWidth="1"/>
    <col min="8962" max="8962" width="7.5703125" style="26" bestFit="1" customWidth="1"/>
    <col min="8963" max="8964" width="7.5703125" style="26" customWidth="1"/>
    <col min="8965" max="8965" width="9.7109375" style="26" customWidth="1"/>
    <col min="8966" max="8971" width="0" style="26" hidden="1" customWidth="1"/>
    <col min="8972" max="8972" width="11.140625" style="26" customWidth="1"/>
    <col min="8973" max="8974" width="11.42578125" style="26"/>
    <col min="8975" max="8975" width="12.42578125" style="26" bestFit="1" customWidth="1"/>
    <col min="8976" max="9211" width="11.42578125" style="26"/>
    <col min="9212" max="9212" width="18.140625" style="26" customWidth="1"/>
    <col min="9213" max="9214" width="8.5703125" style="26" bestFit="1" customWidth="1"/>
    <col min="9215" max="9216" width="8.5703125" style="26" customWidth="1"/>
    <col min="9217" max="9217" width="9.42578125" style="26" bestFit="1" customWidth="1"/>
    <col min="9218" max="9218" width="7.5703125" style="26" bestFit="1" customWidth="1"/>
    <col min="9219" max="9220" width="7.5703125" style="26" customWidth="1"/>
    <col min="9221" max="9221" width="9.7109375" style="26" customWidth="1"/>
    <col min="9222" max="9227" width="0" style="26" hidden="1" customWidth="1"/>
    <col min="9228" max="9228" width="11.140625" style="26" customWidth="1"/>
    <col min="9229" max="9230" width="11.42578125" style="26"/>
    <col min="9231" max="9231" width="12.42578125" style="26" bestFit="1" customWidth="1"/>
    <col min="9232" max="9467" width="11.42578125" style="26"/>
    <col min="9468" max="9468" width="18.140625" style="26" customWidth="1"/>
    <col min="9469" max="9470" width="8.5703125" style="26" bestFit="1" customWidth="1"/>
    <col min="9471" max="9472" width="8.5703125" style="26" customWidth="1"/>
    <col min="9473" max="9473" width="9.42578125" style="26" bestFit="1" customWidth="1"/>
    <col min="9474" max="9474" width="7.5703125" style="26" bestFit="1" customWidth="1"/>
    <col min="9475" max="9476" width="7.5703125" style="26" customWidth="1"/>
    <col min="9477" max="9477" width="9.7109375" style="26" customWidth="1"/>
    <col min="9478" max="9483" width="0" style="26" hidden="1" customWidth="1"/>
    <col min="9484" max="9484" width="11.140625" style="26" customWidth="1"/>
    <col min="9485" max="9486" width="11.42578125" style="26"/>
    <col min="9487" max="9487" width="12.42578125" style="26" bestFit="1" customWidth="1"/>
    <col min="9488" max="9723" width="11.42578125" style="26"/>
    <col min="9724" max="9724" width="18.140625" style="26" customWidth="1"/>
    <col min="9725" max="9726" width="8.5703125" style="26" bestFit="1" customWidth="1"/>
    <col min="9727" max="9728" width="8.5703125" style="26" customWidth="1"/>
    <col min="9729" max="9729" width="9.42578125" style="26" bestFit="1" customWidth="1"/>
    <col min="9730" max="9730" width="7.5703125" style="26" bestFit="1" customWidth="1"/>
    <col min="9731" max="9732" width="7.5703125" style="26" customWidth="1"/>
    <col min="9733" max="9733" width="9.7109375" style="26" customWidth="1"/>
    <col min="9734" max="9739" width="0" style="26" hidden="1" customWidth="1"/>
    <col min="9740" max="9740" width="11.140625" style="26" customWidth="1"/>
    <col min="9741" max="9742" width="11.42578125" style="26"/>
    <col min="9743" max="9743" width="12.42578125" style="26" bestFit="1" customWidth="1"/>
    <col min="9744" max="9979" width="11.42578125" style="26"/>
    <col min="9980" max="9980" width="18.140625" style="26" customWidth="1"/>
    <col min="9981" max="9982" width="8.5703125" style="26" bestFit="1" customWidth="1"/>
    <col min="9983" max="9984" width="8.5703125" style="26" customWidth="1"/>
    <col min="9985" max="9985" width="9.42578125" style="26" bestFit="1" customWidth="1"/>
    <col min="9986" max="9986" width="7.5703125" style="26" bestFit="1" customWidth="1"/>
    <col min="9987" max="9988" width="7.5703125" style="26" customWidth="1"/>
    <col min="9989" max="9989" width="9.7109375" style="26" customWidth="1"/>
    <col min="9990" max="9995" width="0" style="26" hidden="1" customWidth="1"/>
    <col min="9996" max="9996" width="11.140625" style="26" customWidth="1"/>
    <col min="9997" max="9998" width="11.42578125" style="26"/>
    <col min="9999" max="9999" width="12.42578125" style="26" bestFit="1" customWidth="1"/>
    <col min="10000" max="10235" width="11.42578125" style="26"/>
    <col min="10236" max="10236" width="18.140625" style="26" customWidth="1"/>
    <col min="10237" max="10238" width="8.5703125" style="26" bestFit="1" customWidth="1"/>
    <col min="10239" max="10240" width="8.5703125" style="26" customWidth="1"/>
    <col min="10241" max="10241" width="9.42578125" style="26" bestFit="1" customWidth="1"/>
    <col min="10242" max="10242" width="7.5703125" style="26" bestFit="1" customWidth="1"/>
    <col min="10243" max="10244" width="7.5703125" style="26" customWidth="1"/>
    <col min="10245" max="10245" width="9.7109375" style="26" customWidth="1"/>
    <col min="10246" max="10251" width="0" style="26" hidden="1" customWidth="1"/>
    <col min="10252" max="10252" width="11.140625" style="26" customWidth="1"/>
    <col min="10253" max="10254" width="11.42578125" style="26"/>
    <col min="10255" max="10255" width="12.42578125" style="26" bestFit="1" customWidth="1"/>
    <col min="10256" max="10491" width="11.42578125" style="26"/>
    <col min="10492" max="10492" width="18.140625" style="26" customWidth="1"/>
    <col min="10493" max="10494" width="8.5703125" style="26" bestFit="1" customWidth="1"/>
    <col min="10495" max="10496" width="8.5703125" style="26" customWidth="1"/>
    <col min="10497" max="10497" width="9.42578125" style="26" bestFit="1" customWidth="1"/>
    <col min="10498" max="10498" width="7.5703125" style="26" bestFit="1" customWidth="1"/>
    <col min="10499" max="10500" width="7.5703125" style="26" customWidth="1"/>
    <col min="10501" max="10501" width="9.7109375" style="26" customWidth="1"/>
    <col min="10502" max="10507" width="0" style="26" hidden="1" customWidth="1"/>
    <col min="10508" max="10508" width="11.140625" style="26" customWidth="1"/>
    <col min="10509" max="10510" width="11.42578125" style="26"/>
    <col min="10511" max="10511" width="12.42578125" style="26" bestFit="1" customWidth="1"/>
    <col min="10512" max="10747" width="11.42578125" style="26"/>
    <col min="10748" max="10748" width="18.140625" style="26" customWidth="1"/>
    <col min="10749" max="10750" width="8.5703125" style="26" bestFit="1" customWidth="1"/>
    <col min="10751" max="10752" width="8.5703125" style="26" customWidth="1"/>
    <col min="10753" max="10753" width="9.42578125" style="26" bestFit="1" customWidth="1"/>
    <col min="10754" max="10754" width="7.5703125" style="26" bestFit="1" customWidth="1"/>
    <col min="10755" max="10756" width="7.5703125" style="26" customWidth="1"/>
    <col min="10757" max="10757" width="9.7109375" style="26" customWidth="1"/>
    <col min="10758" max="10763" width="0" style="26" hidden="1" customWidth="1"/>
    <col min="10764" max="10764" width="11.140625" style="26" customWidth="1"/>
    <col min="10765" max="10766" width="11.42578125" style="26"/>
    <col min="10767" max="10767" width="12.42578125" style="26" bestFit="1" customWidth="1"/>
    <col min="10768" max="11003" width="11.42578125" style="26"/>
    <col min="11004" max="11004" width="18.140625" style="26" customWidth="1"/>
    <col min="11005" max="11006" width="8.5703125" style="26" bestFit="1" customWidth="1"/>
    <col min="11007" max="11008" width="8.5703125" style="26" customWidth="1"/>
    <col min="11009" max="11009" width="9.42578125" style="26" bestFit="1" customWidth="1"/>
    <col min="11010" max="11010" width="7.5703125" style="26" bestFit="1" customWidth="1"/>
    <col min="11011" max="11012" width="7.5703125" style="26" customWidth="1"/>
    <col min="11013" max="11013" width="9.7109375" style="26" customWidth="1"/>
    <col min="11014" max="11019" width="0" style="26" hidden="1" customWidth="1"/>
    <col min="11020" max="11020" width="11.140625" style="26" customWidth="1"/>
    <col min="11021" max="11022" width="11.42578125" style="26"/>
    <col min="11023" max="11023" width="12.42578125" style="26" bestFit="1" customWidth="1"/>
    <col min="11024" max="11259" width="11.42578125" style="26"/>
    <col min="11260" max="11260" width="18.140625" style="26" customWidth="1"/>
    <col min="11261" max="11262" width="8.5703125" style="26" bestFit="1" customWidth="1"/>
    <col min="11263" max="11264" width="8.5703125" style="26" customWidth="1"/>
    <col min="11265" max="11265" width="9.42578125" style="26" bestFit="1" customWidth="1"/>
    <col min="11266" max="11266" width="7.5703125" style="26" bestFit="1" customWidth="1"/>
    <col min="11267" max="11268" width="7.5703125" style="26" customWidth="1"/>
    <col min="11269" max="11269" width="9.7109375" style="26" customWidth="1"/>
    <col min="11270" max="11275" width="0" style="26" hidden="1" customWidth="1"/>
    <col min="11276" max="11276" width="11.140625" style="26" customWidth="1"/>
    <col min="11277" max="11278" width="11.42578125" style="26"/>
    <col min="11279" max="11279" width="12.42578125" style="26" bestFit="1" customWidth="1"/>
    <col min="11280" max="11515" width="11.42578125" style="26"/>
    <col min="11516" max="11516" width="18.140625" style="26" customWidth="1"/>
    <col min="11517" max="11518" width="8.5703125" style="26" bestFit="1" customWidth="1"/>
    <col min="11519" max="11520" width="8.5703125" style="26" customWidth="1"/>
    <col min="11521" max="11521" width="9.42578125" style="26" bestFit="1" customWidth="1"/>
    <col min="11522" max="11522" width="7.5703125" style="26" bestFit="1" customWidth="1"/>
    <col min="11523" max="11524" width="7.5703125" style="26" customWidth="1"/>
    <col min="11525" max="11525" width="9.7109375" style="26" customWidth="1"/>
    <col min="11526" max="11531" width="0" style="26" hidden="1" customWidth="1"/>
    <col min="11532" max="11532" width="11.140625" style="26" customWidth="1"/>
    <col min="11533" max="11534" width="11.42578125" style="26"/>
    <col min="11535" max="11535" width="12.42578125" style="26" bestFit="1" customWidth="1"/>
    <col min="11536" max="11771" width="11.42578125" style="26"/>
    <col min="11772" max="11772" width="18.140625" style="26" customWidth="1"/>
    <col min="11773" max="11774" width="8.5703125" style="26" bestFit="1" customWidth="1"/>
    <col min="11775" max="11776" width="8.5703125" style="26" customWidth="1"/>
    <col min="11777" max="11777" width="9.42578125" style="26" bestFit="1" customWidth="1"/>
    <col min="11778" max="11778" width="7.5703125" style="26" bestFit="1" customWidth="1"/>
    <col min="11779" max="11780" width="7.5703125" style="26" customWidth="1"/>
    <col min="11781" max="11781" width="9.7109375" style="26" customWidth="1"/>
    <col min="11782" max="11787" width="0" style="26" hidden="1" customWidth="1"/>
    <col min="11788" max="11788" width="11.140625" style="26" customWidth="1"/>
    <col min="11789" max="11790" width="11.42578125" style="26"/>
    <col min="11791" max="11791" width="12.42578125" style="26" bestFit="1" customWidth="1"/>
    <col min="11792" max="12027" width="11.42578125" style="26"/>
    <col min="12028" max="12028" width="18.140625" style="26" customWidth="1"/>
    <col min="12029" max="12030" width="8.5703125" style="26" bestFit="1" customWidth="1"/>
    <col min="12031" max="12032" width="8.5703125" style="26" customWidth="1"/>
    <col min="12033" max="12033" width="9.42578125" style="26" bestFit="1" customWidth="1"/>
    <col min="12034" max="12034" width="7.5703125" style="26" bestFit="1" customWidth="1"/>
    <col min="12035" max="12036" width="7.5703125" style="26" customWidth="1"/>
    <col min="12037" max="12037" width="9.7109375" style="26" customWidth="1"/>
    <col min="12038" max="12043" width="0" style="26" hidden="1" customWidth="1"/>
    <col min="12044" max="12044" width="11.140625" style="26" customWidth="1"/>
    <col min="12045" max="12046" width="11.42578125" style="26"/>
    <col min="12047" max="12047" width="12.42578125" style="26" bestFit="1" customWidth="1"/>
    <col min="12048" max="12283" width="11.42578125" style="26"/>
    <col min="12284" max="12284" width="18.140625" style="26" customWidth="1"/>
    <col min="12285" max="12286" width="8.5703125" style="26" bestFit="1" customWidth="1"/>
    <col min="12287" max="12288" width="8.5703125" style="26" customWidth="1"/>
    <col min="12289" max="12289" width="9.42578125" style="26" bestFit="1" customWidth="1"/>
    <col min="12290" max="12290" width="7.5703125" style="26" bestFit="1" customWidth="1"/>
    <col min="12291" max="12292" width="7.5703125" style="26" customWidth="1"/>
    <col min="12293" max="12293" width="9.7109375" style="26" customWidth="1"/>
    <col min="12294" max="12299" width="0" style="26" hidden="1" customWidth="1"/>
    <col min="12300" max="12300" width="11.140625" style="26" customWidth="1"/>
    <col min="12301" max="12302" width="11.42578125" style="26"/>
    <col min="12303" max="12303" width="12.42578125" style="26" bestFit="1" customWidth="1"/>
    <col min="12304" max="12539" width="11.42578125" style="26"/>
    <col min="12540" max="12540" width="18.140625" style="26" customWidth="1"/>
    <col min="12541" max="12542" width="8.5703125" style="26" bestFit="1" customWidth="1"/>
    <col min="12543" max="12544" width="8.5703125" style="26" customWidth="1"/>
    <col min="12545" max="12545" width="9.42578125" style="26" bestFit="1" customWidth="1"/>
    <col min="12546" max="12546" width="7.5703125" style="26" bestFit="1" customWidth="1"/>
    <col min="12547" max="12548" width="7.5703125" style="26" customWidth="1"/>
    <col min="12549" max="12549" width="9.7109375" style="26" customWidth="1"/>
    <col min="12550" max="12555" width="0" style="26" hidden="1" customWidth="1"/>
    <col min="12556" max="12556" width="11.140625" style="26" customWidth="1"/>
    <col min="12557" max="12558" width="11.42578125" style="26"/>
    <col min="12559" max="12559" width="12.42578125" style="26" bestFit="1" customWidth="1"/>
    <col min="12560" max="12795" width="11.42578125" style="26"/>
    <col min="12796" max="12796" width="18.140625" style="26" customWidth="1"/>
    <col min="12797" max="12798" width="8.5703125" style="26" bestFit="1" customWidth="1"/>
    <col min="12799" max="12800" width="8.5703125" style="26" customWidth="1"/>
    <col min="12801" max="12801" width="9.42578125" style="26" bestFit="1" customWidth="1"/>
    <col min="12802" max="12802" width="7.5703125" style="26" bestFit="1" customWidth="1"/>
    <col min="12803" max="12804" width="7.5703125" style="26" customWidth="1"/>
    <col min="12805" max="12805" width="9.7109375" style="26" customWidth="1"/>
    <col min="12806" max="12811" width="0" style="26" hidden="1" customWidth="1"/>
    <col min="12812" max="12812" width="11.140625" style="26" customWidth="1"/>
    <col min="12813" max="12814" width="11.42578125" style="26"/>
    <col min="12815" max="12815" width="12.42578125" style="26" bestFit="1" customWidth="1"/>
    <col min="12816" max="13051" width="11.42578125" style="26"/>
    <col min="13052" max="13052" width="18.140625" style="26" customWidth="1"/>
    <col min="13053" max="13054" width="8.5703125" style="26" bestFit="1" customWidth="1"/>
    <col min="13055" max="13056" width="8.5703125" style="26" customWidth="1"/>
    <col min="13057" max="13057" width="9.42578125" style="26" bestFit="1" customWidth="1"/>
    <col min="13058" max="13058" width="7.5703125" style="26" bestFit="1" customWidth="1"/>
    <col min="13059" max="13060" width="7.5703125" style="26" customWidth="1"/>
    <col min="13061" max="13061" width="9.7109375" style="26" customWidth="1"/>
    <col min="13062" max="13067" width="0" style="26" hidden="1" customWidth="1"/>
    <col min="13068" max="13068" width="11.140625" style="26" customWidth="1"/>
    <col min="13069" max="13070" width="11.42578125" style="26"/>
    <col min="13071" max="13071" width="12.42578125" style="26" bestFit="1" customWidth="1"/>
    <col min="13072" max="13307" width="11.42578125" style="26"/>
    <col min="13308" max="13308" width="18.140625" style="26" customWidth="1"/>
    <col min="13309" max="13310" width="8.5703125" style="26" bestFit="1" customWidth="1"/>
    <col min="13311" max="13312" width="8.5703125" style="26" customWidth="1"/>
    <col min="13313" max="13313" width="9.42578125" style="26" bestFit="1" customWidth="1"/>
    <col min="13314" max="13314" width="7.5703125" style="26" bestFit="1" customWidth="1"/>
    <col min="13315" max="13316" width="7.5703125" style="26" customWidth="1"/>
    <col min="13317" max="13317" width="9.7109375" style="26" customWidth="1"/>
    <col min="13318" max="13323" width="0" style="26" hidden="1" customWidth="1"/>
    <col min="13324" max="13324" width="11.140625" style="26" customWidth="1"/>
    <col min="13325" max="13326" width="11.42578125" style="26"/>
    <col min="13327" max="13327" width="12.42578125" style="26" bestFit="1" customWidth="1"/>
    <col min="13328" max="13563" width="11.42578125" style="26"/>
    <col min="13564" max="13564" width="18.140625" style="26" customWidth="1"/>
    <col min="13565" max="13566" width="8.5703125" style="26" bestFit="1" customWidth="1"/>
    <col min="13567" max="13568" width="8.5703125" style="26" customWidth="1"/>
    <col min="13569" max="13569" width="9.42578125" style="26" bestFit="1" customWidth="1"/>
    <col min="13570" max="13570" width="7.5703125" style="26" bestFit="1" customWidth="1"/>
    <col min="13571" max="13572" width="7.5703125" style="26" customWidth="1"/>
    <col min="13573" max="13573" width="9.7109375" style="26" customWidth="1"/>
    <col min="13574" max="13579" width="0" style="26" hidden="1" customWidth="1"/>
    <col min="13580" max="13580" width="11.140625" style="26" customWidth="1"/>
    <col min="13581" max="13582" width="11.42578125" style="26"/>
    <col min="13583" max="13583" width="12.42578125" style="26" bestFit="1" customWidth="1"/>
    <col min="13584" max="13819" width="11.42578125" style="26"/>
    <col min="13820" max="13820" width="18.140625" style="26" customWidth="1"/>
    <col min="13821" max="13822" width="8.5703125" style="26" bestFit="1" customWidth="1"/>
    <col min="13823" max="13824" width="8.5703125" style="26" customWidth="1"/>
    <col min="13825" max="13825" width="9.42578125" style="26" bestFit="1" customWidth="1"/>
    <col min="13826" max="13826" width="7.5703125" style="26" bestFit="1" customWidth="1"/>
    <col min="13827" max="13828" width="7.5703125" style="26" customWidth="1"/>
    <col min="13829" max="13829" width="9.7109375" style="26" customWidth="1"/>
    <col min="13830" max="13835" width="0" style="26" hidden="1" customWidth="1"/>
    <col min="13836" max="13836" width="11.140625" style="26" customWidth="1"/>
    <col min="13837" max="13838" width="11.42578125" style="26"/>
    <col min="13839" max="13839" width="12.42578125" style="26" bestFit="1" customWidth="1"/>
    <col min="13840" max="14075" width="11.42578125" style="26"/>
    <col min="14076" max="14076" width="18.140625" style="26" customWidth="1"/>
    <col min="14077" max="14078" width="8.5703125" style="26" bestFit="1" customWidth="1"/>
    <col min="14079" max="14080" width="8.5703125" style="26" customWidth="1"/>
    <col min="14081" max="14081" width="9.42578125" style="26" bestFit="1" customWidth="1"/>
    <col min="14082" max="14082" width="7.5703125" style="26" bestFit="1" customWidth="1"/>
    <col min="14083" max="14084" width="7.5703125" style="26" customWidth="1"/>
    <col min="14085" max="14085" width="9.7109375" style="26" customWidth="1"/>
    <col min="14086" max="14091" width="0" style="26" hidden="1" customWidth="1"/>
    <col min="14092" max="14092" width="11.140625" style="26" customWidth="1"/>
    <col min="14093" max="14094" width="11.42578125" style="26"/>
    <col min="14095" max="14095" width="12.42578125" style="26" bestFit="1" customWidth="1"/>
    <col min="14096" max="14331" width="11.42578125" style="26"/>
    <col min="14332" max="14332" width="18.140625" style="26" customWidth="1"/>
    <col min="14333" max="14334" width="8.5703125" style="26" bestFit="1" customWidth="1"/>
    <col min="14335" max="14336" width="8.5703125" style="26" customWidth="1"/>
    <col min="14337" max="14337" width="9.42578125" style="26" bestFit="1" customWidth="1"/>
    <col min="14338" max="14338" width="7.5703125" style="26" bestFit="1" customWidth="1"/>
    <col min="14339" max="14340" width="7.5703125" style="26" customWidth="1"/>
    <col min="14341" max="14341" width="9.7109375" style="26" customWidth="1"/>
    <col min="14342" max="14347" width="0" style="26" hidden="1" customWidth="1"/>
    <col min="14348" max="14348" width="11.140625" style="26" customWidth="1"/>
    <col min="14349" max="14350" width="11.42578125" style="26"/>
    <col min="14351" max="14351" width="12.42578125" style="26" bestFit="1" customWidth="1"/>
    <col min="14352" max="14587" width="11.42578125" style="26"/>
    <col min="14588" max="14588" width="18.140625" style="26" customWidth="1"/>
    <col min="14589" max="14590" width="8.5703125" style="26" bestFit="1" customWidth="1"/>
    <col min="14591" max="14592" width="8.5703125" style="26" customWidth="1"/>
    <col min="14593" max="14593" width="9.42578125" style="26" bestFit="1" customWidth="1"/>
    <col min="14594" max="14594" width="7.5703125" style="26" bestFit="1" customWidth="1"/>
    <col min="14595" max="14596" width="7.5703125" style="26" customWidth="1"/>
    <col min="14597" max="14597" width="9.7109375" style="26" customWidth="1"/>
    <col min="14598" max="14603" width="0" style="26" hidden="1" customWidth="1"/>
    <col min="14604" max="14604" width="11.140625" style="26" customWidth="1"/>
    <col min="14605" max="14606" width="11.42578125" style="26"/>
    <col min="14607" max="14607" width="12.42578125" style="26" bestFit="1" customWidth="1"/>
    <col min="14608" max="14843" width="11.42578125" style="26"/>
    <col min="14844" max="14844" width="18.140625" style="26" customWidth="1"/>
    <col min="14845" max="14846" width="8.5703125" style="26" bestFit="1" customWidth="1"/>
    <col min="14847" max="14848" width="8.5703125" style="26" customWidth="1"/>
    <col min="14849" max="14849" width="9.42578125" style="26" bestFit="1" customWidth="1"/>
    <col min="14850" max="14850" width="7.5703125" style="26" bestFit="1" customWidth="1"/>
    <col min="14851" max="14852" width="7.5703125" style="26" customWidth="1"/>
    <col min="14853" max="14853" width="9.7109375" style="26" customWidth="1"/>
    <col min="14854" max="14859" width="0" style="26" hidden="1" customWidth="1"/>
    <col min="14860" max="14860" width="11.140625" style="26" customWidth="1"/>
    <col min="14861" max="14862" width="11.42578125" style="26"/>
    <col min="14863" max="14863" width="12.42578125" style="26" bestFit="1" customWidth="1"/>
    <col min="14864" max="15099" width="11.42578125" style="26"/>
    <col min="15100" max="15100" width="18.140625" style="26" customWidth="1"/>
    <col min="15101" max="15102" width="8.5703125" style="26" bestFit="1" customWidth="1"/>
    <col min="15103" max="15104" width="8.5703125" style="26" customWidth="1"/>
    <col min="15105" max="15105" width="9.42578125" style="26" bestFit="1" customWidth="1"/>
    <col min="15106" max="15106" width="7.5703125" style="26" bestFit="1" customWidth="1"/>
    <col min="15107" max="15108" width="7.5703125" style="26" customWidth="1"/>
    <col min="15109" max="15109" width="9.7109375" style="26" customWidth="1"/>
    <col min="15110" max="15115" width="0" style="26" hidden="1" customWidth="1"/>
    <col min="15116" max="15116" width="11.140625" style="26" customWidth="1"/>
    <col min="15117" max="15118" width="11.42578125" style="26"/>
    <col min="15119" max="15119" width="12.42578125" style="26" bestFit="1" customWidth="1"/>
    <col min="15120" max="15355" width="11.42578125" style="26"/>
    <col min="15356" max="15356" width="18.140625" style="26" customWidth="1"/>
    <col min="15357" max="15358" width="8.5703125" style="26" bestFit="1" customWidth="1"/>
    <col min="15359" max="15360" width="8.5703125" style="26" customWidth="1"/>
    <col min="15361" max="15361" width="9.42578125" style="26" bestFit="1" customWidth="1"/>
    <col min="15362" max="15362" width="7.5703125" style="26" bestFit="1" customWidth="1"/>
    <col min="15363" max="15364" width="7.5703125" style="26" customWidth="1"/>
    <col min="15365" max="15365" width="9.7109375" style="26" customWidth="1"/>
    <col min="15366" max="15371" width="0" style="26" hidden="1" customWidth="1"/>
    <col min="15372" max="15372" width="11.140625" style="26" customWidth="1"/>
    <col min="15373" max="15374" width="11.42578125" style="26"/>
    <col min="15375" max="15375" width="12.42578125" style="26" bestFit="1" customWidth="1"/>
    <col min="15376" max="15611" width="11.42578125" style="26"/>
    <col min="15612" max="15612" width="18.140625" style="26" customWidth="1"/>
    <col min="15613" max="15614" width="8.5703125" style="26" bestFit="1" customWidth="1"/>
    <col min="15615" max="15616" width="8.5703125" style="26" customWidth="1"/>
    <col min="15617" max="15617" width="9.42578125" style="26" bestFit="1" customWidth="1"/>
    <col min="15618" max="15618" width="7.5703125" style="26" bestFit="1" customWidth="1"/>
    <col min="15619" max="15620" width="7.5703125" style="26" customWidth="1"/>
    <col min="15621" max="15621" width="9.7109375" style="26" customWidth="1"/>
    <col min="15622" max="15627" width="0" style="26" hidden="1" customWidth="1"/>
    <col min="15628" max="15628" width="11.140625" style="26" customWidth="1"/>
    <col min="15629" max="15630" width="11.42578125" style="26"/>
    <col min="15631" max="15631" width="12.42578125" style="26" bestFit="1" customWidth="1"/>
    <col min="15632" max="15867" width="11.42578125" style="26"/>
    <col min="15868" max="15868" width="18.140625" style="26" customWidth="1"/>
    <col min="15869" max="15870" width="8.5703125" style="26" bestFit="1" customWidth="1"/>
    <col min="15871" max="15872" width="8.5703125" style="26" customWidth="1"/>
    <col min="15873" max="15873" width="9.42578125" style="26" bestFit="1" customWidth="1"/>
    <col min="15874" max="15874" width="7.5703125" style="26" bestFit="1" customWidth="1"/>
    <col min="15875" max="15876" width="7.5703125" style="26" customWidth="1"/>
    <col min="15877" max="15877" width="9.7109375" style="26" customWidth="1"/>
    <col min="15878" max="15883" width="0" style="26" hidden="1" customWidth="1"/>
    <col min="15884" max="15884" width="11.140625" style="26" customWidth="1"/>
    <col min="15885" max="15886" width="11.42578125" style="26"/>
    <col min="15887" max="15887" width="12.42578125" style="26" bestFit="1" customWidth="1"/>
    <col min="15888" max="16123" width="11.42578125" style="26"/>
    <col min="16124" max="16124" width="18.140625" style="26" customWidth="1"/>
    <col min="16125" max="16126" width="8.5703125" style="26" bestFit="1" customWidth="1"/>
    <col min="16127" max="16128" width="8.5703125" style="26" customWidth="1"/>
    <col min="16129" max="16129" width="9.42578125" style="26" bestFit="1" customWidth="1"/>
    <col min="16130" max="16130" width="7.5703125" style="26" bestFit="1" customWidth="1"/>
    <col min="16131" max="16132" width="7.5703125" style="26" customWidth="1"/>
    <col min="16133" max="16133" width="9.7109375" style="26" customWidth="1"/>
    <col min="16134" max="16139" width="0" style="26" hidden="1" customWidth="1"/>
    <col min="16140" max="16140" width="11.140625" style="26" customWidth="1"/>
    <col min="16141" max="16142" width="11.42578125" style="26"/>
    <col min="16143" max="16143" width="12.42578125" style="26" bestFit="1" customWidth="1"/>
    <col min="16144" max="16384" width="11.42578125" style="26"/>
  </cols>
  <sheetData>
    <row r="1" spans="1:17" s="27" customFormat="1" x14ac:dyDescent="0.2"/>
    <row r="2" spans="1:17" s="27" customFormat="1" x14ac:dyDescent="0.2">
      <c r="A2" s="47" t="s">
        <v>101</v>
      </c>
    </row>
    <row r="3" spans="1:17" s="27" customFormat="1" ht="15" x14ac:dyDescent="0.25">
      <c r="A3" s="47" t="s">
        <v>102</v>
      </c>
      <c r="J3" s="95"/>
    </row>
    <row r="4" spans="1:17" s="27" customFormat="1" x14ac:dyDescent="0.2"/>
    <row r="5" spans="1:17" s="27" customFormat="1" ht="12.75" x14ac:dyDescent="0.2">
      <c r="B5" s="369" t="s">
        <v>80</v>
      </c>
      <c r="C5" s="369"/>
      <c r="D5" s="369"/>
      <c r="E5" s="369"/>
      <c r="F5" s="369"/>
      <c r="G5" s="369"/>
      <c r="H5" s="369"/>
      <c r="I5" s="369"/>
      <c r="J5" s="369"/>
      <c r="K5" s="369"/>
      <c r="M5" s="122" t="s">
        <v>566</v>
      </c>
      <c r="O5" s="96"/>
    </row>
    <row r="6" spans="1:17" s="27" customFormat="1" ht="12.75" x14ac:dyDescent="0.2">
      <c r="B6" s="385" t="str">
        <f>'Solicitudes Regiones'!$B$6:$R$6</f>
        <v>Acumuladas de julio de 2008 a diciembre de 2021</v>
      </c>
      <c r="C6" s="385"/>
      <c r="D6" s="385"/>
      <c r="E6" s="385"/>
      <c r="F6" s="385"/>
      <c r="G6" s="385"/>
      <c r="H6" s="385"/>
      <c r="I6" s="385"/>
      <c r="J6" s="385"/>
      <c r="K6" s="385"/>
    </row>
    <row r="7" spans="1:17" s="30" customFormat="1" x14ac:dyDescent="0.2">
      <c r="B7" s="28"/>
      <c r="C7" s="29"/>
      <c r="D7" s="29"/>
      <c r="E7" s="29"/>
      <c r="F7" s="29"/>
      <c r="G7" s="29"/>
      <c r="H7" s="29"/>
      <c r="I7" s="29"/>
      <c r="J7" s="29"/>
      <c r="K7" s="29"/>
      <c r="L7" s="29"/>
    </row>
    <row r="8" spans="1:17" ht="15" customHeight="1" x14ac:dyDescent="0.2">
      <c r="B8" s="399" t="s">
        <v>55</v>
      </c>
      <c r="C8" s="399"/>
      <c r="D8" s="399"/>
      <c r="E8" s="399"/>
      <c r="F8" s="399"/>
      <c r="G8" s="399"/>
      <c r="H8" s="399"/>
      <c r="I8" s="399"/>
      <c r="J8" s="399"/>
      <c r="K8" s="399"/>
      <c r="L8" s="399"/>
      <c r="M8" s="399"/>
    </row>
    <row r="9" spans="1:17" ht="20.25" customHeight="1" x14ac:dyDescent="0.2">
      <c r="B9" s="399" t="s">
        <v>56</v>
      </c>
      <c r="C9" s="397" t="s">
        <v>2</v>
      </c>
      <c r="D9" s="400"/>
      <c r="E9" s="400"/>
      <c r="F9" s="400"/>
      <c r="G9" s="400"/>
      <c r="H9" s="400"/>
      <c r="I9" s="400"/>
      <c r="J9" s="400"/>
      <c r="K9" s="398"/>
      <c r="L9" s="397"/>
      <c r="M9" s="398"/>
    </row>
    <row r="10" spans="1:17" ht="24" x14ac:dyDescent="0.2">
      <c r="B10" s="399"/>
      <c r="C10" s="23" t="s">
        <v>57</v>
      </c>
      <c r="D10" s="23" t="s">
        <v>58</v>
      </c>
      <c r="E10" s="23" t="s">
        <v>59</v>
      </c>
      <c r="F10" s="23" t="s">
        <v>60</v>
      </c>
      <c r="G10" s="23" t="s">
        <v>8</v>
      </c>
      <c r="H10" s="23" t="s">
        <v>61</v>
      </c>
      <c r="I10" s="23" t="s">
        <v>62</v>
      </c>
      <c r="J10" s="23" t="s">
        <v>63</v>
      </c>
      <c r="K10" s="261" t="s">
        <v>31</v>
      </c>
      <c r="L10" s="261" t="s">
        <v>584</v>
      </c>
      <c r="M10" s="261" t="s">
        <v>587</v>
      </c>
    </row>
    <row r="11" spans="1:17" x14ac:dyDescent="0.2">
      <c r="B11" s="18" t="s">
        <v>36</v>
      </c>
      <c r="C11" s="18">
        <v>7832</v>
      </c>
      <c r="D11" s="18">
        <v>3974</v>
      </c>
      <c r="E11" s="18">
        <f>C11+D11</f>
        <v>11806</v>
      </c>
      <c r="F11" s="19">
        <f>E11/$E$20</f>
        <v>0.61766244637438528</v>
      </c>
      <c r="G11" s="18">
        <v>27639</v>
      </c>
      <c r="H11" s="18">
        <v>1597</v>
      </c>
      <c r="I11" s="18">
        <f>G11+H11</f>
        <v>29236</v>
      </c>
      <c r="J11" s="19">
        <f>I11/$I$20</f>
        <v>0.65396143694358699</v>
      </c>
      <c r="K11" s="18">
        <f t="shared" ref="K11:K19" si="0">E11+I11</f>
        <v>41042</v>
      </c>
      <c r="L11" s="18">
        <v>31</v>
      </c>
      <c r="M11" s="18">
        <f>K11+L11</f>
        <v>41073</v>
      </c>
      <c r="Q11" s="31"/>
    </row>
    <row r="12" spans="1:17" x14ac:dyDescent="0.2">
      <c r="B12" s="18" t="s">
        <v>132</v>
      </c>
      <c r="C12" s="18">
        <v>241</v>
      </c>
      <c r="D12" s="18">
        <v>99</v>
      </c>
      <c r="E12" s="18">
        <f t="shared" ref="E12:E19" si="1">C12+D12</f>
        <v>340</v>
      </c>
      <c r="F12" s="19">
        <f t="shared" ref="F12:F19" si="2">E12/$E$20</f>
        <v>1.778800878936905E-2</v>
      </c>
      <c r="G12" s="18">
        <v>821</v>
      </c>
      <c r="H12" s="18">
        <v>34</v>
      </c>
      <c r="I12" s="18">
        <f t="shared" ref="I12:I19" si="3">G12+H12</f>
        <v>855</v>
      </c>
      <c r="J12" s="19">
        <f t="shared" ref="J12:J19" si="4">I12/$I$20</f>
        <v>1.9124949671185075E-2</v>
      </c>
      <c r="K12" s="18">
        <f t="shared" si="0"/>
        <v>1195</v>
      </c>
      <c r="L12" s="18">
        <v>0</v>
      </c>
      <c r="M12" s="18">
        <f t="shared" ref="M12:M20" si="5">K12+L12</f>
        <v>1195</v>
      </c>
      <c r="Q12" s="31"/>
    </row>
    <row r="13" spans="1:17" x14ac:dyDescent="0.2">
      <c r="B13" s="18" t="s">
        <v>133</v>
      </c>
      <c r="C13" s="18">
        <v>23</v>
      </c>
      <c r="D13" s="18">
        <v>13</v>
      </c>
      <c r="E13" s="18">
        <f t="shared" si="1"/>
        <v>36</v>
      </c>
      <c r="F13" s="19">
        <f t="shared" si="2"/>
        <v>1.8834362247567228E-3</v>
      </c>
      <c r="G13" s="18">
        <v>55</v>
      </c>
      <c r="H13" s="18">
        <v>5</v>
      </c>
      <c r="I13" s="18">
        <f t="shared" si="3"/>
        <v>60</v>
      </c>
      <c r="J13" s="19">
        <f t="shared" si="4"/>
        <v>1.3421017313112334E-3</v>
      </c>
      <c r="K13" s="18">
        <f t="shared" si="0"/>
        <v>96</v>
      </c>
      <c r="L13" s="18">
        <v>0</v>
      </c>
      <c r="M13" s="18">
        <f t="shared" si="5"/>
        <v>96</v>
      </c>
      <c r="Q13" s="31"/>
    </row>
    <row r="14" spans="1:17" x14ac:dyDescent="0.2">
      <c r="B14" s="18" t="s">
        <v>134</v>
      </c>
      <c r="C14" s="18">
        <v>379</v>
      </c>
      <c r="D14" s="18">
        <v>311</v>
      </c>
      <c r="E14" s="18">
        <f t="shared" si="1"/>
        <v>690</v>
      </c>
      <c r="F14" s="19">
        <f t="shared" si="2"/>
        <v>3.6099194307837187E-2</v>
      </c>
      <c r="G14" s="18">
        <v>1299</v>
      </c>
      <c r="H14" s="18">
        <v>69</v>
      </c>
      <c r="I14" s="18">
        <f t="shared" si="3"/>
        <v>1368</v>
      </c>
      <c r="J14" s="19">
        <f t="shared" si="4"/>
        <v>3.059991947389612E-2</v>
      </c>
      <c r="K14" s="18">
        <f t="shared" si="0"/>
        <v>2058</v>
      </c>
      <c r="L14" s="18">
        <v>1</v>
      </c>
      <c r="M14" s="18">
        <f t="shared" si="5"/>
        <v>2059</v>
      </c>
      <c r="Q14" s="31"/>
    </row>
    <row r="15" spans="1:17" x14ac:dyDescent="0.2">
      <c r="B15" s="18" t="s">
        <v>135</v>
      </c>
      <c r="C15" s="18">
        <v>3204</v>
      </c>
      <c r="D15" s="18">
        <v>1248</v>
      </c>
      <c r="E15" s="18">
        <f t="shared" si="1"/>
        <v>4452</v>
      </c>
      <c r="F15" s="19">
        <f t="shared" si="2"/>
        <v>0.23291827979491472</v>
      </c>
      <c r="G15" s="18">
        <v>9026</v>
      </c>
      <c r="H15" s="18">
        <v>466</v>
      </c>
      <c r="I15" s="18">
        <f t="shared" si="3"/>
        <v>9492</v>
      </c>
      <c r="J15" s="19">
        <f t="shared" si="4"/>
        <v>0.21232049389343713</v>
      </c>
      <c r="K15" s="18">
        <f t="shared" si="0"/>
        <v>13944</v>
      </c>
      <c r="L15" s="18">
        <v>1</v>
      </c>
      <c r="M15" s="18">
        <f t="shared" si="5"/>
        <v>13945</v>
      </c>
      <c r="Q15" s="31"/>
    </row>
    <row r="16" spans="1:17" x14ac:dyDescent="0.2">
      <c r="B16" s="18" t="s">
        <v>136</v>
      </c>
      <c r="C16" s="18">
        <v>16</v>
      </c>
      <c r="D16" s="18">
        <v>1</v>
      </c>
      <c r="E16" s="18">
        <f t="shared" si="1"/>
        <v>17</v>
      </c>
      <c r="F16" s="19">
        <f t="shared" si="2"/>
        <v>8.8940043946845245E-4</v>
      </c>
      <c r="G16" s="18">
        <v>18</v>
      </c>
      <c r="H16" s="18">
        <v>0</v>
      </c>
      <c r="I16" s="18">
        <f t="shared" si="3"/>
        <v>18</v>
      </c>
      <c r="J16" s="19">
        <f t="shared" si="4"/>
        <v>4.0263051939337001E-4</v>
      </c>
      <c r="K16" s="18">
        <f t="shared" si="0"/>
        <v>35</v>
      </c>
      <c r="L16" s="18">
        <v>0</v>
      </c>
      <c r="M16" s="18">
        <f t="shared" si="5"/>
        <v>35</v>
      </c>
      <c r="Q16" s="31"/>
    </row>
    <row r="17" spans="2:17" ht="24" x14ac:dyDescent="0.2">
      <c r="B17" s="18" t="s">
        <v>137</v>
      </c>
      <c r="C17" s="18">
        <v>188</v>
      </c>
      <c r="D17" s="18">
        <v>54</v>
      </c>
      <c r="E17" s="18">
        <f t="shared" si="1"/>
        <v>242</v>
      </c>
      <c r="F17" s="19">
        <f t="shared" si="2"/>
        <v>1.266087684419797E-2</v>
      </c>
      <c r="G17" s="18">
        <v>412</v>
      </c>
      <c r="H17" s="18">
        <v>15</v>
      </c>
      <c r="I17" s="18">
        <f t="shared" si="3"/>
        <v>427</v>
      </c>
      <c r="J17" s="19">
        <f t="shared" si="4"/>
        <v>9.5512906544982772E-3</v>
      </c>
      <c r="K17" s="18">
        <f t="shared" si="0"/>
        <v>669</v>
      </c>
      <c r="L17" s="18">
        <v>0</v>
      </c>
      <c r="M17" s="18">
        <f t="shared" si="5"/>
        <v>669</v>
      </c>
      <c r="Q17" s="31"/>
    </row>
    <row r="18" spans="2:17" x14ac:dyDescent="0.2">
      <c r="B18" s="18" t="s">
        <v>138</v>
      </c>
      <c r="C18" s="18">
        <v>861</v>
      </c>
      <c r="D18" s="18">
        <v>547</v>
      </c>
      <c r="E18" s="18">
        <f t="shared" si="1"/>
        <v>1408</v>
      </c>
      <c r="F18" s="19">
        <f t="shared" si="2"/>
        <v>7.3663283457151826E-2</v>
      </c>
      <c r="G18" s="18">
        <v>2848</v>
      </c>
      <c r="H18" s="18">
        <v>148</v>
      </c>
      <c r="I18" s="18">
        <f t="shared" si="3"/>
        <v>2996</v>
      </c>
      <c r="J18" s="19">
        <f t="shared" si="4"/>
        <v>6.7015613116807593E-2</v>
      </c>
      <c r="K18" s="18">
        <f t="shared" si="0"/>
        <v>4404</v>
      </c>
      <c r="L18" s="18">
        <v>3</v>
      </c>
      <c r="M18" s="18">
        <f t="shared" si="5"/>
        <v>4407</v>
      </c>
      <c r="Q18" s="31"/>
    </row>
    <row r="19" spans="2:17" x14ac:dyDescent="0.2">
      <c r="B19" s="18" t="s">
        <v>139</v>
      </c>
      <c r="C19" s="18">
        <v>92</v>
      </c>
      <c r="D19" s="18">
        <v>31</v>
      </c>
      <c r="E19" s="18">
        <f t="shared" si="1"/>
        <v>123</v>
      </c>
      <c r="F19" s="19">
        <f t="shared" si="2"/>
        <v>6.4350737679188027E-3</v>
      </c>
      <c r="G19" s="18">
        <v>246</v>
      </c>
      <c r="H19" s="18">
        <v>8</v>
      </c>
      <c r="I19" s="18">
        <f t="shared" si="3"/>
        <v>254</v>
      </c>
      <c r="J19" s="19">
        <f t="shared" si="4"/>
        <v>5.6815639958842212E-3</v>
      </c>
      <c r="K19" s="18">
        <f t="shared" si="0"/>
        <v>377</v>
      </c>
      <c r="L19" s="18">
        <v>0</v>
      </c>
      <c r="M19" s="18">
        <f t="shared" si="5"/>
        <v>377</v>
      </c>
      <c r="Q19" s="31"/>
    </row>
    <row r="20" spans="2:17" x14ac:dyDescent="0.2">
      <c r="B20" s="20" t="s">
        <v>49</v>
      </c>
      <c r="C20" s="18">
        <f>SUM(C11:C19)</f>
        <v>12836</v>
      </c>
      <c r="D20" s="18">
        <f>SUM(D11:D19)</f>
        <v>6278</v>
      </c>
      <c r="E20" s="20">
        <f t="shared" ref="E20" si="6">C20+D20</f>
        <v>19114</v>
      </c>
      <c r="F20" s="22">
        <f t="shared" ref="F20" si="7">E20/$E$20</f>
        <v>1</v>
      </c>
      <c r="G20" s="18">
        <f t="shared" ref="G20:H20" si="8">SUM(G11:G19)</f>
        <v>42364</v>
      </c>
      <c r="H20" s="18">
        <f t="shared" si="8"/>
        <v>2342</v>
      </c>
      <c r="I20" s="20">
        <f t="shared" ref="I20" si="9">G20+H20</f>
        <v>44706</v>
      </c>
      <c r="J20" s="22">
        <f t="shared" ref="J20" si="10">I20/$I$20</f>
        <v>1</v>
      </c>
      <c r="K20" s="20">
        <f t="shared" ref="K20" si="11">E20+I20</f>
        <v>63820</v>
      </c>
      <c r="L20" s="18">
        <f t="shared" ref="L20" si="12">SUM(L11:L19)</f>
        <v>36</v>
      </c>
      <c r="M20" s="20">
        <f t="shared" si="5"/>
        <v>63856</v>
      </c>
      <c r="Q20" s="31"/>
    </row>
    <row r="21" spans="2:17" ht="25.5" customHeight="1" x14ac:dyDescent="0.2">
      <c r="B21" s="32" t="s">
        <v>64</v>
      </c>
      <c r="C21" s="33">
        <f>+C20/M20</f>
        <v>0.20101478326234026</v>
      </c>
      <c r="D21" s="33">
        <f>+D20/M20</f>
        <v>9.8314958656978202E-2</v>
      </c>
      <c r="E21" s="34">
        <f>+E20/M20</f>
        <v>0.29932974191931849</v>
      </c>
      <c r="F21" s="34"/>
      <c r="G21" s="33">
        <f>+G20/M20</f>
        <v>0.66343021799047852</v>
      </c>
      <c r="H21" s="33">
        <f>+H20/M20</f>
        <v>3.6676271611125029E-2</v>
      </c>
      <c r="I21" s="34">
        <f>+I20/M20</f>
        <v>0.7001064896016036</v>
      </c>
      <c r="J21" s="34"/>
      <c r="K21" s="34">
        <f>+K20/M20</f>
        <v>0.99943623152092209</v>
      </c>
      <c r="L21" s="34">
        <f>+L20/M20</f>
        <v>5.6376847907792531E-4</v>
      </c>
      <c r="M21" s="34">
        <f>K21+L21</f>
        <v>1</v>
      </c>
    </row>
    <row r="22" spans="2:17" ht="15.75" customHeight="1" x14ac:dyDescent="0.2">
      <c r="B22" s="35"/>
      <c r="C22" s="36"/>
      <c r="D22" s="36"/>
      <c r="E22" s="37"/>
      <c r="F22" s="37"/>
      <c r="G22" s="36"/>
      <c r="H22" s="36"/>
      <c r="I22" s="37"/>
      <c r="J22" s="37"/>
      <c r="K22" s="37"/>
      <c r="L22" s="37"/>
    </row>
    <row r="23" spans="2:17" ht="15.75" customHeight="1" x14ac:dyDescent="0.2">
      <c r="B23" s="369" t="s">
        <v>81</v>
      </c>
      <c r="C23" s="369"/>
      <c r="D23" s="369"/>
      <c r="E23" s="369"/>
      <c r="F23" s="369"/>
      <c r="G23" s="369"/>
      <c r="H23" s="369"/>
      <c r="I23" s="369"/>
      <c r="J23" s="369"/>
      <c r="K23" s="369"/>
      <c r="L23" s="37"/>
    </row>
    <row r="24" spans="2:17" ht="15.75" customHeight="1" x14ac:dyDescent="0.2">
      <c r="B24" s="385" t="str">
        <f>'Solicitudes Regiones'!$B$6:$R$6</f>
        <v>Acumuladas de julio de 2008 a diciembre de 2021</v>
      </c>
      <c r="C24" s="385"/>
      <c r="D24" s="385"/>
      <c r="E24" s="385"/>
      <c r="F24" s="385"/>
      <c r="G24" s="385"/>
      <c r="H24" s="385"/>
      <c r="I24" s="385"/>
      <c r="J24" s="385"/>
      <c r="K24" s="385"/>
      <c r="L24" s="37"/>
    </row>
    <row r="25" spans="2:17" x14ac:dyDescent="0.2">
      <c r="B25" s="38"/>
      <c r="C25" s="38"/>
      <c r="D25" s="38"/>
      <c r="E25" s="38"/>
      <c r="F25" s="38"/>
      <c r="G25" s="38"/>
      <c r="H25" s="38"/>
      <c r="I25" s="38"/>
      <c r="J25" s="38"/>
      <c r="K25" s="38"/>
    </row>
    <row r="26" spans="2:17" ht="12.75" customHeight="1" x14ac:dyDescent="0.2">
      <c r="B26" s="399" t="s">
        <v>65</v>
      </c>
      <c r="C26" s="399"/>
      <c r="D26" s="399"/>
      <c r="E26" s="399"/>
      <c r="F26" s="399"/>
      <c r="G26" s="399"/>
      <c r="H26" s="399"/>
      <c r="I26" s="399"/>
      <c r="J26" s="399"/>
      <c r="K26" s="399"/>
      <c r="L26" s="399"/>
      <c r="M26" s="399"/>
    </row>
    <row r="27" spans="2:17" ht="20.25" customHeight="1" x14ac:dyDescent="0.2">
      <c r="B27" s="399" t="s">
        <v>56</v>
      </c>
      <c r="C27" s="399" t="s">
        <v>2</v>
      </c>
      <c r="D27" s="399"/>
      <c r="E27" s="399"/>
      <c r="F27" s="399"/>
      <c r="G27" s="399"/>
      <c r="H27" s="399"/>
      <c r="I27" s="399"/>
      <c r="J27" s="399"/>
      <c r="K27" s="399"/>
      <c r="L27" s="397"/>
      <c r="M27" s="398"/>
    </row>
    <row r="28" spans="2:17" ht="24" customHeight="1" x14ac:dyDescent="0.2">
      <c r="B28" s="399"/>
      <c r="C28" s="23" t="s">
        <v>57</v>
      </c>
      <c r="D28" s="23" t="s">
        <v>58</v>
      </c>
      <c r="E28" s="23" t="s">
        <v>59</v>
      </c>
      <c r="F28" s="23" t="s">
        <v>60</v>
      </c>
      <c r="G28" s="23" t="s">
        <v>8</v>
      </c>
      <c r="H28" s="23" t="s">
        <v>61</v>
      </c>
      <c r="I28" s="23" t="s">
        <v>62</v>
      </c>
      <c r="J28" s="23" t="s">
        <v>63</v>
      </c>
      <c r="K28" s="24" t="s">
        <v>31</v>
      </c>
      <c r="L28" s="261" t="s">
        <v>584</v>
      </c>
      <c r="M28" s="261" t="s">
        <v>587</v>
      </c>
    </row>
    <row r="29" spans="2:17" ht="15.75" customHeight="1" x14ac:dyDescent="0.2">
      <c r="B29" s="18" t="s">
        <v>36</v>
      </c>
      <c r="C29" s="18">
        <v>6306</v>
      </c>
      <c r="D29" s="18">
        <v>2431</v>
      </c>
      <c r="E29" s="18">
        <f>D29+C29</f>
        <v>8737</v>
      </c>
      <c r="F29" s="19">
        <f>E29/$E$38</f>
        <v>0.62061372354027555</v>
      </c>
      <c r="G29" s="18">
        <v>22240</v>
      </c>
      <c r="H29" s="18">
        <v>1305</v>
      </c>
      <c r="I29" s="18">
        <f>G29+H29</f>
        <v>23545</v>
      </c>
      <c r="J29" s="19">
        <f>I29/$I$38</f>
        <v>0.65431858603823922</v>
      </c>
      <c r="K29" s="18">
        <f t="shared" ref="K29:K37" si="13">E29+I29</f>
        <v>32282</v>
      </c>
      <c r="L29" s="18">
        <v>1</v>
      </c>
      <c r="M29" s="18">
        <f>K29+L29</f>
        <v>32283</v>
      </c>
    </row>
    <row r="30" spans="2:17" x14ac:dyDescent="0.2">
      <c r="B30" s="18" t="s">
        <v>132</v>
      </c>
      <c r="C30" s="18">
        <v>175</v>
      </c>
      <c r="D30" s="18">
        <v>50</v>
      </c>
      <c r="E30" s="18">
        <f t="shared" ref="E30:E37" si="14">D30+C30</f>
        <v>225</v>
      </c>
      <c r="F30" s="19">
        <f t="shared" ref="F30:F37" si="15">E30/$E$38</f>
        <v>1.598238386134394E-2</v>
      </c>
      <c r="G30" s="18">
        <v>635</v>
      </c>
      <c r="H30" s="18">
        <v>28</v>
      </c>
      <c r="I30" s="18">
        <f t="shared" ref="I30:I37" si="16">G30+H30</f>
        <v>663</v>
      </c>
      <c r="J30" s="19">
        <f t="shared" ref="J30:J37" si="17">I30/$I$38</f>
        <v>1.8424855491329481E-2</v>
      </c>
      <c r="K30" s="18">
        <f t="shared" si="13"/>
        <v>888</v>
      </c>
      <c r="L30" s="18">
        <v>0</v>
      </c>
      <c r="M30" s="18">
        <f t="shared" ref="M30:M38" si="18">K30+L30</f>
        <v>888</v>
      </c>
    </row>
    <row r="31" spans="2:17" x14ac:dyDescent="0.2">
      <c r="B31" s="18" t="s">
        <v>133</v>
      </c>
      <c r="C31" s="18">
        <v>20</v>
      </c>
      <c r="D31" s="18">
        <v>8</v>
      </c>
      <c r="E31" s="18">
        <f t="shared" si="14"/>
        <v>28</v>
      </c>
      <c r="F31" s="19">
        <f t="shared" si="15"/>
        <v>1.9889188805228015E-3</v>
      </c>
      <c r="G31" s="18">
        <v>45</v>
      </c>
      <c r="H31" s="18">
        <v>4</v>
      </c>
      <c r="I31" s="18">
        <f t="shared" si="16"/>
        <v>49</v>
      </c>
      <c r="J31" s="19">
        <f t="shared" si="17"/>
        <v>1.3617163183637171E-3</v>
      </c>
      <c r="K31" s="18">
        <f t="shared" si="13"/>
        <v>77</v>
      </c>
      <c r="L31" s="18">
        <v>0</v>
      </c>
      <c r="M31" s="18">
        <f t="shared" si="18"/>
        <v>77</v>
      </c>
    </row>
    <row r="32" spans="2:17" x14ac:dyDescent="0.2">
      <c r="B32" s="18" t="s">
        <v>134</v>
      </c>
      <c r="C32" s="18">
        <v>302</v>
      </c>
      <c r="D32" s="18">
        <v>152</v>
      </c>
      <c r="E32" s="18">
        <f t="shared" si="14"/>
        <v>454</v>
      </c>
      <c r="F32" s="19">
        <f t="shared" si="15"/>
        <v>3.2248898991333999E-2</v>
      </c>
      <c r="G32" s="18">
        <v>1028</v>
      </c>
      <c r="H32" s="18">
        <v>49</v>
      </c>
      <c r="I32" s="18">
        <f t="shared" si="16"/>
        <v>1077</v>
      </c>
      <c r="J32" s="19">
        <f t="shared" si="17"/>
        <v>2.9929968875055581E-2</v>
      </c>
      <c r="K32" s="18">
        <f t="shared" si="13"/>
        <v>1531</v>
      </c>
      <c r="L32" s="18">
        <v>0</v>
      </c>
      <c r="M32" s="18">
        <f t="shared" si="18"/>
        <v>1531</v>
      </c>
    </row>
    <row r="33" spans="2:13" x14ac:dyDescent="0.2">
      <c r="B33" s="18" t="s">
        <v>135</v>
      </c>
      <c r="C33" s="18">
        <v>2537</v>
      </c>
      <c r="D33" s="18">
        <v>811</v>
      </c>
      <c r="E33" s="18">
        <f t="shared" si="14"/>
        <v>3348</v>
      </c>
      <c r="F33" s="19">
        <f t="shared" si="15"/>
        <v>0.23781787185679784</v>
      </c>
      <c r="G33" s="18">
        <v>7233</v>
      </c>
      <c r="H33" s="18">
        <v>374</v>
      </c>
      <c r="I33" s="18">
        <f t="shared" si="16"/>
        <v>7607</v>
      </c>
      <c r="J33" s="19">
        <f t="shared" si="17"/>
        <v>0.21139951089373055</v>
      </c>
      <c r="K33" s="18">
        <f t="shared" si="13"/>
        <v>10955</v>
      </c>
      <c r="L33" s="18">
        <v>0</v>
      </c>
      <c r="M33" s="18">
        <f t="shared" si="18"/>
        <v>10955</v>
      </c>
    </row>
    <row r="34" spans="2:13" x14ac:dyDescent="0.2">
      <c r="B34" s="18" t="s">
        <v>136</v>
      </c>
      <c r="C34" s="18">
        <v>15</v>
      </c>
      <c r="D34" s="18">
        <v>1</v>
      </c>
      <c r="E34" s="18">
        <f t="shared" si="14"/>
        <v>16</v>
      </c>
      <c r="F34" s="19">
        <f t="shared" si="15"/>
        <v>1.136525074584458E-3</v>
      </c>
      <c r="G34" s="18">
        <v>15</v>
      </c>
      <c r="H34" s="18">
        <v>0</v>
      </c>
      <c r="I34" s="18">
        <f t="shared" si="16"/>
        <v>15</v>
      </c>
      <c r="J34" s="19">
        <f t="shared" si="17"/>
        <v>4.1685193419297464E-4</v>
      </c>
      <c r="K34" s="18">
        <f t="shared" si="13"/>
        <v>31</v>
      </c>
      <c r="L34" s="18">
        <v>0</v>
      </c>
      <c r="M34" s="18">
        <f t="shared" si="18"/>
        <v>31</v>
      </c>
    </row>
    <row r="35" spans="2:13" ht="24" x14ac:dyDescent="0.2">
      <c r="B35" s="18" t="s">
        <v>137</v>
      </c>
      <c r="C35" s="18">
        <v>160</v>
      </c>
      <c r="D35" s="18">
        <v>33</v>
      </c>
      <c r="E35" s="18">
        <f t="shared" si="14"/>
        <v>193</v>
      </c>
      <c r="F35" s="19">
        <f t="shared" si="15"/>
        <v>1.3709333712175024E-2</v>
      </c>
      <c r="G35" s="18">
        <v>339</v>
      </c>
      <c r="H35" s="18">
        <v>11</v>
      </c>
      <c r="I35" s="18">
        <f t="shared" si="16"/>
        <v>350</v>
      </c>
      <c r="J35" s="19">
        <f t="shared" si="17"/>
        <v>9.7265451311694083E-3</v>
      </c>
      <c r="K35" s="18">
        <f t="shared" si="13"/>
        <v>543</v>
      </c>
      <c r="L35" s="18">
        <v>0</v>
      </c>
      <c r="M35" s="18">
        <f t="shared" si="18"/>
        <v>543</v>
      </c>
    </row>
    <row r="36" spans="2:13" x14ac:dyDescent="0.2">
      <c r="B36" s="18" t="s">
        <v>138</v>
      </c>
      <c r="C36" s="18">
        <v>700</v>
      </c>
      <c r="D36" s="18">
        <v>295</v>
      </c>
      <c r="E36" s="18">
        <f t="shared" si="14"/>
        <v>995</v>
      </c>
      <c r="F36" s="19">
        <f t="shared" si="15"/>
        <v>7.0677653075720978E-2</v>
      </c>
      <c r="G36" s="18">
        <v>2361</v>
      </c>
      <c r="H36" s="18">
        <v>117</v>
      </c>
      <c r="I36" s="18">
        <f t="shared" si="16"/>
        <v>2478</v>
      </c>
      <c r="J36" s="19">
        <f t="shared" si="17"/>
        <v>6.8863939528679419E-2</v>
      </c>
      <c r="K36" s="18">
        <f t="shared" si="13"/>
        <v>3473</v>
      </c>
      <c r="L36" s="18">
        <v>0</v>
      </c>
      <c r="M36" s="18">
        <f t="shared" si="18"/>
        <v>3473</v>
      </c>
    </row>
    <row r="37" spans="2:13" x14ac:dyDescent="0.2">
      <c r="B37" s="18" t="s">
        <v>139</v>
      </c>
      <c r="C37" s="18">
        <v>66</v>
      </c>
      <c r="D37" s="18">
        <v>16</v>
      </c>
      <c r="E37" s="18">
        <f t="shared" si="14"/>
        <v>82</v>
      </c>
      <c r="F37" s="19">
        <f t="shared" si="15"/>
        <v>5.8246910072453474E-3</v>
      </c>
      <c r="G37" s="18">
        <v>194</v>
      </c>
      <c r="H37" s="18">
        <v>6</v>
      </c>
      <c r="I37" s="18">
        <f t="shared" si="16"/>
        <v>200</v>
      </c>
      <c r="J37" s="19">
        <f t="shared" si="17"/>
        <v>5.5580257892396618E-3</v>
      </c>
      <c r="K37" s="18">
        <f t="shared" si="13"/>
        <v>282</v>
      </c>
      <c r="L37" s="18">
        <v>0</v>
      </c>
      <c r="M37" s="18">
        <f t="shared" si="18"/>
        <v>282</v>
      </c>
    </row>
    <row r="38" spans="2:13" x14ac:dyDescent="0.2">
      <c r="B38" s="20" t="s">
        <v>49</v>
      </c>
      <c r="C38" s="18">
        <f t="shared" ref="C38:H38" si="19">SUM(C29:C37)</f>
        <v>10281</v>
      </c>
      <c r="D38" s="18">
        <f t="shared" si="19"/>
        <v>3797</v>
      </c>
      <c r="E38" s="20">
        <f t="shared" ref="E38" si="20">D38+C38</f>
        <v>14078</v>
      </c>
      <c r="F38" s="22">
        <f t="shared" ref="F38" si="21">E38/$E$38</f>
        <v>1</v>
      </c>
      <c r="G38" s="18">
        <f t="shared" si="19"/>
        <v>34090</v>
      </c>
      <c r="H38" s="18">
        <f t="shared" si="19"/>
        <v>1894</v>
      </c>
      <c r="I38" s="20">
        <f t="shared" ref="I38" si="22">G38+H38</f>
        <v>35984</v>
      </c>
      <c r="J38" s="22">
        <f t="shared" ref="J38" si="23">I38/$I$38</f>
        <v>1</v>
      </c>
      <c r="K38" s="20">
        <f>SUM(K29:K37)</f>
        <v>50062</v>
      </c>
      <c r="L38" s="18">
        <f t="shared" ref="L38" si="24">SUM(L29:L37)</f>
        <v>1</v>
      </c>
      <c r="M38" s="20">
        <f t="shared" si="18"/>
        <v>50063</v>
      </c>
    </row>
    <row r="39" spans="2:13" ht="24" x14ac:dyDescent="0.2">
      <c r="B39" s="32" t="s">
        <v>66</v>
      </c>
      <c r="C39" s="33">
        <f>+C38/M38</f>
        <v>0.2053612448315123</v>
      </c>
      <c r="D39" s="33">
        <f>+D38/M38</f>
        <v>7.5844436010626612E-2</v>
      </c>
      <c r="E39" s="34">
        <f>+E38/M38</f>
        <v>0.28120568084213893</v>
      </c>
      <c r="F39" s="34"/>
      <c r="G39" s="33">
        <f>+G38/M38</f>
        <v>0.68094201306353996</v>
      </c>
      <c r="H39" s="33">
        <f>+H38/M38</f>
        <v>3.7832331262609112E-2</v>
      </c>
      <c r="I39" s="34">
        <f>+I38/M38</f>
        <v>0.71877434432614906</v>
      </c>
      <c r="J39" s="34"/>
      <c r="K39" s="34">
        <f>+K38/M38</f>
        <v>0.99998002516828799</v>
      </c>
      <c r="L39" s="34">
        <f>+L38/M38</f>
        <v>1.9974831712042826E-5</v>
      </c>
      <c r="M39" s="34">
        <f>K39+L39</f>
        <v>1</v>
      </c>
    </row>
    <row r="40" spans="2:13" x14ac:dyDescent="0.2">
      <c r="B40" s="25" t="s">
        <v>129</v>
      </c>
    </row>
    <row r="41" spans="2:13" x14ac:dyDescent="0.2">
      <c r="B41" s="25" t="s">
        <v>130</v>
      </c>
    </row>
    <row r="131" spans="2:2" x14ac:dyDescent="0.2">
      <c r="B131" s="26" t="s">
        <v>78</v>
      </c>
    </row>
  </sheetData>
  <mergeCells count="12">
    <mergeCell ref="B6:K6"/>
    <mergeCell ref="B5:K5"/>
    <mergeCell ref="B23:K23"/>
    <mergeCell ref="B24:K24"/>
    <mergeCell ref="B27:B28"/>
    <mergeCell ref="C27:K27"/>
    <mergeCell ref="B9:B10"/>
    <mergeCell ref="C9:K9"/>
    <mergeCell ref="B8:M8"/>
    <mergeCell ref="L9:M9"/>
    <mergeCell ref="L27:M27"/>
    <mergeCell ref="B26:M26"/>
  </mergeCells>
  <hyperlinks>
    <hyperlink ref="M5" location="'Índice Pensiones Solidarias'!A1" display="Volver Sistema de Pensiones Solidadias" xr:uid="{00000000-0004-0000-0900-000000000000}"/>
  </hyperlinks>
  <pageMargins left="0.74803149606299213" right="0.74803149606299213" top="0.98425196850393704" bottom="0.98425196850393704" header="0" footer="0"/>
  <pageSetup scale="78" orientation="portrait" r:id="rId1"/>
  <headerFooter alignWithMargins="0"/>
  <ignoredErrors>
    <ignoredError sqref="K38" 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21">
    <pageSetUpPr fitToPage="1"/>
  </sheetPr>
  <dimension ref="A1:Q131"/>
  <sheetViews>
    <sheetView showGridLines="0" zoomScaleNormal="100" workbookViewId="0">
      <selection sqref="A1:XFD1048576"/>
    </sheetView>
  </sheetViews>
  <sheetFormatPr baseColWidth="10" defaultRowHeight="12" x14ac:dyDescent="0.2"/>
  <cols>
    <col min="1" max="1" width="6" style="26" customWidth="1"/>
    <col min="2" max="2" width="18.140625" style="26" customWidth="1"/>
    <col min="3" max="3" width="8.42578125" style="26" bestFit="1" customWidth="1"/>
    <col min="4" max="4" width="8.28515625" style="26" bestFit="1" customWidth="1"/>
    <col min="5" max="6" width="8.28515625" style="26" customWidth="1"/>
    <col min="7" max="7" width="8.42578125" style="26" bestFit="1" customWidth="1"/>
    <col min="8" max="8" width="7.42578125" style="26" bestFit="1" customWidth="1"/>
    <col min="9" max="11" width="7.42578125" style="26" customWidth="1"/>
    <col min="12" max="12" width="10.140625" style="26" customWidth="1"/>
    <col min="13" max="14" width="11.42578125" style="26"/>
    <col min="15" max="15" width="12.42578125" style="26" bestFit="1" customWidth="1"/>
    <col min="16" max="251" width="11.42578125" style="26"/>
    <col min="252" max="252" width="18.140625" style="26" customWidth="1"/>
    <col min="253" max="253" width="8.42578125" style="26" bestFit="1" customWidth="1"/>
    <col min="254" max="254" width="8.28515625" style="26" bestFit="1" customWidth="1"/>
    <col min="255" max="256" width="8.28515625" style="26" customWidth="1"/>
    <col min="257" max="257" width="8.42578125" style="26" bestFit="1" customWidth="1"/>
    <col min="258" max="258" width="7.42578125" style="26" bestFit="1" customWidth="1"/>
    <col min="259" max="261" width="7.42578125" style="26" customWidth="1"/>
    <col min="262" max="267" width="0" style="26" hidden="1" customWidth="1"/>
    <col min="268" max="268" width="10.140625" style="26" customWidth="1"/>
    <col min="269" max="270" width="11.42578125" style="26"/>
    <col min="271" max="271" width="12.42578125" style="26" bestFit="1" customWidth="1"/>
    <col min="272" max="507" width="11.42578125" style="26"/>
    <col min="508" max="508" width="18.140625" style="26" customWidth="1"/>
    <col min="509" max="509" width="8.42578125" style="26" bestFit="1" customWidth="1"/>
    <col min="510" max="510" width="8.28515625" style="26" bestFit="1" customWidth="1"/>
    <col min="511" max="512" width="8.28515625" style="26" customWidth="1"/>
    <col min="513" max="513" width="8.42578125" style="26" bestFit="1" customWidth="1"/>
    <col min="514" max="514" width="7.42578125" style="26" bestFit="1" customWidth="1"/>
    <col min="515" max="517" width="7.42578125" style="26" customWidth="1"/>
    <col min="518" max="523" width="0" style="26" hidden="1" customWidth="1"/>
    <col min="524" max="524" width="10.140625" style="26" customWidth="1"/>
    <col min="525" max="526" width="11.42578125" style="26"/>
    <col min="527" max="527" width="12.42578125" style="26" bestFit="1" customWidth="1"/>
    <col min="528" max="763" width="11.42578125" style="26"/>
    <col min="764" max="764" width="18.140625" style="26" customWidth="1"/>
    <col min="765" max="765" width="8.42578125" style="26" bestFit="1" customWidth="1"/>
    <col min="766" max="766" width="8.28515625" style="26" bestFit="1" customWidth="1"/>
    <col min="767" max="768" width="8.28515625" style="26" customWidth="1"/>
    <col min="769" max="769" width="8.42578125" style="26" bestFit="1" customWidth="1"/>
    <col min="770" max="770" width="7.42578125" style="26" bestFit="1" customWidth="1"/>
    <col min="771" max="773" width="7.42578125" style="26" customWidth="1"/>
    <col min="774" max="779" width="0" style="26" hidden="1" customWidth="1"/>
    <col min="780" max="780" width="10.140625" style="26" customWidth="1"/>
    <col min="781" max="782" width="11.42578125" style="26"/>
    <col min="783" max="783" width="12.42578125" style="26" bestFit="1" customWidth="1"/>
    <col min="784" max="1019" width="11.42578125" style="26"/>
    <col min="1020" max="1020" width="18.140625" style="26" customWidth="1"/>
    <col min="1021" max="1021" width="8.42578125" style="26" bestFit="1" customWidth="1"/>
    <col min="1022" max="1022" width="8.28515625" style="26" bestFit="1" customWidth="1"/>
    <col min="1023" max="1024" width="8.28515625" style="26" customWidth="1"/>
    <col min="1025" max="1025" width="8.42578125" style="26" bestFit="1" customWidth="1"/>
    <col min="1026" max="1026" width="7.42578125" style="26" bestFit="1" customWidth="1"/>
    <col min="1027" max="1029" width="7.42578125" style="26" customWidth="1"/>
    <col min="1030" max="1035" width="0" style="26" hidden="1" customWidth="1"/>
    <col min="1036" max="1036" width="10.140625" style="26" customWidth="1"/>
    <col min="1037" max="1038" width="11.42578125" style="26"/>
    <col min="1039" max="1039" width="12.42578125" style="26" bestFit="1" customWidth="1"/>
    <col min="1040" max="1275" width="11.42578125" style="26"/>
    <col min="1276" max="1276" width="18.140625" style="26" customWidth="1"/>
    <col min="1277" max="1277" width="8.42578125" style="26" bestFit="1" customWidth="1"/>
    <col min="1278" max="1278" width="8.28515625" style="26" bestFit="1" customWidth="1"/>
    <col min="1279" max="1280" width="8.28515625" style="26" customWidth="1"/>
    <col min="1281" max="1281" width="8.42578125" style="26" bestFit="1" customWidth="1"/>
    <col min="1282" max="1282" width="7.42578125" style="26" bestFit="1" customWidth="1"/>
    <col min="1283" max="1285" width="7.42578125" style="26" customWidth="1"/>
    <col min="1286" max="1291" width="0" style="26" hidden="1" customWidth="1"/>
    <col min="1292" max="1292" width="10.140625" style="26" customWidth="1"/>
    <col min="1293" max="1294" width="11.42578125" style="26"/>
    <col min="1295" max="1295" width="12.42578125" style="26" bestFit="1" customWidth="1"/>
    <col min="1296" max="1531" width="11.42578125" style="26"/>
    <col min="1532" max="1532" width="18.140625" style="26" customWidth="1"/>
    <col min="1533" max="1533" width="8.42578125" style="26" bestFit="1" customWidth="1"/>
    <col min="1534" max="1534" width="8.28515625" style="26" bestFit="1" customWidth="1"/>
    <col min="1535" max="1536" width="8.28515625" style="26" customWidth="1"/>
    <col min="1537" max="1537" width="8.42578125" style="26" bestFit="1" customWidth="1"/>
    <col min="1538" max="1538" width="7.42578125" style="26" bestFit="1" customWidth="1"/>
    <col min="1539" max="1541" width="7.42578125" style="26" customWidth="1"/>
    <col min="1542" max="1547" width="0" style="26" hidden="1" customWidth="1"/>
    <col min="1548" max="1548" width="10.140625" style="26" customWidth="1"/>
    <col min="1549" max="1550" width="11.42578125" style="26"/>
    <col min="1551" max="1551" width="12.42578125" style="26" bestFit="1" customWidth="1"/>
    <col min="1552" max="1787" width="11.42578125" style="26"/>
    <col min="1788" max="1788" width="18.140625" style="26" customWidth="1"/>
    <col min="1789" max="1789" width="8.42578125" style="26" bestFit="1" customWidth="1"/>
    <col min="1790" max="1790" width="8.28515625" style="26" bestFit="1" customWidth="1"/>
    <col min="1791" max="1792" width="8.28515625" style="26" customWidth="1"/>
    <col min="1793" max="1793" width="8.42578125" style="26" bestFit="1" customWidth="1"/>
    <col min="1794" max="1794" width="7.42578125" style="26" bestFit="1" customWidth="1"/>
    <col min="1795" max="1797" width="7.42578125" style="26" customWidth="1"/>
    <col min="1798" max="1803" width="0" style="26" hidden="1" customWidth="1"/>
    <col min="1804" max="1804" width="10.140625" style="26" customWidth="1"/>
    <col min="1805" max="1806" width="11.42578125" style="26"/>
    <col min="1807" max="1807" width="12.42578125" style="26" bestFit="1" customWidth="1"/>
    <col min="1808" max="2043" width="11.42578125" style="26"/>
    <col min="2044" max="2044" width="18.140625" style="26" customWidth="1"/>
    <col min="2045" max="2045" width="8.42578125" style="26" bestFit="1" customWidth="1"/>
    <col min="2046" max="2046" width="8.28515625" style="26" bestFit="1" customWidth="1"/>
    <col min="2047" max="2048" width="8.28515625" style="26" customWidth="1"/>
    <col min="2049" max="2049" width="8.42578125" style="26" bestFit="1" customWidth="1"/>
    <col min="2050" max="2050" width="7.42578125" style="26" bestFit="1" customWidth="1"/>
    <col min="2051" max="2053" width="7.42578125" style="26" customWidth="1"/>
    <col min="2054" max="2059" width="0" style="26" hidden="1" customWidth="1"/>
    <col min="2060" max="2060" width="10.140625" style="26" customWidth="1"/>
    <col min="2061" max="2062" width="11.42578125" style="26"/>
    <col min="2063" max="2063" width="12.42578125" style="26" bestFit="1" customWidth="1"/>
    <col min="2064" max="2299" width="11.42578125" style="26"/>
    <col min="2300" max="2300" width="18.140625" style="26" customWidth="1"/>
    <col min="2301" max="2301" width="8.42578125" style="26" bestFit="1" customWidth="1"/>
    <col min="2302" max="2302" width="8.28515625" style="26" bestFit="1" customWidth="1"/>
    <col min="2303" max="2304" width="8.28515625" style="26" customWidth="1"/>
    <col min="2305" max="2305" width="8.42578125" style="26" bestFit="1" customWidth="1"/>
    <col min="2306" max="2306" width="7.42578125" style="26" bestFit="1" customWidth="1"/>
    <col min="2307" max="2309" width="7.42578125" style="26" customWidth="1"/>
    <col min="2310" max="2315" width="0" style="26" hidden="1" customWidth="1"/>
    <col min="2316" max="2316" width="10.140625" style="26" customWidth="1"/>
    <col min="2317" max="2318" width="11.42578125" style="26"/>
    <col min="2319" max="2319" width="12.42578125" style="26" bestFit="1" customWidth="1"/>
    <col min="2320" max="2555" width="11.42578125" style="26"/>
    <col min="2556" max="2556" width="18.140625" style="26" customWidth="1"/>
    <col min="2557" max="2557" width="8.42578125" style="26" bestFit="1" customWidth="1"/>
    <col min="2558" max="2558" width="8.28515625" style="26" bestFit="1" customWidth="1"/>
    <col min="2559" max="2560" width="8.28515625" style="26" customWidth="1"/>
    <col min="2561" max="2561" width="8.42578125" style="26" bestFit="1" customWidth="1"/>
    <col min="2562" max="2562" width="7.42578125" style="26" bestFit="1" customWidth="1"/>
    <col min="2563" max="2565" width="7.42578125" style="26" customWidth="1"/>
    <col min="2566" max="2571" width="0" style="26" hidden="1" customWidth="1"/>
    <col min="2572" max="2572" width="10.140625" style="26" customWidth="1"/>
    <col min="2573" max="2574" width="11.42578125" style="26"/>
    <col min="2575" max="2575" width="12.42578125" style="26" bestFit="1" customWidth="1"/>
    <col min="2576" max="2811" width="11.42578125" style="26"/>
    <col min="2812" max="2812" width="18.140625" style="26" customWidth="1"/>
    <col min="2813" max="2813" width="8.42578125" style="26" bestFit="1" customWidth="1"/>
    <col min="2814" max="2814" width="8.28515625" style="26" bestFit="1" customWidth="1"/>
    <col min="2815" max="2816" width="8.28515625" style="26" customWidth="1"/>
    <col min="2817" max="2817" width="8.42578125" style="26" bestFit="1" customWidth="1"/>
    <col min="2818" max="2818" width="7.42578125" style="26" bestFit="1" customWidth="1"/>
    <col min="2819" max="2821" width="7.42578125" style="26" customWidth="1"/>
    <col min="2822" max="2827" width="0" style="26" hidden="1" customWidth="1"/>
    <col min="2828" max="2828" width="10.140625" style="26" customWidth="1"/>
    <col min="2829" max="2830" width="11.42578125" style="26"/>
    <col min="2831" max="2831" width="12.42578125" style="26" bestFit="1" customWidth="1"/>
    <col min="2832" max="3067" width="11.42578125" style="26"/>
    <col min="3068" max="3068" width="18.140625" style="26" customWidth="1"/>
    <col min="3069" max="3069" width="8.42578125" style="26" bestFit="1" customWidth="1"/>
    <col min="3070" max="3070" width="8.28515625" style="26" bestFit="1" customWidth="1"/>
    <col min="3071" max="3072" width="8.28515625" style="26" customWidth="1"/>
    <col min="3073" max="3073" width="8.42578125" style="26" bestFit="1" customWidth="1"/>
    <col min="3074" max="3074" width="7.42578125" style="26" bestFit="1" customWidth="1"/>
    <col min="3075" max="3077" width="7.42578125" style="26" customWidth="1"/>
    <col min="3078" max="3083" width="0" style="26" hidden="1" customWidth="1"/>
    <col min="3084" max="3084" width="10.140625" style="26" customWidth="1"/>
    <col min="3085" max="3086" width="11.42578125" style="26"/>
    <col min="3087" max="3087" width="12.42578125" style="26" bestFit="1" customWidth="1"/>
    <col min="3088" max="3323" width="11.42578125" style="26"/>
    <col min="3324" max="3324" width="18.140625" style="26" customWidth="1"/>
    <col min="3325" max="3325" width="8.42578125" style="26" bestFit="1" customWidth="1"/>
    <col min="3326" max="3326" width="8.28515625" style="26" bestFit="1" customWidth="1"/>
    <col min="3327" max="3328" width="8.28515625" style="26" customWidth="1"/>
    <col min="3329" max="3329" width="8.42578125" style="26" bestFit="1" customWidth="1"/>
    <col min="3330" max="3330" width="7.42578125" style="26" bestFit="1" customWidth="1"/>
    <col min="3331" max="3333" width="7.42578125" style="26" customWidth="1"/>
    <col min="3334" max="3339" width="0" style="26" hidden="1" customWidth="1"/>
    <col min="3340" max="3340" width="10.140625" style="26" customWidth="1"/>
    <col min="3341" max="3342" width="11.42578125" style="26"/>
    <col min="3343" max="3343" width="12.42578125" style="26" bestFit="1" customWidth="1"/>
    <col min="3344" max="3579" width="11.42578125" style="26"/>
    <col min="3580" max="3580" width="18.140625" style="26" customWidth="1"/>
    <col min="3581" max="3581" width="8.42578125" style="26" bestFit="1" customWidth="1"/>
    <col min="3582" max="3582" width="8.28515625" style="26" bestFit="1" customWidth="1"/>
    <col min="3583" max="3584" width="8.28515625" style="26" customWidth="1"/>
    <col min="3585" max="3585" width="8.42578125" style="26" bestFit="1" customWidth="1"/>
    <col min="3586" max="3586" width="7.42578125" style="26" bestFit="1" customWidth="1"/>
    <col min="3587" max="3589" width="7.42578125" style="26" customWidth="1"/>
    <col min="3590" max="3595" width="0" style="26" hidden="1" customWidth="1"/>
    <col min="3596" max="3596" width="10.140625" style="26" customWidth="1"/>
    <col min="3597" max="3598" width="11.42578125" style="26"/>
    <col min="3599" max="3599" width="12.42578125" style="26" bestFit="1" customWidth="1"/>
    <col min="3600" max="3835" width="11.42578125" style="26"/>
    <col min="3836" max="3836" width="18.140625" style="26" customWidth="1"/>
    <col min="3837" max="3837" width="8.42578125" style="26" bestFit="1" customWidth="1"/>
    <col min="3838" max="3838" width="8.28515625" style="26" bestFit="1" customWidth="1"/>
    <col min="3839" max="3840" width="8.28515625" style="26" customWidth="1"/>
    <col min="3841" max="3841" width="8.42578125" style="26" bestFit="1" customWidth="1"/>
    <col min="3842" max="3842" width="7.42578125" style="26" bestFit="1" customWidth="1"/>
    <col min="3843" max="3845" width="7.42578125" style="26" customWidth="1"/>
    <col min="3846" max="3851" width="0" style="26" hidden="1" customWidth="1"/>
    <col min="3852" max="3852" width="10.140625" style="26" customWidth="1"/>
    <col min="3853" max="3854" width="11.42578125" style="26"/>
    <col min="3855" max="3855" width="12.42578125" style="26" bestFit="1" customWidth="1"/>
    <col min="3856" max="4091" width="11.42578125" style="26"/>
    <col min="4092" max="4092" width="18.140625" style="26" customWidth="1"/>
    <col min="4093" max="4093" width="8.42578125" style="26" bestFit="1" customWidth="1"/>
    <col min="4094" max="4094" width="8.28515625" style="26" bestFit="1" customWidth="1"/>
    <col min="4095" max="4096" width="8.28515625" style="26" customWidth="1"/>
    <col min="4097" max="4097" width="8.42578125" style="26" bestFit="1" customWidth="1"/>
    <col min="4098" max="4098" width="7.42578125" style="26" bestFit="1" customWidth="1"/>
    <col min="4099" max="4101" width="7.42578125" style="26" customWidth="1"/>
    <col min="4102" max="4107" width="0" style="26" hidden="1" customWidth="1"/>
    <col min="4108" max="4108" width="10.140625" style="26" customWidth="1"/>
    <col min="4109" max="4110" width="11.42578125" style="26"/>
    <col min="4111" max="4111" width="12.42578125" style="26" bestFit="1" customWidth="1"/>
    <col min="4112" max="4347" width="11.42578125" style="26"/>
    <col min="4348" max="4348" width="18.140625" style="26" customWidth="1"/>
    <col min="4349" max="4349" width="8.42578125" style="26" bestFit="1" customWidth="1"/>
    <col min="4350" max="4350" width="8.28515625" style="26" bestFit="1" customWidth="1"/>
    <col min="4351" max="4352" width="8.28515625" style="26" customWidth="1"/>
    <col min="4353" max="4353" width="8.42578125" style="26" bestFit="1" customWidth="1"/>
    <col min="4354" max="4354" width="7.42578125" style="26" bestFit="1" customWidth="1"/>
    <col min="4355" max="4357" width="7.42578125" style="26" customWidth="1"/>
    <col min="4358" max="4363" width="0" style="26" hidden="1" customWidth="1"/>
    <col min="4364" max="4364" width="10.140625" style="26" customWidth="1"/>
    <col min="4365" max="4366" width="11.42578125" style="26"/>
    <col min="4367" max="4367" width="12.42578125" style="26" bestFit="1" customWidth="1"/>
    <col min="4368" max="4603" width="11.42578125" style="26"/>
    <col min="4604" max="4604" width="18.140625" style="26" customWidth="1"/>
    <col min="4605" max="4605" width="8.42578125" style="26" bestFit="1" customWidth="1"/>
    <col min="4606" max="4606" width="8.28515625" style="26" bestFit="1" customWidth="1"/>
    <col min="4607" max="4608" width="8.28515625" style="26" customWidth="1"/>
    <col min="4609" max="4609" width="8.42578125" style="26" bestFit="1" customWidth="1"/>
    <col min="4610" max="4610" width="7.42578125" style="26" bestFit="1" customWidth="1"/>
    <col min="4611" max="4613" width="7.42578125" style="26" customWidth="1"/>
    <col min="4614" max="4619" width="0" style="26" hidden="1" customWidth="1"/>
    <col min="4620" max="4620" width="10.140625" style="26" customWidth="1"/>
    <col min="4621" max="4622" width="11.42578125" style="26"/>
    <col min="4623" max="4623" width="12.42578125" style="26" bestFit="1" customWidth="1"/>
    <col min="4624" max="4859" width="11.42578125" style="26"/>
    <col min="4860" max="4860" width="18.140625" style="26" customWidth="1"/>
    <col min="4861" max="4861" width="8.42578125" style="26" bestFit="1" customWidth="1"/>
    <col min="4862" max="4862" width="8.28515625" style="26" bestFit="1" customWidth="1"/>
    <col min="4863" max="4864" width="8.28515625" style="26" customWidth="1"/>
    <col min="4865" max="4865" width="8.42578125" style="26" bestFit="1" customWidth="1"/>
    <col min="4866" max="4866" width="7.42578125" style="26" bestFit="1" customWidth="1"/>
    <col min="4867" max="4869" width="7.42578125" style="26" customWidth="1"/>
    <col min="4870" max="4875" width="0" style="26" hidden="1" customWidth="1"/>
    <col min="4876" max="4876" width="10.140625" style="26" customWidth="1"/>
    <col min="4877" max="4878" width="11.42578125" style="26"/>
    <col min="4879" max="4879" width="12.42578125" style="26" bestFit="1" customWidth="1"/>
    <col min="4880" max="5115" width="11.42578125" style="26"/>
    <col min="5116" max="5116" width="18.140625" style="26" customWidth="1"/>
    <col min="5117" max="5117" width="8.42578125" style="26" bestFit="1" customWidth="1"/>
    <col min="5118" max="5118" width="8.28515625" style="26" bestFit="1" customWidth="1"/>
    <col min="5119" max="5120" width="8.28515625" style="26" customWidth="1"/>
    <col min="5121" max="5121" width="8.42578125" style="26" bestFit="1" customWidth="1"/>
    <col min="5122" max="5122" width="7.42578125" style="26" bestFit="1" customWidth="1"/>
    <col min="5123" max="5125" width="7.42578125" style="26" customWidth="1"/>
    <col min="5126" max="5131" width="0" style="26" hidden="1" customWidth="1"/>
    <col min="5132" max="5132" width="10.140625" style="26" customWidth="1"/>
    <col min="5133" max="5134" width="11.42578125" style="26"/>
    <col min="5135" max="5135" width="12.42578125" style="26" bestFit="1" customWidth="1"/>
    <col min="5136" max="5371" width="11.42578125" style="26"/>
    <col min="5372" max="5372" width="18.140625" style="26" customWidth="1"/>
    <col min="5373" max="5373" width="8.42578125" style="26" bestFit="1" customWidth="1"/>
    <col min="5374" max="5374" width="8.28515625" style="26" bestFit="1" customWidth="1"/>
    <col min="5375" max="5376" width="8.28515625" style="26" customWidth="1"/>
    <col min="5377" max="5377" width="8.42578125" style="26" bestFit="1" customWidth="1"/>
    <col min="5378" max="5378" width="7.42578125" style="26" bestFit="1" customWidth="1"/>
    <col min="5379" max="5381" width="7.42578125" style="26" customWidth="1"/>
    <col min="5382" max="5387" width="0" style="26" hidden="1" customWidth="1"/>
    <col min="5388" max="5388" width="10.140625" style="26" customWidth="1"/>
    <col min="5389" max="5390" width="11.42578125" style="26"/>
    <col min="5391" max="5391" width="12.42578125" style="26" bestFit="1" customWidth="1"/>
    <col min="5392" max="5627" width="11.42578125" style="26"/>
    <col min="5628" max="5628" width="18.140625" style="26" customWidth="1"/>
    <col min="5629" max="5629" width="8.42578125" style="26" bestFit="1" customWidth="1"/>
    <col min="5630" max="5630" width="8.28515625" style="26" bestFit="1" customWidth="1"/>
    <col min="5631" max="5632" width="8.28515625" style="26" customWidth="1"/>
    <col min="5633" max="5633" width="8.42578125" style="26" bestFit="1" customWidth="1"/>
    <col min="5634" max="5634" width="7.42578125" style="26" bestFit="1" customWidth="1"/>
    <col min="5635" max="5637" width="7.42578125" style="26" customWidth="1"/>
    <col min="5638" max="5643" width="0" style="26" hidden="1" customWidth="1"/>
    <col min="5644" max="5644" width="10.140625" style="26" customWidth="1"/>
    <col min="5645" max="5646" width="11.42578125" style="26"/>
    <col min="5647" max="5647" width="12.42578125" style="26" bestFit="1" customWidth="1"/>
    <col min="5648" max="5883" width="11.42578125" style="26"/>
    <col min="5884" max="5884" width="18.140625" style="26" customWidth="1"/>
    <col min="5885" max="5885" width="8.42578125" style="26" bestFit="1" customWidth="1"/>
    <col min="5886" max="5886" width="8.28515625" style="26" bestFit="1" customWidth="1"/>
    <col min="5887" max="5888" width="8.28515625" style="26" customWidth="1"/>
    <col min="5889" max="5889" width="8.42578125" style="26" bestFit="1" customWidth="1"/>
    <col min="5890" max="5890" width="7.42578125" style="26" bestFit="1" customWidth="1"/>
    <col min="5891" max="5893" width="7.42578125" style="26" customWidth="1"/>
    <col min="5894" max="5899" width="0" style="26" hidden="1" customWidth="1"/>
    <col min="5900" max="5900" width="10.140625" style="26" customWidth="1"/>
    <col min="5901" max="5902" width="11.42578125" style="26"/>
    <col min="5903" max="5903" width="12.42578125" style="26" bestFit="1" customWidth="1"/>
    <col min="5904" max="6139" width="11.42578125" style="26"/>
    <col min="6140" max="6140" width="18.140625" style="26" customWidth="1"/>
    <col min="6141" max="6141" width="8.42578125" style="26" bestFit="1" customWidth="1"/>
    <col min="6142" max="6142" width="8.28515625" style="26" bestFit="1" customWidth="1"/>
    <col min="6143" max="6144" width="8.28515625" style="26" customWidth="1"/>
    <col min="6145" max="6145" width="8.42578125" style="26" bestFit="1" customWidth="1"/>
    <col min="6146" max="6146" width="7.42578125" style="26" bestFit="1" customWidth="1"/>
    <col min="6147" max="6149" width="7.42578125" style="26" customWidth="1"/>
    <col min="6150" max="6155" width="0" style="26" hidden="1" customWidth="1"/>
    <col min="6156" max="6156" width="10.140625" style="26" customWidth="1"/>
    <col min="6157" max="6158" width="11.42578125" style="26"/>
    <col min="6159" max="6159" width="12.42578125" style="26" bestFit="1" customWidth="1"/>
    <col min="6160" max="6395" width="11.42578125" style="26"/>
    <col min="6396" max="6396" width="18.140625" style="26" customWidth="1"/>
    <col min="6397" max="6397" width="8.42578125" style="26" bestFit="1" customWidth="1"/>
    <col min="6398" max="6398" width="8.28515625" style="26" bestFit="1" customWidth="1"/>
    <col min="6399" max="6400" width="8.28515625" style="26" customWidth="1"/>
    <col min="6401" max="6401" width="8.42578125" style="26" bestFit="1" customWidth="1"/>
    <col min="6402" max="6402" width="7.42578125" style="26" bestFit="1" customWidth="1"/>
    <col min="6403" max="6405" width="7.42578125" style="26" customWidth="1"/>
    <col min="6406" max="6411" width="0" style="26" hidden="1" customWidth="1"/>
    <col min="6412" max="6412" width="10.140625" style="26" customWidth="1"/>
    <col min="6413" max="6414" width="11.42578125" style="26"/>
    <col min="6415" max="6415" width="12.42578125" style="26" bestFit="1" customWidth="1"/>
    <col min="6416" max="6651" width="11.42578125" style="26"/>
    <col min="6652" max="6652" width="18.140625" style="26" customWidth="1"/>
    <col min="6653" max="6653" width="8.42578125" style="26" bestFit="1" customWidth="1"/>
    <col min="6654" max="6654" width="8.28515625" style="26" bestFit="1" customWidth="1"/>
    <col min="6655" max="6656" width="8.28515625" style="26" customWidth="1"/>
    <col min="6657" max="6657" width="8.42578125" style="26" bestFit="1" customWidth="1"/>
    <col min="6658" max="6658" width="7.42578125" style="26" bestFit="1" customWidth="1"/>
    <col min="6659" max="6661" width="7.42578125" style="26" customWidth="1"/>
    <col min="6662" max="6667" width="0" style="26" hidden="1" customWidth="1"/>
    <col min="6668" max="6668" width="10.140625" style="26" customWidth="1"/>
    <col min="6669" max="6670" width="11.42578125" style="26"/>
    <col min="6671" max="6671" width="12.42578125" style="26" bestFit="1" customWidth="1"/>
    <col min="6672" max="6907" width="11.42578125" style="26"/>
    <col min="6908" max="6908" width="18.140625" style="26" customWidth="1"/>
    <col min="6909" max="6909" width="8.42578125" style="26" bestFit="1" customWidth="1"/>
    <col min="6910" max="6910" width="8.28515625" style="26" bestFit="1" customWidth="1"/>
    <col min="6911" max="6912" width="8.28515625" style="26" customWidth="1"/>
    <col min="6913" max="6913" width="8.42578125" style="26" bestFit="1" customWidth="1"/>
    <col min="6914" max="6914" width="7.42578125" style="26" bestFit="1" customWidth="1"/>
    <col min="6915" max="6917" width="7.42578125" style="26" customWidth="1"/>
    <col min="6918" max="6923" width="0" style="26" hidden="1" customWidth="1"/>
    <col min="6924" max="6924" width="10.140625" style="26" customWidth="1"/>
    <col min="6925" max="6926" width="11.42578125" style="26"/>
    <col min="6927" max="6927" width="12.42578125" style="26" bestFit="1" customWidth="1"/>
    <col min="6928" max="7163" width="11.42578125" style="26"/>
    <col min="7164" max="7164" width="18.140625" style="26" customWidth="1"/>
    <col min="7165" max="7165" width="8.42578125" style="26" bestFit="1" customWidth="1"/>
    <col min="7166" max="7166" width="8.28515625" style="26" bestFit="1" customWidth="1"/>
    <col min="7167" max="7168" width="8.28515625" style="26" customWidth="1"/>
    <col min="7169" max="7169" width="8.42578125" style="26" bestFit="1" customWidth="1"/>
    <col min="7170" max="7170" width="7.42578125" style="26" bestFit="1" customWidth="1"/>
    <col min="7171" max="7173" width="7.42578125" style="26" customWidth="1"/>
    <col min="7174" max="7179" width="0" style="26" hidden="1" customWidth="1"/>
    <col min="7180" max="7180" width="10.140625" style="26" customWidth="1"/>
    <col min="7181" max="7182" width="11.42578125" style="26"/>
    <col min="7183" max="7183" width="12.42578125" style="26" bestFit="1" customWidth="1"/>
    <col min="7184" max="7419" width="11.42578125" style="26"/>
    <col min="7420" max="7420" width="18.140625" style="26" customWidth="1"/>
    <col min="7421" max="7421" width="8.42578125" style="26" bestFit="1" customWidth="1"/>
    <col min="7422" max="7422" width="8.28515625" style="26" bestFit="1" customWidth="1"/>
    <col min="7423" max="7424" width="8.28515625" style="26" customWidth="1"/>
    <col min="7425" max="7425" width="8.42578125" style="26" bestFit="1" customWidth="1"/>
    <col min="7426" max="7426" width="7.42578125" style="26" bestFit="1" customWidth="1"/>
    <col min="7427" max="7429" width="7.42578125" style="26" customWidth="1"/>
    <col min="7430" max="7435" width="0" style="26" hidden="1" customWidth="1"/>
    <col min="7436" max="7436" width="10.140625" style="26" customWidth="1"/>
    <col min="7437" max="7438" width="11.42578125" style="26"/>
    <col min="7439" max="7439" width="12.42578125" style="26" bestFit="1" customWidth="1"/>
    <col min="7440" max="7675" width="11.42578125" style="26"/>
    <col min="7676" max="7676" width="18.140625" style="26" customWidth="1"/>
    <col min="7677" max="7677" width="8.42578125" style="26" bestFit="1" customWidth="1"/>
    <col min="7678" max="7678" width="8.28515625" style="26" bestFit="1" customWidth="1"/>
    <col min="7679" max="7680" width="8.28515625" style="26" customWidth="1"/>
    <col min="7681" max="7681" width="8.42578125" style="26" bestFit="1" customWidth="1"/>
    <col min="7682" max="7682" width="7.42578125" style="26" bestFit="1" customWidth="1"/>
    <col min="7683" max="7685" width="7.42578125" style="26" customWidth="1"/>
    <col min="7686" max="7691" width="0" style="26" hidden="1" customWidth="1"/>
    <col min="7692" max="7692" width="10.140625" style="26" customWidth="1"/>
    <col min="7693" max="7694" width="11.42578125" style="26"/>
    <col min="7695" max="7695" width="12.42578125" style="26" bestFit="1" customWidth="1"/>
    <col min="7696" max="7931" width="11.42578125" style="26"/>
    <col min="7932" max="7932" width="18.140625" style="26" customWidth="1"/>
    <col min="7933" max="7933" width="8.42578125" style="26" bestFit="1" customWidth="1"/>
    <col min="7934" max="7934" width="8.28515625" style="26" bestFit="1" customWidth="1"/>
    <col min="7935" max="7936" width="8.28515625" style="26" customWidth="1"/>
    <col min="7937" max="7937" width="8.42578125" style="26" bestFit="1" customWidth="1"/>
    <col min="7938" max="7938" width="7.42578125" style="26" bestFit="1" customWidth="1"/>
    <col min="7939" max="7941" width="7.42578125" style="26" customWidth="1"/>
    <col min="7942" max="7947" width="0" style="26" hidden="1" customWidth="1"/>
    <col min="7948" max="7948" width="10.140625" style="26" customWidth="1"/>
    <col min="7949" max="7950" width="11.42578125" style="26"/>
    <col min="7951" max="7951" width="12.42578125" style="26" bestFit="1" customWidth="1"/>
    <col min="7952" max="8187" width="11.42578125" style="26"/>
    <col min="8188" max="8188" width="18.140625" style="26" customWidth="1"/>
    <col min="8189" max="8189" width="8.42578125" style="26" bestFit="1" customWidth="1"/>
    <col min="8190" max="8190" width="8.28515625" style="26" bestFit="1" customWidth="1"/>
    <col min="8191" max="8192" width="8.28515625" style="26" customWidth="1"/>
    <col min="8193" max="8193" width="8.42578125" style="26" bestFit="1" customWidth="1"/>
    <col min="8194" max="8194" width="7.42578125" style="26" bestFit="1" customWidth="1"/>
    <col min="8195" max="8197" width="7.42578125" style="26" customWidth="1"/>
    <col min="8198" max="8203" width="0" style="26" hidden="1" customWidth="1"/>
    <col min="8204" max="8204" width="10.140625" style="26" customWidth="1"/>
    <col min="8205" max="8206" width="11.42578125" style="26"/>
    <col min="8207" max="8207" width="12.42578125" style="26" bestFit="1" customWidth="1"/>
    <col min="8208" max="8443" width="11.42578125" style="26"/>
    <col min="8444" max="8444" width="18.140625" style="26" customWidth="1"/>
    <col min="8445" max="8445" width="8.42578125" style="26" bestFit="1" customWidth="1"/>
    <col min="8446" max="8446" width="8.28515625" style="26" bestFit="1" customWidth="1"/>
    <col min="8447" max="8448" width="8.28515625" style="26" customWidth="1"/>
    <col min="8449" max="8449" width="8.42578125" style="26" bestFit="1" customWidth="1"/>
    <col min="8450" max="8450" width="7.42578125" style="26" bestFit="1" customWidth="1"/>
    <col min="8451" max="8453" width="7.42578125" style="26" customWidth="1"/>
    <col min="8454" max="8459" width="0" style="26" hidden="1" customWidth="1"/>
    <col min="8460" max="8460" width="10.140625" style="26" customWidth="1"/>
    <col min="8461" max="8462" width="11.42578125" style="26"/>
    <col min="8463" max="8463" width="12.42578125" style="26" bestFit="1" customWidth="1"/>
    <col min="8464" max="8699" width="11.42578125" style="26"/>
    <col min="8700" max="8700" width="18.140625" style="26" customWidth="1"/>
    <col min="8701" max="8701" width="8.42578125" style="26" bestFit="1" customWidth="1"/>
    <col min="8702" max="8702" width="8.28515625" style="26" bestFit="1" customWidth="1"/>
    <col min="8703" max="8704" width="8.28515625" style="26" customWidth="1"/>
    <col min="8705" max="8705" width="8.42578125" style="26" bestFit="1" customWidth="1"/>
    <col min="8706" max="8706" width="7.42578125" style="26" bestFit="1" customWidth="1"/>
    <col min="8707" max="8709" width="7.42578125" style="26" customWidth="1"/>
    <col min="8710" max="8715" width="0" style="26" hidden="1" customWidth="1"/>
    <col min="8716" max="8716" width="10.140625" style="26" customWidth="1"/>
    <col min="8717" max="8718" width="11.42578125" style="26"/>
    <col min="8719" max="8719" width="12.42578125" style="26" bestFit="1" customWidth="1"/>
    <col min="8720" max="8955" width="11.42578125" style="26"/>
    <col min="8956" max="8956" width="18.140625" style="26" customWidth="1"/>
    <col min="8957" max="8957" width="8.42578125" style="26" bestFit="1" customWidth="1"/>
    <col min="8958" max="8958" width="8.28515625" style="26" bestFit="1" customWidth="1"/>
    <col min="8959" max="8960" width="8.28515625" style="26" customWidth="1"/>
    <col min="8961" max="8961" width="8.42578125" style="26" bestFit="1" customWidth="1"/>
    <col min="8962" max="8962" width="7.42578125" style="26" bestFit="1" customWidth="1"/>
    <col min="8963" max="8965" width="7.42578125" style="26" customWidth="1"/>
    <col min="8966" max="8971" width="0" style="26" hidden="1" customWidth="1"/>
    <col min="8972" max="8972" width="10.140625" style="26" customWidth="1"/>
    <col min="8973" max="8974" width="11.42578125" style="26"/>
    <col min="8975" max="8975" width="12.42578125" style="26" bestFit="1" customWidth="1"/>
    <col min="8976" max="9211" width="11.42578125" style="26"/>
    <col min="9212" max="9212" width="18.140625" style="26" customWidth="1"/>
    <col min="9213" max="9213" width="8.42578125" style="26" bestFit="1" customWidth="1"/>
    <col min="9214" max="9214" width="8.28515625" style="26" bestFit="1" customWidth="1"/>
    <col min="9215" max="9216" width="8.28515625" style="26" customWidth="1"/>
    <col min="9217" max="9217" width="8.42578125" style="26" bestFit="1" customWidth="1"/>
    <col min="9218" max="9218" width="7.42578125" style="26" bestFit="1" customWidth="1"/>
    <col min="9219" max="9221" width="7.42578125" style="26" customWidth="1"/>
    <col min="9222" max="9227" width="0" style="26" hidden="1" customWidth="1"/>
    <col min="9228" max="9228" width="10.140625" style="26" customWidth="1"/>
    <col min="9229" max="9230" width="11.42578125" style="26"/>
    <col min="9231" max="9231" width="12.42578125" style="26" bestFit="1" customWidth="1"/>
    <col min="9232" max="9467" width="11.42578125" style="26"/>
    <col min="9468" max="9468" width="18.140625" style="26" customWidth="1"/>
    <col min="9469" max="9469" width="8.42578125" style="26" bestFit="1" customWidth="1"/>
    <col min="9470" max="9470" width="8.28515625" style="26" bestFit="1" customWidth="1"/>
    <col min="9471" max="9472" width="8.28515625" style="26" customWidth="1"/>
    <col min="9473" max="9473" width="8.42578125" style="26" bestFit="1" customWidth="1"/>
    <col min="9474" max="9474" width="7.42578125" style="26" bestFit="1" customWidth="1"/>
    <col min="9475" max="9477" width="7.42578125" style="26" customWidth="1"/>
    <col min="9478" max="9483" width="0" style="26" hidden="1" customWidth="1"/>
    <col min="9484" max="9484" width="10.140625" style="26" customWidth="1"/>
    <col min="9485" max="9486" width="11.42578125" style="26"/>
    <col min="9487" max="9487" width="12.42578125" style="26" bestFit="1" customWidth="1"/>
    <col min="9488" max="9723" width="11.42578125" style="26"/>
    <col min="9724" max="9724" width="18.140625" style="26" customWidth="1"/>
    <col min="9725" max="9725" width="8.42578125" style="26" bestFit="1" customWidth="1"/>
    <col min="9726" max="9726" width="8.28515625" style="26" bestFit="1" customWidth="1"/>
    <col min="9727" max="9728" width="8.28515625" style="26" customWidth="1"/>
    <col min="9729" max="9729" width="8.42578125" style="26" bestFit="1" customWidth="1"/>
    <col min="9730" max="9730" width="7.42578125" style="26" bestFit="1" customWidth="1"/>
    <col min="9731" max="9733" width="7.42578125" style="26" customWidth="1"/>
    <col min="9734" max="9739" width="0" style="26" hidden="1" customWidth="1"/>
    <col min="9740" max="9740" width="10.140625" style="26" customWidth="1"/>
    <col min="9741" max="9742" width="11.42578125" style="26"/>
    <col min="9743" max="9743" width="12.42578125" style="26" bestFit="1" customWidth="1"/>
    <col min="9744" max="9979" width="11.42578125" style="26"/>
    <col min="9980" max="9980" width="18.140625" style="26" customWidth="1"/>
    <col min="9981" max="9981" width="8.42578125" style="26" bestFit="1" customWidth="1"/>
    <col min="9982" max="9982" width="8.28515625" style="26" bestFit="1" customWidth="1"/>
    <col min="9983" max="9984" width="8.28515625" style="26" customWidth="1"/>
    <col min="9985" max="9985" width="8.42578125" style="26" bestFit="1" customWidth="1"/>
    <col min="9986" max="9986" width="7.42578125" style="26" bestFit="1" customWidth="1"/>
    <col min="9987" max="9989" width="7.42578125" style="26" customWidth="1"/>
    <col min="9990" max="9995" width="0" style="26" hidden="1" customWidth="1"/>
    <col min="9996" max="9996" width="10.140625" style="26" customWidth="1"/>
    <col min="9997" max="9998" width="11.42578125" style="26"/>
    <col min="9999" max="9999" width="12.42578125" style="26" bestFit="1" customWidth="1"/>
    <col min="10000" max="10235" width="11.42578125" style="26"/>
    <col min="10236" max="10236" width="18.140625" style="26" customWidth="1"/>
    <col min="10237" max="10237" width="8.42578125" style="26" bestFit="1" customWidth="1"/>
    <col min="10238" max="10238" width="8.28515625" style="26" bestFit="1" customWidth="1"/>
    <col min="10239" max="10240" width="8.28515625" style="26" customWidth="1"/>
    <col min="10241" max="10241" width="8.42578125" style="26" bestFit="1" customWidth="1"/>
    <col min="10242" max="10242" width="7.42578125" style="26" bestFit="1" customWidth="1"/>
    <col min="10243" max="10245" width="7.42578125" style="26" customWidth="1"/>
    <col min="10246" max="10251" width="0" style="26" hidden="1" customWidth="1"/>
    <col min="10252" max="10252" width="10.140625" style="26" customWidth="1"/>
    <col min="10253" max="10254" width="11.42578125" style="26"/>
    <col min="10255" max="10255" width="12.42578125" style="26" bestFit="1" customWidth="1"/>
    <col min="10256" max="10491" width="11.42578125" style="26"/>
    <col min="10492" max="10492" width="18.140625" style="26" customWidth="1"/>
    <col min="10493" max="10493" width="8.42578125" style="26" bestFit="1" customWidth="1"/>
    <col min="10494" max="10494" width="8.28515625" style="26" bestFit="1" customWidth="1"/>
    <col min="10495" max="10496" width="8.28515625" style="26" customWidth="1"/>
    <col min="10497" max="10497" width="8.42578125" style="26" bestFit="1" customWidth="1"/>
    <col min="10498" max="10498" width="7.42578125" style="26" bestFit="1" customWidth="1"/>
    <col min="10499" max="10501" width="7.42578125" style="26" customWidth="1"/>
    <col min="10502" max="10507" width="0" style="26" hidden="1" customWidth="1"/>
    <col min="10508" max="10508" width="10.140625" style="26" customWidth="1"/>
    <col min="10509" max="10510" width="11.42578125" style="26"/>
    <col min="10511" max="10511" width="12.42578125" style="26" bestFit="1" customWidth="1"/>
    <col min="10512" max="10747" width="11.42578125" style="26"/>
    <col min="10748" max="10748" width="18.140625" style="26" customWidth="1"/>
    <col min="10749" max="10749" width="8.42578125" style="26" bestFit="1" customWidth="1"/>
    <col min="10750" max="10750" width="8.28515625" style="26" bestFit="1" customWidth="1"/>
    <col min="10751" max="10752" width="8.28515625" style="26" customWidth="1"/>
    <col min="10753" max="10753" width="8.42578125" style="26" bestFit="1" customWidth="1"/>
    <col min="10754" max="10754" width="7.42578125" style="26" bestFit="1" customWidth="1"/>
    <col min="10755" max="10757" width="7.42578125" style="26" customWidth="1"/>
    <col min="10758" max="10763" width="0" style="26" hidden="1" customWidth="1"/>
    <col min="10764" max="10764" width="10.140625" style="26" customWidth="1"/>
    <col min="10765" max="10766" width="11.42578125" style="26"/>
    <col min="10767" max="10767" width="12.42578125" style="26" bestFit="1" customWidth="1"/>
    <col min="10768" max="11003" width="11.42578125" style="26"/>
    <col min="11004" max="11004" width="18.140625" style="26" customWidth="1"/>
    <col min="11005" max="11005" width="8.42578125" style="26" bestFit="1" customWidth="1"/>
    <col min="11006" max="11006" width="8.28515625" style="26" bestFit="1" customWidth="1"/>
    <col min="11007" max="11008" width="8.28515625" style="26" customWidth="1"/>
    <col min="11009" max="11009" width="8.42578125" style="26" bestFit="1" customWidth="1"/>
    <col min="11010" max="11010" width="7.42578125" style="26" bestFit="1" customWidth="1"/>
    <col min="11011" max="11013" width="7.42578125" style="26" customWidth="1"/>
    <col min="11014" max="11019" width="0" style="26" hidden="1" customWidth="1"/>
    <col min="11020" max="11020" width="10.140625" style="26" customWidth="1"/>
    <col min="11021" max="11022" width="11.42578125" style="26"/>
    <col min="11023" max="11023" width="12.42578125" style="26" bestFit="1" customWidth="1"/>
    <col min="11024" max="11259" width="11.42578125" style="26"/>
    <col min="11260" max="11260" width="18.140625" style="26" customWidth="1"/>
    <col min="11261" max="11261" width="8.42578125" style="26" bestFit="1" customWidth="1"/>
    <col min="11262" max="11262" width="8.28515625" style="26" bestFit="1" customWidth="1"/>
    <col min="11263" max="11264" width="8.28515625" style="26" customWidth="1"/>
    <col min="11265" max="11265" width="8.42578125" style="26" bestFit="1" customWidth="1"/>
    <col min="11266" max="11266" width="7.42578125" style="26" bestFit="1" customWidth="1"/>
    <col min="11267" max="11269" width="7.42578125" style="26" customWidth="1"/>
    <col min="11270" max="11275" width="0" style="26" hidden="1" customWidth="1"/>
    <col min="11276" max="11276" width="10.140625" style="26" customWidth="1"/>
    <col min="11277" max="11278" width="11.42578125" style="26"/>
    <col min="11279" max="11279" width="12.42578125" style="26" bestFit="1" customWidth="1"/>
    <col min="11280" max="11515" width="11.42578125" style="26"/>
    <col min="11516" max="11516" width="18.140625" style="26" customWidth="1"/>
    <col min="11517" max="11517" width="8.42578125" style="26" bestFit="1" customWidth="1"/>
    <col min="11518" max="11518" width="8.28515625" style="26" bestFit="1" customWidth="1"/>
    <col min="11519" max="11520" width="8.28515625" style="26" customWidth="1"/>
    <col min="11521" max="11521" width="8.42578125" style="26" bestFit="1" customWidth="1"/>
    <col min="11522" max="11522" width="7.42578125" style="26" bestFit="1" customWidth="1"/>
    <col min="11523" max="11525" width="7.42578125" style="26" customWidth="1"/>
    <col min="11526" max="11531" width="0" style="26" hidden="1" customWidth="1"/>
    <col min="11532" max="11532" width="10.140625" style="26" customWidth="1"/>
    <col min="11533" max="11534" width="11.42578125" style="26"/>
    <col min="11535" max="11535" width="12.42578125" style="26" bestFit="1" customWidth="1"/>
    <col min="11536" max="11771" width="11.42578125" style="26"/>
    <col min="11772" max="11772" width="18.140625" style="26" customWidth="1"/>
    <col min="11773" max="11773" width="8.42578125" style="26" bestFit="1" customWidth="1"/>
    <col min="11774" max="11774" width="8.28515625" style="26" bestFit="1" customWidth="1"/>
    <col min="11775" max="11776" width="8.28515625" style="26" customWidth="1"/>
    <col min="11777" max="11777" width="8.42578125" style="26" bestFit="1" customWidth="1"/>
    <col min="11778" max="11778" width="7.42578125" style="26" bestFit="1" customWidth="1"/>
    <col min="11779" max="11781" width="7.42578125" style="26" customWidth="1"/>
    <col min="11782" max="11787" width="0" style="26" hidden="1" customWidth="1"/>
    <col min="11788" max="11788" width="10.140625" style="26" customWidth="1"/>
    <col min="11789" max="11790" width="11.42578125" style="26"/>
    <col min="11791" max="11791" width="12.42578125" style="26" bestFit="1" customWidth="1"/>
    <col min="11792" max="12027" width="11.42578125" style="26"/>
    <col min="12028" max="12028" width="18.140625" style="26" customWidth="1"/>
    <col min="12029" max="12029" width="8.42578125" style="26" bestFit="1" customWidth="1"/>
    <col min="12030" max="12030" width="8.28515625" style="26" bestFit="1" customWidth="1"/>
    <col min="12031" max="12032" width="8.28515625" style="26" customWidth="1"/>
    <col min="12033" max="12033" width="8.42578125" style="26" bestFit="1" customWidth="1"/>
    <col min="12034" max="12034" width="7.42578125" style="26" bestFit="1" customWidth="1"/>
    <col min="12035" max="12037" width="7.42578125" style="26" customWidth="1"/>
    <col min="12038" max="12043" width="0" style="26" hidden="1" customWidth="1"/>
    <col min="12044" max="12044" width="10.140625" style="26" customWidth="1"/>
    <col min="12045" max="12046" width="11.42578125" style="26"/>
    <col min="12047" max="12047" width="12.42578125" style="26" bestFit="1" customWidth="1"/>
    <col min="12048" max="12283" width="11.42578125" style="26"/>
    <col min="12284" max="12284" width="18.140625" style="26" customWidth="1"/>
    <col min="12285" max="12285" width="8.42578125" style="26" bestFit="1" customWidth="1"/>
    <col min="12286" max="12286" width="8.28515625" style="26" bestFit="1" customWidth="1"/>
    <col min="12287" max="12288" width="8.28515625" style="26" customWidth="1"/>
    <col min="12289" max="12289" width="8.42578125" style="26" bestFit="1" customWidth="1"/>
    <col min="12290" max="12290" width="7.42578125" style="26" bestFit="1" customWidth="1"/>
    <col min="12291" max="12293" width="7.42578125" style="26" customWidth="1"/>
    <col min="12294" max="12299" width="0" style="26" hidden="1" customWidth="1"/>
    <col min="12300" max="12300" width="10.140625" style="26" customWidth="1"/>
    <col min="12301" max="12302" width="11.42578125" style="26"/>
    <col min="12303" max="12303" width="12.42578125" style="26" bestFit="1" customWidth="1"/>
    <col min="12304" max="12539" width="11.42578125" style="26"/>
    <col min="12540" max="12540" width="18.140625" style="26" customWidth="1"/>
    <col min="12541" max="12541" width="8.42578125" style="26" bestFit="1" customWidth="1"/>
    <col min="12542" max="12542" width="8.28515625" style="26" bestFit="1" customWidth="1"/>
    <col min="12543" max="12544" width="8.28515625" style="26" customWidth="1"/>
    <col min="12545" max="12545" width="8.42578125" style="26" bestFit="1" customWidth="1"/>
    <col min="12546" max="12546" width="7.42578125" style="26" bestFit="1" customWidth="1"/>
    <col min="12547" max="12549" width="7.42578125" style="26" customWidth="1"/>
    <col min="12550" max="12555" width="0" style="26" hidden="1" customWidth="1"/>
    <col min="12556" max="12556" width="10.140625" style="26" customWidth="1"/>
    <col min="12557" max="12558" width="11.42578125" style="26"/>
    <col min="12559" max="12559" width="12.42578125" style="26" bestFit="1" customWidth="1"/>
    <col min="12560" max="12795" width="11.42578125" style="26"/>
    <col min="12796" max="12796" width="18.140625" style="26" customWidth="1"/>
    <col min="12797" max="12797" width="8.42578125" style="26" bestFit="1" customWidth="1"/>
    <col min="12798" max="12798" width="8.28515625" style="26" bestFit="1" customWidth="1"/>
    <col min="12799" max="12800" width="8.28515625" style="26" customWidth="1"/>
    <col min="12801" max="12801" width="8.42578125" style="26" bestFit="1" customWidth="1"/>
    <col min="12802" max="12802" width="7.42578125" style="26" bestFit="1" customWidth="1"/>
    <col min="12803" max="12805" width="7.42578125" style="26" customWidth="1"/>
    <col min="12806" max="12811" width="0" style="26" hidden="1" customWidth="1"/>
    <col min="12812" max="12812" width="10.140625" style="26" customWidth="1"/>
    <col min="12813" max="12814" width="11.42578125" style="26"/>
    <col min="12815" max="12815" width="12.42578125" style="26" bestFit="1" customWidth="1"/>
    <col min="12816" max="13051" width="11.42578125" style="26"/>
    <col min="13052" max="13052" width="18.140625" style="26" customWidth="1"/>
    <col min="13053" max="13053" width="8.42578125" style="26" bestFit="1" customWidth="1"/>
    <col min="13054" max="13054" width="8.28515625" style="26" bestFit="1" customWidth="1"/>
    <col min="13055" max="13056" width="8.28515625" style="26" customWidth="1"/>
    <col min="13057" max="13057" width="8.42578125" style="26" bestFit="1" customWidth="1"/>
    <col min="13058" max="13058" width="7.42578125" style="26" bestFit="1" customWidth="1"/>
    <col min="13059" max="13061" width="7.42578125" style="26" customWidth="1"/>
    <col min="13062" max="13067" width="0" style="26" hidden="1" customWidth="1"/>
    <col min="13068" max="13068" width="10.140625" style="26" customWidth="1"/>
    <col min="13069" max="13070" width="11.42578125" style="26"/>
    <col min="13071" max="13071" width="12.42578125" style="26" bestFit="1" customWidth="1"/>
    <col min="13072" max="13307" width="11.42578125" style="26"/>
    <col min="13308" max="13308" width="18.140625" style="26" customWidth="1"/>
    <col min="13309" max="13309" width="8.42578125" style="26" bestFit="1" customWidth="1"/>
    <col min="13310" max="13310" width="8.28515625" style="26" bestFit="1" customWidth="1"/>
    <col min="13311" max="13312" width="8.28515625" style="26" customWidth="1"/>
    <col min="13313" max="13313" width="8.42578125" style="26" bestFit="1" customWidth="1"/>
    <col min="13314" max="13314" width="7.42578125" style="26" bestFit="1" customWidth="1"/>
    <col min="13315" max="13317" width="7.42578125" style="26" customWidth="1"/>
    <col min="13318" max="13323" width="0" style="26" hidden="1" customWidth="1"/>
    <col min="13324" max="13324" width="10.140625" style="26" customWidth="1"/>
    <col min="13325" max="13326" width="11.42578125" style="26"/>
    <col min="13327" max="13327" width="12.42578125" style="26" bestFit="1" customWidth="1"/>
    <col min="13328" max="13563" width="11.42578125" style="26"/>
    <col min="13564" max="13564" width="18.140625" style="26" customWidth="1"/>
    <col min="13565" max="13565" width="8.42578125" style="26" bestFit="1" customWidth="1"/>
    <col min="13566" max="13566" width="8.28515625" style="26" bestFit="1" customWidth="1"/>
    <col min="13567" max="13568" width="8.28515625" style="26" customWidth="1"/>
    <col min="13569" max="13569" width="8.42578125" style="26" bestFit="1" customWidth="1"/>
    <col min="13570" max="13570" width="7.42578125" style="26" bestFit="1" customWidth="1"/>
    <col min="13571" max="13573" width="7.42578125" style="26" customWidth="1"/>
    <col min="13574" max="13579" width="0" style="26" hidden="1" customWidth="1"/>
    <col min="13580" max="13580" width="10.140625" style="26" customWidth="1"/>
    <col min="13581" max="13582" width="11.42578125" style="26"/>
    <col min="13583" max="13583" width="12.42578125" style="26" bestFit="1" customWidth="1"/>
    <col min="13584" max="13819" width="11.42578125" style="26"/>
    <col min="13820" max="13820" width="18.140625" style="26" customWidth="1"/>
    <col min="13821" max="13821" width="8.42578125" style="26" bestFit="1" customWidth="1"/>
    <col min="13822" max="13822" width="8.28515625" style="26" bestFit="1" customWidth="1"/>
    <col min="13823" max="13824" width="8.28515625" style="26" customWidth="1"/>
    <col min="13825" max="13825" width="8.42578125" style="26" bestFit="1" customWidth="1"/>
    <col min="13826" max="13826" width="7.42578125" style="26" bestFit="1" customWidth="1"/>
    <col min="13827" max="13829" width="7.42578125" style="26" customWidth="1"/>
    <col min="13830" max="13835" width="0" style="26" hidden="1" customWidth="1"/>
    <col min="13836" max="13836" width="10.140625" style="26" customWidth="1"/>
    <col min="13837" max="13838" width="11.42578125" style="26"/>
    <col min="13839" max="13839" width="12.42578125" style="26" bestFit="1" customWidth="1"/>
    <col min="13840" max="14075" width="11.42578125" style="26"/>
    <col min="14076" max="14076" width="18.140625" style="26" customWidth="1"/>
    <col min="14077" max="14077" width="8.42578125" style="26" bestFit="1" customWidth="1"/>
    <col min="14078" max="14078" width="8.28515625" style="26" bestFit="1" customWidth="1"/>
    <col min="14079" max="14080" width="8.28515625" style="26" customWidth="1"/>
    <col min="14081" max="14081" width="8.42578125" style="26" bestFit="1" customWidth="1"/>
    <col min="14082" max="14082" width="7.42578125" style="26" bestFit="1" customWidth="1"/>
    <col min="14083" max="14085" width="7.42578125" style="26" customWidth="1"/>
    <col min="14086" max="14091" width="0" style="26" hidden="1" customWidth="1"/>
    <col min="14092" max="14092" width="10.140625" style="26" customWidth="1"/>
    <col min="14093" max="14094" width="11.42578125" style="26"/>
    <col min="14095" max="14095" width="12.42578125" style="26" bestFit="1" customWidth="1"/>
    <col min="14096" max="14331" width="11.42578125" style="26"/>
    <col min="14332" max="14332" width="18.140625" style="26" customWidth="1"/>
    <col min="14333" max="14333" width="8.42578125" style="26" bestFit="1" customWidth="1"/>
    <col min="14334" max="14334" width="8.28515625" style="26" bestFit="1" customWidth="1"/>
    <col min="14335" max="14336" width="8.28515625" style="26" customWidth="1"/>
    <col min="14337" max="14337" width="8.42578125" style="26" bestFit="1" customWidth="1"/>
    <col min="14338" max="14338" width="7.42578125" style="26" bestFit="1" customWidth="1"/>
    <col min="14339" max="14341" width="7.42578125" style="26" customWidth="1"/>
    <col min="14342" max="14347" width="0" style="26" hidden="1" customWidth="1"/>
    <col min="14348" max="14348" width="10.140625" style="26" customWidth="1"/>
    <col min="14349" max="14350" width="11.42578125" style="26"/>
    <col min="14351" max="14351" width="12.42578125" style="26" bestFit="1" customWidth="1"/>
    <col min="14352" max="14587" width="11.42578125" style="26"/>
    <col min="14588" max="14588" width="18.140625" style="26" customWidth="1"/>
    <col min="14589" max="14589" width="8.42578125" style="26" bestFit="1" customWidth="1"/>
    <col min="14590" max="14590" width="8.28515625" style="26" bestFit="1" customWidth="1"/>
    <col min="14591" max="14592" width="8.28515625" style="26" customWidth="1"/>
    <col min="14593" max="14593" width="8.42578125" style="26" bestFit="1" customWidth="1"/>
    <col min="14594" max="14594" width="7.42578125" style="26" bestFit="1" customWidth="1"/>
    <col min="14595" max="14597" width="7.42578125" style="26" customWidth="1"/>
    <col min="14598" max="14603" width="0" style="26" hidden="1" customWidth="1"/>
    <col min="14604" max="14604" width="10.140625" style="26" customWidth="1"/>
    <col min="14605" max="14606" width="11.42578125" style="26"/>
    <col min="14607" max="14607" width="12.42578125" style="26" bestFit="1" customWidth="1"/>
    <col min="14608" max="14843" width="11.42578125" style="26"/>
    <col min="14844" max="14844" width="18.140625" style="26" customWidth="1"/>
    <col min="14845" max="14845" width="8.42578125" style="26" bestFit="1" customWidth="1"/>
    <col min="14846" max="14846" width="8.28515625" style="26" bestFit="1" customWidth="1"/>
    <col min="14847" max="14848" width="8.28515625" style="26" customWidth="1"/>
    <col min="14849" max="14849" width="8.42578125" style="26" bestFit="1" customWidth="1"/>
    <col min="14850" max="14850" width="7.42578125" style="26" bestFit="1" customWidth="1"/>
    <col min="14851" max="14853" width="7.42578125" style="26" customWidth="1"/>
    <col min="14854" max="14859" width="0" style="26" hidden="1" customWidth="1"/>
    <col min="14860" max="14860" width="10.140625" style="26" customWidth="1"/>
    <col min="14861" max="14862" width="11.42578125" style="26"/>
    <col min="14863" max="14863" width="12.42578125" style="26" bestFit="1" customWidth="1"/>
    <col min="14864" max="15099" width="11.42578125" style="26"/>
    <col min="15100" max="15100" width="18.140625" style="26" customWidth="1"/>
    <col min="15101" max="15101" width="8.42578125" style="26" bestFit="1" customWidth="1"/>
    <col min="15102" max="15102" width="8.28515625" style="26" bestFit="1" customWidth="1"/>
    <col min="15103" max="15104" width="8.28515625" style="26" customWidth="1"/>
    <col min="15105" max="15105" width="8.42578125" style="26" bestFit="1" customWidth="1"/>
    <col min="15106" max="15106" width="7.42578125" style="26" bestFit="1" customWidth="1"/>
    <col min="15107" max="15109" width="7.42578125" style="26" customWidth="1"/>
    <col min="15110" max="15115" width="0" style="26" hidden="1" customWidth="1"/>
    <col min="15116" max="15116" width="10.140625" style="26" customWidth="1"/>
    <col min="15117" max="15118" width="11.42578125" style="26"/>
    <col min="15119" max="15119" width="12.42578125" style="26" bestFit="1" customWidth="1"/>
    <col min="15120" max="15355" width="11.42578125" style="26"/>
    <col min="15356" max="15356" width="18.140625" style="26" customWidth="1"/>
    <col min="15357" max="15357" width="8.42578125" style="26" bestFit="1" customWidth="1"/>
    <col min="15358" max="15358" width="8.28515625" style="26" bestFit="1" customWidth="1"/>
    <col min="15359" max="15360" width="8.28515625" style="26" customWidth="1"/>
    <col min="15361" max="15361" width="8.42578125" style="26" bestFit="1" customWidth="1"/>
    <col min="15362" max="15362" width="7.42578125" style="26" bestFit="1" customWidth="1"/>
    <col min="15363" max="15365" width="7.42578125" style="26" customWidth="1"/>
    <col min="15366" max="15371" width="0" style="26" hidden="1" customWidth="1"/>
    <col min="15372" max="15372" width="10.140625" style="26" customWidth="1"/>
    <col min="15373" max="15374" width="11.42578125" style="26"/>
    <col min="15375" max="15375" width="12.42578125" style="26" bestFit="1" customWidth="1"/>
    <col min="15376" max="15611" width="11.42578125" style="26"/>
    <col min="15612" max="15612" width="18.140625" style="26" customWidth="1"/>
    <col min="15613" max="15613" width="8.42578125" style="26" bestFit="1" customWidth="1"/>
    <col min="15614" max="15614" width="8.28515625" style="26" bestFit="1" customWidth="1"/>
    <col min="15615" max="15616" width="8.28515625" style="26" customWidth="1"/>
    <col min="15617" max="15617" width="8.42578125" style="26" bestFit="1" customWidth="1"/>
    <col min="15618" max="15618" width="7.42578125" style="26" bestFit="1" customWidth="1"/>
    <col min="15619" max="15621" width="7.42578125" style="26" customWidth="1"/>
    <col min="15622" max="15627" width="0" style="26" hidden="1" customWidth="1"/>
    <col min="15628" max="15628" width="10.140625" style="26" customWidth="1"/>
    <col min="15629" max="15630" width="11.42578125" style="26"/>
    <col min="15631" max="15631" width="12.42578125" style="26" bestFit="1" customWidth="1"/>
    <col min="15632" max="15867" width="11.42578125" style="26"/>
    <col min="15868" max="15868" width="18.140625" style="26" customWidth="1"/>
    <col min="15869" max="15869" width="8.42578125" style="26" bestFit="1" customWidth="1"/>
    <col min="15870" max="15870" width="8.28515625" style="26" bestFit="1" customWidth="1"/>
    <col min="15871" max="15872" width="8.28515625" style="26" customWidth="1"/>
    <col min="15873" max="15873" width="8.42578125" style="26" bestFit="1" customWidth="1"/>
    <col min="15874" max="15874" width="7.42578125" style="26" bestFit="1" customWidth="1"/>
    <col min="15875" max="15877" width="7.42578125" style="26" customWidth="1"/>
    <col min="15878" max="15883" width="0" style="26" hidden="1" customWidth="1"/>
    <col min="15884" max="15884" width="10.140625" style="26" customWidth="1"/>
    <col min="15885" max="15886" width="11.42578125" style="26"/>
    <col min="15887" max="15887" width="12.42578125" style="26" bestFit="1" customWidth="1"/>
    <col min="15888" max="16123" width="11.42578125" style="26"/>
    <col min="16124" max="16124" width="18.140625" style="26" customWidth="1"/>
    <col min="16125" max="16125" width="8.42578125" style="26" bestFit="1" customWidth="1"/>
    <col min="16126" max="16126" width="8.28515625" style="26" bestFit="1" customWidth="1"/>
    <col min="16127" max="16128" width="8.28515625" style="26" customWidth="1"/>
    <col min="16129" max="16129" width="8.42578125" style="26" bestFit="1" customWidth="1"/>
    <col min="16130" max="16130" width="7.42578125" style="26" bestFit="1" customWidth="1"/>
    <col min="16131" max="16133" width="7.42578125" style="26" customWidth="1"/>
    <col min="16134" max="16139" width="0" style="26" hidden="1" customWidth="1"/>
    <col min="16140" max="16140" width="10.140625" style="26" customWidth="1"/>
    <col min="16141" max="16142" width="11.42578125" style="26"/>
    <col min="16143" max="16143" width="12.42578125" style="26" bestFit="1" customWidth="1"/>
    <col min="16144" max="16384" width="11.42578125" style="26"/>
  </cols>
  <sheetData>
    <row r="1" spans="1:17" s="27" customFormat="1" x14ac:dyDescent="0.2">
      <c r="B1" s="39"/>
      <c r="C1" s="39"/>
      <c r="D1" s="39"/>
      <c r="E1" s="39"/>
      <c r="F1" s="39"/>
      <c r="G1" s="39"/>
      <c r="H1" s="39"/>
      <c r="I1" s="39"/>
      <c r="J1" s="39"/>
      <c r="K1" s="39"/>
      <c r="L1" s="39"/>
    </row>
    <row r="2" spans="1:17" s="27" customFormat="1" x14ac:dyDescent="0.2">
      <c r="A2" s="47" t="s">
        <v>101</v>
      </c>
      <c r="B2" s="39"/>
      <c r="C2" s="39"/>
      <c r="D2" s="39"/>
      <c r="E2" s="39"/>
      <c r="F2" s="39"/>
      <c r="G2" s="39"/>
      <c r="H2" s="39"/>
      <c r="I2" s="39"/>
      <c r="K2" s="39"/>
      <c r="L2" s="39"/>
    </row>
    <row r="3" spans="1:17" s="27" customFormat="1" ht="15" x14ac:dyDescent="0.25">
      <c r="A3" s="47" t="s">
        <v>102</v>
      </c>
      <c r="B3" s="39"/>
      <c r="C3" s="39"/>
      <c r="D3" s="39"/>
      <c r="E3" s="39"/>
      <c r="F3" s="39"/>
      <c r="G3" s="39"/>
      <c r="H3" s="39"/>
      <c r="I3" s="39"/>
      <c r="J3" s="95"/>
      <c r="K3" s="39"/>
      <c r="L3" s="39"/>
    </row>
    <row r="4" spans="1:17" s="27" customFormat="1" x14ac:dyDescent="0.2">
      <c r="B4" s="39"/>
      <c r="C4" s="39"/>
      <c r="D4" s="39"/>
      <c r="E4" s="39"/>
      <c r="F4" s="39"/>
      <c r="G4" s="39"/>
      <c r="H4" s="39"/>
      <c r="I4" s="39"/>
      <c r="J4" s="39"/>
      <c r="K4" s="39"/>
      <c r="L4" s="39"/>
    </row>
    <row r="5" spans="1:17" s="27" customFormat="1" ht="12.75" x14ac:dyDescent="0.2">
      <c r="B5" s="369" t="s">
        <v>119</v>
      </c>
      <c r="C5" s="369"/>
      <c r="D5" s="369"/>
      <c r="E5" s="369"/>
      <c r="F5" s="369"/>
      <c r="G5" s="369"/>
      <c r="H5" s="369"/>
      <c r="I5" s="369"/>
      <c r="J5" s="369"/>
      <c r="K5" s="369"/>
      <c r="L5" s="39"/>
      <c r="M5" s="122" t="s">
        <v>566</v>
      </c>
      <c r="O5" s="96"/>
    </row>
    <row r="6" spans="1:17" s="27" customFormat="1" ht="12.75" x14ac:dyDescent="0.2">
      <c r="B6" s="385" t="str">
        <f>'Solicitudes Regiones'!$B$6:$R$6</f>
        <v>Acumuladas de julio de 2008 a diciembre de 2021</v>
      </c>
      <c r="C6" s="385"/>
      <c r="D6" s="385"/>
      <c r="E6" s="385"/>
      <c r="F6" s="385"/>
      <c r="G6" s="385"/>
      <c r="H6" s="385"/>
      <c r="I6" s="385"/>
      <c r="J6" s="385"/>
      <c r="K6" s="385"/>
    </row>
    <row r="7" spans="1:17" s="30" customFormat="1" x14ac:dyDescent="0.2">
      <c r="B7" s="28"/>
      <c r="C7" s="29"/>
      <c r="D7" s="29"/>
      <c r="E7" s="29"/>
      <c r="F7" s="29"/>
      <c r="G7" s="29"/>
      <c r="H7" s="29"/>
      <c r="I7" s="29"/>
      <c r="J7" s="29"/>
      <c r="K7" s="29"/>
      <c r="L7" s="29"/>
    </row>
    <row r="8" spans="1:17" ht="15" customHeight="1" x14ac:dyDescent="0.2">
      <c r="B8" s="399" t="s">
        <v>55</v>
      </c>
      <c r="C8" s="399"/>
      <c r="D8" s="399"/>
      <c r="E8" s="399"/>
      <c r="F8" s="399"/>
      <c r="G8" s="399"/>
      <c r="H8" s="399"/>
      <c r="I8" s="399"/>
      <c r="J8" s="399"/>
      <c r="K8" s="399"/>
      <c r="L8" s="399"/>
      <c r="M8" s="399"/>
    </row>
    <row r="9" spans="1:17" ht="20.25" customHeight="1" x14ac:dyDescent="0.2">
      <c r="B9" s="399" t="s">
        <v>56</v>
      </c>
      <c r="C9" s="397" t="s">
        <v>2</v>
      </c>
      <c r="D9" s="400"/>
      <c r="E9" s="400"/>
      <c r="F9" s="400"/>
      <c r="G9" s="400"/>
      <c r="H9" s="400"/>
      <c r="I9" s="400"/>
      <c r="J9" s="400"/>
      <c r="K9" s="398"/>
      <c r="L9" s="397"/>
      <c r="M9" s="398"/>
    </row>
    <row r="10" spans="1:17" ht="24" x14ac:dyDescent="0.2">
      <c r="B10" s="399"/>
      <c r="C10" s="23" t="s">
        <v>57</v>
      </c>
      <c r="D10" s="23" t="s">
        <v>58</v>
      </c>
      <c r="E10" s="23" t="s">
        <v>59</v>
      </c>
      <c r="F10" s="23" t="s">
        <v>60</v>
      </c>
      <c r="G10" s="23" t="s">
        <v>8</v>
      </c>
      <c r="H10" s="23" t="s">
        <v>61</v>
      </c>
      <c r="I10" s="23" t="s">
        <v>62</v>
      </c>
      <c r="J10" s="23" t="s">
        <v>63</v>
      </c>
      <c r="K10" s="261" t="s">
        <v>31</v>
      </c>
      <c r="L10" s="261" t="s">
        <v>584</v>
      </c>
      <c r="M10" s="261" t="s">
        <v>587</v>
      </c>
    </row>
    <row r="11" spans="1:17" x14ac:dyDescent="0.2">
      <c r="B11" s="20" t="s">
        <v>140</v>
      </c>
      <c r="C11" s="18">
        <v>3849</v>
      </c>
      <c r="D11" s="18">
        <v>1983</v>
      </c>
      <c r="E11" s="18">
        <f>C11+D11</f>
        <v>5832</v>
      </c>
      <c r="F11" s="19">
        <f>E11/$E$20</f>
        <v>0.46960302761897094</v>
      </c>
      <c r="G11" s="18">
        <v>13482</v>
      </c>
      <c r="H11" s="18">
        <v>840</v>
      </c>
      <c r="I11" s="18">
        <f>G11+H11</f>
        <v>14322</v>
      </c>
      <c r="J11" s="40">
        <f>I11/$I$20</f>
        <v>0.4959828231056933</v>
      </c>
      <c r="K11" s="18">
        <f t="shared" ref="K11:K19" si="0">E11+I11</f>
        <v>20154</v>
      </c>
      <c r="L11" s="18">
        <v>15</v>
      </c>
      <c r="M11" s="18">
        <f>K11+L11</f>
        <v>20169</v>
      </c>
      <c r="Q11" s="31"/>
    </row>
    <row r="12" spans="1:17" x14ac:dyDescent="0.2">
      <c r="B12" s="20" t="s">
        <v>141</v>
      </c>
      <c r="C12" s="18">
        <v>446</v>
      </c>
      <c r="D12" s="18">
        <v>251</v>
      </c>
      <c r="E12" s="18">
        <f t="shared" ref="E12:E19" si="1">C12+D12</f>
        <v>697</v>
      </c>
      <c r="F12" s="19">
        <f t="shared" ref="F12:F19" si="2">E12/$E$20</f>
        <v>5.6123681455833803E-2</v>
      </c>
      <c r="G12" s="18">
        <v>1612</v>
      </c>
      <c r="H12" s="18">
        <v>98</v>
      </c>
      <c r="I12" s="18">
        <f t="shared" ref="I12:I19" si="3">G12+H12</f>
        <v>1710</v>
      </c>
      <c r="J12" s="40">
        <f t="shared" ref="J12:J19" si="4">I12/$I$20</f>
        <v>5.9218728355727938E-2</v>
      </c>
      <c r="K12" s="18">
        <f t="shared" si="0"/>
        <v>2407</v>
      </c>
      <c r="L12" s="18">
        <v>3</v>
      </c>
      <c r="M12" s="18">
        <f t="shared" ref="M12:M20" si="5">K12+L12</f>
        <v>2410</v>
      </c>
      <c r="Q12" s="31"/>
    </row>
    <row r="13" spans="1:17" x14ac:dyDescent="0.2">
      <c r="B13" s="20" t="s">
        <v>142</v>
      </c>
      <c r="C13" s="18">
        <v>288</v>
      </c>
      <c r="D13" s="18">
        <v>208</v>
      </c>
      <c r="E13" s="18">
        <f t="shared" si="1"/>
        <v>496</v>
      </c>
      <c r="F13" s="19">
        <f t="shared" si="2"/>
        <v>3.993880344633223E-2</v>
      </c>
      <c r="G13" s="18">
        <v>1019</v>
      </c>
      <c r="H13" s="18">
        <v>64</v>
      </c>
      <c r="I13" s="18">
        <f t="shared" si="3"/>
        <v>1083</v>
      </c>
      <c r="J13" s="40">
        <f t="shared" si="4"/>
        <v>3.7505194625294364E-2</v>
      </c>
      <c r="K13" s="18">
        <f t="shared" si="0"/>
        <v>1579</v>
      </c>
      <c r="L13" s="18">
        <v>3</v>
      </c>
      <c r="M13" s="18">
        <f t="shared" si="5"/>
        <v>1582</v>
      </c>
      <c r="Q13" s="31"/>
    </row>
    <row r="14" spans="1:17" x14ac:dyDescent="0.2">
      <c r="B14" s="20" t="s">
        <v>143</v>
      </c>
      <c r="C14" s="18">
        <v>517</v>
      </c>
      <c r="D14" s="18">
        <v>237</v>
      </c>
      <c r="E14" s="18">
        <f t="shared" si="1"/>
        <v>754</v>
      </c>
      <c r="F14" s="19">
        <f t="shared" si="2"/>
        <v>6.0713422980916337E-2</v>
      </c>
      <c r="G14" s="18">
        <v>1441</v>
      </c>
      <c r="H14" s="18">
        <v>88</v>
      </c>
      <c r="I14" s="18">
        <f t="shared" si="3"/>
        <v>1529</v>
      </c>
      <c r="J14" s="40">
        <f t="shared" si="4"/>
        <v>5.2950547167197673E-2</v>
      </c>
      <c r="K14" s="18">
        <f t="shared" si="0"/>
        <v>2283</v>
      </c>
      <c r="L14" s="18">
        <v>0</v>
      </c>
      <c r="M14" s="18">
        <f t="shared" si="5"/>
        <v>2283</v>
      </c>
      <c r="Q14" s="31"/>
    </row>
    <row r="15" spans="1:17" x14ac:dyDescent="0.2">
      <c r="B15" s="20" t="s">
        <v>144</v>
      </c>
      <c r="C15" s="18">
        <v>324</v>
      </c>
      <c r="D15" s="18">
        <v>230</v>
      </c>
      <c r="E15" s="18">
        <f t="shared" si="1"/>
        <v>554</v>
      </c>
      <c r="F15" s="19">
        <f t="shared" si="2"/>
        <v>4.4609066752556568E-2</v>
      </c>
      <c r="G15" s="18">
        <v>882</v>
      </c>
      <c r="H15" s="18">
        <v>49</v>
      </c>
      <c r="I15" s="18">
        <f t="shared" si="3"/>
        <v>931</v>
      </c>
      <c r="J15" s="40">
        <f t="shared" si="4"/>
        <v>3.2241307660340765E-2</v>
      </c>
      <c r="K15" s="18">
        <f t="shared" si="0"/>
        <v>1485</v>
      </c>
      <c r="L15" s="18">
        <v>0</v>
      </c>
      <c r="M15" s="18">
        <f t="shared" si="5"/>
        <v>1485</v>
      </c>
      <c r="Q15" s="31"/>
    </row>
    <row r="16" spans="1:17" x14ac:dyDescent="0.2">
      <c r="B16" s="20" t="s">
        <v>145</v>
      </c>
      <c r="C16" s="18">
        <v>1955</v>
      </c>
      <c r="D16" s="18">
        <v>939</v>
      </c>
      <c r="E16" s="18">
        <f t="shared" si="1"/>
        <v>2894</v>
      </c>
      <c r="F16" s="19">
        <f t="shared" si="2"/>
        <v>0.23303003462436589</v>
      </c>
      <c r="G16" s="18">
        <v>6545</v>
      </c>
      <c r="H16" s="18">
        <v>289</v>
      </c>
      <c r="I16" s="18">
        <f t="shared" si="3"/>
        <v>6834</v>
      </c>
      <c r="J16" s="40">
        <f t="shared" si="4"/>
        <v>0.23666712841113727</v>
      </c>
      <c r="K16" s="18">
        <f t="shared" si="0"/>
        <v>9728</v>
      </c>
      <c r="L16" s="18">
        <v>5</v>
      </c>
      <c r="M16" s="18">
        <f t="shared" si="5"/>
        <v>9733</v>
      </c>
      <c r="Q16" s="31"/>
    </row>
    <row r="17" spans="2:17" x14ac:dyDescent="0.2">
      <c r="B17" s="20" t="s">
        <v>146</v>
      </c>
      <c r="C17" s="18">
        <v>215</v>
      </c>
      <c r="D17" s="18">
        <v>114</v>
      </c>
      <c r="E17" s="18">
        <f t="shared" si="1"/>
        <v>329</v>
      </c>
      <c r="F17" s="19">
        <f t="shared" si="2"/>
        <v>2.6491665995651822E-2</v>
      </c>
      <c r="G17" s="18">
        <v>600</v>
      </c>
      <c r="H17" s="18">
        <v>26</v>
      </c>
      <c r="I17" s="18">
        <f t="shared" si="3"/>
        <v>626</v>
      </c>
      <c r="J17" s="40">
        <f t="shared" si="4"/>
        <v>2.1678902895137832E-2</v>
      </c>
      <c r="K17" s="18">
        <f t="shared" si="0"/>
        <v>955</v>
      </c>
      <c r="L17" s="18">
        <v>0</v>
      </c>
      <c r="M17" s="18">
        <f t="shared" si="5"/>
        <v>955</v>
      </c>
      <c r="Q17" s="31"/>
    </row>
    <row r="18" spans="2:17" x14ac:dyDescent="0.2">
      <c r="B18" s="20" t="s">
        <v>147</v>
      </c>
      <c r="C18" s="18">
        <v>239</v>
      </c>
      <c r="D18" s="18">
        <v>113</v>
      </c>
      <c r="E18" s="18">
        <f t="shared" si="1"/>
        <v>352</v>
      </c>
      <c r="F18" s="19">
        <f t="shared" si="2"/>
        <v>2.8343666961913198E-2</v>
      </c>
      <c r="G18" s="18">
        <v>726</v>
      </c>
      <c r="H18" s="18">
        <v>35</v>
      </c>
      <c r="I18" s="18">
        <f t="shared" si="3"/>
        <v>761</v>
      </c>
      <c r="J18" s="40">
        <f t="shared" si="4"/>
        <v>2.6354065660063722E-2</v>
      </c>
      <c r="K18" s="18">
        <f t="shared" si="0"/>
        <v>1113</v>
      </c>
      <c r="L18" s="18">
        <v>1</v>
      </c>
      <c r="M18" s="18">
        <f t="shared" si="5"/>
        <v>1114</v>
      </c>
      <c r="Q18" s="31"/>
    </row>
    <row r="19" spans="2:17" x14ac:dyDescent="0.2">
      <c r="B19" s="20" t="s">
        <v>148</v>
      </c>
      <c r="C19" s="18">
        <v>372</v>
      </c>
      <c r="D19" s="18">
        <v>139</v>
      </c>
      <c r="E19" s="18">
        <f t="shared" si="1"/>
        <v>511</v>
      </c>
      <c r="F19" s="19">
        <f t="shared" si="2"/>
        <v>4.1146630163459215E-2</v>
      </c>
      <c r="G19" s="18">
        <v>1031</v>
      </c>
      <c r="H19" s="18">
        <v>49</v>
      </c>
      <c r="I19" s="18">
        <f t="shared" si="3"/>
        <v>1080</v>
      </c>
      <c r="J19" s="40">
        <f t="shared" si="4"/>
        <v>3.740130211940712E-2</v>
      </c>
      <c r="K19" s="18">
        <f t="shared" si="0"/>
        <v>1591</v>
      </c>
      <c r="L19" s="18">
        <v>4</v>
      </c>
      <c r="M19" s="18">
        <f t="shared" si="5"/>
        <v>1595</v>
      </c>
      <c r="Q19" s="31"/>
    </row>
    <row r="20" spans="2:17" x14ac:dyDescent="0.2">
      <c r="B20" s="20" t="s">
        <v>49</v>
      </c>
      <c r="C20" s="18">
        <f>SUM(C11:C19)</f>
        <v>8205</v>
      </c>
      <c r="D20" s="18">
        <f>SUM(D11:D19)</f>
        <v>4214</v>
      </c>
      <c r="E20" s="20">
        <f t="shared" ref="E20" si="6">C20+D20</f>
        <v>12419</v>
      </c>
      <c r="F20" s="22">
        <f t="shared" ref="F20" si="7">E20/$E$20</f>
        <v>1</v>
      </c>
      <c r="G20" s="18">
        <f t="shared" ref="G20:H20" si="8">SUM(G11:G19)</f>
        <v>27338</v>
      </c>
      <c r="H20" s="18">
        <f t="shared" si="8"/>
        <v>1538</v>
      </c>
      <c r="I20" s="20">
        <f t="shared" ref="I20" si="9">G20+H20</f>
        <v>28876</v>
      </c>
      <c r="J20" s="41">
        <f t="shared" ref="J20" si="10">I20/$I$20</f>
        <v>1</v>
      </c>
      <c r="K20" s="20">
        <f t="shared" ref="K20" si="11">E20+I20</f>
        <v>41295</v>
      </c>
      <c r="L20" s="18">
        <f t="shared" ref="L20" si="12">SUM(L11:L19)</f>
        <v>31</v>
      </c>
      <c r="M20" s="20">
        <f t="shared" si="5"/>
        <v>41326</v>
      </c>
      <c r="Q20" s="31"/>
    </row>
    <row r="21" spans="2:17" ht="25.5" customHeight="1" x14ac:dyDescent="0.2">
      <c r="B21" s="32" t="s">
        <v>64</v>
      </c>
      <c r="C21" s="33">
        <f>+C20/M20</f>
        <v>0.19854328993853748</v>
      </c>
      <c r="D21" s="33">
        <f>+D20/M20</f>
        <v>0.10196970430237623</v>
      </c>
      <c r="E21" s="34">
        <f>+E20/M20</f>
        <v>0.30051299424091371</v>
      </c>
      <c r="F21" s="34"/>
      <c r="G21" s="33">
        <f>+G20/M20</f>
        <v>0.66152059236316119</v>
      </c>
      <c r="H21" s="33">
        <f>+H20/M20</f>
        <v>3.7216280307796543E-2</v>
      </c>
      <c r="I21" s="34">
        <f>+I20/M20</f>
        <v>0.69873687267095774</v>
      </c>
      <c r="J21" s="34"/>
      <c r="K21" s="34">
        <f>+K20/M20</f>
        <v>0.99924986691187145</v>
      </c>
      <c r="L21" s="34">
        <f>+L20/M20</f>
        <v>7.5013308812853891E-4</v>
      </c>
      <c r="M21" s="34">
        <f>K21+L21</f>
        <v>1</v>
      </c>
    </row>
    <row r="22" spans="2:17" x14ac:dyDescent="0.2">
      <c r="B22" s="35"/>
      <c r="C22" s="36"/>
      <c r="D22" s="36"/>
      <c r="E22" s="37"/>
      <c r="F22" s="37"/>
      <c r="G22" s="36"/>
      <c r="H22" s="36"/>
      <c r="I22" s="37"/>
      <c r="J22" s="37"/>
      <c r="K22" s="37"/>
      <c r="L22" s="53"/>
    </row>
    <row r="23" spans="2:17" ht="12.75" x14ac:dyDescent="0.2">
      <c r="B23" s="401" t="s">
        <v>118</v>
      </c>
      <c r="C23" s="401"/>
      <c r="D23" s="401"/>
      <c r="E23" s="401"/>
      <c r="F23" s="401"/>
      <c r="G23" s="401"/>
      <c r="H23" s="401"/>
      <c r="I23" s="401"/>
      <c r="J23" s="401"/>
      <c r="K23" s="401"/>
      <c r="L23" s="53"/>
    </row>
    <row r="24" spans="2:17" ht="12.75" x14ac:dyDescent="0.2">
      <c r="B24" s="385" t="str">
        <f>'Solicitudes Regiones'!$B$6:$R$6</f>
        <v>Acumuladas de julio de 2008 a diciembre de 2021</v>
      </c>
      <c r="C24" s="385"/>
      <c r="D24" s="385"/>
      <c r="E24" s="385"/>
      <c r="F24" s="385"/>
      <c r="G24" s="385"/>
      <c r="H24" s="385"/>
      <c r="I24" s="385"/>
      <c r="J24" s="385"/>
      <c r="K24" s="385"/>
      <c r="L24" s="53"/>
    </row>
    <row r="25" spans="2:17" x14ac:dyDescent="0.2">
      <c r="B25" s="35"/>
      <c r="C25" s="37"/>
      <c r="D25" s="37"/>
      <c r="E25" s="37"/>
      <c r="F25" s="37"/>
      <c r="G25" s="37"/>
      <c r="H25" s="37"/>
      <c r="I25" s="37"/>
      <c r="J25" s="37"/>
      <c r="K25" s="37"/>
      <c r="L25" s="37"/>
      <c r="M25" s="53"/>
    </row>
    <row r="26" spans="2:17" ht="12.75" customHeight="1" x14ac:dyDescent="0.2">
      <c r="B26" s="399" t="s">
        <v>65</v>
      </c>
      <c r="C26" s="399"/>
      <c r="D26" s="399"/>
      <c r="E26" s="399"/>
      <c r="F26" s="399"/>
      <c r="G26" s="399"/>
      <c r="H26" s="399"/>
      <c r="I26" s="399"/>
      <c r="J26" s="399"/>
      <c r="K26" s="399"/>
      <c r="L26" s="399"/>
      <c r="M26" s="399"/>
    </row>
    <row r="27" spans="2:17" ht="20.25" customHeight="1" x14ac:dyDescent="0.2">
      <c r="B27" s="399" t="s">
        <v>56</v>
      </c>
      <c r="C27" s="399" t="s">
        <v>2</v>
      </c>
      <c r="D27" s="399"/>
      <c r="E27" s="399"/>
      <c r="F27" s="399"/>
      <c r="G27" s="399"/>
      <c r="H27" s="399"/>
      <c r="I27" s="399"/>
      <c r="J27" s="399"/>
      <c r="K27" s="399"/>
      <c r="L27" s="397"/>
      <c r="M27" s="398"/>
    </row>
    <row r="28" spans="2:17" ht="24" customHeight="1" x14ac:dyDescent="0.2">
      <c r="B28" s="399"/>
      <c r="C28" s="23" t="s">
        <v>57</v>
      </c>
      <c r="D28" s="23" t="s">
        <v>58</v>
      </c>
      <c r="E28" s="23" t="s">
        <v>59</v>
      </c>
      <c r="F28" s="23" t="s">
        <v>60</v>
      </c>
      <c r="G28" s="23" t="s">
        <v>8</v>
      </c>
      <c r="H28" s="23" t="s">
        <v>61</v>
      </c>
      <c r="I28" s="23" t="s">
        <v>62</v>
      </c>
      <c r="J28" s="23" t="s">
        <v>63</v>
      </c>
      <c r="K28" s="24" t="s">
        <v>31</v>
      </c>
      <c r="L28" s="261" t="s">
        <v>584</v>
      </c>
      <c r="M28" s="261" t="s">
        <v>587</v>
      </c>
    </row>
    <row r="29" spans="2:17" ht="15.75" customHeight="1" x14ac:dyDescent="0.2">
      <c r="B29" s="20" t="s">
        <v>140</v>
      </c>
      <c r="C29" s="18">
        <v>3315</v>
      </c>
      <c r="D29" s="18">
        <v>1263</v>
      </c>
      <c r="E29" s="18">
        <f>C29+D29</f>
        <v>4578</v>
      </c>
      <c r="F29" s="19">
        <f>E29/$E$38</f>
        <v>0.47308050015500674</v>
      </c>
      <c r="G29" s="18">
        <v>11332</v>
      </c>
      <c r="H29" s="18">
        <v>701</v>
      </c>
      <c r="I29" s="18">
        <f>G29+H29</f>
        <v>12033</v>
      </c>
      <c r="J29" s="19">
        <f>I29/$I$38</f>
        <v>0.49250982318271119</v>
      </c>
      <c r="K29" s="18">
        <f t="shared" ref="K29:K37" si="13">E29+I29</f>
        <v>16611</v>
      </c>
      <c r="L29" s="18">
        <v>0</v>
      </c>
      <c r="M29" s="18">
        <f>K29+L29</f>
        <v>16611</v>
      </c>
    </row>
    <row r="30" spans="2:17" x14ac:dyDescent="0.2">
      <c r="B30" s="20" t="s">
        <v>141</v>
      </c>
      <c r="C30" s="18">
        <v>388</v>
      </c>
      <c r="D30" s="18">
        <v>159</v>
      </c>
      <c r="E30" s="18">
        <f t="shared" ref="E30:E37" si="14">C30+D30</f>
        <v>547</v>
      </c>
      <c r="F30" s="19">
        <f t="shared" ref="F30:F37" si="15">E30/$E$38</f>
        <v>5.6525782783920633E-2</v>
      </c>
      <c r="G30" s="18">
        <v>1361</v>
      </c>
      <c r="H30" s="18">
        <v>81</v>
      </c>
      <c r="I30" s="18">
        <f t="shared" ref="I30:I37" si="16">G30+H30</f>
        <v>1442</v>
      </c>
      <c r="J30" s="19">
        <f t="shared" ref="J30:J37" si="17">I30/$I$38</f>
        <v>5.9020956123117224E-2</v>
      </c>
      <c r="K30" s="18">
        <f t="shared" si="13"/>
        <v>1989</v>
      </c>
      <c r="L30" s="18">
        <v>0</v>
      </c>
      <c r="M30" s="18">
        <f t="shared" ref="M30:M38" si="18">K30+L30</f>
        <v>1989</v>
      </c>
    </row>
    <row r="31" spans="2:17" x14ac:dyDescent="0.2">
      <c r="B31" s="20" t="s">
        <v>142</v>
      </c>
      <c r="C31" s="18">
        <v>251</v>
      </c>
      <c r="D31" s="18">
        <v>125</v>
      </c>
      <c r="E31" s="18">
        <f t="shared" si="14"/>
        <v>376</v>
      </c>
      <c r="F31" s="19">
        <f t="shared" si="15"/>
        <v>3.8855017050738863E-2</v>
      </c>
      <c r="G31" s="18">
        <v>887</v>
      </c>
      <c r="H31" s="18">
        <v>51</v>
      </c>
      <c r="I31" s="18">
        <f t="shared" si="16"/>
        <v>938</v>
      </c>
      <c r="J31" s="19">
        <f t="shared" si="17"/>
        <v>3.8392272429600527E-2</v>
      </c>
      <c r="K31" s="18">
        <f t="shared" si="13"/>
        <v>1314</v>
      </c>
      <c r="L31" s="18">
        <v>0</v>
      </c>
      <c r="M31" s="18">
        <f t="shared" si="18"/>
        <v>1314</v>
      </c>
    </row>
    <row r="32" spans="2:17" x14ac:dyDescent="0.2">
      <c r="B32" s="20" t="s">
        <v>143</v>
      </c>
      <c r="C32" s="18">
        <v>430</v>
      </c>
      <c r="D32" s="18">
        <v>146</v>
      </c>
      <c r="E32" s="18">
        <f t="shared" si="14"/>
        <v>576</v>
      </c>
      <c r="F32" s="19">
        <f t="shared" si="15"/>
        <v>5.9522579311770178E-2</v>
      </c>
      <c r="G32" s="18">
        <v>1217</v>
      </c>
      <c r="H32" s="18">
        <v>54</v>
      </c>
      <c r="I32" s="18">
        <f t="shared" si="16"/>
        <v>1271</v>
      </c>
      <c r="J32" s="19">
        <f t="shared" si="17"/>
        <v>5.2021938441388346E-2</v>
      </c>
      <c r="K32" s="18">
        <f t="shared" si="13"/>
        <v>1847</v>
      </c>
      <c r="L32" s="18">
        <v>0</v>
      </c>
      <c r="M32" s="18">
        <f t="shared" si="18"/>
        <v>1847</v>
      </c>
    </row>
    <row r="33" spans="2:13" x14ac:dyDescent="0.2">
      <c r="B33" s="20" t="s">
        <v>144</v>
      </c>
      <c r="C33" s="18">
        <v>246</v>
      </c>
      <c r="D33" s="18">
        <v>126</v>
      </c>
      <c r="E33" s="18">
        <f t="shared" si="14"/>
        <v>372</v>
      </c>
      <c r="F33" s="19">
        <f t="shared" si="15"/>
        <v>3.8441665805518242E-2</v>
      </c>
      <c r="G33" s="18">
        <v>742</v>
      </c>
      <c r="H33" s="18">
        <v>33</v>
      </c>
      <c r="I33" s="18">
        <f t="shared" si="16"/>
        <v>775</v>
      </c>
      <c r="J33" s="19">
        <f t="shared" si="17"/>
        <v>3.1720694171578259E-2</v>
      </c>
      <c r="K33" s="18">
        <f t="shared" si="13"/>
        <v>1147</v>
      </c>
      <c r="L33" s="18">
        <v>0</v>
      </c>
      <c r="M33" s="18">
        <f t="shared" si="18"/>
        <v>1147</v>
      </c>
    </row>
    <row r="34" spans="2:13" x14ac:dyDescent="0.2">
      <c r="B34" s="20" t="s">
        <v>145</v>
      </c>
      <c r="C34" s="18">
        <v>1690</v>
      </c>
      <c r="D34" s="18">
        <v>598</v>
      </c>
      <c r="E34" s="18">
        <f t="shared" si="14"/>
        <v>2288</v>
      </c>
      <c r="F34" s="19">
        <f t="shared" si="15"/>
        <v>0.2364369122661982</v>
      </c>
      <c r="G34" s="18">
        <v>5603</v>
      </c>
      <c r="H34" s="18">
        <v>248</v>
      </c>
      <c r="I34" s="18">
        <f t="shared" si="16"/>
        <v>5851</v>
      </c>
      <c r="J34" s="19">
        <f t="shared" si="17"/>
        <v>0.23948100851342502</v>
      </c>
      <c r="K34" s="18">
        <f t="shared" si="13"/>
        <v>8139</v>
      </c>
      <c r="L34" s="18">
        <v>0</v>
      </c>
      <c r="M34" s="18">
        <f t="shared" si="18"/>
        <v>8139</v>
      </c>
    </row>
    <row r="35" spans="2:13" x14ac:dyDescent="0.2">
      <c r="B35" s="20" t="s">
        <v>146</v>
      </c>
      <c r="C35" s="18">
        <v>201</v>
      </c>
      <c r="D35" s="18">
        <v>66</v>
      </c>
      <c r="E35" s="18">
        <f t="shared" si="14"/>
        <v>267</v>
      </c>
      <c r="F35" s="19">
        <f t="shared" si="15"/>
        <v>2.75911956184768E-2</v>
      </c>
      <c r="G35" s="18">
        <v>521</v>
      </c>
      <c r="H35" s="18">
        <v>25</v>
      </c>
      <c r="I35" s="18">
        <f t="shared" si="16"/>
        <v>546</v>
      </c>
      <c r="J35" s="19">
        <f t="shared" si="17"/>
        <v>2.2347740667976426E-2</v>
      </c>
      <c r="K35" s="18">
        <f t="shared" si="13"/>
        <v>813</v>
      </c>
      <c r="L35" s="18">
        <v>0</v>
      </c>
      <c r="M35" s="18">
        <f t="shared" si="18"/>
        <v>813</v>
      </c>
    </row>
    <row r="36" spans="2:13" x14ac:dyDescent="0.2">
      <c r="B36" s="20" t="s">
        <v>147</v>
      </c>
      <c r="C36" s="18">
        <v>199</v>
      </c>
      <c r="D36" s="18">
        <v>83</v>
      </c>
      <c r="E36" s="18">
        <f t="shared" si="14"/>
        <v>282</v>
      </c>
      <c r="F36" s="19">
        <f t="shared" si="15"/>
        <v>2.9141262788054147E-2</v>
      </c>
      <c r="G36" s="18">
        <v>630</v>
      </c>
      <c r="H36" s="18">
        <v>25</v>
      </c>
      <c r="I36" s="18">
        <f t="shared" si="16"/>
        <v>655</v>
      </c>
      <c r="J36" s="19">
        <f t="shared" si="17"/>
        <v>2.6809102815979043E-2</v>
      </c>
      <c r="K36" s="18">
        <f t="shared" si="13"/>
        <v>937</v>
      </c>
      <c r="L36" s="18">
        <v>0</v>
      </c>
      <c r="M36" s="18">
        <f t="shared" si="18"/>
        <v>937</v>
      </c>
    </row>
    <row r="37" spans="2:13" x14ac:dyDescent="0.2">
      <c r="B37" s="20" t="s">
        <v>148</v>
      </c>
      <c r="C37" s="18">
        <v>305</v>
      </c>
      <c r="D37" s="18">
        <v>86</v>
      </c>
      <c r="E37" s="18">
        <f t="shared" si="14"/>
        <v>391</v>
      </c>
      <c r="F37" s="19">
        <f t="shared" si="15"/>
        <v>4.0405084220316211E-2</v>
      </c>
      <c r="G37" s="18">
        <v>876</v>
      </c>
      <c r="H37" s="18">
        <v>45</v>
      </c>
      <c r="I37" s="18">
        <f t="shared" si="16"/>
        <v>921</v>
      </c>
      <c r="J37" s="19">
        <f t="shared" si="17"/>
        <v>3.7696463654223966E-2</v>
      </c>
      <c r="K37" s="18">
        <f t="shared" si="13"/>
        <v>1312</v>
      </c>
      <c r="L37" s="18">
        <v>0</v>
      </c>
      <c r="M37" s="18">
        <f t="shared" si="18"/>
        <v>1312</v>
      </c>
    </row>
    <row r="38" spans="2:13" x14ac:dyDescent="0.2">
      <c r="B38" s="20" t="s">
        <v>49</v>
      </c>
      <c r="C38" s="18">
        <f>SUM(C29:C37)</f>
        <v>7025</v>
      </c>
      <c r="D38" s="18">
        <f>SUM(D29:D37)</f>
        <v>2652</v>
      </c>
      <c r="E38" s="20">
        <f t="shared" ref="E38" si="19">C38+D38</f>
        <v>9677</v>
      </c>
      <c r="F38" s="22">
        <f t="shared" ref="F38" si="20">E38/$E$38</f>
        <v>1</v>
      </c>
      <c r="G38" s="18">
        <f t="shared" ref="G38:H38" si="21">SUM(G29:G37)</f>
        <v>23169</v>
      </c>
      <c r="H38" s="18">
        <f t="shared" si="21"/>
        <v>1263</v>
      </c>
      <c r="I38" s="20">
        <f t="shared" ref="I38" si="22">G38+H38</f>
        <v>24432</v>
      </c>
      <c r="J38" s="22">
        <f t="shared" ref="J38" si="23">I38/$I$38</f>
        <v>1</v>
      </c>
      <c r="K38" s="20">
        <f t="shared" ref="K38" si="24">E38+I38</f>
        <v>34109</v>
      </c>
      <c r="L38" s="18">
        <f t="shared" ref="L38" si="25">SUM(L29:L37)</f>
        <v>0</v>
      </c>
      <c r="M38" s="18">
        <f t="shared" si="18"/>
        <v>34109</v>
      </c>
    </row>
    <row r="39" spans="2:13" ht="24" x14ac:dyDescent="0.2">
      <c r="B39" s="32" t="s">
        <v>66</v>
      </c>
      <c r="C39" s="33">
        <f>+C38/M38</f>
        <v>0.20595737195461608</v>
      </c>
      <c r="D39" s="33">
        <f>+D38/M38</f>
        <v>7.7750740273828028E-2</v>
      </c>
      <c r="E39" s="34">
        <f>+E38/M38</f>
        <v>0.28370811222844411</v>
      </c>
      <c r="F39" s="34"/>
      <c r="G39" s="33">
        <f>+G38/M38</f>
        <v>0.67926353748277579</v>
      </c>
      <c r="H39" s="33">
        <f>+H38/M38</f>
        <v>3.7028350288780085E-2</v>
      </c>
      <c r="I39" s="34">
        <f>+I38/M38</f>
        <v>0.71629188777155595</v>
      </c>
      <c r="J39" s="34"/>
      <c r="K39" s="34">
        <f>+K38/M38</f>
        <v>1</v>
      </c>
      <c r="L39" s="34">
        <f>+L38/M38</f>
        <v>0</v>
      </c>
      <c r="M39" s="34">
        <f>K39+L39</f>
        <v>1</v>
      </c>
    </row>
    <row r="40" spans="2:13" x14ac:dyDescent="0.2">
      <c r="B40" s="25" t="s">
        <v>129</v>
      </c>
    </row>
    <row r="41" spans="2:13" x14ac:dyDescent="0.2">
      <c r="B41" s="25" t="s">
        <v>130</v>
      </c>
    </row>
    <row r="131" spans="2:2" x14ac:dyDescent="0.2">
      <c r="B131" s="26" t="s">
        <v>78</v>
      </c>
    </row>
  </sheetData>
  <mergeCells count="12">
    <mergeCell ref="B6:K6"/>
    <mergeCell ref="B5:K5"/>
    <mergeCell ref="B23:K23"/>
    <mergeCell ref="B24:K24"/>
    <mergeCell ref="B27:B28"/>
    <mergeCell ref="C27:K27"/>
    <mergeCell ref="B9:B10"/>
    <mergeCell ref="C9:K9"/>
    <mergeCell ref="B8:M8"/>
    <mergeCell ref="L9:M9"/>
    <mergeCell ref="L27:M27"/>
    <mergeCell ref="B26:M26"/>
  </mergeCells>
  <hyperlinks>
    <hyperlink ref="M5" location="'Índice Pensiones Solidarias'!A1" display="Volver Sistema de Pensiones Solidadias" xr:uid="{00000000-0004-0000-0A00-000000000000}"/>
  </hyperlinks>
  <pageMargins left="0.74803149606299213" right="0.74803149606299213" top="0.98425196850393704" bottom="0.98425196850393704" header="0" footer="0"/>
  <pageSetup scale="80"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22">
    <pageSetUpPr fitToPage="1"/>
  </sheetPr>
  <dimension ref="A1:Q143"/>
  <sheetViews>
    <sheetView showGridLines="0" zoomScaleNormal="100" workbookViewId="0">
      <selection sqref="A1:XFD1048576"/>
    </sheetView>
  </sheetViews>
  <sheetFormatPr baseColWidth="10" defaultRowHeight="12" x14ac:dyDescent="0.2"/>
  <cols>
    <col min="1" max="1" width="6" style="26" customWidth="1"/>
    <col min="2" max="2" width="18.140625" style="26" customWidth="1"/>
    <col min="3" max="4" width="8.42578125" style="26" bestFit="1" customWidth="1"/>
    <col min="5" max="6" width="8.42578125" style="26" customWidth="1"/>
    <col min="7" max="7" width="9.7109375" style="26" bestFit="1" customWidth="1"/>
    <col min="8" max="8" width="8.28515625" style="26" bestFit="1" customWidth="1"/>
    <col min="9" max="11" width="8.28515625" style="26" customWidth="1"/>
    <col min="12" max="12" width="9.140625" style="26" customWidth="1"/>
    <col min="13" max="13" width="11.42578125" style="26"/>
    <col min="14" max="14" width="11.28515625" style="26" customWidth="1"/>
    <col min="15" max="15" width="12.42578125" style="26" bestFit="1" customWidth="1"/>
    <col min="16" max="251" width="11.42578125" style="26"/>
    <col min="252" max="252" width="18.140625" style="26" customWidth="1"/>
    <col min="253" max="254" width="8.42578125" style="26" bestFit="1" customWidth="1"/>
    <col min="255" max="256" width="8.42578125" style="26" customWidth="1"/>
    <col min="257" max="257" width="9.7109375" style="26" bestFit="1" customWidth="1"/>
    <col min="258" max="258" width="8.28515625" style="26" bestFit="1" customWidth="1"/>
    <col min="259" max="261" width="8.28515625" style="26" customWidth="1"/>
    <col min="262" max="267" width="0" style="26" hidden="1" customWidth="1"/>
    <col min="268" max="268" width="9.140625" style="26" customWidth="1"/>
    <col min="269" max="270" width="11.42578125" style="26"/>
    <col min="271" max="271" width="12.42578125" style="26" bestFit="1" customWidth="1"/>
    <col min="272" max="507" width="11.42578125" style="26"/>
    <col min="508" max="508" width="18.140625" style="26" customWidth="1"/>
    <col min="509" max="510" width="8.42578125" style="26" bestFit="1" customWidth="1"/>
    <col min="511" max="512" width="8.42578125" style="26" customWidth="1"/>
    <col min="513" max="513" width="9.7109375" style="26" bestFit="1" customWidth="1"/>
    <col min="514" max="514" width="8.28515625" style="26" bestFit="1" customWidth="1"/>
    <col min="515" max="517" width="8.28515625" style="26" customWidth="1"/>
    <col min="518" max="523" width="0" style="26" hidden="1" customWidth="1"/>
    <col min="524" max="524" width="9.140625" style="26" customWidth="1"/>
    <col min="525" max="526" width="11.42578125" style="26"/>
    <col min="527" max="527" width="12.42578125" style="26" bestFit="1" customWidth="1"/>
    <col min="528" max="763" width="11.42578125" style="26"/>
    <col min="764" max="764" width="18.140625" style="26" customWidth="1"/>
    <col min="765" max="766" width="8.42578125" style="26" bestFit="1" customWidth="1"/>
    <col min="767" max="768" width="8.42578125" style="26" customWidth="1"/>
    <col min="769" max="769" width="9.7109375" style="26" bestFit="1" customWidth="1"/>
    <col min="770" max="770" width="8.28515625" style="26" bestFit="1" customWidth="1"/>
    <col min="771" max="773" width="8.28515625" style="26" customWidth="1"/>
    <col min="774" max="779" width="0" style="26" hidden="1" customWidth="1"/>
    <col min="780" max="780" width="9.140625" style="26" customWidth="1"/>
    <col min="781" max="782" width="11.42578125" style="26"/>
    <col min="783" max="783" width="12.42578125" style="26" bestFit="1" customWidth="1"/>
    <col min="784" max="1019" width="11.42578125" style="26"/>
    <col min="1020" max="1020" width="18.140625" style="26" customWidth="1"/>
    <col min="1021" max="1022" width="8.42578125" style="26" bestFit="1" customWidth="1"/>
    <col min="1023" max="1024" width="8.42578125" style="26" customWidth="1"/>
    <col min="1025" max="1025" width="9.7109375" style="26" bestFit="1" customWidth="1"/>
    <col min="1026" max="1026" width="8.28515625" style="26" bestFit="1" customWidth="1"/>
    <col min="1027" max="1029" width="8.28515625" style="26" customWidth="1"/>
    <col min="1030" max="1035" width="0" style="26" hidden="1" customWidth="1"/>
    <col min="1036" max="1036" width="9.140625" style="26" customWidth="1"/>
    <col min="1037" max="1038" width="11.42578125" style="26"/>
    <col min="1039" max="1039" width="12.42578125" style="26" bestFit="1" customWidth="1"/>
    <col min="1040" max="1275" width="11.42578125" style="26"/>
    <col min="1276" max="1276" width="18.140625" style="26" customWidth="1"/>
    <col min="1277" max="1278" width="8.42578125" style="26" bestFit="1" customWidth="1"/>
    <col min="1279" max="1280" width="8.42578125" style="26" customWidth="1"/>
    <col min="1281" max="1281" width="9.7109375" style="26" bestFit="1" customWidth="1"/>
    <col min="1282" max="1282" width="8.28515625" style="26" bestFit="1" customWidth="1"/>
    <col min="1283" max="1285" width="8.28515625" style="26" customWidth="1"/>
    <col min="1286" max="1291" width="0" style="26" hidden="1" customWidth="1"/>
    <col min="1292" max="1292" width="9.140625" style="26" customWidth="1"/>
    <col min="1293" max="1294" width="11.42578125" style="26"/>
    <col min="1295" max="1295" width="12.42578125" style="26" bestFit="1" customWidth="1"/>
    <col min="1296" max="1531" width="11.42578125" style="26"/>
    <col min="1532" max="1532" width="18.140625" style="26" customWidth="1"/>
    <col min="1533" max="1534" width="8.42578125" style="26" bestFit="1" customWidth="1"/>
    <col min="1535" max="1536" width="8.42578125" style="26" customWidth="1"/>
    <col min="1537" max="1537" width="9.7109375" style="26" bestFit="1" customWidth="1"/>
    <col min="1538" max="1538" width="8.28515625" style="26" bestFit="1" customWidth="1"/>
    <col min="1539" max="1541" width="8.28515625" style="26" customWidth="1"/>
    <col min="1542" max="1547" width="0" style="26" hidden="1" customWidth="1"/>
    <col min="1548" max="1548" width="9.140625" style="26" customWidth="1"/>
    <col min="1549" max="1550" width="11.42578125" style="26"/>
    <col min="1551" max="1551" width="12.42578125" style="26" bestFit="1" customWidth="1"/>
    <col min="1552" max="1787" width="11.42578125" style="26"/>
    <col min="1788" max="1788" width="18.140625" style="26" customWidth="1"/>
    <col min="1789" max="1790" width="8.42578125" style="26" bestFit="1" customWidth="1"/>
    <col min="1791" max="1792" width="8.42578125" style="26" customWidth="1"/>
    <col min="1793" max="1793" width="9.7109375" style="26" bestFit="1" customWidth="1"/>
    <col min="1794" max="1794" width="8.28515625" style="26" bestFit="1" customWidth="1"/>
    <col min="1795" max="1797" width="8.28515625" style="26" customWidth="1"/>
    <col min="1798" max="1803" width="0" style="26" hidden="1" customWidth="1"/>
    <col min="1804" max="1804" width="9.140625" style="26" customWidth="1"/>
    <col min="1805" max="1806" width="11.42578125" style="26"/>
    <col min="1807" max="1807" width="12.42578125" style="26" bestFit="1" customWidth="1"/>
    <col min="1808" max="2043" width="11.42578125" style="26"/>
    <col min="2044" max="2044" width="18.140625" style="26" customWidth="1"/>
    <col min="2045" max="2046" width="8.42578125" style="26" bestFit="1" customWidth="1"/>
    <col min="2047" max="2048" width="8.42578125" style="26" customWidth="1"/>
    <col min="2049" max="2049" width="9.7109375" style="26" bestFit="1" customWidth="1"/>
    <col min="2050" max="2050" width="8.28515625" style="26" bestFit="1" customWidth="1"/>
    <col min="2051" max="2053" width="8.28515625" style="26" customWidth="1"/>
    <col min="2054" max="2059" width="0" style="26" hidden="1" customWidth="1"/>
    <col min="2060" max="2060" width="9.140625" style="26" customWidth="1"/>
    <col min="2061" max="2062" width="11.42578125" style="26"/>
    <col min="2063" max="2063" width="12.42578125" style="26" bestFit="1" customWidth="1"/>
    <col min="2064" max="2299" width="11.42578125" style="26"/>
    <col min="2300" max="2300" width="18.140625" style="26" customWidth="1"/>
    <col min="2301" max="2302" width="8.42578125" style="26" bestFit="1" customWidth="1"/>
    <col min="2303" max="2304" width="8.42578125" style="26" customWidth="1"/>
    <col min="2305" max="2305" width="9.7109375" style="26" bestFit="1" customWidth="1"/>
    <col min="2306" max="2306" width="8.28515625" style="26" bestFit="1" customWidth="1"/>
    <col min="2307" max="2309" width="8.28515625" style="26" customWidth="1"/>
    <col min="2310" max="2315" width="0" style="26" hidden="1" customWidth="1"/>
    <col min="2316" max="2316" width="9.140625" style="26" customWidth="1"/>
    <col min="2317" max="2318" width="11.42578125" style="26"/>
    <col min="2319" max="2319" width="12.42578125" style="26" bestFit="1" customWidth="1"/>
    <col min="2320" max="2555" width="11.42578125" style="26"/>
    <col min="2556" max="2556" width="18.140625" style="26" customWidth="1"/>
    <col min="2557" max="2558" width="8.42578125" style="26" bestFit="1" customWidth="1"/>
    <col min="2559" max="2560" width="8.42578125" style="26" customWidth="1"/>
    <col min="2561" max="2561" width="9.7109375" style="26" bestFit="1" customWidth="1"/>
    <col min="2562" max="2562" width="8.28515625" style="26" bestFit="1" customWidth="1"/>
    <col min="2563" max="2565" width="8.28515625" style="26" customWidth="1"/>
    <col min="2566" max="2571" width="0" style="26" hidden="1" customWidth="1"/>
    <col min="2572" max="2572" width="9.140625" style="26" customWidth="1"/>
    <col min="2573" max="2574" width="11.42578125" style="26"/>
    <col min="2575" max="2575" width="12.42578125" style="26" bestFit="1" customWidth="1"/>
    <col min="2576" max="2811" width="11.42578125" style="26"/>
    <col min="2812" max="2812" width="18.140625" style="26" customWidth="1"/>
    <col min="2813" max="2814" width="8.42578125" style="26" bestFit="1" customWidth="1"/>
    <col min="2815" max="2816" width="8.42578125" style="26" customWidth="1"/>
    <col min="2817" max="2817" width="9.7109375" style="26" bestFit="1" customWidth="1"/>
    <col min="2818" max="2818" width="8.28515625" style="26" bestFit="1" customWidth="1"/>
    <col min="2819" max="2821" width="8.28515625" style="26" customWidth="1"/>
    <col min="2822" max="2827" width="0" style="26" hidden="1" customWidth="1"/>
    <col min="2828" max="2828" width="9.140625" style="26" customWidth="1"/>
    <col min="2829" max="2830" width="11.42578125" style="26"/>
    <col min="2831" max="2831" width="12.42578125" style="26" bestFit="1" customWidth="1"/>
    <col min="2832" max="3067" width="11.42578125" style="26"/>
    <col min="3068" max="3068" width="18.140625" style="26" customWidth="1"/>
    <col min="3069" max="3070" width="8.42578125" style="26" bestFit="1" customWidth="1"/>
    <col min="3071" max="3072" width="8.42578125" style="26" customWidth="1"/>
    <col min="3073" max="3073" width="9.7109375" style="26" bestFit="1" customWidth="1"/>
    <col min="3074" max="3074" width="8.28515625" style="26" bestFit="1" customWidth="1"/>
    <col min="3075" max="3077" width="8.28515625" style="26" customWidth="1"/>
    <col min="3078" max="3083" width="0" style="26" hidden="1" customWidth="1"/>
    <col min="3084" max="3084" width="9.140625" style="26" customWidth="1"/>
    <col min="3085" max="3086" width="11.42578125" style="26"/>
    <col min="3087" max="3087" width="12.42578125" style="26" bestFit="1" customWidth="1"/>
    <col min="3088" max="3323" width="11.42578125" style="26"/>
    <col min="3324" max="3324" width="18.140625" style="26" customWidth="1"/>
    <col min="3325" max="3326" width="8.42578125" style="26" bestFit="1" customWidth="1"/>
    <col min="3327" max="3328" width="8.42578125" style="26" customWidth="1"/>
    <col min="3329" max="3329" width="9.7109375" style="26" bestFit="1" customWidth="1"/>
    <col min="3330" max="3330" width="8.28515625" style="26" bestFit="1" customWidth="1"/>
    <col min="3331" max="3333" width="8.28515625" style="26" customWidth="1"/>
    <col min="3334" max="3339" width="0" style="26" hidden="1" customWidth="1"/>
    <col min="3340" max="3340" width="9.140625" style="26" customWidth="1"/>
    <col min="3341" max="3342" width="11.42578125" style="26"/>
    <col min="3343" max="3343" width="12.42578125" style="26" bestFit="1" customWidth="1"/>
    <col min="3344" max="3579" width="11.42578125" style="26"/>
    <col min="3580" max="3580" width="18.140625" style="26" customWidth="1"/>
    <col min="3581" max="3582" width="8.42578125" style="26" bestFit="1" customWidth="1"/>
    <col min="3583" max="3584" width="8.42578125" style="26" customWidth="1"/>
    <col min="3585" max="3585" width="9.7109375" style="26" bestFit="1" customWidth="1"/>
    <col min="3586" max="3586" width="8.28515625" style="26" bestFit="1" customWidth="1"/>
    <col min="3587" max="3589" width="8.28515625" style="26" customWidth="1"/>
    <col min="3590" max="3595" width="0" style="26" hidden="1" customWidth="1"/>
    <col min="3596" max="3596" width="9.140625" style="26" customWidth="1"/>
    <col min="3597" max="3598" width="11.42578125" style="26"/>
    <col min="3599" max="3599" width="12.42578125" style="26" bestFit="1" customWidth="1"/>
    <col min="3600" max="3835" width="11.42578125" style="26"/>
    <col min="3836" max="3836" width="18.140625" style="26" customWidth="1"/>
    <col min="3837" max="3838" width="8.42578125" style="26" bestFit="1" customWidth="1"/>
    <col min="3839" max="3840" width="8.42578125" style="26" customWidth="1"/>
    <col min="3841" max="3841" width="9.7109375" style="26" bestFit="1" customWidth="1"/>
    <col min="3842" max="3842" width="8.28515625" style="26" bestFit="1" customWidth="1"/>
    <col min="3843" max="3845" width="8.28515625" style="26" customWidth="1"/>
    <col min="3846" max="3851" width="0" style="26" hidden="1" customWidth="1"/>
    <col min="3852" max="3852" width="9.140625" style="26" customWidth="1"/>
    <col min="3853" max="3854" width="11.42578125" style="26"/>
    <col min="3855" max="3855" width="12.42578125" style="26" bestFit="1" customWidth="1"/>
    <col min="3856" max="4091" width="11.42578125" style="26"/>
    <col min="4092" max="4092" width="18.140625" style="26" customWidth="1"/>
    <col min="4093" max="4094" width="8.42578125" style="26" bestFit="1" customWidth="1"/>
    <col min="4095" max="4096" width="8.42578125" style="26" customWidth="1"/>
    <col min="4097" max="4097" width="9.7109375" style="26" bestFit="1" customWidth="1"/>
    <col min="4098" max="4098" width="8.28515625" style="26" bestFit="1" customWidth="1"/>
    <col min="4099" max="4101" width="8.28515625" style="26" customWidth="1"/>
    <col min="4102" max="4107" width="0" style="26" hidden="1" customWidth="1"/>
    <col min="4108" max="4108" width="9.140625" style="26" customWidth="1"/>
    <col min="4109" max="4110" width="11.42578125" style="26"/>
    <col min="4111" max="4111" width="12.42578125" style="26" bestFit="1" customWidth="1"/>
    <col min="4112" max="4347" width="11.42578125" style="26"/>
    <col min="4348" max="4348" width="18.140625" style="26" customWidth="1"/>
    <col min="4349" max="4350" width="8.42578125" style="26" bestFit="1" customWidth="1"/>
    <col min="4351" max="4352" width="8.42578125" style="26" customWidth="1"/>
    <col min="4353" max="4353" width="9.7109375" style="26" bestFit="1" customWidth="1"/>
    <col min="4354" max="4354" width="8.28515625" style="26" bestFit="1" customWidth="1"/>
    <col min="4355" max="4357" width="8.28515625" style="26" customWidth="1"/>
    <col min="4358" max="4363" width="0" style="26" hidden="1" customWidth="1"/>
    <col min="4364" max="4364" width="9.140625" style="26" customWidth="1"/>
    <col min="4365" max="4366" width="11.42578125" style="26"/>
    <col min="4367" max="4367" width="12.42578125" style="26" bestFit="1" customWidth="1"/>
    <col min="4368" max="4603" width="11.42578125" style="26"/>
    <col min="4604" max="4604" width="18.140625" style="26" customWidth="1"/>
    <col min="4605" max="4606" width="8.42578125" style="26" bestFit="1" customWidth="1"/>
    <col min="4607" max="4608" width="8.42578125" style="26" customWidth="1"/>
    <col min="4609" max="4609" width="9.7109375" style="26" bestFit="1" customWidth="1"/>
    <col min="4610" max="4610" width="8.28515625" style="26" bestFit="1" customWidth="1"/>
    <col min="4611" max="4613" width="8.28515625" style="26" customWidth="1"/>
    <col min="4614" max="4619" width="0" style="26" hidden="1" customWidth="1"/>
    <col min="4620" max="4620" width="9.140625" style="26" customWidth="1"/>
    <col min="4621" max="4622" width="11.42578125" style="26"/>
    <col min="4623" max="4623" width="12.42578125" style="26" bestFit="1" customWidth="1"/>
    <col min="4624" max="4859" width="11.42578125" style="26"/>
    <col min="4860" max="4860" width="18.140625" style="26" customWidth="1"/>
    <col min="4861" max="4862" width="8.42578125" style="26" bestFit="1" customWidth="1"/>
    <col min="4863" max="4864" width="8.42578125" style="26" customWidth="1"/>
    <col min="4865" max="4865" width="9.7109375" style="26" bestFit="1" customWidth="1"/>
    <col min="4866" max="4866" width="8.28515625" style="26" bestFit="1" customWidth="1"/>
    <col min="4867" max="4869" width="8.28515625" style="26" customWidth="1"/>
    <col min="4870" max="4875" width="0" style="26" hidden="1" customWidth="1"/>
    <col min="4876" max="4876" width="9.140625" style="26" customWidth="1"/>
    <col min="4877" max="4878" width="11.42578125" style="26"/>
    <col min="4879" max="4879" width="12.42578125" style="26" bestFit="1" customWidth="1"/>
    <col min="4880" max="5115" width="11.42578125" style="26"/>
    <col min="5116" max="5116" width="18.140625" style="26" customWidth="1"/>
    <col min="5117" max="5118" width="8.42578125" style="26" bestFit="1" customWidth="1"/>
    <col min="5119" max="5120" width="8.42578125" style="26" customWidth="1"/>
    <col min="5121" max="5121" width="9.7109375" style="26" bestFit="1" customWidth="1"/>
    <col min="5122" max="5122" width="8.28515625" style="26" bestFit="1" customWidth="1"/>
    <col min="5123" max="5125" width="8.28515625" style="26" customWidth="1"/>
    <col min="5126" max="5131" width="0" style="26" hidden="1" customWidth="1"/>
    <col min="5132" max="5132" width="9.140625" style="26" customWidth="1"/>
    <col min="5133" max="5134" width="11.42578125" style="26"/>
    <col min="5135" max="5135" width="12.42578125" style="26" bestFit="1" customWidth="1"/>
    <col min="5136" max="5371" width="11.42578125" style="26"/>
    <col min="5372" max="5372" width="18.140625" style="26" customWidth="1"/>
    <col min="5373" max="5374" width="8.42578125" style="26" bestFit="1" customWidth="1"/>
    <col min="5375" max="5376" width="8.42578125" style="26" customWidth="1"/>
    <col min="5377" max="5377" width="9.7109375" style="26" bestFit="1" customWidth="1"/>
    <col min="5378" max="5378" width="8.28515625" style="26" bestFit="1" customWidth="1"/>
    <col min="5379" max="5381" width="8.28515625" style="26" customWidth="1"/>
    <col min="5382" max="5387" width="0" style="26" hidden="1" customWidth="1"/>
    <col min="5388" max="5388" width="9.140625" style="26" customWidth="1"/>
    <col min="5389" max="5390" width="11.42578125" style="26"/>
    <col min="5391" max="5391" width="12.42578125" style="26" bestFit="1" customWidth="1"/>
    <col min="5392" max="5627" width="11.42578125" style="26"/>
    <col min="5628" max="5628" width="18.140625" style="26" customWidth="1"/>
    <col min="5629" max="5630" width="8.42578125" style="26" bestFit="1" customWidth="1"/>
    <col min="5631" max="5632" width="8.42578125" style="26" customWidth="1"/>
    <col min="5633" max="5633" width="9.7109375" style="26" bestFit="1" customWidth="1"/>
    <col min="5634" max="5634" width="8.28515625" style="26" bestFit="1" customWidth="1"/>
    <col min="5635" max="5637" width="8.28515625" style="26" customWidth="1"/>
    <col min="5638" max="5643" width="0" style="26" hidden="1" customWidth="1"/>
    <col min="5644" max="5644" width="9.140625" style="26" customWidth="1"/>
    <col min="5645" max="5646" width="11.42578125" style="26"/>
    <col min="5647" max="5647" width="12.42578125" style="26" bestFit="1" customWidth="1"/>
    <col min="5648" max="5883" width="11.42578125" style="26"/>
    <col min="5884" max="5884" width="18.140625" style="26" customWidth="1"/>
    <col min="5885" max="5886" width="8.42578125" style="26" bestFit="1" customWidth="1"/>
    <col min="5887" max="5888" width="8.42578125" style="26" customWidth="1"/>
    <col min="5889" max="5889" width="9.7109375" style="26" bestFit="1" customWidth="1"/>
    <col min="5890" max="5890" width="8.28515625" style="26" bestFit="1" customWidth="1"/>
    <col min="5891" max="5893" width="8.28515625" style="26" customWidth="1"/>
    <col min="5894" max="5899" width="0" style="26" hidden="1" customWidth="1"/>
    <col min="5900" max="5900" width="9.140625" style="26" customWidth="1"/>
    <col min="5901" max="5902" width="11.42578125" style="26"/>
    <col min="5903" max="5903" width="12.42578125" style="26" bestFit="1" customWidth="1"/>
    <col min="5904" max="6139" width="11.42578125" style="26"/>
    <col min="6140" max="6140" width="18.140625" style="26" customWidth="1"/>
    <col min="6141" max="6142" width="8.42578125" style="26" bestFit="1" customWidth="1"/>
    <col min="6143" max="6144" width="8.42578125" style="26" customWidth="1"/>
    <col min="6145" max="6145" width="9.7109375" style="26" bestFit="1" customWidth="1"/>
    <col min="6146" max="6146" width="8.28515625" style="26" bestFit="1" customWidth="1"/>
    <col min="6147" max="6149" width="8.28515625" style="26" customWidth="1"/>
    <col min="6150" max="6155" width="0" style="26" hidden="1" customWidth="1"/>
    <col min="6156" max="6156" width="9.140625" style="26" customWidth="1"/>
    <col min="6157" max="6158" width="11.42578125" style="26"/>
    <col min="6159" max="6159" width="12.42578125" style="26" bestFit="1" customWidth="1"/>
    <col min="6160" max="6395" width="11.42578125" style="26"/>
    <col min="6396" max="6396" width="18.140625" style="26" customWidth="1"/>
    <col min="6397" max="6398" width="8.42578125" style="26" bestFit="1" customWidth="1"/>
    <col min="6399" max="6400" width="8.42578125" style="26" customWidth="1"/>
    <col min="6401" max="6401" width="9.7109375" style="26" bestFit="1" customWidth="1"/>
    <col min="6402" max="6402" width="8.28515625" style="26" bestFit="1" customWidth="1"/>
    <col min="6403" max="6405" width="8.28515625" style="26" customWidth="1"/>
    <col min="6406" max="6411" width="0" style="26" hidden="1" customWidth="1"/>
    <col min="6412" max="6412" width="9.140625" style="26" customWidth="1"/>
    <col min="6413" max="6414" width="11.42578125" style="26"/>
    <col min="6415" max="6415" width="12.42578125" style="26" bestFit="1" customWidth="1"/>
    <col min="6416" max="6651" width="11.42578125" style="26"/>
    <col min="6652" max="6652" width="18.140625" style="26" customWidth="1"/>
    <col min="6653" max="6654" width="8.42578125" style="26" bestFit="1" customWidth="1"/>
    <col min="6655" max="6656" width="8.42578125" style="26" customWidth="1"/>
    <col min="6657" max="6657" width="9.7109375" style="26" bestFit="1" customWidth="1"/>
    <col min="6658" max="6658" width="8.28515625" style="26" bestFit="1" customWidth="1"/>
    <col min="6659" max="6661" width="8.28515625" style="26" customWidth="1"/>
    <col min="6662" max="6667" width="0" style="26" hidden="1" customWidth="1"/>
    <col min="6668" max="6668" width="9.140625" style="26" customWidth="1"/>
    <col min="6669" max="6670" width="11.42578125" style="26"/>
    <col min="6671" max="6671" width="12.42578125" style="26" bestFit="1" customWidth="1"/>
    <col min="6672" max="6907" width="11.42578125" style="26"/>
    <col min="6908" max="6908" width="18.140625" style="26" customWidth="1"/>
    <col min="6909" max="6910" width="8.42578125" style="26" bestFit="1" customWidth="1"/>
    <col min="6911" max="6912" width="8.42578125" style="26" customWidth="1"/>
    <col min="6913" max="6913" width="9.7109375" style="26" bestFit="1" customWidth="1"/>
    <col min="6914" max="6914" width="8.28515625" style="26" bestFit="1" customWidth="1"/>
    <col min="6915" max="6917" width="8.28515625" style="26" customWidth="1"/>
    <col min="6918" max="6923" width="0" style="26" hidden="1" customWidth="1"/>
    <col min="6924" max="6924" width="9.140625" style="26" customWidth="1"/>
    <col min="6925" max="6926" width="11.42578125" style="26"/>
    <col min="6927" max="6927" width="12.42578125" style="26" bestFit="1" customWidth="1"/>
    <col min="6928" max="7163" width="11.42578125" style="26"/>
    <col min="7164" max="7164" width="18.140625" style="26" customWidth="1"/>
    <col min="7165" max="7166" width="8.42578125" style="26" bestFit="1" customWidth="1"/>
    <col min="7167" max="7168" width="8.42578125" style="26" customWidth="1"/>
    <col min="7169" max="7169" width="9.7109375" style="26" bestFit="1" customWidth="1"/>
    <col min="7170" max="7170" width="8.28515625" style="26" bestFit="1" customWidth="1"/>
    <col min="7171" max="7173" width="8.28515625" style="26" customWidth="1"/>
    <col min="7174" max="7179" width="0" style="26" hidden="1" customWidth="1"/>
    <col min="7180" max="7180" width="9.140625" style="26" customWidth="1"/>
    <col min="7181" max="7182" width="11.42578125" style="26"/>
    <col min="7183" max="7183" width="12.42578125" style="26" bestFit="1" customWidth="1"/>
    <col min="7184" max="7419" width="11.42578125" style="26"/>
    <col min="7420" max="7420" width="18.140625" style="26" customWidth="1"/>
    <col min="7421" max="7422" width="8.42578125" style="26" bestFit="1" customWidth="1"/>
    <col min="7423" max="7424" width="8.42578125" style="26" customWidth="1"/>
    <col min="7425" max="7425" width="9.7109375" style="26" bestFit="1" customWidth="1"/>
    <col min="7426" max="7426" width="8.28515625" style="26" bestFit="1" customWidth="1"/>
    <col min="7427" max="7429" width="8.28515625" style="26" customWidth="1"/>
    <col min="7430" max="7435" width="0" style="26" hidden="1" customWidth="1"/>
    <col min="7436" max="7436" width="9.140625" style="26" customWidth="1"/>
    <col min="7437" max="7438" width="11.42578125" style="26"/>
    <col min="7439" max="7439" width="12.42578125" style="26" bestFit="1" customWidth="1"/>
    <col min="7440" max="7675" width="11.42578125" style="26"/>
    <col min="7676" max="7676" width="18.140625" style="26" customWidth="1"/>
    <col min="7677" max="7678" width="8.42578125" style="26" bestFit="1" customWidth="1"/>
    <col min="7679" max="7680" width="8.42578125" style="26" customWidth="1"/>
    <col min="7681" max="7681" width="9.7109375" style="26" bestFit="1" customWidth="1"/>
    <col min="7682" max="7682" width="8.28515625" style="26" bestFit="1" customWidth="1"/>
    <col min="7683" max="7685" width="8.28515625" style="26" customWidth="1"/>
    <col min="7686" max="7691" width="0" style="26" hidden="1" customWidth="1"/>
    <col min="7692" max="7692" width="9.140625" style="26" customWidth="1"/>
    <col min="7693" max="7694" width="11.42578125" style="26"/>
    <col min="7695" max="7695" width="12.42578125" style="26" bestFit="1" customWidth="1"/>
    <col min="7696" max="7931" width="11.42578125" style="26"/>
    <col min="7932" max="7932" width="18.140625" style="26" customWidth="1"/>
    <col min="7933" max="7934" width="8.42578125" style="26" bestFit="1" customWidth="1"/>
    <col min="7935" max="7936" width="8.42578125" style="26" customWidth="1"/>
    <col min="7937" max="7937" width="9.7109375" style="26" bestFit="1" customWidth="1"/>
    <col min="7938" max="7938" width="8.28515625" style="26" bestFit="1" customWidth="1"/>
    <col min="7939" max="7941" width="8.28515625" style="26" customWidth="1"/>
    <col min="7942" max="7947" width="0" style="26" hidden="1" customWidth="1"/>
    <col min="7948" max="7948" width="9.140625" style="26" customWidth="1"/>
    <col min="7949" max="7950" width="11.42578125" style="26"/>
    <col min="7951" max="7951" width="12.42578125" style="26" bestFit="1" customWidth="1"/>
    <col min="7952" max="8187" width="11.42578125" style="26"/>
    <col min="8188" max="8188" width="18.140625" style="26" customWidth="1"/>
    <col min="8189" max="8190" width="8.42578125" style="26" bestFit="1" customWidth="1"/>
    <col min="8191" max="8192" width="8.42578125" style="26" customWidth="1"/>
    <col min="8193" max="8193" width="9.7109375" style="26" bestFit="1" customWidth="1"/>
    <col min="8194" max="8194" width="8.28515625" style="26" bestFit="1" customWidth="1"/>
    <col min="8195" max="8197" width="8.28515625" style="26" customWidth="1"/>
    <col min="8198" max="8203" width="0" style="26" hidden="1" customWidth="1"/>
    <col min="8204" max="8204" width="9.140625" style="26" customWidth="1"/>
    <col min="8205" max="8206" width="11.42578125" style="26"/>
    <col min="8207" max="8207" width="12.42578125" style="26" bestFit="1" customWidth="1"/>
    <col min="8208" max="8443" width="11.42578125" style="26"/>
    <col min="8444" max="8444" width="18.140625" style="26" customWidth="1"/>
    <col min="8445" max="8446" width="8.42578125" style="26" bestFit="1" customWidth="1"/>
    <col min="8447" max="8448" width="8.42578125" style="26" customWidth="1"/>
    <col min="8449" max="8449" width="9.7109375" style="26" bestFit="1" customWidth="1"/>
    <col min="8450" max="8450" width="8.28515625" style="26" bestFit="1" customWidth="1"/>
    <col min="8451" max="8453" width="8.28515625" style="26" customWidth="1"/>
    <col min="8454" max="8459" width="0" style="26" hidden="1" customWidth="1"/>
    <col min="8460" max="8460" width="9.140625" style="26" customWidth="1"/>
    <col min="8461" max="8462" width="11.42578125" style="26"/>
    <col min="8463" max="8463" width="12.42578125" style="26" bestFit="1" customWidth="1"/>
    <col min="8464" max="8699" width="11.42578125" style="26"/>
    <col min="8700" max="8700" width="18.140625" style="26" customWidth="1"/>
    <col min="8701" max="8702" width="8.42578125" style="26" bestFit="1" customWidth="1"/>
    <col min="8703" max="8704" width="8.42578125" style="26" customWidth="1"/>
    <col min="8705" max="8705" width="9.7109375" style="26" bestFit="1" customWidth="1"/>
    <col min="8706" max="8706" width="8.28515625" style="26" bestFit="1" customWidth="1"/>
    <col min="8707" max="8709" width="8.28515625" style="26" customWidth="1"/>
    <col min="8710" max="8715" width="0" style="26" hidden="1" customWidth="1"/>
    <col min="8716" max="8716" width="9.140625" style="26" customWidth="1"/>
    <col min="8717" max="8718" width="11.42578125" style="26"/>
    <col min="8719" max="8719" width="12.42578125" style="26" bestFit="1" customWidth="1"/>
    <col min="8720" max="8955" width="11.42578125" style="26"/>
    <col min="8956" max="8956" width="18.140625" style="26" customWidth="1"/>
    <col min="8957" max="8958" width="8.42578125" style="26" bestFit="1" customWidth="1"/>
    <col min="8959" max="8960" width="8.42578125" style="26" customWidth="1"/>
    <col min="8961" max="8961" width="9.7109375" style="26" bestFit="1" customWidth="1"/>
    <col min="8962" max="8962" width="8.28515625" style="26" bestFit="1" customWidth="1"/>
    <col min="8963" max="8965" width="8.28515625" style="26" customWidth="1"/>
    <col min="8966" max="8971" width="0" style="26" hidden="1" customWidth="1"/>
    <col min="8972" max="8972" width="9.140625" style="26" customWidth="1"/>
    <col min="8973" max="8974" width="11.42578125" style="26"/>
    <col min="8975" max="8975" width="12.42578125" style="26" bestFit="1" customWidth="1"/>
    <col min="8976" max="9211" width="11.42578125" style="26"/>
    <col min="9212" max="9212" width="18.140625" style="26" customWidth="1"/>
    <col min="9213" max="9214" width="8.42578125" style="26" bestFit="1" customWidth="1"/>
    <col min="9215" max="9216" width="8.42578125" style="26" customWidth="1"/>
    <col min="9217" max="9217" width="9.7109375" style="26" bestFit="1" customWidth="1"/>
    <col min="9218" max="9218" width="8.28515625" style="26" bestFit="1" customWidth="1"/>
    <col min="9219" max="9221" width="8.28515625" style="26" customWidth="1"/>
    <col min="9222" max="9227" width="0" style="26" hidden="1" customWidth="1"/>
    <col min="9228" max="9228" width="9.140625" style="26" customWidth="1"/>
    <col min="9229" max="9230" width="11.42578125" style="26"/>
    <col min="9231" max="9231" width="12.42578125" style="26" bestFit="1" customWidth="1"/>
    <col min="9232" max="9467" width="11.42578125" style="26"/>
    <col min="9468" max="9468" width="18.140625" style="26" customWidth="1"/>
    <col min="9469" max="9470" width="8.42578125" style="26" bestFit="1" customWidth="1"/>
    <col min="9471" max="9472" width="8.42578125" style="26" customWidth="1"/>
    <col min="9473" max="9473" width="9.7109375" style="26" bestFit="1" customWidth="1"/>
    <col min="9474" max="9474" width="8.28515625" style="26" bestFit="1" customWidth="1"/>
    <col min="9475" max="9477" width="8.28515625" style="26" customWidth="1"/>
    <col min="9478" max="9483" width="0" style="26" hidden="1" customWidth="1"/>
    <col min="9484" max="9484" width="9.140625" style="26" customWidth="1"/>
    <col min="9485" max="9486" width="11.42578125" style="26"/>
    <col min="9487" max="9487" width="12.42578125" style="26" bestFit="1" customWidth="1"/>
    <col min="9488" max="9723" width="11.42578125" style="26"/>
    <col min="9724" max="9724" width="18.140625" style="26" customWidth="1"/>
    <col min="9725" max="9726" width="8.42578125" style="26" bestFit="1" customWidth="1"/>
    <col min="9727" max="9728" width="8.42578125" style="26" customWidth="1"/>
    <col min="9729" max="9729" width="9.7109375" style="26" bestFit="1" customWidth="1"/>
    <col min="9730" max="9730" width="8.28515625" style="26" bestFit="1" customWidth="1"/>
    <col min="9731" max="9733" width="8.28515625" style="26" customWidth="1"/>
    <col min="9734" max="9739" width="0" style="26" hidden="1" customWidth="1"/>
    <col min="9740" max="9740" width="9.140625" style="26" customWidth="1"/>
    <col min="9741" max="9742" width="11.42578125" style="26"/>
    <col min="9743" max="9743" width="12.42578125" style="26" bestFit="1" customWidth="1"/>
    <col min="9744" max="9979" width="11.42578125" style="26"/>
    <col min="9980" max="9980" width="18.140625" style="26" customWidth="1"/>
    <col min="9981" max="9982" width="8.42578125" style="26" bestFit="1" customWidth="1"/>
    <col min="9983" max="9984" width="8.42578125" style="26" customWidth="1"/>
    <col min="9985" max="9985" width="9.7109375" style="26" bestFit="1" customWidth="1"/>
    <col min="9986" max="9986" width="8.28515625" style="26" bestFit="1" customWidth="1"/>
    <col min="9987" max="9989" width="8.28515625" style="26" customWidth="1"/>
    <col min="9990" max="9995" width="0" style="26" hidden="1" customWidth="1"/>
    <col min="9996" max="9996" width="9.140625" style="26" customWidth="1"/>
    <col min="9997" max="9998" width="11.42578125" style="26"/>
    <col min="9999" max="9999" width="12.42578125" style="26" bestFit="1" customWidth="1"/>
    <col min="10000" max="10235" width="11.42578125" style="26"/>
    <col min="10236" max="10236" width="18.140625" style="26" customWidth="1"/>
    <col min="10237" max="10238" width="8.42578125" style="26" bestFit="1" customWidth="1"/>
    <col min="10239" max="10240" width="8.42578125" style="26" customWidth="1"/>
    <col min="10241" max="10241" width="9.7109375" style="26" bestFit="1" customWidth="1"/>
    <col min="10242" max="10242" width="8.28515625" style="26" bestFit="1" customWidth="1"/>
    <col min="10243" max="10245" width="8.28515625" style="26" customWidth="1"/>
    <col min="10246" max="10251" width="0" style="26" hidden="1" customWidth="1"/>
    <col min="10252" max="10252" width="9.140625" style="26" customWidth="1"/>
    <col min="10253" max="10254" width="11.42578125" style="26"/>
    <col min="10255" max="10255" width="12.42578125" style="26" bestFit="1" customWidth="1"/>
    <col min="10256" max="10491" width="11.42578125" style="26"/>
    <col min="10492" max="10492" width="18.140625" style="26" customWidth="1"/>
    <col min="10493" max="10494" width="8.42578125" style="26" bestFit="1" customWidth="1"/>
    <col min="10495" max="10496" width="8.42578125" style="26" customWidth="1"/>
    <col min="10497" max="10497" width="9.7109375" style="26" bestFit="1" customWidth="1"/>
    <col min="10498" max="10498" width="8.28515625" style="26" bestFit="1" customWidth="1"/>
    <col min="10499" max="10501" width="8.28515625" style="26" customWidth="1"/>
    <col min="10502" max="10507" width="0" style="26" hidden="1" customWidth="1"/>
    <col min="10508" max="10508" width="9.140625" style="26" customWidth="1"/>
    <col min="10509" max="10510" width="11.42578125" style="26"/>
    <col min="10511" max="10511" width="12.42578125" style="26" bestFit="1" customWidth="1"/>
    <col min="10512" max="10747" width="11.42578125" style="26"/>
    <col min="10748" max="10748" width="18.140625" style="26" customWidth="1"/>
    <col min="10749" max="10750" width="8.42578125" style="26" bestFit="1" customWidth="1"/>
    <col min="10751" max="10752" width="8.42578125" style="26" customWidth="1"/>
    <col min="10753" max="10753" width="9.7109375" style="26" bestFit="1" customWidth="1"/>
    <col min="10754" max="10754" width="8.28515625" style="26" bestFit="1" customWidth="1"/>
    <col min="10755" max="10757" width="8.28515625" style="26" customWidth="1"/>
    <col min="10758" max="10763" width="0" style="26" hidden="1" customWidth="1"/>
    <col min="10764" max="10764" width="9.140625" style="26" customWidth="1"/>
    <col min="10765" max="10766" width="11.42578125" style="26"/>
    <col min="10767" max="10767" width="12.42578125" style="26" bestFit="1" customWidth="1"/>
    <col min="10768" max="11003" width="11.42578125" style="26"/>
    <col min="11004" max="11004" width="18.140625" style="26" customWidth="1"/>
    <col min="11005" max="11006" width="8.42578125" style="26" bestFit="1" customWidth="1"/>
    <col min="11007" max="11008" width="8.42578125" style="26" customWidth="1"/>
    <col min="11009" max="11009" width="9.7109375" style="26" bestFit="1" customWidth="1"/>
    <col min="11010" max="11010" width="8.28515625" style="26" bestFit="1" customWidth="1"/>
    <col min="11011" max="11013" width="8.28515625" style="26" customWidth="1"/>
    <col min="11014" max="11019" width="0" style="26" hidden="1" customWidth="1"/>
    <col min="11020" max="11020" width="9.140625" style="26" customWidth="1"/>
    <col min="11021" max="11022" width="11.42578125" style="26"/>
    <col min="11023" max="11023" width="12.42578125" style="26" bestFit="1" customWidth="1"/>
    <col min="11024" max="11259" width="11.42578125" style="26"/>
    <col min="11260" max="11260" width="18.140625" style="26" customWidth="1"/>
    <col min="11261" max="11262" width="8.42578125" style="26" bestFit="1" customWidth="1"/>
    <col min="11263" max="11264" width="8.42578125" style="26" customWidth="1"/>
    <col min="11265" max="11265" width="9.7109375" style="26" bestFit="1" customWidth="1"/>
    <col min="11266" max="11266" width="8.28515625" style="26" bestFit="1" customWidth="1"/>
    <col min="11267" max="11269" width="8.28515625" style="26" customWidth="1"/>
    <col min="11270" max="11275" width="0" style="26" hidden="1" customWidth="1"/>
    <col min="11276" max="11276" width="9.140625" style="26" customWidth="1"/>
    <col min="11277" max="11278" width="11.42578125" style="26"/>
    <col min="11279" max="11279" width="12.42578125" style="26" bestFit="1" customWidth="1"/>
    <col min="11280" max="11515" width="11.42578125" style="26"/>
    <col min="11516" max="11516" width="18.140625" style="26" customWidth="1"/>
    <col min="11517" max="11518" width="8.42578125" style="26" bestFit="1" customWidth="1"/>
    <col min="11519" max="11520" width="8.42578125" style="26" customWidth="1"/>
    <col min="11521" max="11521" width="9.7109375" style="26" bestFit="1" customWidth="1"/>
    <col min="11522" max="11522" width="8.28515625" style="26" bestFit="1" customWidth="1"/>
    <col min="11523" max="11525" width="8.28515625" style="26" customWidth="1"/>
    <col min="11526" max="11531" width="0" style="26" hidden="1" customWidth="1"/>
    <col min="11532" max="11532" width="9.140625" style="26" customWidth="1"/>
    <col min="11533" max="11534" width="11.42578125" style="26"/>
    <col min="11535" max="11535" width="12.42578125" style="26" bestFit="1" customWidth="1"/>
    <col min="11536" max="11771" width="11.42578125" style="26"/>
    <col min="11772" max="11772" width="18.140625" style="26" customWidth="1"/>
    <col min="11773" max="11774" width="8.42578125" style="26" bestFit="1" customWidth="1"/>
    <col min="11775" max="11776" width="8.42578125" style="26" customWidth="1"/>
    <col min="11777" max="11777" width="9.7109375" style="26" bestFit="1" customWidth="1"/>
    <col min="11778" max="11778" width="8.28515625" style="26" bestFit="1" customWidth="1"/>
    <col min="11779" max="11781" width="8.28515625" style="26" customWidth="1"/>
    <col min="11782" max="11787" width="0" style="26" hidden="1" customWidth="1"/>
    <col min="11788" max="11788" width="9.140625" style="26" customWidth="1"/>
    <col min="11789" max="11790" width="11.42578125" style="26"/>
    <col min="11791" max="11791" width="12.42578125" style="26" bestFit="1" customWidth="1"/>
    <col min="11792" max="12027" width="11.42578125" style="26"/>
    <col min="12028" max="12028" width="18.140625" style="26" customWidth="1"/>
    <col min="12029" max="12030" width="8.42578125" style="26" bestFit="1" customWidth="1"/>
    <col min="12031" max="12032" width="8.42578125" style="26" customWidth="1"/>
    <col min="12033" max="12033" width="9.7109375" style="26" bestFit="1" customWidth="1"/>
    <col min="12034" max="12034" width="8.28515625" style="26" bestFit="1" customWidth="1"/>
    <col min="12035" max="12037" width="8.28515625" style="26" customWidth="1"/>
    <col min="12038" max="12043" width="0" style="26" hidden="1" customWidth="1"/>
    <col min="12044" max="12044" width="9.140625" style="26" customWidth="1"/>
    <col min="12045" max="12046" width="11.42578125" style="26"/>
    <col min="12047" max="12047" width="12.42578125" style="26" bestFit="1" customWidth="1"/>
    <col min="12048" max="12283" width="11.42578125" style="26"/>
    <col min="12284" max="12284" width="18.140625" style="26" customWidth="1"/>
    <col min="12285" max="12286" width="8.42578125" style="26" bestFit="1" customWidth="1"/>
    <col min="12287" max="12288" width="8.42578125" style="26" customWidth="1"/>
    <col min="12289" max="12289" width="9.7109375" style="26" bestFit="1" customWidth="1"/>
    <col min="12290" max="12290" width="8.28515625" style="26" bestFit="1" customWidth="1"/>
    <col min="12291" max="12293" width="8.28515625" style="26" customWidth="1"/>
    <col min="12294" max="12299" width="0" style="26" hidden="1" customWidth="1"/>
    <col min="12300" max="12300" width="9.140625" style="26" customWidth="1"/>
    <col min="12301" max="12302" width="11.42578125" style="26"/>
    <col min="12303" max="12303" width="12.42578125" style="26" bestFit="1" customWidth="1"/>
    <col min="12304" max="12539" width="11.42578125" style="26"/>
    <col min="12540" max="12540" width="18.140625" style="26" customWidth="1"/>
    <col min="12541" max="12542" width="8.42578125" style="26" bestFit="1" customWidth="1"/>
    <col min="12543" max="12544" width="8.42578125" style="26" customWidth="1"/>
    <col min="12545" max="12545" width="9.7109375" style="26" bestFit="1" customWidth="1"/>
    <col min="12546" max="12546" width="8.28515625" style="26" bestFit="1" customWidth="1"/>
    <col min="12547" max="12549" width="8.28515625" style="26" customWidth="1"/>
    <col min="12550" max="12555" width="0" style="26" hidden="1" customWidth="1"/>
    <col min="12556" max="12556" width="9.140625" style="26" customWidth="1"/>
    <col min="12557" max="12558" width="11.42578125" style="26"/>
    <col min="12559" max="12559" width="12.42578125" style="26" bestFit="1" customWidth="1"/>
    <col min="12560" max="12795" width="11.42578125" style="26"/>
    <col min="12796" max="12796" width="18.140625" style="26" customWidth="1"/>
    <col min="12797" max="12798" width="8.42578125" style="26" bestFit="1" customWidth="1"/>
    <col min="12799" max="12800" width="8.42578125" style="26" customWidth="1"/>
    <col min="12801" max="12801" width="9.7109375" style="26" bestFit="1" customWidth="1"/>
    <col min="12802" max="12802" width="8.28515625" style="26" bestFit="1" customWidth="1"/>
    <col min="12803" max="12805" width="8.28515625" style="26" customWidth="1"/>
    <col min="12806" max="12811" width="0" style="26" hidden="1" customWidth="1"/>
    <col min="12812" max="12812" width="9.140625" style="26" customWidth="1"/>
    <col min="12813" max="12814" width="11.42578125" style="26"/>
    <col min="12815" max="12815" width="12.42578125" style="26" bestFit="1" customWidth="1"/>
    <col min="12816" max="13051" width="11.42578125" style="26"/>
    <col min="13052" max="13052" width="18.140625" style="26" customWidth="1"/>
    <col min="13053" max="13054" width="8.42578125" style="26" bestFit="1" customWidth="1"/>
    <col min="13055" max="13056" width="8.42578125" style="26" customWidth="1"/>
    <col min="13057" max="13057" width="9.7109375" style="26" bestFit="1" customWidth="1"/>
    <col min="13058" max="13058" width="8.28515625" style="26" bestFit="1" customWidth="1"/>
    <col min="13059" max="13061" width="8.28515625" style="26" customWidth="1"/>
    <col min="13062" max="13067" width="0" style="26" hidden="1" customWidth="1"/>
    <col min="13068" max="13068" width="9.140625" style="26" customWidth="1"/>
    <col min="13069" max="13070" width="11.42578125" style="26"/>
    <col min="13071" max="13071" width="12.42578125" style="26" bestFit="1" customWidth="1"/>
    <col min="13072" max="13307" width="11.42578125" style="26"/>
    <col min="13308" max="13308" width="18.140625" style="26" customWidth="1"/>
    <col min="13309" max="13310" width="8.42578125" style="26" bestFit="1" customWidth="1"/>
    <col min="13311" max="13312" width="8.42578125" style="26" customWidth="1"/>
    <col min="13313" max="13313" width="9.7109375" style="26" bestFit="1" customWidth="1"/>
    <col min="13314" max="13314" width="8.28515625" style="26" bestFit="1" customWidth="1"/>
    <col min="13315" max="13317" width="8.28515625" style="26" customWidth="1"/>
    <col min="13318" max="13323" width="0" style="26" hidden="1" customWidth="1"/>
    <col min="13324" max="13324" width="9.140625" style="26" customWidth="1"/>
    <col min="13325" max="13326" width="11.42578125" style="26"/>
    <col min="13327" max="13327" width="12.42578125" style="26" bestFit="1" customWidth="1"/>
    <col min="13328" max="13563" width="11.42578125" style="26"/>
    <col min="13564" max="13564" width="18.140625" style="26" customWidth="1"/>
    <col min="13565" max="13566" width="8.42578125" style="26" bestFit="1" customWidth="1"/>
    <col min="13567" max="13568" width="8.42578125" style="26" customWidth="1"/>
    <col min="13569" max="13569" width="9.7109375" style="26" bestFit="1" customWidth="1"/>
    <col min="13570" max="13570" width="8.28515625" style="26" bestFit="1" customWidth="1"/>
    <col min="13571" max="13573" width="8.28515625" style="26" customWidth="1"/>
    <col min="13574" max="13579" width="0" style="26" hidden="1" customWidth="1"/>
    <col min="13580" max="13580" width="9.140625" style="26" customWidth="1"/>
    <col min="13581" max="13582" width="11.42578125" style="26"/>
    <col min="13583" max="13583" width="12.42578125" style="26" bestFit="1" customWidth="1"/>
    <col min="13584" max="13819" width="11.42578125" style="26"/>
    <col min="13820" max="13820" width="18.140625" style="26" customWidth="1"/>
    <col min="13821" max="13822" width="8.42578125" style="26" bestFit="1" customWidth="1"/>
    <col min="13823" max="13824" width="8.42578125" style="26" customWidth="1"/>
    <col min="13825" max="13825" width="9.7109375" style="26" bestFit="1" customWidth="1"/>
    <col min="13826" max="13826" width="8.28515625" style="26" bestFit="1" customWidth="1"/>
    <col min="13827" max="13829" width="8.28515625" style="26" customWidth="1"/>
    <col min="13830" max="13835" width="0" style="26" hidden="1" customWidth="1"/>
    <col min="13836" max="13836" width="9.140625" style="26" customWidth="1"/>
    <col min="13837" max="13838" width="11.42578125" style="26"/>
    <col min="13839" max="13839" width="12.42578125" style="26" bestFit="1" customWidth="1"/>
    <col min="13840" max="14075" width="11.42578125" style="26"/>
    <col min="14076" max="14076" width="18.140625" style="26" customWidth="1"/>
    <col min="14077" max="14078" width="8.42578125" style="26" bestFit="1" customWidth="1"/>
    <col min="14079" max="14080" width="8.42578125" style="26" customWidth="1"/>
    <col min="14081" max="14081" width="9.7109375" style="26" bestFit="1" customWidth="1"/>
    <col min="14082" max="14082" width="8.28515625" style="26" bestFit="1" customWidth="1"/>
    <col min="14083" max="14085" width="8.28515625" style="26" customWidth="1"/>
    <col min="14086" max="14091" width="0" style="26" hidden="1" customWidth="1"/>
    <col min="14092" max="14092" width="9.140625" style="26" customWidth="1"/>
    <col min="14093" max="14094" width="11.42578125" style="26"/>
    <col min="14095" max="14095" width="12.42578125" style="26" bestFit="1" customWidth="1"/>
    <col min="14096" max="14331" width="11.42578125" style="26"/>
    <col min="14332" max="14332" width="18.140625" style="26" customWidth="1"/>
    <col min="14333" max="14334" width="8.42578125" style="26" bestFit="1" customWidth="1"/>
    <col min="14335" max="14336" width="8.42578125" style="26" customWidth="1"/>
    <col min="14337" max="14337" width="9.7109375" style="26" bestFit="1" customWidth="1"/>
    <col min="14338" max="14338" width="8.28515625" style="26" bestFit="1" customWidth="1"/>
    <col min="14339" max="14341" width="8.28515625" style="26" customWidth="1"/>
    <col min="14342" max="14347" width="0" style="26" hidden="1" customWidth="1"/>
    <col min="14348" max="14348" width="9.140625" style="26" customWidth="1"/>
    <col min="14349" max="14350" width="11.42578125" style="26"/>
    <col min="14351" max="14351" width="12.42578125" style="26" bestFit="1" customWidth="1"/>
    <col min="14352" max="14587" width="11.42578125" style="26"/>
    <col min="14588" max="14588" width="18.140625" style="26" customWidth="1"/>
    <col min="14589" max="14590" width="8.42578125" style="26" bestFit="1" customWidth="1"/>
    <col min="14591" max="14592" width="8.42578125" style="26" customWidth="1"/>
    <col min="14593" max="14593" width="9.7109375" style="26" bestFit="1" customWidth="1"/>
    <col min="14594" max="14594" width="8.28515625" style="26" bestFit="1" customWidth="1"/>
    <col min="14595" max="14597" width="8.28515625" style="26" customWidth="1"/>
    <col min="14598" max="14603" width="0" style="26" hidden="1" customWidth="1"/>
    <col min="14604" max="14604" width="9.140625" style="26" customWidth="1"/>
    <col min="14605" max="14606" width="11.42578125" style="26"/>
    <col min="14607" max="14607" width="12.42578125" style="26" bestFit="1" customWidth="1"/>
    <col min="14608" max="14843" width="11.42578125" style="26"/>
    <col min="14844" max="14844" width="18.140625" style="26" customWidth="1"/>
    <col min="14845" max="14846" width="8.42578125" style="26" bestFit="1" customWidth="1"/>
    <col min="14847" max="14848" width="8.42578125" style="26" customWidth="1"/>
    <col min="14849" max="14849" width="9.7109375" style="26" bestFit="1" customWidth="1"/>
    <col min="14850" max="14850" width="8.28515625" style="26" bestFit="1" customWidth="1"/>
    <col min="14851" max="14853" width="8.28515625" style="26" customWidth="1"/>
    <col min="14854" max="14859" width="0" style="26" hidden="1" customWidth="1"/>
    <col min="14860" max="14860" width="9.140625" style="26" customWidth="1"/>
    <col min="14861" max="14862" width="11.42578125" style="26"/>
    <col min="14863" max="14863" width="12.42578125" style="26" bestFit="1" customWidth="1"/>
    <col min="14864" max="15099" width="11.42578125" style="26"/>
    <col min="15100" max="15100" width="18.140625" style="26" customWidth="1"/>
    <col min="15101" max="15102" width="8.42578125" style="26" bestFit="1" customWidth="1"/>
    <col min="15103" max="15104" width="8.42578125" style="26" customWidth="1"/>
    <col min="15105" max="15105" width="9.7109375" style="26" bestFit="1" customWidth="1"/>
    <col min="15106" max="15106" width="8.28515625" style="26" bestFit="1" customWidth="1"/>
    <col min="15107" max="15109" width="8.28515625" style="26" customWidth="1"/>
    <col min="15110" max="15115" width="0" style="26" hidden="1" customWidth="1"/>
    <col min="15116" max="15116" width="9.140625" style="26" customWidth="1"/>
    <col min="15117" max="15118" width="11.42578125" style="26"/>
    <col min="15119" max="15119" width="12.42578125" style="26" bestFit="1" customWidth="1"/>
    <col min="15120" max="15355" width="11.42578125" style="26"/>
    <col min="15356" max="15356" width="18.140625" style="26" customWidth="1"/>
    <col min="15357" max="15358" width="8.42578125" style="26" bestFit="1" customWidth="1"/>
    <col min="15359" max="15360" width="8.42578125" style="26" customWidth="1"/>
    <col min="15361" max="15361" width="9.7109375" style="26" bestFit="1" customWidth="1"/>
    <col min="15362" max="15362" width="8.28515625" style="26" bestFit="1" customWidth="1"/>
    <col min="15363" max="15365" width="8.28515625" style="26" customWidth="1"/>
    <col min="15366" max="15371" width="0" style="26" hidden="1" customWidth="1"/>
    <col min="15372" max="15372" width="9.140625" style="26" customWidth="1"/>
    <col min="15373" max="15374" width="11.42578125" style="26"/>
    <col min="15375" max="15375" width="12.42578125" style="26" bestFit="1" customWidth="1"/>
    <col min="15376" max="15611" width="11.42578125" style="26"/>
    <col min="15612" max="15612" width="18.140625" style="26" customWidth="1"/>
    <col min="15613" max="15614" width="8.42578125" style="26" bestFit="1" customWidth="1"/>
    <col min="15615" max="15616" width="8.42578125" style="26" customWidth="1"/>
    <col min="15617" max="15617" width="9.7109375" style="26" bestFit="1" customWidth="1"/>
    <col min="15618" max="15618" width="8.28515625" style="26" bestFit="1" customWidth="1"/>
    <col min="15619" max="15621" width="8.28515625" style="26" customWidth="1"/>
    <col min="15622" max="15627" width="0" style="26" hidden="1" customWidth="1"/>
    <col min="15628" max="15628" width="9.140625" style="26" customWidth="1"/>
    <col min="15629" max="15630" width="11.42578125" style="26"/>
    <col min="15631" max="15631" width="12.42578125" style="26" bestFit="1" customWidth="1"/>
    <col min="15632" max="15867" width="11.42578125" style="26"/>
    <col min="15868" max="15868" width="18.140625" style="26" customWidth="1"/>
    <col min="15869" max="15870" width="8.42578125" style="26" bestFit="1" customWidth="1"/>
    <col min="15871" max="15872" width="8.42578125" style="26" customWidth="1"/>
    <col min="15873" max="15873" width="9.7109375" style="26" bestFit="1" customWidth="1"/>
    <col min="15874" max="15874" width="8.28515625" style="26" bestFit="1" customWidth="1"/>
    <col min="15875" max="15877" width="8.28515625" style="26" customWidth="1"/>
    <col min="15878" max="15883" width="0" style="26" hidden="1" customWidth="1"/>
    <col min="15884" max="15884" width="9.140625" style="26" customWidth="1"/>
    <col min="15885" max="15886" width="11.42578125" style="26"/>
    <col min="15887" max="15887" width="12.42578125" style="26" bestFit="1" customWidth="1"/>
    <col min="15888" max="16123" width="11.42578125" style="26"/>
    <col min="16124" max="16124" width="18.140625" style="26" customWidth="1"/>
    <col min="16125" max="16126" width="8.42578125" style="26" bestFit="1" customWidth="1"/>
    <col min="16127" max="16128" width="8.42578125" style="26" customWidth="1"/>
    <col min="16129" max="16129" width="9.7109375" style="26" bestFit="1" customWidth="1"/>
    <col min="16130" max="16130" width="8.28515625" style="26" bestFit="1" customWidth="1"/>
    <col min="16131" max="16133" width="8.28515625" style="26" customWidth="1"/>
    <col min="16134" max="16139" width="0" style="26" hidden="1" customWidth="1"/>
    <col min="16140" max="16140" width="9.140625" style="26" customWidth="1"/>
    <col min="16141" max="16142" width="11.42578125" style="26"/>
    <col min="16143" max="16143" width="12.42578125" style="26" bestFit="1" customWidth="1"/>
    <col min="16144" max="16384" width="11.42578125" style="26"/>
  </cols>
  <sheetData>
    <row r="1" spans="1:17" s="27" customFormat="1" x14ac:dyDescent="0.2"/>
    <row r="2" spans="1:17" s="27" customFormat="1" x14ac:dyDescent="0.2">
      <c r="A2" s="47" t="s">
        <v>101</v>
      </c>
    </row>
    <row r="3" spans="1:17" s="27" customFormat="1" ht="15" x14ac:dyDescent="0.25">
      <c r="A3" s="47" t="s">
        <v>102</v>
      </c>
      <c r="J3" s="95"/>
    </row>
    <row r="4" spans="1:17" s="27" customFormat="1" x14ac:dyDescent="0.2"/>
    <row r="5" spans="1:17" s="27" customFormat="1" ht="12.75" x14ac:dyDescent="0.2">
      <c r="B5" s="369" t="s">
        <v>82</v>
      </c>
      <c r="C5" s="369"/>
      <c r="D5" s="369"/>
      <c r="E5" s="369"/>
      <c r="F5" s="369"/>
      <c r="G5" s="369"/>
      <c r="H5" s="369"/>
      <c r="I5" s="369"/>
      <c r="J5" s="369"/>
      <c r="K5" s="369"/>
      <c r="M5" s="122" t="s">
        <v>566</v>
      </c>
      <c r="O5" s="96"/>
    </row>
    <row r="6" spans="1:17" s="27" customFormat="1" ht="12.75" x14ac:dyDescent="0.2">
      <c r="B6" s="385" t="str">
        <f>'Solicitudes Regiones'!$B$6:$R$6</f>
        <v>Acumuladas de julio de 2008 a diciembre de 2021</v>
      </c>
      <c r="C6" s="385"/>
      <c r="D6" s="385"/>
      <c r="E6" s="385"/>
      <c r="F6" s="385"/>
      <c r="G6" s="385"/>
      <c r="H6" s="385"/>
      <c r="I6" s="385"/>
      <c r="J6" s="385"/>
      <c r="K6" s="385"/>
      <c r="L6" s="56"/>
    </row>
    <row r="7" spans="1:17" s="30" customFormat="1" x14ac:dyDescent="0.2">
      <c r="B7" s="28"/>
      <c r="C7" s="29"/>
      <c r="D7" s="29"/>
      <c r="E7" s="29"/>
      <c r="F7" s="29"/>
      <c r="G7" s="29"/>
      <c r="H7" s="29"/>
      <c r="I7" s="29"/>
      <c r="J7" s="29"/>
      <c r="K7" s="29"/>
      <c r="L7" s="29"/>
    </row>
    <row r="8" spans="1:17" ht="15" customHeight="1" x14ac:dyDescent="0.2">
      <c r="B8" s="399" t="s">
        <v>55</v>
      </c>
      <c r="C8" s="399"/>
      <c r="D8" s="399"/>
      <c r="E8" s="399"/>
      <c r="F8" s="399"/>
      <c r="G8" s="399"/>
      <c r="H8" s="399"/>
      <c r="I8" s="399"/>
      <c r="J8" s="399"/>
      <c r="K8" s="399"/>
      <c r="L8" s="399"/>
      <c r="M8" s="399"/>
    </row>
    <row r="9" spans="1:17" ht="20.25" customHeight="1" x14ac:dyDescent="0.2">
      <c r="B9" s="399" t="s">
        <v>56</v>
      </c>
      <c r="C9" s="397" t="s">
        <v>2</v>
      </c>
      <c r="D9" s="400"/>
      <c r="E9" s="400"/>
      <c r="F9" s="400"/>
      <c r="G9" s="400"/>
      <c r="H9" s="400"/>
      <c r="I9" s="400"/>
      <c r="J9" s="400"/>
      <c r="K9" s="398"/>
      <c r="L9" s="397"/>
      <c r="M9" s="398"/>
    </row>
    <row r="10" spans="1:17" ht="24" x14ac:dyDescent="0.2">
      <c r="B10" s="399"/>
      <c r="C10" s="23" t="s">
        <v>57</v>
      </c>
      <c r="D10" s="23" t="s">
        <v>58</v>
      </c>
      <c r="E10" s="23" t="s">
        <v>59</v>
      </c>
      <c r="F10" s="23" t="s">
        <v>60</v>
      </c>
      <c r="G10" s="23" t="s">
        <v>8</v>
      </c>
      <c r="H10" s="23" t="s">
        <v>61</v>
      </c>
      <c r="I10" s="23" t="s">
        <v>62</v>
      </c>
      <c r="J10" s="23" t="s">
        <v>63</v>
      </c>
      <c r="K10" s="261" t="s">
        <v>31</v>
      </c>
      <c r="L10" s="261" t="s">
        <v>584</v>
      </c>
      <c r="M10" s="261" t="s">
        <v>587</v>
      </c>
    </row>
    <row r="11" spans="1:17" x14ac:dyDescent="0.2">
      <c r="B11" s="18" t="s">
        <v>149</v>
      </c>
      <c r="C11" s="18">
        <v>5640</v>
      </c>
      <c r="D11" s="18">
        <v>2790</v>
      </c>
      <c r="E11" s="18">
        <f>C11+D11</f>
        <v>8430</v>
      </c>
      <c r="F11" s="19">
        <f>E11/$E$26</f>
        <v>0.236585092052088</v>
      </c>
      <c r="G11" s="18">
        <v>21542</v>
      </c>
      <c r="H11" s="18">
        <v>1201</v>
      </c>
      <c r="I11" s="18">
        <f>G11+H11</f>
        <v>22743</v>
      </c>
      <c r="J11" s="19">
        <f>I11/$I$26</f>
        <v>0.26698048975183714</v>
      </c>
      <c r="K11" s="18">
        <f t="shared" ref="K11:K25" si="0">E11+I11</f>
        <v>31173</v>
      </c>
      <c r="L11" s="18">
        <v>26</v>
      </c>
      <c r="M11" s="18">
        <f>L11+K11</f>
        <v>31199</v>
      </c>
      <c r="Q11" s="31"/>
    </row>
    <row r="12" spans="1:17" x14ac:dyDescent="0.2">
      <c r="B12" s="18" t="s">
        <v>38</v>
      </c>
      <c r="C12" s="18">
        <v>6495</v>
      </c>
      <c r="D12" s="18">
        <v>3116</v>
      </c>
      <c r="E12" s="18">
        <f t="shared" ref="E12:E25" si="1">C12+D12</f>
        <v>9611</v>
      </c>
      <c r="F12" s="19">
        <f t="shared" ref="F12:F25" si="2">E12/$E$26</f>
        <v>0.26972945666816345</v>
      </c>
      <c r="G12" s="18">
        <v>23499</v>
      </c>
      <c r="H12" s="18">
        <v>1260</v>
      </c>
      <c r="I12" s="18">
        <f t="shared" ref="I12:I25" si="3">G12+H12</f>
        <v>24759</v>
      </c>
      <c r="J12" s="19">
        <f t="shared" ref="J12:J25" si="4">I12/$I$26</f>
        <v>0.29064635033925762</v>
      </c>
      <c r="K12" s="18">
        <f t="shared" si="0"/>
        <v>34370</v>
      </c>
      <c r="L12" s="18">
        <v>17</v>
      </c>
      <c r="M12" s="18">
        <f t="shared" ref="M12:M26" si="5">L12+K12</f>
        <v>34387</v>
      </c>
      <c r="Q12" s="31"/>
    </row>
    <row r="13" spans="1:17" x14ac:dyDescent="0.2">
      <c r="B13" s="18" t="s">
        <v>150</v>
      </c>
      <c r="C13" s="18">
        <v>404</v>
      </c>
      <c r="D13" s="18">
        <v>242</v>
      </c>
      <c r="E13" s="18">
        <f t="shared" si="1"/>
        <v>646</v>
      </c>
      <c r="F13" s="19">
        <f t="shared" si="2"/>
        <v>1.8129770992366411E-2</v>
      </c>
      <c r="G13" s="18">
        <v>1464</v>
      </c>
      <c r="H13" s="18">
        <v>66</v>
      </c>
      <c r="I13" s="18">
        <f t="shared" si="3"/>
        <v>1530</v>
      </c>
      <c r="J13" s="19">
        <f t="shared" si="4"/>
        <v>1.7960697767238749E-2</v>
      </c>
      <c r="K13" s="18">
        <f t="shared" si="0"/>
        <v>2176</v>
      </c>
      <c r="L13" s="18">
        <v>0</v>
      </c>
      <c r="M13" s="18">
        <f t="shared" si="5"/>
        <v>2176</v>
      </c>
      <c r="Q13" s="31"/>
    </row>
    <row r="14" spans="1:17" x14ac:dyDescent="0.2">
      <c r="B14" s="18" t="s">
        <v>151</v>
      </c>
      <c r="C14" s="18">
        <v>178</v>
      </c>
      <c r="D14" s="18">
        <v>75</v>
      </c>
      <c r="E14" s="18">
        <f t="shared" si="1"/>
        <v>253</v>
      </c>
      <c r="F14" s="19">
        <f t="shared" si="2"/>
        <v>7.1003592276605298E-3</v>
      </c>
      <c r="G14" s="18">
        <v>435</v>
      </c>
      <c r="H14" s="18">
        <v>28</v>
      </c>
      <c r="I14" s="18">
        <f t="shared" si="3"/>
        <v>463</v>
      </c>
      <c r="J14" s="19">
        <f t="shared" si="4"/>
        <v>5.4351654027657128E-3</v>
      </c>
      <c r="K14" s="18">
        <f t="shared" si="0"/>
        <v>716</v>
      </c>
      <c r="L14" s="18">
        <v>0</v>
      </c>
      <c r="M14" s="18">
        <f t="shared" si="5"/>
        <v>716</v>
      </c>
      <c r="Q14" s="31"/>
    </row>
    <row r="15" spans="1:17" x14ac:dyDescent="0.2">
      <c r="B15" s="18" t="s">
        <v>152</v>
      </c>
      <c r="C15" s="18">
        <v>134</v>
      </c>
      <c r="D15" s="18">
        <v>58</v>
      </c>
      <c r="E15" s="18">
        <f t="shared" si="1"/>
        <v>192</v>
      </c>
      <c r="F15" s="19">
        <f t="shared" si="2"/>
        <v>5.3884149079479124E-3</v>
      </c>
      <c r="G15" s="18">
        <v>600</v>
      </c>
      <c r="H15" s="18">
        <v>20</v>
      </c>
      <c r="I15" s="18">
        <f t="shared" si="3"/>
        <v>620</v>
      </c>
      <c r="J15" s="19">
        <f t="shared" si="4"/>
        <v>7.2781912520836758E-3</v>
      </c>
      <c r="K15" s="18">
        <f t="shared" si="0"/>
        <v>812</v>
      </c>
      <c r="L15" s="18">
        <v>0</v>
      </c>
      <c r="M15" s="18">
        <f t="shared" si="5"/>
        <v>812</v>
      </c>
      <c r="Q15" s="31"/>
    </row>
    <row r="16" spans="1:17" x14ac:dyDescent="0.2">
      <c r="B16" s="18" t="s">
        <v>153</v>
      </c>
      <c r="C16" s="18">
        <v>687</v>
      </c>
      <c r="D16" s="18">
        <v>409</v>
      </c>
      <c r="E16" s="18">
        <f t="shared" si="1"/>
        <v>1096</v>
      </c>
      <c r="F16" s="19">
        <f t="shared" si="2"/>
        <v>3.0758868432869332E-2</v>
      </c>
      <c r="G16" s="18">
        <v>3256</v>
      </c>
      <c r="H16" s="18">
        <v>188</v>
      </c>
      <c r="I16" s="18">
        <f t="shared" si="3"/>
        <v>3444</v>
      </c>
      <c r="J16" s="19">
        <f t="shared" si="4"/>
        <v>4.0429178503509966E-2</v>
      </c>
      <c r="K16" s="18">
        <f t="shared" si="0"/>
        <v>4540</v>
      </c>
      <c r="L16" s="18">
        <v>1</v>
      </c>
      <c r="M16" s="18">
        <f t="shared" si="5"/>
        <v>4541</v>
      </c>
      <c r="Q16" s="31"/>
    </row>
    <row r="17" spans="2:17" x14ac:dyDescent="0.2">
      <c r="B17" s="18" t="s">
        <v>154</v>
      </c>
      <c r="C17" s="18">
        <v>1349</v>
      </c>
      <c r="D17" s="18">
        <v>579</v>
      </c>
      <c r="E17" s="18">
        <f t="shared" si="1"/>
        <v>1928</v>
      </c>
      <c r="F17" s="19">
        <f t="shared" si="2"/>
        <v>5.4108666367310286E-2</v>
      </c>
      <c r="G17" s="18">
        <v>4232</v>
      </c>
      <c r="H17" s="18">
        <v>223</v>
      </c>
      <c r="I17" s="18">
        <f t="shared" si="3"/>
        <v>4455</v>
      </c>
      <c r="J17" s="19">
        <f t="shared" si="4"/>
        <v>5.2297325851665764E-2</v>
      </c>
      <c r="K17" s="18">
        <f t="shared" si="0"/>
        <v>6383</v>
      </c>
      <c r="L17" s="18">
        <v>3</v>
      </c>
      <c r="M17" s="18">
        <f t="shared" si="5"/>
        <v>6386</v>
      </c>
      <c r="Q17" s="31"/>
    </row>
    <row r="18" spans="2:17" x14ac:dyDescent="0.2">
      <c r="B18" s="18" t="s">
        <v>155</v>
      </c>
      <c r="C18" s="18">
        <v>513</v>
      </c>
      <c r="D18" s="18">
        <v>233</v>
      </c>
      <c r="E18" s="18">
        <f t="shared" si="1"/>
        <v>746</v>
      </c>
      <c r="F18" s="19">
        <f t="shared" si="2"/>
        <v>2.0936237090255948E-2</v>
      </c>
      <c r="G18" s="18">
        <v>987</v>
      </c>
      <c r="H18" s="18">
        <v>63</v>
      </c>
      <c r="I18" s="18">
        <f t="shared" si="3"/>
        <v>1050</v>
      </c>
      <c r="J18" s="19">
        <f t="shared" si="4"/>
        <v>1.232596905594816E-2</v>
      </c>
      <c r="K18" s="18">
        <f t="shared" si="0"/>
        <v>1796</v>
      </c>
      <c r="L18" s="18">
        <v>0</v>
      </c>
      <c r="M18" s="18">
        <f t="shared" si="5"/>
        <v>1796</v>
      </c>
      <c r="Q18" s="31"/>
    </row>
    <row r="19" spans="2:17" x14ac:dyDescent="0.2">
      <c r="B19" s="18" t="s">
        <v>156</v>
      </c>
      <c r="C19" s="18">
        <v>787</v>
      </c>
      <c r="D19" s="18">
        <v>362</v>
      </c>
      <c r="E19" s="18">
        <f t="shared" si="1"/>
        <v>1149</v>
      </c>
      <c r="F19" s="19">
        <f t="shared" si="2"/>
        <v>3.2246295464750788E-2</v>
      </c>
      <c r="G19" s="18">
        <v>2416</v>
      </c>
      <c r="H19" s="18">
        <v>132</v>
      </c>
      <c r="I19" s="18">
        <f t="shared" si="3"/>
        <v>2548</v>
      </c>
      <c r="J19" s="19">
        <f t="shared" si="4"/>
        <v>2.9911018242434202E-2</v>
      </c>
      <c r="K19" s="18">
        <f t="shared" si="0"/>
        <v>3697</v>
      </c>
      <c r="L19" s="18">
        <v>2</v>
      </c>
      <c r="M19" s="18">
        <f t="shared" si="5"/>
        <v>3699</v>
      </c>
      <c r="Q19" s="31"/>
    </row>
    <row r="20" spans="2:17" x14ac:dyDescent="0.2">
      <c r="B20" s="18" t="s">
        <v>157</v>
      </c>
      <c r="C20" s="18">
        <v>1182</v>
      </c>
      <c r="D20" s="18">
        <v>514</v>
      </c>
      <c r="E20" s="18">
        <f t="shared" si="1"/>
        <v>1696</v>
      </c>
      <c r="F20" s="19">
        <f t="shared" si="2"/>
        <v>4.7597665020206556E-2</v>
      </c>
      <c r="G20" s="18">
        <v>3360</v>
      </c>
      <c r="H20" s="18">
        <v>149</v>
      </c>
      <c r="I20" s="18">
        <f t="shared" si="3"/>
        <v>3509</v>
      </c>
      <c r="J20" s="19">
        <f t="shared" si="4"/>
        <v>4.1192214683163898E-2</v>
      </c>
      <c r="K20" s="18">
        <f t="shared" si="0"/>
        <v>5205</v>
      </c>
      <c r="L20" s="18">
        <v>3</v>
      </c>
      <c r="M20" s="18">
        <f t="shared" si="5"/>
        <v>5208</v>
      </c>
      <c r="Q20" s="31"/>
    </row>
    <row r="21" spans="2:17" x14ac:dyDescent="0.2">
      <c r="B21" s="18" t="s">
        <v>158</v>
      </c>
      <c r="C21" s="18">
        <v>4213</v>
      </c>
      <c r="D21" s="18">
        <v>1816</v>
      </c>
      <c r="E21" s="18">
        <f t="shared" si="1"/>
        <v>6029</v>
      </c>
      <c r="F21" s="19">
        <f t="shared" si="2"/>
        <v>0.16920184104176023</v>
      </c>
      <c r="G21" s="18">
        <v>12082</v>
      </c>
      <c r="H21" s="18">
        <v>706</v>
      </c>
      <c r="I21" s="18">
        <f t="shared" si="3"/>
        <v>12788</v>
      </c>
      <c r="J21" s="19">
        <f t="shared" si="4"/>
        <v>0.15011856408330007</v>
      </c>
      <c r="K21" s="18">
        <f t="shared" si="0"/>
        <v>18817</v>
      </c>
      <c r="L21" s="18">
        <v>7</v>
      </c>
      <c r="M21" s="18">
        <f t="shared" si="5"/>
        <v>18824</v>
      </c>
      <c r="Q21" s="31"/>
    </row>
    <row r="22" spans="2:17" x14ac:dyDescent="0.2">
      <c r="B22" s="18" t="s">
        <v>159</v>
      </c>
      <c r="C22" s="18">
        <v>631</v>
      </c>
      <c r="D22" s="18">
        <v>327</v>
      </c>
      <c r="E22" s="18">
        <f t="shared" si="1"/>
        <v>958</v>
      </c>
      <c r="F22" s="19">
        <f t="shared" si="2"/>
        <v>2.688594521778177E-2</v>
      </c>
      <c r="G22" s="18">
        <v>2063</v>
      </c>
      <c r="H22" s="18">
        <v>89</v>
      </c>
      <c r="I22" s="18">
        <f t="shared" si="3"/>
        <v>2152</v>
      </c>
      <c r="J22" s="19">
        <f t="shared" si="4"/>
        <v>2.5262367055619468E-2</v>
      </c>
      <c r="K22" s="18">
        <f t="shared" si="0"/>
        <v>3110</v>
      </c>
      <c r="L22" s="18">
        <v>3</v>
      </c>
      <c r="M22" s="18">
        <f t="shared" si="5"/>
        <v>3113</v>
      </c>
      <c r="Q22" s="31"/>
    </row>
    <row r="23" spans="2:17" x14ac:dyDescent="0.2">
      <c r="B23" s="18" t="s">
        <v>160</v>
      </c>
      <c r="C23" s="18">
        <v>1120</v>
      </c>
      <c r="D23" s="18">
        <v>580</v>
      </c>
      <c r="E23" s="18">
        <f t="shared" si="1"/>
        <v>1700</v>
      </c>
      <c r="F23" s="19">
        <f t="shared" si="2"/>
        <v>4.7709923664122141E-2</v>
      </c>
      <c r="G23" s="18">
        <v>3114</v>
      </c>
      <c r="H23" s="18">
        <v>223</v>
      </c>
      <c r="I23" s="18">
        <f t="shared" si="3"/>
        <v>3337</v>
      </c>
      <c r="J23" s="19">
        <f t="shared" si="4"/>
        <v>3.9173103561618107E-2</v>
      </c>
      <c r="K23" s="18">
        <f t="shared" si="0"/>
        <v>5037</v>
      </c>
      <c r="L23" s="18">
        <v>3</v>
      </c>
      <c r="M23" s="18">
        <f t="shared" si="5"/>
        <v>5040</v>
      </c>
      <c r="Q23" s="31"/>
    </row>
    <row r="24" spans="2:17" x14ac:dyDescent="0.2">
      <c r="B24" s="18" t="s">
        <v>161</v>
      </c>
      <c r="C24" s="18">
        <v>452</v>
      </c>
      <c r="D24" s="18">
        <v>401</v>
      </c>
      <c r="E24" s="18">
        <f t="shared" si="1"/>
        <v>853</v>
      </c>
      <c r="F24" s="19">
        <f t="shared" si="2"/>
        <v>2.3939155814997753E-2</v>
      </c>
      <c r="G24" s="18">
        <v>1179</v>
      </c>
      <c r="H24" s="18">
        <v>93</v>
      </c>
      <c r="I24" s="18">
        <f t="shared" si="3"/>
        <v>1272</v>
      </c>
      <c r="J24" s="19">
        <f t="shared" si="4"/>
        <v>1.4932031084920057E-2</v>
      </c>
      <c r="K24" s="18">
        <f t="shared" si="0"/>
        <v>2125</v>
      </c>
      <c r="L24" s="18">
        <v>0</v>
      </c>
      <c r="M24" s="18">
        <f t="shared" si="5"/>
        <v>2125</v>
      </c>
      <c r="Q24" s="31"/>
    </row>
    <row r="25" spans="2:17" x14ac:dyDescent="0.2">
      <c r="B25" s="18" t="s">
        <v>162</v>
      </c>
      <c r="C25" s="18">
        <v>266</v>
      </c>
      <c r="D25" s="18">
        <v>79</v>
      </c>
      <c r="E25" s="18">
        <f t="shared" si="1"/>
        <v>345</v>
      </c>
      <c r="F25" s="19">
        <f t="shared" si="2"/>
        <v>9.682308037718905E-3</v>
      </c>
      <c r="G25" s="18">
        <v>495</v>
      </c>
      <c r="H25" s="18">
        <v>21</v>
      </c>
      <c r="I25" s="18">
        <f t="shared" si="3"/>
        <v>516</v>
      </c>
      <c r="J25" s="19">
        <f t="shared" si="4"/>
        <v>6.0573333646373817E-3</v>
      </c>
      <c r="K25" s="18">
        <f t="shared" si="0"/>
        <v>861</v>
      </c>
      <c r="L25" s="18">
        <v>0</v>
      </c>
      <c r="M25" s="18">
        <f t="shared" si="5"/>
        <v>861</v>
      </c>
      <c r="Q25" s="31"/>
    </row>
    <row r="26" spans="2:17" x14ac:dyDescent="0.2">
      <c r="B26" s="20" t="s">
        <v>49</v>
      </c>
      <c r="C26" s="18">
        <f>SUM(C11:C25)</f>
        <v>24051</v>
      </c>
      <c r="D26" s="18">
        <f t="shared" ref="D26:H26" si="6">SUM(D11:D25)</f>
        <v>11581</v>
      </c>
      <c r="E26" s="20">
        <f t="shared" ref="E26" si="7">C26+D26</f>
        <v>35632</v>
      </c>
      <c r="F26" s="22">
        <f t="shared" ref="F26" si="8">E26/$E$26</f>
        <v>1</v>
      </c>
      <c r="G26" s="18">
        <f>SUM(G11:G25)</f>
        <v>80724</v>
      </c>
      <c r="H26" s="18">
        <f t="shared" si="6"/>
        <v>4462</v>
      </c>
      <c r="I26" s="20">
        <f t="shared" ref="I26" si="9">G26+H26</f>
        <v>85186</v>
      </c>
      <c r="J26" s="22">
        <f t="shared" ref="J26" si="10">I26/$I$26</f>
        <v>1</v>
      </c>
      <c r="K26" s="20">
        <f t="shared" ref="K26" si="11">E26+I26</f>
        <v>120818</v>
      </c>
      <c r="L26" s="18">
        <f t="shared" ref="L26" si="12">SUM(L11:L25)</f>
        <v>65</v>
      </c>
      <c r="M26" s="20">
        <f t="shared" si="5"/>
        <v>120883</v>
      </c>
      <c r="Q26" s="31"/>
    </row>
    <row r="27" spans="2:17" ht="25.5" customHeight="1" x14ac:dyDescent="0.2">
      <c r="B27" s="32" t="s">
        <v>64</v>
      </c>
      <c r="C27" s="33">
        <f>+C26/M26</f>
        <v>0.1989609787976804</v>
      </c>
      <c r="D27" s="33">
        <f>+D26/M26</f>
        <v>9.580338012789226E-2</v>
      </c>
      <c r="E27" s="34">
        <f>+E26/M26</f>
        <v>0.29476435892557268</v>
      </c>
      <c r="F27" s="34"/>
      <c r="G27" s="33">
        <f>+G26/M26</f>
        <v>0.66778620649719145</v>
      </c>
      <c r="H27" s="33">
        <f>+H26/M26</f>
        <v>3.6911724560111846E-2</v>
      </c>
      <c r="I27" s="34">
        <f>+I26/M26</f>
        <v>0.70469793105730338</v>
      </c>
      <c r="J27" s="34"/>
      <c r="K27" s="34">
        <f>+K26/M26</f>
        <v>0.99946228998287601</v>
      </c>
      <c r="L27" s="34">
        <f>+L26/M26</f>
        <v>5.3771001712399596E-4</v>
      </c>
      <c r="M27" s="34">
        <f>K27+L27</f>
        <v>1</v>
      </c>
    </row>
    <row r="28" spans="2:17" x14ac:dyDescent="0.2">
      <c r="B28" s="38"/>
      <c r="C28" s="38"/>
      <c r="D28" s="38"/>
      <c r="E28" s="38"/>
      <c r="F28" s="38"/>
      <c r="G28" s="38"/>
      <c r="H28" s="38"/>
      <c r="I28" s="38"/>
      <c r="J28" s="38"/>
      <c r="K28" s="38"/>
    </row>
    <row r="29" spans="2:17" ht="12.75" x14ac:dyDescent="0.2">
      <c r="B29" s="369" t="s">
        <v>83</v>
      </c>
      <c r="C29" s="369"/>
      <c r="D29" s="369"/>
      <c r="E29" s="369"/>
      <c r="F29" s="369"/>
      <c r="G29" s="369"/>
      <c r="H29" s="369"/>
      <c r="I29" s="369"/>
      <c r="J29" s="369"/>
      <c r="K29" s="369"/>
    </row>
    <row r="30" spans="2:17" ht="12.75" x14ac:dyDescent="0.2">
      <c r="B30" s="385" t="str">
        <f>'Solicitudes Regiones'!$B$6:$R$6</f>
        <v>Acumuladas de julio de 2008 a diciembre de 2021</v>
      </c>
      <c r="C30" s="385"/>
      <c r="D30" s="385"/>
      <c r="E30" s="385"/>
      <c r="F30" s="385"/>
      <c r="G30" s="385"/>
      <c r="H30" s="385"/>
      <c r="I30" s="385"/>
      <c r="J30" s="385"/>
      <c r="K30" s="385"/>
    </row>
    <row r="31" spans="2:17" x14ac:dyDescent="0.2">
      <c r="B31" s="38"/>
      <c r="C31" s="38"/>
      <c r="D31" s="38"/>
      <c r="E31" s="38"/>
      <c r="F31" s="38"/>
      <c r="G31" s="38"/>
      <c r="H31" s="38"/>
      <c r="I31" s="38"/>
      <c r="J31" s="38"/>
      <c r="K31" s="38"/>
    </row>
    <row r="32" spans="2:17" ht="12.75" customHeight="1" x14ac:dyDescent="0.2">
      <c r="B32" s="399" t="s">
        <v>65</v>
      </c>
      <c r="C32" s="399"/>
      <c r="D32" s="399"/>
      <c r="E32" s="399"/>
      <c r="F32" s="399"/>
      <c r="G32" s="399"/>
      <c r="H32" s="399"/>
      <c r="I32" s="399"/>
      <c r="J32" s="399"/>
      <c r="K32" s="399"/>
      <c r="L32" s="399"/>
      <c r="M32" s="399"/>
    </row>
    <row r="33" spans="2:13" ht="20.25" customHeight="1" x14ac:dyDescent="0.2">
      <c r="B33" s="399" t="s">
        <v>56</v>
      </c>
      <c r="C33" s="397" t="s">
        <v>2</v>
      </c>
      <c r="D33" s="400"/>
      <c r="E33" s="400"/>
      <c r="F33" s="400"/>
      <c r="G33" s="400"/>
      <c r="H33" s="400"/>
      <c r="I33" s="400"/>
      <c r="J33" s="400"/>
      <c r="K33" s="398"/>
      <c r="L33" s="397"/>
      <c r="M33" s="398"/>
    </row>
    <row r="34" spans="2:13" ht="24" customHeight="1" x14ac:dyDescent="0.2">
      <c r="B34" s="399"/>
      <c r="C34" s="23" t="s">
        <v>57</v>
      </c>
      <c r="D34" s="23" t="s">
        <v>58</v>
      </c>
      <c r="E34" s="23" t="s">
        <v>59</v>
      </c>
      <c r="F34" s="23" t="s">
        <v>60</v>
      </c>
      <c r="G34" s="23" t="s">
        <v>8</v>
      </c>
      <c r="H34" s="23" t="s">
        <v>61</v>
      </c>
      <c r="I34" s="23" t="s">
        <v>62</v>
      </c>
      <c r="J34" s="23" t="s">
        <v>63</v>
      </c>
      <c r="K34" s="24" t="s">
        <v>31</v>
      </c>
      <c r="L34" s="261" t="s">
        <v>584</v>
      </c>
      <c r="M34" s="261" t="s">
        <v>587</v>
      </c>
    </row>
    <row r="35" spans="2:13" ht="15.75" customHeight="1" x14ac:dyDescent="0.2">
      <c r="B35" s="42" t="s">
        <v>149</v>
      </c>
      <c r="C35" s="42">
        <v>4746</v>
      </c>
      <c r="D35" s="42">
        <v>1910</v>
      </c>
      <c r="E35" s="42">
        <f>C35+D35</f>
        <v>6656</v>
      </c>
      <c r="F35" s="43">
        <f>E35/$E$50</f>
        <v>0.23636363636363636</v>
      </c>
      <c r="G35" s="42">
        <v>17322</v>
      </c>
      <c r="H35" s="42">
        <v>1052</v>
      </c>
      <c r="I35" s="42">
        <f>G35+H35</f>
        <v>18374</v>
      </c>
      <c r="J35" s="43">
        <f>I35/$I$50</f>
        <v>0.2536058853569999</v>
      </c>
      <c r="K35" s="42">
        <f t="shared" ref="K35:K49" si="13">E35+I35</f>
        <v>25030</v>
      </c>
      <c r="L35" s="42">
        <v>2</v>
      </c>
      <c r="M35" s="18">
        <f>L35+K35</f>
        <v>25032</v>
      </c>
    </row>
    <row r="36" spans="2:13" x14ac:dyDescent="0.2">
      <c r="B36" s="42" t="s">
        <v>38</v>
      </c>
      <c r="C36" s="42">
        <v>5540</v>
      </c>
      <c r="D36" s="42">
        <v>1976</v>
      </c>
      <c r="E36" s="42">
        <f t="shared" ref="E36:E49" si="14">C36+D36</f>
        <v>7516</v>
      </c>
      <c r="F36" s="43">
        <f t="shared" ref="F36:F49" si="15">E36/$E$50</f>
        <v>0.26690340909090909</v>
      </c>
      <c r="G36" s="42">
        <v>19656</v>
      </c>
      <c r="H36" s="42">
        <v>1133</v>
      </c>
      <c r="I36" s="42">
        <f t="shared" ref="I36:I49" si="16">G36+H36</f>
        <v>20789</v>
      </c>
      <c r="J36" s="43">
        <f t="shared" ref="J36:J49" si="17">I36/$I$50</f>
        <v>0.28693875860926693</v>
      </c>
      <c r="K36" s="42">
        <f t="shared" si="13"/>
        <v>28305</v>
      </c>
      <c r="L36" s="42">
        <v>2</v>
      </c>
      <c r="M36" s="18">
        <f t="shared" ref="M36:M50" si="18">L36+K36</f>
        <v>28307</v>
      </c>
    </row>
    <row r="37" spans="2:13" x14ac:dyDescent="0.2">
      <c r="B37" s="42" t="s">
        <v>150</v>
      </c>
      <c r="C37" s="42">
        <v>357</v>
      </c>
      <c r="D37" s="42">
        <v>120</v>
      </c>
      <c r="E37" s="42">
        <f t="shared" si="14"/>
        <v>477</v>
      </c>
      <c r="F37" s="43">
        <f t="shared" si="15"/>
        <v>1.6938920454545453E-2</v>
      </c>
      <c r="G37" s="42">
        <v>1320</v>
      </c>
      <c r="H37" s="42">
        <v>59</v>
      </c>
      <c r="I37" s="42">
        <f t="shared" si="16"/>
        <v>1379</v>
      </c>
      <c r="J37" s="43">
        <f t="shared" si="17"/>
        <v>1.9033553712164083E-2</v>
      </c>
      <c r="K37" s="42">
        <f t="shared" si="13"/>
        <v>1856</v>
      </c>
      <c r="L37" s="42">
        <v>0</v>
      </c>
      <c r="M37" s="18">
        <f t="shared" si="18"/>
        <v>1856</v>
      </c>
    </row>
    <row r="38" spans="2:13" x14ac:dyDescent="0.2">
      <c r="B38" s="42" t="s">
        <v>151</v>
      </c>
      <c r="C38" s="42">
        <v>164</v>
      </c>
      <c r="D38" s="42">
        <v>48</v>
      </c>
      <c r="E38" s="42">
        <f t="shared" si="14"/>
        <v>212</v>
      </c>
      <c r="F38" s="43">
        <f t="shared" si="15"/>
        <v>7.5284090909090908E-3</v>
      </c>
      <c r="G38" s="42">
        <v>383</v>
      </c>
      <c r="H38" s="42">
        <v>26</v>
      </c>
      <c r="I38" s="42">
        <f t="shared" si="16"/>
        <v>409</v>
      </c>
      <c r="J38" s="43">
        <f t="shared" si="17"/>
        <v>5.645194683303198E-3</v>
      </c>
      <c r="K38" s="42">
        <f t="shared" si="13"/>
        <v>621</v>
      </c>
      <c r="L38" s="42">
        <v>0</v>
      </c>
      <c r="M38" s="18">
        <f t="shared" si="18"/>
        <v>621</v>
      </c>
    </row>
    <row r="39" spans="2:13" x14ac:dyDescent="0.2">
      <c r="B39" s="42" t="s">
        <v>152</v>
      </c>
      <c r="C39" s="42">
        <v>121</v>
      </c>
      <c r="D39" s="42">
        <v>37</v>
      </c>
      <c r="E39" s="42">
        <f t="shared" si="14"/>
        <v>158</v>
      </c>
      <c r="F39" s="43">
        <f t="shared" si="15"/>
        <v>5.6107954545454542E-3</v>
      </c>
      <c r="G39" s="42">
        <v>521</v>
      </c>
      <c r="H39" s="42">
        <v>17</v>
      </c>
      <c r="I39" s="42">
        <f t="shared" si="16"/>
        <v>538</v>
      </c>
      <c r="J39" s="43">
        <f t="shared" si="17"/>
        <v>7.4257084098218107E-3</v>
      </c>
      <c r="K39" s="42">
        <f t="shared" si="13"/>
        <v>696</v>
      </c>
      <c r="L39" s="42">
        <v>0</v>
      </c>
      <c r="M39" s="18">
        <f t="shared" si="18"/>
        <v>696</v>
      </c>
    </row>
    <row r="40" spans="2:13" x14ac:dyDescent="0.2">
      <c r="B40" s="42" t="s">
        <v>153</v>
      </c>
      <c r="C40" s="42">
        <v>596</v>
      </c>
      <c r="D40" s="42">
        <v>246</v>
      </c>
      <c r="E40" s="42">
        <f t="shared" si="14"/>
        <v>842</v>
      </c>
      <c r="F40" s="43">
        <f t="shared" si="15"/>
        <v>2.9900568181818181E-2</v>
      </c>
      <c r="G40" s="42">
        <v>2849</v>
      </c>
      <c r="H40" s="42">
        <v>169</v>
      </c>
      <c r="I40" s="42">
        <f t="shared" si="16"/>
        <v>3018</v>
      </c>
      <c r="J40" s="43">
        <f t="shared" si="17"/>
        <v>4.1655739741342422E-2</v>
      </c>
      <c r="K40" s="42">
        <f t="shared" si="13"/>
        <v>3860</v>
      </c>
      <c r="L40" s="42">
        <v>0</v>
      </c>
      <c r="M40" s="18">
        <f t="shared" si="18"/>
        <v>3860</v>
      </c>
    </row>
    <row r="41" spans="2:13" x14ac:dyDescent="0.2">
      <c r="B41" s="42" t="s">
        <v>154</v>
      </c>
      <c r="C41" s="42">
        <v>1193</v>
      </c>
      <c r="D41" s="42">
        <v>339</v>
      </c>
      <c r="E41" s="42">
        <f t="shared" si="14"/>
        <v>1532</v>
      </c>
      <c r="F41" s="43">
        <f t="shared" si="15"/>
        <v>5.4403409090909093E-2</v>
      </c>
      <c r="G41" s="42">
        <v>3652</v>
      </c>
      <c r="H41" s="42">
        <v>193</v>
      </c>
      <c r="I41" s="42">
        <f t="shared" si="16"/>
        <v>3845</v>
      </c>
      <c r="J41" s="43">
        <f t="shared" si="17"/>
        <v>5.3070350995845471E-2</v>
      </c>
      <c r="K41" s="42">
        <f t="shared" si="13"/>
        <v>5377</v>
      </c>
      <c r="L41" s="42">
        <v>0</v>
      </c>
      <c r="M41" s="18">
        <f t="shared" si="18"/>
        <v>5377</v>
      </c>
    </row>
    <row r="42" spans="2:13" x14ac:dyDescent="0.2">
      <c r="B42" s="42" t="s">
        <v>155</v>
      </c>
      <c r="C42" s="42">
        <v>483</v>
      </c>
      <c r="D42" s="42">
        <v>127</v>
      </c>
      <c r="E42" s="42">
        <f t="shared" si="14"/>
        <v>610</v>
      </c>
      <c r="F42" s="43">
        <f t="shared" si="15"/>
        <v>2.166193181818182E-2</v>
      </c>
      <c r="G42" s="42">
        <v>899</v>
      </c>
      <c r="H42" s="42">
        <v>58</v>
      </c>
      <c r="I42" s="42">
        <f t="shared" si="16"/>
        <v>957</v>
      </c>
      <c r="J42" s="43">
        <f t="shared" si="17"/>
        <v>1.3208927413010172E-2</v>
      </c>
      <c r="K42" s="42">
        <f t="shared" si="13"/>
        <v>1567</v>
      </c>
      <c r="L42" s="42">
        <v>0</v>
      </c>
      <c r="M42" s="18">
        <f t="shared" si="18"/>
        <v>1567</v>
      </c>
    </row>
    <row r="43" spans="2:13" x14ac:dyDescent="0.2">
      <c r="B43" s="42" t="s">
        <v>156</v>
      </c>
      <c r="C43" s="42">
        <v>701</v>
      </c>
      <c r="D43" s="42">
        <v>208</v>
      </c>
      <c r="E43" s="42">
        <f t="shared" si="14"/>
        <v>909</v>
      </c>
      <c r="F43" s="43">
        <f t="shared" si="15"/>
        <v>3.2279829545454546E-2</v>
      </c>
      <c r="G43" s="42">
        <v>2129</v>
      </c>
      <c r="H43" s="42">
        <v>110</v>
      </c>
      <c r="I43" s="42">
        <f t="shared" si="16"/>
        <v>2239</v>
      </c>
      <c r="J43" s="43">
        <f t="shared" si="17"/>
        <v>3.0903645222288167E-2</v>
      </c>
      <c r="K43" s="42">
        <f t="shared" si="13"/>
        <v>3148</v>
      </c>
      <c r="L43" s="42">
        <v>0</v>
      </c>
      <c r="M43" s="18">
        <f t="shared" si="18"/>
        <v>3148</v>
      </c>
    </row>
    <row r="44" spans="2:13" x14ac:dyDescent="0.2">
      <c r="B44" s="42" t="s">
        <v>157</v>
      </c>
      <c r="C44" s="42">
        <v>1055</v>
      </c>
      <c r="D44" s="42">
        <v>306</v>
      </c>
      <c r="E44" s="42">
        <f t="shared" si="14"/>
        <v>1361</v>
      </c>
      <c r="F44" s="43">
        <f t="shared" si="15"/>
        <v>4.833096590909091E-2</v>
      </c>
      <c r="G44" s="42">
        <v>2935</v>
      </c>
      <c r="H44" s="42">
        <v>124</v>
      </c>
      <c r="I44" s="42">
        <f t="shared" si="16"/>
        <v>3059</v>
      </c>
      <c r="J44" s="43">
        <f t="shared" si="17"/>
        <v>4.2221639452871593E-2</v>
      </c>
      <c r="K44" s="42">
        <f t="shared" si="13"/>
        <v>4420</v>
      </c>
      <c r="L44" s="42">
        <v>0</v>
      </c>
      <c r="M44" s="18">
        <f t="shared" si="18"/>
        <v>4420</v>
      </c>
    </row>
    <row r="45" spans="2:13" x14ac:dyDescent="0.2">
      <c r="B45" s="42" t="s">
        <v>158</v>
      </c>
      <c r="C45" s="42">
        <v>3764</v>
      </c>
      <c r="D45" s="42">
        <v>1179</v>
      </c>
      <c r="E45" s="42">
        <f t="shared" si="14"/>
        <v>4943</v>
      </c>
      <c r="F45" s="43">
        <f t="shared" si="15"/>
        <v>0.17553267045454546</v>
      </c>
      <c r="G45" s="42">
        <v>10652</v>
      </c>
      <c r="H45" s="42">
        <v>599</v>
      </c>
      <c r="I45" s="42">
        <f t="shared" si="16"/>
        <v>11251</v>
      </c>
      <c r="J45" s="43">
        <f t="shared" si="17"/>
        <v>0.15529116230279774</v>
      </c>
      <c r="K45" s="42">
        <f t="shared" si="13"/>
        <v>16194</v>
      </c>
      <c r="L45" s="42">
        <v>0</v>
      </c>
      <c r="M45" s="18">
        <f t="shared" si="18"/>
        <v>16194</v>
      </c>
    </row>
    <row r="46" spans="2:13" x14ac:dyDescent="0.2">
      <c r="B46" s="42" t="s">
        <v>159</v>
      </c>
      <c r="C46" s="42">
        <v>577</v>
      </c>
      <c r="D46" s="42">
        <v>171</v>
      </c>
      <c r="E46" s="42">
        <f t="shared" si="14"/>
        <v>748</v>
      </c>
      <c r="F46" s="43">
        <f t="shared" si="15"/>
        <v>2.6562499999999999E-2</v>
      </c>
      <c r="G46" s="42">
        <v>1871</v>
      </c>
      <c r="H46" s="42">
        <v>81</v>
      </c>
      <c r="I46" s="42">
        <f t="shared" si="16"/>
        <v>1952</v>
      </c>
      <c r="J46" s="43">
        <f t="shared" si="17"/>
        <v>2.6942347241583967E-2</v>
      </c>
      <c r="K46" s="42">
        <f t="shared" si="13"/>
        <v>2700</v>
      </c>
      <c r="L46" s="42">
        <v>0</v>
      </c>
      <c r="M46" s="18">
        <f t="shared" si="18"/>
        <v>2700</v>
      </c>
    </row>
    <row r="47" spans="2:13" x14ac:dyDescent="0.2">
      <c r="B47" s="42" t="s">
        <v>160</v>
      </c>
      <c r="C47" s="42">
        <v>1007</v>
      </c>
      <c r="D47" s="42">
        <v>348</v>
      </c>
      <c r="E47" s="42">
        <f t="shared" si="14"/>
        <v>1355</v>
      </c>
      <c r="F47" s="43">
        <f t="shared" si="15"/>
        <v>4.8117897727272728E-2</v>
      </c>
      <c r="G47" s="42">
        <v>2825</v>
      </c>
      <c r="H47" s="42">
        <v>187</v>
      </c>
      <c r="I47" s="42">
        <f t="shared" si="16"/>
        <v>3012</v>
      </c>
      <c r="J47" s="43">
        <f t="shared" si="17"/>
        <v>4.1572925149411327E-2</v>
      </c>
      <c r="K47" s="42">
        <f t="shared" si="13"/>
        <v>4367</v>
      </c>
      <c r="L47" s="42">
        <v>0</v>
      </c>
      <c r="M47" s="18">
        <f t="shared" si="18"/>
        <v>4367</v>
      </c>
    </row>
    <row r="48" spans="2:13" x14ac:dyDescent="0.2">
      <c r="B48" s="42" t="s">
        <v>161</v>
      </c>
      <c r="C48" s="42">
        <v>382</v>
      </c>
      <c r="D48" s="42">
        <v>163</v>
      </c>
      <c r="E48" s="42">
        <f t="shared" si="14"/>
        <v>545</v>
      </c>
      <c r="F48" s="43">
        <f t="shared" si="15"/>
        <v>1.935369318181818E-2</v>
      </c>
      <c r="G48" s="42">
        <v>1066</v>
      </c>
      <c r="H48" s="42">
        <v>70</v>
      </c>
      <c r="I48" s="42">
        <f t="shared" si="16"/>
        <v>1136</v>
      </c>
      <c r="J48" s="43">
        <f t="shared" si="17"/>
        <v>1.5679562738954603E-2</v>
      </c>
      <c r="K48" s="42">
        <f t="shared" si="13"/>
        <v>1681</v>
      </c>
      <c r="L48" s="42">
        <v>0</v>
      </c>
      <c r="M48" s="18">
        <f t="shared" si="18"/>
        <v>1681</v>
      </c>
    </row>
    <row r="49" spans="2:13" x14ac:dyDescent="0.2">
      <c r="B49" s="42" t="s">
        <v>162</v>
      </c>
      <c r="C49" s="42">
        <v>247</v>
      </c>
      <c r="D49" s="42">
        <v>49</v>
      </c>
      <c r="E49" s="42">
        <f t="shared" si="14"/>
        <v>296</v>
      </c>
      <c r="F49" s="43">
        <f t="shared" si="15"/>
        <v>1.0511363636363636E-2</v>
      </c>
      <c r="G49" s="42">
        <v>474</v>
      </c>
      <c r="H49" s="42">
        <v>19</v>
      </c>
      <c r="I49" s="42">
        <f t="shared" si="16"/>
        <v>493</v>
      </c>
      <c r="J49" s="43">
        <f t="shared" si="17"/>
        <v>6.8045989703385736E-3</v>
      </c>
      <c r="K49" s="42">
        <f t="shared" si="13"/>
        <v>789</v>
      </c>
      <c r="L49" s="42">
        <v>0</v>
      </c>
      <c r="M49" s="18">
        <f t="shared" si="18"/>
        <v>789</v>
      </c>
    </row>
    <row r="50" spans="2:13" x14ac:dyDescent="0.2">
      <c r="B50" s="44" t="s">
        <v>49</v>
      </c>
      <c r="C50" s="42">
        <f t="shared" ref="C50:H50" si="19">SUM(C35:C49)</f>
        <v>20933</v>
      </c>
      <c r="D50" s="42">
        <f t="shared" si="19"/>
        <v>7227</v>
      </c>
      <c r="E50" s="44">
        <f t="shared" ref="E50" si="20">C50+D50</f>
        <v>28160</v>
      </c>
      <c r="F50" s="45">
        <f t="shared" ref="F50" si="21">E50/$E$50</f>
        <v>1</v>
      </c>
      <c r="G50" s="42">
        <f t="shared" si="19"/>
        <v>68554</v>
      </c>
      <c r="H50" s="42">
        <f t="shared" si="19"/>
        <v>3897</v>
      </c>
      <c r="I50" s="44">
        <f t="shared" ref="I50" si="22">G50+H50</f>
        <v>72451</v>
      </c>
      <c r="J50" s="45">
        <f t="shared" ref="J50" si="23">I50/$I$50</f>
        <v>1</v>
      </c>
      <c r="K50" s="44">
        <f t="shared" ref="K50" si="24">E50+I50</f>
        <v>100611</v>
      </c>
      <c r="L50" s="42">
        <f t="shared" ref="L50" si="25">SUM(L35:L49)</f>
        <v>4</v>
      </c>
      <c r="M50" s="20">
        <f t="shared" si="18"/>
        <v>100615</v>
      </c>
    </row>
    <row r="51" spans="2:13" ht="27" customHeight="1" x14ac:dyDescent="0.2">
      <c r="B51" s="32" t="s">
        <v>66</v>
      </c>
      <c r="C51" s="33">
        <f>+C50/M50</f>
        <v>0.20805048948963872</v>
      </c>
      <c r="D51" s="33">
        <f>+D50/M50</f>
        <v>7.1828256224221038E-2</v>
      </c>
      <c r="E51" s="34">
        <f>+E50/M50</f>
        <v>0.27987874571385979</v>
      </c>
      <c r="F51" s="34"/>
      <c r="G51" s="33">
        <f>+G50/M50</f>
        <v>0.68134969934900358</v>
      </c>
      <c r="H51" s="33">
        <f>+H50/M50</f>
        <v>3.8731799433484072E-2</v>
      </c>
      <c r="I51" s="34">
        <f>+I50/M50</f>
        <v>0.72008149878248773</v>
      </c>
      <c r="J51" s="34"/>
      <c r="K51" s="34">
        <f>+K50/M50</f>
        <v>0.99996024449634746</v>
      </c>
      <c r="L51" s="34">
        <f>+L50/M50</f>
        <v>3.97555036525369E-5</v>
      </c>
      <c r="M51" s="34">
        <f>K51+L51</f>
        <v>1</v>
      </c>
    </row>
    <row r="52" spans="2:13" x14ac:dyDescent="0.2">
      <c r="B52" s="25" t="s">
        <v>129</v>
      </c>
    </row>
    <row r="53" spans="2:13" x14ac:dyDescent="0.2">
      <c r="B53" s="25" t="s">
        <v>130</v>
      </c>
    </row>
    <row r="143" spans="2:2" x14ac:dyDescent="0.2">
      <c r="B143" s="26" t="s">
        <v>78</v>
      </c>
    </row>
  </sheetData>
  <mergeCells count="12">
    <mergeCell ref="L33:M33"/>
    <mergeCell ref="B32:M32"/>
    <mergeCell ref="B6:K6"/>
    <mergeCell ref="B5:K5"/>
    <mergeCell ref="B29:K29"/>
    <mergeCell ref="B30:K30"/>
    <mergeCell ref="B8:M8"/>
    <mergeCell ref="L9:M9"/>
    <mergeCell ref="B33:B34"/>
    <mergeCell ref="C33:K33"/>
    <mergeCell ref="B9:B10"/>
    <mergeCell ref="C9:K9"/>
  </mergeCells>
  <hyperlinks>
    <hyperlink ref="M5" location="'Índice Pensiones Solidarias'!A1" display="Volver Sistema de Pensiones Solidadias" xr:uid="{00000000-0004-0000-0B00-000000000000}"/>
  </hyperlinks>
  <pageMargins left="0.74803149606299213" right="0.74803149606299213" top="0.98425196850393704" bottom="0.98425196850393704" header="0" footer="0"/>
  <pageSetup scale="77"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23"/>
  <dimension ref="A1:P141"/>
  <sheetViews>
    <sheetView showGridLines="0" zoomScaleNormal="100" workbookViewId="0">
      <selection sqref="A1:XFD1048576"/>
    </sheetView>
  </sheetViews>
  <sheetFormatPr baseColWidth="10" defaultRowHeight="12" x14ac:dyDescent="0.2"/>
  <cols>
    <col min="1" max="1" width="6" style="26" customWidth="1"/>
    <col min="2" max="2" width="18.140625" style="26" customWidth="1"/>
    <col min="3" max="3" width="9.7109375" style="26" bestFit="1" customWidth="1"/>
    <col min="4" max="4" width="9.140625" style="26" bestFit="1" customWidth="1"/>
    <col min="5" max="6" width="9.140625" style="26" customWidth="1"/>
    <col min="7" max="7" width="9.42578125" style="26" bestFit="1" customWidth="1"/>
    <col min="8" max="8" width="8.42578125" style="26" bestFit="1" customWidth="1"/>
    <col min="9" max="11" width="8.42578125" style="26" customWidth="1"/>
    <col min="12" max="12" width="9.85546875" style="26" customWidth="1"/>
    <col min="13" max="251" width="11.42578125" style="26"/>
    <col min="252" max="252" width="18.140625" style="26" customWidth="1"/>
    <col min="253" max="253" width="9.7109375" style="26" bestFit="1" customWidth="1"/>
    <col min="254" max="254" width="9.140625" style="26" bestFit="1" customWidth="1"/>
    <col min="255" max="256" width="9.140625" style="26" customWidth="1"/>
    <col min="257" max="257" width="9.42578125" style="26" bestFit="1" customWidth="1"/>
    <col min="258" max="258" width="8.42578125" style="26" bestFit="1" customWidth="1"/>
    <col min="259" max="261" width="8.42578125" style="26" customWidth="1"/>
    <col min="262" max="267" width="0" style="26" hidden="1" customWidth="1"/>
    <col min="268" max="268" width="9.85546875" style="26" customWidth="1"/>
    <col min="269" max="507" width="11.42578125" style="26"/>
    <col min="508" max="508" width="18.140625" style="26" customWidth="1"/>
    <col min="509" max="509" width="9.7109375" style="26" bestFit="1" customWidth="1"/>
    <col min="510" max="510" width="9.140625" style="26" bestFit="1" customWidth="1"/>
    <col min="511" max="512" width="9.140625" style="26" customWidth="1"/>
    <col min="513" max="513" width="9.42578125" style="26" bestFit="1" customWidth="1"/>
    <col min="514" max="514" width="8.42578125" style="26" bestFit="1" customWidth="1"/>
    <col min="515" max="517" width="8.42578125" style="26" customWidth="1"/>
    <col min="518" max="523" width="0" style="26" hidden="1" customWidth="1"/>
    <col min="524" max="524" width="9.85546875" style="26" customWidth="1"/>
    <col min="525" max="763" width="11.42578125" style="26"/>
    <col min="764" max="764" width="18.140625" style="26" customWidth="1"/>
    <col min="765" max="765" width="9.7109375" style="26" bestFit="1" customWidth="1"/>
    <col min="766" max="766" width="9.140625" style="26" bestFit="1" customWidth="1"/>
    <col min="767" max="768" width="9.140625" style="26" customWidth="1"/>
    <col min="769" max="769" width="9.42578125" style="26" bestFit="1" customWidth="1"/>
    <col min="770" max="770" width="8.42578125" style="26" bestFit="1" customWidth="1"/>
    <col min="771" max="773" width="8.42578125" style="26" customWidth="1"/>
    <col min="774" max="779" width="0" style="26" hidden="1" customWidth="1"/>
    <col min="780" max="780" width="9.85546875" style="26" customWidth="1"/>
    <col min="781" max="1019" width="11.42578125" style="26"/>
    <col min="1020" max="1020" width="18.140625" style="26" customWidth="1"/>
    <col min="1021" max="1021" width="9.7109375" style="26" bestFit="1" customWidth="1"/>
    <col min="1022" max="1022" width="9.140625" style="26" bestFit="1" customWidth="1"/>
    <col min="1023" max="1024" width="9.140625" style="26" customWidth="1"/>
    <col min="1025" max="1025" width="9.42578125" style="26" bestFit="1" customWidth="1"/>
    <col min="1026" max="1026" width="8.42578125" style="26" bestFit="1" customWidth="1"/>
    <col min="1027" max="1029" width="8.42578125" style="26" customWidth="1"/>
    <col min="1030" max="1035" width="0" style="26" hidden="1" customWidth="1"/>
    <col min="1036" max="1036" width="9.85546875" style="26" customWidth="1"/>
    <col min="1037" max="1275" width="11.42578125" style="26"/>
    <col min="1276" max="1276" width="18.140625" style="26" customWidth="1"/>
    <col min="1277" max="1277" width="9.7109375" style="26" bestFit="1" customWidth="1"/>
    <col min="1278" max="1278" width="9.140625" style="26" bestFit="1" customWidth="1"/>
    <col min="1279" max="1280" width="9.140625" style="26" customWidth="1"/>
    <col min="1281" max="1281" width="9.42578125" style="26" bestFit="1" customWidth="1"/>
    <col min="1282" max="1282" width="8.42578125" style="26" bestFit="1" customWidth="1"/>
    <col min="1283" max="1285" width="8.42578125" style="26" customWidth="1"/>
    <col min="1286" max="1291" width="0" style="26" hidden="1" customWidth="1"/>
    <col min="1292" max="1292" width="9.85546875" style="26" customWidth="1"/>
    <col min="1293" max="1531" width="11.42578125" style="26"/>
    <col min="1532" max="1532" width="18.140625" style="26" customWidth="1"/>
    <col min="1533" max="1533" width="9.7109375" style="26" bestFit="1" customWidth="1"/>
    <col min="1534" max="1534" width="9.140625" style="26" bestFit="1" customWidth="1"/>
    <col min="1535" max="1536" width="9.140625" style="26" customWidth="1"/>
    <col min="1537" max="1537" width="9.42578125" style="26" bestFit="1" customWidth="1"/>
    <col min="1538" max="1538" width="8.42578125" style="26" bestFit="1" customWidth="1"/>
    <col min="1539" max="1541" width="8.42578125" style="26" customWidth="1"/>
    <col min="1542" max="1547" width="0" style="26" hidden="1" customWidth="1"/>
    <col min="1548" max="1548" width="9.85546875" style="26" customWidth="1"/>
    <col min="1549" max="1787" width="11.42578125" style="26"/>
    <col min="1788" max="1788" width="18.140625" style="26" customWidth="1"/>
    <col min="1789" max="1789" width="9.7109375" style="26" bestFit="1" customWidth="1"/>
    <col min="1790" max="1790" width="9.140625" style="26" bestFit="1" customWidth="1"/>
    <col min="1791" max="1792" width="9.140625" style="26" customWidth="1"/>
    <col min="1793" max="1793" width="9.42578125" style="26" bestFit="1" customWidth="1"/>
    <col min="1794" max="1794" width="8.42578125" style="26" bestFit="1" customWidth="1"/>
    <col min="1795" max="1797" width="8.42578125" style="26" customWidth="1"/>
    <col min="1798" max="1803" width="0" style="26" hidden="1" customWidth="1"/>
    <col min="1804" max="1804" width="9.85546875" style="26" customWidth="1"/>
    <col min="1805" max="2043" width="11.42578125" style="26"/>
    <col min="2044" max="2044" width="18.140625" style="26" customWidth="1"/>
    <col min="2045" max="2045" width="9.7109375" style="26" bestFit="1" customWidth="1"/>
    <col min="2046" max="2046" width="9.140625" style="26" bestFit="1" customWidth="1"/>
    <col min="2047" max="2048" width="9.140625" style="26" customWidth="1"/>
    <col min="2049" max="2049" width="9.42578125" style="26" bestFit="1" customWidth="1"/>
    <col min="2050" max="2050" width="8.42578125" style="26" bestFit="1" customWidth="1"/>
    <col min="2051" max="2053" width="8.42578125" style="26" customWidth="1"/>
    <col min="2054" max="2059" width="0" style="26" hidden="1" customWidth="1"/>
    <col min="2060" max="2060" width="9.85546875" style="26" customWidth="1"/>
    <col min="2061" max="2299" width="11.42578125" style="26"/>
    <col min="2300" max="2300" width="18.140625" style="26" customWidth="1"/>
    <col min="2301" max="2301" width="9.7109375" style="26" bestFit="1" customWidth="1"/>
    <col min="2302" max="2302" width="9.140625" style="26" bestFit="1" customWidth="1"/>
    <col min="2303" max="2304" width="9.140625" style="26" customWidth="1"/>
    <col min="2305" max="2305" width="9.42578125" style="26" bestFit="1" customWidth="1"/>
    <col min="2306" max="2306" width="8.42578125" style="26" bestFit="1" customWidth="1"/>
    <col min="2307" max="2309" width="8.42578125" style="26" customWidth="1"/>
    <col min="2310" max="2315" width="0" style="26" hidden="1" customWidth="1"/>
    <col min="2316" max="2316" width="9.85546875" style="26" customWidth="1"/>
    <col min="2317" max="2555" width="11.42578125" style="26"/>
    <col min="2556" max="2556" width="18.140625" style="26" customWidth="1"/>
    <col min="2557" max="2557" width="9.7109375" style="26" bestFit="1" customWidth="1"/>
    <col min="2558" max="2558" width="9.140625" style="26" bestFit="1" customWidth="1"/>
    <col min="2559" max="2560" width="9.140625" style="26" customWidth="1"/>
    <col min="2561" max="2561" width="9.42578125" style="26" bestFit="1" customWidth="1"/>
    <col min="2562" max="2562" width="8.42578125" style="26" bestFit="1" customWidth="1"/>
    <col min="2563" max="2565" width="8.42578125" style="26" customWidth="1"/>
    <col min="2566" max="2571" width="0" style="26" hidden="1" customWidth="1"/>
    <col min="2572" max="2572" width="9.85546875" style="26" customWidth="1"/>
    <col min="2573" max="2811" width="11.42578125" style="26"/>
    <col min="2812" max="2812" width="18.140625" style="26" customWidth="1"/>
    <col min="2813" max="2813" width="9.7109375" style="26" bestFit="1" customWidth="1"/>
    <col min="2814" max="2814" width="9.140625" style="26" bestFit="1" customWidth="1"/>
    <col min="2815" max="2816" width="9.140625" style="26" customWidth="1"/>
    <col min="2817" max="2817" width="9.42578125" style="26" bestFit="1" customWidth="1"/>
    <col min="2818" max="2818" width="8.42578125" style="26" bestFit="1" customWidth="1"/>
    <col min="2819" max="2821" width="8.42578125" style="26" customWidth="1"/>
    <col min="2822" max="2827" width="0" style="26" hidden="1" customWidth="1"/>
    <col min="2828" max="2828" width="9.85546875" style="26" customWidth="1"/>
    <col min="2829" max="3067" width="11.42578125" style="26"/>
    <col min="3068" max="3068" width="18.140625" style="26" customWidth="1"/>
    <col min="3069" max="3069" width="9.7109375" style="26" bestFit="1" customWidth="1"/>
    <col min="3070" max="3070" width="9.140625" style="26" bestFit="1" customWidth="1"/>
    <col min="3071" max="3072" width="9.140625" style="26" customWidth="1"/>
    <col min="3073" max="3073" width="9.42578125" style="26" bestFit="1" customWidth="1"/>
    <col min="3074" max="3074" width="8.42578125" style="26" bestFit="1" customWidth="1"/>
    <col min="3075" max="3077" width="8.42578125" style="26" customWidth="1"/>
    <col min="3078" max="3083" width="0" style="26" hidden="1" customWidth="1"/>
    <col min="3084" max="3084" width="9.85546875" style="26" customWidth="1"/>
    <col min="3085" max="3323" width="11.42578125" style="26"/>
    <col min="3324" max="3324" width="18.140625" style="26" customWidth="1"/>
    <col min="3325" max="3325" width="9.7109375" style="26" bestFit="1" customWidth="1"/>
    <col min="3326" max="3326" width="9.140625" style="26" bestFit="1" customWidth="1"/>
    <col min="3327" max="3328" width="9.140625" style="26" customWidth="1"/>
    <col min="3329" max="3329" width="9.42578125" style="26" bestFit="1" customWidth="1"/>
    <col min="3330" max="3330" width="8.42578125" style="26" bestFit="1" customWidth="1"/>
    <col min="3331" max="3333" width="8.42578125" style="26" customWidth="1"/>
    <col min="3334" max="3339" width="0" style="26" hidden="1" customWidth="1"/>
    <col min="3340" max="3340" width="9.85546875" style="26" customWidth="1"/>
    <col min="3341" max="3579" width="11.42578125" style="26"/>
    <col min="3580" max="3580" width="18.140625" style="26" customWidth="1"/>
    <col min="3581" max="3581" width="9.7109375" style="26" bestFit="1" customWidth="1"/>
    <col min="3582" max="3582" width="9.140625" style="26" bestFit="1" customWidth="1"/>
    <col min="3583" max="3584" width="9.140625" style="26" customWidth="1"/>
    <col min="3585" max="3585" width="9.42578125" style="26" bestFit="1" customWidth="1"/>
    <col min="3586" max="3586" width="8.42578125" style="26" bestFit="1" customWidth="1"/>
    <col min="3587" max="3589" width="8.42578125" style="26" customWidth="1"/>
    <col min="3590" max="3595" width="0" style="26" hidden="1" customWidth="1"/>
    <col min="3596" max="3596" width="9.85546875" style="26" customWidth="1"/>
    <col min="3597" max="3835" width="11.42578125" style="26"/>
    <col min="3836" max="3836" width="18.140625" style="26" customWidth="1"/>
    <col min="3837" max="3837" width="9.7109375" style="26" bestFit="1" customWidth="1"/>
    <col min="3838" max="3838" width="9.140625" style="26" bestFit="1" customWidth="1"/>
    <col min="3839" max="3840" width="9.140625" style="26" customWidth="1"/>
    <col min="3841" max="3841" width="9.42578125" style="26" bestFit="1" customWidth="1"/>
    <col min="3842" max="3842" width="8.42578125" style="26" bestFit="1" customWidth="1"/>
    <col min="3843" max="3845" width="8.42578125" style="26" customWidth="1"/>
    <col min="3846" max="3851" width="0" style="26" hidden="1" customWidth="1"/>
    <col min="3852" max="3852" width="9.85546875" style="26" customWidth="1"/>
    <col min="3853" max="4091" width="11.42578125" style="26"/>
    <col min="4092" max="4092" width="18.140625" style="26" customWidth="1"/>
    <col min="4093" max="4093" width="9.7109375" style="26" bestFit="1" customWidth="1"/>
    <col min="4094" max="4094" width="9.140625" style="26" bestFit="1" customWidth="1"/>
    <col min="4095" max="4096" width="9.140625" style="26" customWidth="1"/>
    <col min="4097" max="4097" width="9.42578125" style="26" bestFit="1" customWidth="1"/>
    <col min="4098" max="4098" width="8.42578125" style="26" bestFit="1" customWidth="1"/>
    <col min="4099" max="4101" width="8.42578125" style="26" customWidth="1"/>
    <col min="4102" max="4107" width="0" style="26" hidden="1" customWidth="1"/>
    <col min="4108" max="4108" width="9.85546875" style="26" customWidth="1"/>
    <col min="4109" max="4347" width="11.42578125" style="26"/>
    <col min="4348" max="4348" width="18.140625" style="26" customWidth="1"/>
    <col min="4349" max="4349" width="9.7109375" style="26" bestFit="1" customWidth="1"/>
    <col min="4350" max="4350" width="9.140625" style="26" bestFit="1" customWidth="1"/>
    <col min="4351" max="4352" width="9.140625" style="26" customWidth="1"/>
    <col min="4353" max="4353" width="9.42578125" style="26" bestFit="1" customWidth="1"/>
    <col min="4354" max="4354" width="8.42578125" style="26" bestFit="1" customWidth="1"/>
    <col min="4355" max="4357" width="8.42578125" style="26" customWidth="1"/>
    <col min="4358" max="4363" width="0" style="26" hidden="1" customWidth="1"/>
    <col min="4364" max="4364" width="9.85546875" style="26" customWidth="1"/>
    <col min="4365" max="4603" width="11.42578125" style="26"/>
    <col min="4604" max="4604" width="18.140625" style="26" customWidth="1"/>
    <col min="4605" max="4605" width="9.7109375" style="26" bestFit="1" customWidth="1"/>
    <col min="4606" max="4606" width="9.140625" style="26" bestFit="1" customWidth="1"/>
    <col min="4607" max="4608" width="9.140625" style="26" customWidth="1"/>
    <col min="4609" max="4609" width="9.42578125" style="26" bestFit="1" customWidth="1"/>
    <col min="4610" max="4610" width="8.42578125" style="26" bestFit="1" customWidth="1"/>
    <col min="4611" max="4613" width="8.42578125" style="26" customWidth="1"/>
    <col min="4614" max="4619" width="0" style="26" hidden="1" customWidth="1"/>
    <col min="4620" max="4620" width="9.85546875" style="26" customWidth="1"/>
    <col min="4621" max="4859" width="11.42578125" style="26"/>
    <col min="4860" max="4860" width="18.140625" style="26" customWidth="1"/>
    <col min="4861" max="4861" width="9.7109375" style="26" bestFit="1" customWidth="1"/>
    <col min="4862" max="4862" width="9.140625" style="26" bestFit="1" customWidth="1"/>
    <col min="4863" max="4864" width="9.140625" style="26" customWidth="1"/>
    <col min="4865" max="4865" width="9.42578125" style="26" bestFit="1" customWidth="1"/>
    <col min="4866" max="4866" width="8.42578125" style="26" bestFit="1" customWidth="1"/>
    <col min="4867" max="4869" width="8.42578125" style="26" customWidth="1"/>
    <col min="4870" max="4875" width="0" style="26" hidden="1" customWidth="1"/>
    <col min="4876" max="4876" width="9.85546875" style="26" customWidth="1"/>
    <col min="4877" max="5115" width="11.42578125" style="26"/>
    <col min="5116" max="5116" width="18.140625" style="26" customWidth="1"/>
    <col min="5117" max="5117" width="9.7109375" style="26" bestFit="1" customWidth="1"/>
    <col min="5118" max="5118" width="9.140625" style="26" bestFit="1" customWidth="1"/>
    <col min="5119" max="5120" width="9.140625" style="26" customWidth="1"/>
    <col min="5121" max="5121" width="9.42578125" style="26" bestFit="1" customWidth="1"/>
    <col min="5122" max="5122" width="8.42578125" style="26" bestFit="1" customWidth="1"/>
    <col min="5123" max="5125" width="8.42578125" style="26" customWidth="1"/>
    <col min="5126" max="5131" width="0" style="26" hidden="1" customWidth="1"/>
    <col min="5132" max="5132" width="9.85546875" style="26" customWidth="1"/>
    <col min="5133" max="5371" width="11.42578125" style="26"/>
    <col min="5372" max="5372" width="18.140625" style="26" customWidth="1"/>
    <col min="5373" max="5373" width="9.7109375" style="26" bestFit="1" customWidth="1"/>
    <col min="5374" max="5374" width="9.140625" style="26" bestFit="1" customWidth="1"/>
    <col min="5375" max="5376" width="9.140625" style="26" customWidth="1"/>
    <col min="5377" max="5377" width="9.42578125" style="26" bestFit="1" customWidth="1"/>
    <col min="5378" max="5378" width="8.42578125" style="26" bestFit="1" customWidth="1"/>
    <col min="5379" max="5381" width="8.42578125" style="26" customWidth="1"/>
    <col min="5382" max="5387" width="0" style="26" hidden="1" customWidth="1"/>
    <col min="5388" max="5388" width="9.85546875" style="26" customWidth="1"/>
    <col min="5389" max="5627" width="11.42578125" style="26"/>
    <col min="5628" max="5628" width="18.140625" style="26" customWidth="1"/>
    <col min="5629" max="5629" width="9.7109375" style="26" bestFit="1" customWidth="1"/>
    <col min="5630" max="5630" width="9.140625" style="26" bestFit="1" customWidth="1"/>
    <col min="5631" max="5632" width="9.140625" style="26" customWidth="1"/>
    <col min="5633" max="5633" width="9.42578125" style="26" bestFit="1" customWidth="1"/>
    <col min="5634" max="5634" width="8.42578125" style="26" bestFit="1" customWidth="1"/>
    <col min="5635" max="5637" width="8.42578125" style="26" customWidth="1"/>
    <col min="5638" max="5643" width="0" style="26" hidden="1" customWidth="1"/>
    <col min="5644" max="5644" width="9.85546875" style="26" customWidth="1"/>
    <col min="5645" max="5883" width="11.42578125" style="26"/>
    <col min="5884" max="5884" width="18.140625" style="26" customWidth="1"/>
    <col min="5885" max="5885" width="9.7109375" style="26" bestFit="1" customWidth="1"/>
    <col min="5886" max="5886" width="9.140625" style="26" bestFit="1" customWidth="1"/>
    <col min="5887" max="5888" width="9.140625" style="26" customWidth="1"/>
    <col min="5889" max="5889" width="9.42578125" style="26" bestFit="1" customWidth="1"/>
    <col min="5890" max="5890" width="8.42578125" style="26" bestFit="1" customWidth="1"/>
    <col min="5891" max="5893" width="8.42578125" style="26" customWidth="1"/>
    <col min="5894" max="5899" width="0" style="26" hidden="1" customWidth="1"/>
    <col min="5900" max="5900" width="9.85546875" style="26" customWidth="1"/>
    <col min="5901" max="6139" width="11.42578125" style="26"/>
    <col min="6140" max="6140" width="18.140625" style="26" customWidth="1"/>
    <col min="6141" max="6141" width="9.7109375" style="26" bestFit="1" customWidth="1"/>
    <col min="6142" max="6142" width="9.140625" style="26" bestFit="1" customWidth="1"/>
    <col min="6143" max="6144" width="9.140625" style="26" customWidth="1"/>
    <col min="6145" max="6145" width="9.42578125" style="26" bestFit="1" customWidth="1"/>
    <col min="6146" max="6146" width="8.42578125" style="26" bestFit="1" customWidth="1"/>
    <col min="6147" max="6149" width="8.42578125" style="26" customWidth="1"/>
    <col min="6150" max="6155" width="0" style="26" hidden="1" customWidth="1"/>
    <col min="6156" max="6156" width="9.85546875" style="26" customWidth="1"/>
    <col min="6157" max="6395" width="11.42578125" style="26"/>
    <col min="6396" max="6396" width="18.140625" style="26" customWidth="1"/>
    <col min="6397" max="6397" width="9.7109375" style="26" bestFit="1" customWidth="1"/>
    <col min="6398" max="6398" width="9.140625" style="26" bestFit="1" customWidth="1"/>
    <col min="6399" max="6400" width="9.140625" style="26" customWidth="1"/>
    <col min="6401" max="6401" width="9.42578125" style="26" bestFit="1" customWidth="1"/>
    <col min="6402" max="6402" width="8.42578125" style="26" bestFit="1" customWidth="1"/>
    <col min="6403" max="6405" width="8.42578125" style="26" customWidth="1"/>
    <col min="6406" max="6411" width="0" style="26" hidden="1" customWidth="1"/>
    <col min="6412" max="6412" width="9.85546875" style="26" customWidth="1"/>
    <col min="6413" max="6651" width="11.42578125" style="26"/>
    <col min="6652" max="6652" width="18.140625" style="26" customWidth="1"/>
    <col min="6653" max="6653" width="9.7109375" style="26" bestFit="1" customWidth="1"/>
    <col min="6654" max="6654" width="9.140625" style="26" bestFit="1" customWidth="1"/>
    <col min="6655" max="6656" width="9.140625" style="26" customWidth="1"/>
    <col min="6657" max="6657" width="9.42578125" style="26" bestFit="1" customWidth="1"/>
    <col min="6658" max="6658" width="8.42578125" style="26" bestFit="1" customWidth="1"/>
    <col min="6659" max="6661" width="8.42578125" style="26" customWidth="1"/>
    <col min="6662" max="6667" width="0" style="26" hidden="1" customWidth="1"/>
    <col min="6668" max="6668" width="9.85546875" style="26" customWidth="1"/>
    <col min="6669" max="6907" width="11.42578125" style="26"/>
    <col min="6908" max="6908" width="18.140625" style="26" customWidth="1"/>
    <col min="6909" max="6909" width="9.7109375" style="26" bestFit="1" customWidth="1"/>
    <col min="6910" max="6910" width="9.140625" style="26" bestFit="1" customWidth="1"/>
    <col min="6911" max="6912" width="9.140625" style="26" customWidth="1"/>
    <col min="6913" max="6913" width="9.42578125" style="26" bestFit="1" customWidth="1"/>
    <col min="6914" max="6914" width="8.42578125" style="26" bestFit="1" customWidth="1"/>
    <col min="6915" max="6917" width="8.42578125" style="26" customWidth="1"/>
    <col min="6918" max="6923" width="0" style="26" hidden="1" customWidth="1"/>
    <col min="6924" max="6924" width="9.85546875" style="26" customWidth="1"/>
    <col min="6925" max="7163" width="11.42578125" style="26"/>
    <col min="7164" max="7164" width="18.140625" style="26" customWidth="1"/>
    <col min="7165" max="7165" width="9.7109375" style="26" bestFit="1" customWidth="1"/>
    <col min="7166" max="7166" width="9.140625" style="26" bestFit="1" customWidth="1"/>
    <col min="7167" max="7168" width="9.140625" style="26" customWidth="1"/>
    <col min="7169" max="7169" width="9.42578125" style="26" bestFit="1" customWidth="1"/>
    <col min="7170" max="7170" width="8.42578125" style="26" bestFit="1" customWidth="1"/>
    <col min="7171" max="7173" width="8.42578125" style="26" customWidth="1"/>
    <col min="7174" max="7179" width="0" style="26" hidden="1" customWidth="1"/>
    <col min="7180" max="7180" width="9.85546875" style="26" customWidth="1"/>
    <col min="7181" max="7419" width="11.42578125" style="26"/>
    <col min="7420" max="7420" width="18.140625" style="26" customWidth="1"/>
    <col min="7421" max="7421" width="9.7109375" style="26" bestFit="1" customWidth="1"/>
    <col min="7422" max="7422" width="9.140625" style="26" bestFit="1" customWidth="1"/>
    <col min="7423" max="7424" width="9.140625" style="26" customWidth="1"/>
    <col min="7425" max="7425" width="9.42578125" style="26" bestFit="1" customWidth="1"/>
    <col min="7426" max="7426" width="8.42578125" style="26" bestFit="1" customWidth="1"/>
    <col min="7427" max="7429" width="8.42578125" style="26" customWidth="1"/>
    <col min="7430" max="7435" width="0" style="26" hidden="1" customWidth="1"/>
    <col min="7436" max="7436" width="9.85546875" style="26" customWidth="1"/>
    <col min="7437" max="7675" width="11.42578125" style="26"/>
    <col min="7676" max="7676" width="18.140625" style="26" customWidth="1"/>
    <col min="7677" max="7677" width="9.7109375" style="26" bestFit="1" customWidth="1"/>
    <col min="7678" max="7678" width="9.140625" style="26" bestFit="1" customWidth="1"/>
    <col min="7679" max="7680" width="9.140625" style="26" customWidth="1"/>
    <col min="7681" max="7681" width="9.42578125" style="26" bestFit="1" customWidth="1"/>
    <col min="7682" max="7682" width="8.42578125" style="26" bestFit="1" customWidth="1"/>
    <col min="7683" max="7685" width="8.42578125" style="26" customWidth="1"/>
    <col min="7686" max="7691" width="0" style="26" hidden="1" customWidth="1"/>
    <col min="7692" max="7692" width="9.85546875" style="26" customWidth="1"/>
    <col min="7693" max="7931" width="11.42578125" style="26"/>
    <col min="7932" max="7932" width="18.140625" style="26" customWidth="1"/>
    <col min="7933" max="7933" width="9.7109375" style="26" bestFit="1" customWidth="1"/>
    <col min="7934" max="7934" width="9.140625" style="26" bestFit="1" customWidth="1"/>
    <col min="7935" max="7936" width="9.140625" style="26" customWidth="1"/>
    <col min="7937" max="7937" width="9.42578125" style="26" bestFit="1" customWidth="1"/>
    <col min="7938" max="7938" width="8.42578125" style="26" bestFit="1" customWidth="1"/>
    <col min="7939" max="7941" width="8.42578125" style="26" customWidth="1"/>
    <col min="7942" max="7947" width="0" style="26" hidden="1" customWidth="1"/>
    <col min="7948" max="7948" width="9.85546875" style="26" customWidth="1"/>
    <col min="7949" max="8187" width="11.42578125" style="26"/>
    <col min="8188" max="8188" width="18.140625" style="26" customWidth="1"/>
    <col min="8189" max="8189" width="9.7109375" style="26" bestFit="1" customWidth="1"/>
    <col min="8190" max="8190" width="9.140625" style="26" bestFit="1" customWidth="1"/>
    <col min="8191" max="8192" width="9.140625" style="26" customWidth="1"/>
    <col min="8193" max="8193" width="9.42578125" style="26" bestFit="1" customWidth="1"/>
    <col min="8194" max="8194" width="8.42578125" style="26" bestFit="1" customWidth="1"/>
    <col min="8195" max="8197" width="8.42578125" style="26" customWidth="1"/>
    <col min="8198" max="8203" width="0" style="26" hidden="1" customWidth="1"/>
    <col min="8204" max="8204" width="9.85546875" style="26" customWidth="1"/>
    <col min="8205" max="8443" width="11.42578125" style="26"/>
    <col min="8444" max="8444" width="18.140625" style="26" customWidth="1"/>
    <col min="8445" max="8445" width="9.7109375" style="26" bestFit="1" customWidth="1"/>
    <col min="8446" max="8446" width="9.140625" style="26" bestFit="1" customWidth="1"/>
    <col min="8447" max="8448" width="9.140625" style="26" customWidth="1"/>
    <col min="8449" max="8449" width="9.42578125" style="26" bestFit="1" customWidth="1"/>
    <col min="8450" max="8450" width="8.42578125" style="26" bestFit="1" customWidth="1"/>
    <col min="8451" max="8453" width="8.42578125" style="26" customWidth="1"/>
    <col min="8454" max="8459" width="0" style="26" hidden="1" customWidth="1"/>
    <col min="8460" max="8460" width="9.85546875" style="26" customWidth="1"/>
    <col min="8461" max="8699" width="11.42578125" style="26"/>
    <col min="8700" max="8700" width="18.140625" style="26" customWidth="1"/>
    <col min="8701" max="8701" width="9.7109375" style="26" bestFit="1" customWidth="1"/>
    <col min="8702" max="8702" width="9.140625" style="26" bestFit="1" customWidth="1"/>
    <col min="8703" max="8704" width="9.140625" style="26" customWidth="1"/>
    <col min="8705" max="8705" width="9.42578125" style="26" bestFit="1" customWidth="1"/>
    <col min="8706" max="8706" width="8.42578125" style="26" bestFit="1" customWidth="1"/>
    <col min="8707" max="8709" width="8.42578125" style="26" customWidth="1"/>
    <col min="8710" max="8715" width="0" style="26" hidden="1" customWidth="1"/>
    <col min="8716" max="8716" width="9.85546875" style="26" customWidth="1"/>
    <col min="8717" max="8955" width="11.42578125" style="26"/>
    <col min="8956" max="8956" width="18.140625" style="26" customWidth="1"/>
    <col min="8957" max="8957" width="9.7109375" style="26" bestFit="1" customWidth="1"/>
    <col min="8958" max="8958" width="9.140625" style="26" bestFit="1" customWidth="1"/>
    <col min="8959" max="8960" width="9.140625" style="26" customWidth="1"/>
    <col min="8961" max="8961" width="9.42578125" style="26" bestFit="1" customWidth="1"/>
    <col min="8962" max="8962" width="8.42578125" style="26" bestFit="1" customWidth="1"/>
    <col min="8963" max="8965" width="8.42578125" style="26" customWidth="1"/>
    <col min="8966" max="8971" width="0" style="26" hidden="1" customWidth="1"/>
    <col min="8972" max="8972" width="9.85546875" style="26" customWidth="1"/>
    <col min="8973" max="9211" width="11.42578125" style="26"/>
    <col min="9212" max="9212" width="18.140625" style="26" customWidth="1"/>
    <col min="9213" max="9213" width="9.7109375" style="26" bestFit="1" customWidth="1"/>
    <col min="9214" max="9214" width="9.140625" style="26" bestFit="1" customWidth="1"/>
    <col min="9215" max="9216" width="9.140625" style="26" customWidth="1"/>
    <col min="9217" max="9217" width="9.42578125" style="26" bestFit="1" customWidth="1"/>
    <col min="9218" max="9218" width="8.42578125" style="26" bestFit="1" customWidth="1"/>
    <col min="9219" max="9221" width="8.42578125" style="26" customWidth="1"/>
    <col min="9222" max="9227" width="0" style="26" hidden="1" customWidth="1"/>
    <col min="9228" max="9228" width="9.85546875" style="26" customWidth="1"/>
    <col min="9229" max="9467" width="11.42578125" style="26"/>
    <col min="9468" max="9468" width="18.140625" style="26" customWidth="1"/>
    <col min="9469" max="9469" width="9.7109375" style="26" bestFit="1" customWidth="1"/>
    <col min="9470" max="9470" width="9.140625" style="26" bestFit="1" customWidth="1"/>
    <col min="9471" max="9472" width="9.140625" style="26" customWidth="1"/>
    <col min="9473" max="9473" width="9.42578125" style="26" bestFit="1" customWidth="1"/>
    <col min="9474" max="9474" width="8.42578125" style="26" bestFit="1" customWidth="1"/>
    <col min="9475" max="9477" width="8.42578125" style="26" customWidth="1"/>
    <col min="9478" max="9483" width="0" style="26" hidden="1" customWidth="1"/>
    <col min="9484" max="9484" width="9.85546875" style="26" customWidth="1"/>
    <col min="9485" max="9723" width="11.42578125" style="26"/>
    <col min="9724" max="9724" width="18.140625" style="26" customWidth="1"/>
    <col min="9725" max="9725" width="9.7109375" style="26" bestFit="1" customWidth="1"/>
    <col min="9726" max="9726" width="9.140625" style="26" bestFit="1" customWidth="1"/>
    <col min="9727" max="9728" width="9.140625" style="26" customWidth="1"/>
    <col min="9729" max="9729" width="9.42578125" style="26" bestFit="1" customWidth="1"/>
    <col min="9730" max="9730" width="8.42578125" style="26" bestFit="1" customWidth="1"/>
    <col min="9731" max="9733" width="8.42578125" style="26" customWidth="1"/>
    <col min="9734" max="9739" width="0" style="26" hidden="1" customWidth="1"/>
    <col min="9740" max="9740" width="9.85546875" style="26" customWidth="1"/>
    <col min="9741" max="9979" width="11.42578125" style="26"/>
    <col min="9980" max="9980" width="18.140625" style="26" customWidth="1"/>
    <col min="9981" max="9981" width="9.7109375" style="26" bestFit="1" customWidth="1"/>
    <col min="9982" max="9982" width="9.140625" style="26" bestFit="1" customWidth="1"/>
    <col min="9983" max="9984" width="9.140625" style="26" customWidth="1"/>
    <col min="9985" max="9985" width="9.42578125" style="26" bestFit="1" customWidth="1"/>
    <col min="9986" max="9986" width="8.42578125" style="26" bestFit="1" customWidth="1"/>
    <col min="9987" max="9989" width="8.42578125" style="26" customWidth="1"/>
    <col min="9990" max="9995" width="0" style="26" hidden="1" customWidth="1"/>
    <col min="9996" max="9996" width="9.85546875" style="26" customWidth="1"/>
    <col min="9997" max="10235" width="11.42578125" style="26"/>
    <col min="10236" max="10236" width="18.140625" style="26" customWidth="1"/>
    <col min="10237" max="10237" width="9.7109375" style="26" bestFit="1" customWidth="1"/>
    <col min="10238" max="10238" width="9.140625" style="26" bestFit="1" customWidth="1"/>
    <col min="10239" max="10240" width="9.140625" style="26" customWidth="1"/>
    <col min="10241" max="10241" width="9.42578125" style="26" bestFit="1" customWidth="1"/>
    <col min="10242" max="10242" width="8.42578125" style="26" bestFit="1" customWidth="1"/>
    <col min="10243" max="10245" width="8.42578125" style="26" customWidth="1"/>
    <col min="10246" max="10251" width="0" style="26" hidden="1" customWidth="1"/>
    <col min="10252" max="10252" width="9.85546875" style="26" customWidth="1"/>
    <col min="10253" max="10491" width="11.42578125" style="26"/>
    <col min="10492" max="10492" width="18.140625" style="26" customWidth="1"/>
    <col min="10493" max="10493" width="9.7109375" style="26" bestFit="1" customWidth="1"/>
    <col min="10494" max="10494" width="9.140625" style="26" bestFit="1" customWidth="1"/>
    <col min="10495" max="10496" width="9.140625" style="26" customWidth="1"/>
    <col min="10497" max="10497" width="9.42578125" style="26" bestFit="1" customWidth="1"/>
    <col min="10498" max="10498" width="8.42578125" style="26" bestFit="1" customWidth="1"/>
    <col min="10499" max="10501" width="8.42578125" style="26" customWidth="1"/>
    <col min="10502" max="10507" width="0" style="26" hidden="1" customWidth="1"/>
    <col min="10508" max="10508" width="9.85546875" style="26" customWidth="1"/>
    <col min="10509" max="10747" width="11.42578125" style="26"/>
    <col min="10748" max="10748" width="18.140625" style="26" customWidth="1"/>
    <col min="10749" max="10749" width="9.7109375" style="26" bestFit="1" customWidth="1"/>
    <col min="10750" max="10750" width="9.140625" style="26" bestFit="1" customWidth="1"/>
    <col min="10751" max="10752" width="9.140625" style="26" customWidth="1"/>
    <col min="10753" max="10753" width="9.42578125" style="26" bestFit="1" customWidth="1"/>
    <col min="10754" max="10754" width="8.42578125" style="26" bestFit="1" customWidth="1"/>
    <col min="10755" max="10757" width="8.42578125" style="26" customWidth="1"/>
    <col min="10758" max="10763" width="0" style="26" hidden="1" customWidth="1"/>
    <col min="10764" max="10764" width="9.85546875" style="26" customWidth="1"/>
    <col min="10765" max="11003" width="11.42578125" style="26"/>
    <col min="11004" max="11004" width="18.140625" style="26" customWidth="1"/>
    <col min="11005" max="11005" width="9.7109375" style="26" bestFit="1" customWidth="1"/>
    <col min="11006" max="11006" width="9.140625" style="26" bestFit="1" customWidth="1"/>
    <col min="11007" max="11008" width="9.140625" style="26" customWidth="1"/>
    <col min="11009" max="11009" width="9.42578125" style="26" bestFit="1" customWidth="1"/>
    <col min="11010" max="11010" width="8.42578125" style="26" bestFit="1" customWidth="1"/>
    <col min="11011" max="11013" width="8.42578125" style="26" customWidth="1"/>
    <col min="11014" max="11019" width="0" style="26" hidden="1" customWidth="1"/>
    <col min="11020" max="11020" width="9.85546875" style="26" customWidth="1"/>
    <col min="11021" max="11259" width="11.42578125" style="26"/>
    <col min="11260" max="11260" width="18.140625" style="26" customWidth="1"/>
    <col min="11261" max="11261" width="9.7109375" style="26" bestFit="1" customWidth="1"/>
    <col min="11262" max="11262" width="9.140625" style="26" bestFit="1" customWidth="1"/>
    <col min="11263" max="11264" width="9.140625" style="26" customWidth="1"/>
    <col min="11265" max="11265" width="9.42578125" style="26" bestFit="1" customWidth="1"/>
    <col min="11266" max="11266" width="8.42578125" style="26" bestFit="1" customWidth="1"/>
    <col min="11267" max="11269" width="8.42578125" style="26" customWidth="1"/>
    <col min="11270" max="11275" width="0" style="26" hidden="1" customWidth="1"/>
    <col min="11276" max="11276" width="9.85546875" style="26" customWidth="1"/>
    <col min="11277" max="11515" width="11.42578125" style="26"/>
    <col min="11516" max="11516" width="18.140625" style="26" customWidth="1"/>
    <col min="11517" max="11517" width="9.7109375" style="26" bestFit="1" customWidth="1"/>
    <col min="11518" max="11518" width="9.140625" style="26" bestFit="1" customWidth="1"/>
    <col min="11519" max="11520" width="9.140625" style="26" customWidth="1"/>
    <col min="11521" max="11521" width="9.42578125" style="26" bestFit="1" customWidth="1"/>
    <col min="11522" max="11522" width="8.42578125" style="26" bestFit="1" customWidth="1"/>
    <col min="11523" max="11525" width="8.42578125" style="26" customWidth="1"/>
    <col min="11526" max="11531" width="0" style="26" hidden="1" customWidth="1"/>
    <col min="11532" max="11532" width="9.85546875" style="26" customWidth="1"/>
    <col min="11533" max="11771" width="11.42578125" style="26"/>
    <col min="11772" max="11772" width="18.140625" style="26" customWidth="1"/>
    <col min="11773" max="11773" width="9.7109375" style="26" bestFit="1" customWidth="1"/>
    <col min="11774" max="11774" width="9.140625" style="26" bestFit="1" customWidth="1"/>
    <col min="11775" max="11776" width="9.140625" style="26" customWidth="1"/>
    <col min="11777" max="11777" width="9.42578125" style="26" bestFit="1" customWidth="1"/>
    <col min="11778" max="11778" width="8.42578125" style="26" bestFit="1" customWidth="1"/>
    <col min="11779" max="11781" width="8.42578125" style="26" customWidth="1"/>
    <col min="11782" max="11787" width="0" style="26" hidden="1" customWidth="1"/>
    <col min="11788" max="11788" width="9.85546875" style="26" customWidth="1"/>
    <col min="11789" max="12027" width="11.42578125" style="26"/>
    <col min="12028" max="12028" width="18.140625" style="26" customWidth="1"/>
    <col min="12029" max="12029" width="9.7109375" style="26" bestFit="1" customWidth="1"/>
    <col min="12030" max="12030" width="9.140625" style="26" bestFit="1" customWidth="1"/>
    <col min="12031" max="12032" width="9.140625" style="26" customWidth="1"/>
    <col min="12033" max="12033" width="9.42578125" style="26" bestFit="1" customWidth="1"/>
    <col min="12034" max="12034" width="8.42578125" style="26" bestFit="1" customWidth="1"/>
    <col min="12035" max="12037" width="8.42578125" style="26" customWidth="1"/>
    <col min="12038" max="12043" width="0" style="26" hidden="1" customWidth="1"/>
    <col min="12044" max="12044" width="9.85546875" style="26" customWidth="1"/>
    <col min="12045" max="12283" width="11.42578125" style="26"/>
    <col min="12284" max="12284" width="18.140625" style="26" customWidth="1"/>
    <col min="12285" max="12285" width="9.7109375" style="26" bestFit="1" customWidth="1"/>
    <col min="12286" max="12286" width="9.140625" style="26" bestFit="1" customWidth="1"/>
    <col min="12287" max="12288" width="9.140625" style="26" customWidth="1"/>
    <col min="12289" max="12289" width="9.42578125" style="26" bestFit="1" customWidth="1"/>
    <col min="12290" max="12290" width="8.42578125" style="26" bestFit="1" customWidth="1"/>
    <col min="12291" max="12293" width="8.42578125" style="26" customWidth="1"/>
    <col min="12294" max="12299" width="0" style="26" hidden="1" customWidth="1"/>
    <col min="12300" max="12300" width="9.85546875" style="26" customWidth="1"/>
    <col min="12301" max="12539" width="11.42578125" style="26"/>
    <col min="12540" max="12540" width="18.140625" style="26" customWidth="1"/>
    <col min="12541" max="12541" width="9.7109375" style="26" bestFit="1" customWidth="1"/>
    <col min="12542" max="12542" width="9.140625" style="26" bestFit="1" customWidth="1"/>
    <col min="12543" max="12544" width="9.140625" style="26" customWidth="1"/>
    <col min="12545" max="12545" width="9.42578125" style="26" bestFit="1" customWidth="1"/>
    <col min="12546" max="12546" width="8.42578125" style="26" bestFit="1" customWidth="1"/>
    <col min="12547" max="12549" width="8.42578125" style="26" customWidth="1"/>
    <col min="12550" max="12555" width="0" style="26" hidden="1" customWidth="1"/>
    <col min="12556" max="12556" width="9.85546875" style="26" customWidth="1"/>
    <col min="12557" max="12795" width="11.42578125" style="26"/>
    <col min="12796" max="12796" width="18.140625" style="26" customWidth="1"/>
    <col min="12797" max="12797" width="9.7109375" style="26" bestFit="1" customWidth="1"/>
    <col min="12798" max="12798" width="9.140625" style="26" bestFit="1" customWidth="1"/>
    <col min="12799" max="12800" width="9.140625" style="26" customWidth="1"/>
    <col min="12801" max="12801" width="9.42578125" style="26" bestFit="1" customWidth="1"/>
    <col min="12802" max="12802" width="8.42578125" style="26" bestFit="1" customWidth="1"/>
    <col min="12803" max="12805" width="8.42578125" style="26" customWidth="1"/>
    <col min="12806" max="12811" width="0" style="26" hidden="1" customWidth="1"/>
    <col min="12812" max="12812" width="9.85546875" style="26" customWidth="1"/>
    <col min="12813" max="13051" width="11.42578125" style="26"/>
    <col min="13052" max="13052" width="18.140625" style="26" customWidth="1"/>
    <col min="13053" max="13053" width="9.7109375" style="26" bestFit="1" customWidth="1"/>
    <col min="13054" max="13054" width="9.140625" style="26" bestFit="1" customWidth="1"/>
    <col min="13055" max="13056" width="9.140625" style="26" customWidth="1"/>
    <col min="13057" max="13057" width="9.42578125" style="26" bestFit="1" customWidth="1"/>
    <col min="13058" max="13058" width="8.42578125" style="26" bestFit="1" customWidth="1"/>
    <col min="13059" max="13061" width="8.42578125" style="26" customWidth="1"/>
    <col min="13062" max="13067" width="0" style="26" hidden="1" customWidth="1"/>
    <col min="13068" max="13068" width="9.85546875" style="26" customWidth="1"/>
    <col min="13069" max="13307" width="11.42578125" style="26"/>
    <col min="13308" max="13308" width="18.140625" style="26" customWidth="1"/>
    <col min="13309" max="13309" width="9.7109375" style="26" bestFit="1" customWidth="1"/>
    <col min="13310" max="13310" width="9.140625" style="26" bestFit="1" customWidth="1"/>
    <col min="13311" max="13312" width="9.140625" style="26" customWidth="1"/>
    <col min="13313" max="13313" width="9.42578125" style="26" bestFit="1" customWidth="1"/>
    <col min="13314" max="13314" width="8.42578125" style="26" bestFit="1" customWidth="1"/>
    <col min="13315" max="13317" width="8.42578125" style="26" customWidth="1"/>
    <col min="13318" max="13323" width="0" style="26" hidden="1" customWidth="1"/>
    <col min="13324" max="13324" width="9.85546875" style="26" customWidth="1"/>
    <col min="13325" max="13563" width="11.42578125" style="26"/>
    <col min="13564" max="13564" width="18.140625" style="26" customWidth="1"/>
    <col min="13565" max="13565" width="9.7109375" style="26" bestFit="1" customWidth="1"/>
    <col min="13566" max="13566" width="9.140625" style="26" bestFit="1" customWidth="1"/>
    <col min="13567" max="13568" width="9.140625" style="26" customWidth="1"/>
    <col min="13569" max="13569" width="9.42578125" style="26" bestFit="1" customWidth="1"/>
    <col min="13570" max="13570" width="8.42578125" style="26" bestFit="1" customWidth="1"/>
    <col min="13571" max="13573" width="8.42578125" style="26" customWidth="1"/>
    <col min="13574" max="13579" width="0" style="26" hidden="1" customWidth="1"/>
    <col min="13580" max="13580" width="9.85546875" style="26" customWidth="1"/>
    <col min="13581" max="13819" width="11.42578125" style="26"/>
    <col min="13820" max="13820" width="18.140625" style="26" customWidth="1"/>
    <col min="13821" max="13821" width="9.7109375" style="26" bestFit="1" customWidth="1"/>
    <col min="13822" max="13822" width="9.140625" style="26" bestFit="1" customWidth="1"/>
    <col min="13823" max="13824" width="9.140625" style="26" customWidth="1"/>
    <col min="13825" max="13825" width="9.42578125" style="26" bestFit="1" customWidth="1"/>
    <col min="13826" max="13826" width="8.42578125" style="26" bestFit="1" customWidth="1"/>
    <col min="13827" max="13829" width="8.42578125" style="26" customWidth="1"/>
    <col min="13830" max="13835" width="0" style="26" hidden="1" customWidth="1"/>
    <col min="13836" max="13836" width="9.85546875" style="26" customWidth="1"/>
    <col min="13837" max="14075" width="11.42578125" style="26"/>
    <col min="14076" max="14076" width="18.140625" style="26" customWidth="1"/>
    <col min="14077" max="14077" width="9.7109375" style="26" bestFit="1" customWidth="1"/>
    <col min="14078" max="14078" width="9.140625" style="26" bestFit="1" customWidth="1"/>
    <col min="14079" max="14080" width="9.140625" style="26" customWidth="1"/>
    <col min="14081" max="14081" width="9.42578125" style="26" bestFit="1" customWidth="1"/>
    <col min="14082" max="14082" width="8.42578125" style="26" bestFit="1" customWidth="1"/>
    <col min="14083" max="14085" width="8.42578125" style="26" customWidth="1"/>
    <col min="14086" max="14091" width="0" style="26" hidden="1" customWidth="1"/>
    <col min="14092" max="14092" width="9.85546875" style="26" customWidth="1"/>
    <col min="14093" max="14331" width="11.42578125" style="26"/>
    <col min="14332" max="14332" width="18.140625" style="26" customWidth="1"/>
    <col min="14333" max="14333" width="9.7109375" style="26" bestFit="1" customWidth="1"/>
    <col min="14334" max="14334" width="9.140625" style="26" bestFit="1" customWidth="1"/>
    <col min="14335" max="14336" width="9.140625" style="26" customWidth="1"/>
    <col min="14337" max="14337" width="9.42578125" style="26" bestFit="1" customWidth="1"/>
    <col min="14338" max="14338" width="8.42578125" style="26" bestFit="1" customWidth="1"/>
    <col min="14339" max="14341" width="8.42578125" style="26" customWidth="1"/>
    <col min="14342" max="14347" width="0" style="26" hidden="1" customWidth="1"/>
    <col min="14348" max="14348" width="9.85546875" style="26" customWidth="1"/>
    <col min="14349" max="14587" width="11.42578125" style="26"/>
    <col min="14588" max="14588" width="18.140625" style="26" customWidth="1"/>
    <col min="14589" max="14589" width="9.7109375" style="26" bestFit="1" customWidth="1"/>
    <col min="14590" max="14590" width="9.140625" style="26" bestFit="1" customWidth="1"/>
    <col min="14591" max="14592" width="9.140625" style="26" customWidth="1"/>
    <col min="14593" max="14593" width="9.42578125" style="26" bestFit="1" customWidth="1"/>
    <col min="14594" max="14594" width="8.42578125" style="26" bestFit="1" customWidth="1"/>
    <col min="14595" max="14597" width="8.42578125" style="26" customWidth="1"/>
    <col min="14598" max="14603" width="0" style="26" hidden="1" customWidth="1"/>
    <col min="14604" max="14604" width="9.85546875" style="26" customWidth="1"/>
    <col min="14605" max="14843" width="11.42578125" style="26"/>
    <col min="14844" max="14844" width="18.140625" style="26" customWidth="1"/>
    <col min="14845" max="14845" width="9.7109375" style="26" bestFit="1" customWidth="1"/>
    <col min="14846" max="14846" width="9.140625" style="26" bestFit="1" customWidth="1"/>
    <col min="14847" max="14848" width="9.140625" style="26" customWidth="1"/>
    <col min="14849" max="14849" width="9.42578125" style="26" bestFit="1" customWidth="1"/>
    <col min="14850" max="14850" width="8.42578125" style="26" bestFit="1" customWidth="1"/>
    <col min="14851" max="14853" width="8.42578125" style="26" customWidth="1"/>
    <col min="14854" max="14859" width="0" style="26" hidden="1" customWidth="1"/>
    <col min="14860" max="14860" width="9.85546875" style="26" customWidth="1"/>
    <col min="14861" max="15099" width="11.42578125" style="26"/>
    <col min="15100" max="15100" width="18.140625" style="26" customWidth="1"/>
    <col min="15101" max="15101" width="9.7109375" style="26" bestFit="1" customWidth="1"/>
    <col min="15102" max="15102" width="9.140625" style="26" bestFit="1" customWidth="1"/>
    <col min="15103" max="15104" width="9.140625" style="26" customWidth="1"/>
    <col min="15105" max="15105" width="9.42578125" style="26" bestFit="1" customWidth="1"/>
    <col min="15106" max="15106" width="8.42578125" style="26" bestFit="1" customWidth="1"/>
    <col min="15107" max="15109" width="8.42578125" style="26" customWidth="1"/>
    <col min="15110" max="15115" width="0" style="26" hidden="1" customWidth="1"/>
    <col min="15116" max="15116" width="9.85546875" style="26" customWidth="1"/>
    <col min="15117" max="15355" width="11.42578125" style="26"/>
    <col min="15356" max="15356" width="18.140625" style="26" customWidth="1"/>
    <col min="15357" max="15357" width="9.7109375" style="26" bestFit="1" customWidth="1"/>
    <col min="15358" max="15358" width="9.140625" style="26" bestFit="1" customWidth="1"/>
    <col min="15359" max="15360" width="9.140625" style="26" customWidth="1"/>
    <col min="15361" max="15361" width="9.42578125" style="26" bestFit="1" customWidth="1"/>
    <col min="15362" max="15362" width="8.42578125" style="26" bestFit="1" customWidth="1"/>
    <col min="15363" max="15365" width="8.42578125" style="26" customWidth="1"/>
    <col min="15366" max="15371" width="0" style="26" hidden="1" customWidth="1"/>
    <col min="15372" max="15372" width="9.85546875" style="26" customWidth="1"/>
    <col min="15373" max="15611" width="11.42578125" style="26"/>
    <col min="15612" max="15612" width="18.140625" style="26" customWidth="1"/>
    <col min="15613" max="15613" width="9.7109375" style="26" bestFit="1" customWidth="1"/>
    <col min="15614" max="15614" width="9.140625" style="26" bestFit="1" customWidth="1"/>
    <col min="15615" max="15616" width="9.140625" style="26" customWidth="1"/>
    <col min="15617" max="15617" width="9.42578125" style="26" bestFit="1" customWidth="1"/>
    <col min="15618" max="15618" width="8.42578125" style="26" bestFit="1" customWidth="1"/>
    <col min="15619" max="15621" width="8.42578125" style="26" customWidth="1"/>
    <col min="15622" max="15627" width="0" style="26" hidden="1" customWidth="1"/>
    <col min="15628" max="15628" width="9.85546875" style="26" customWidth="1"/>
    <col min="15629" max="15867" width="11.42578125" style="26"/>
    <col min="15868" max="15868" width="18.140625" style="26" customWidth="1"/>
    <col min="15869" max="15869" width="9.7109375" style="26" bestFit="1" customWidth="1"/>
    <col min="15870" max="15870" width="9.140625" style="26" bestFit="1" customWidth="1"/>
    <col min="15871" max="15872" width="9.140625" style="26" customWidth="1"/>
    <col min="15873" max="15873" width="9.42578125" style="26" bestFit="1" customWidth="1"/>
    <col min="15874" max="15874" width="8.42578125" style="26" bestFit="1" customWidth="1"/>
    <col min="15875" max="15877" width="8.42578125" style="26" customWidth="1"/>
    <col min="15878" max="15883" width="0" style="26" hidden="1" customWidth="1"/>
    <col min="15884" max="15884" width="9.85546875" style="26" customWidth="1"/>
    <col min="15885" max="16123" width="11.42578125" style="26"/>
    <col min="16124" max="16124" width="18.140625" style="26" customWidth="1"/>
    <col min="16125" max="16125" width="9.7109375" style="26" bestFit="1" customWidth="1"/>
    <col min="16126" max="16126" width="9.140625" style="26" bestFit="1" customWidth="1"/>
    <col min="16127" max="16128" width="9.140625" style="26" customWidth="1"/>
    <col min="16129" max="16129" width="9.42578125" style="26" bestFit="1" customWidth="1"/>
    <col min="16130" max="16130" width="8.42578125" style="26" bestFit="1" customWidth="1"/>
    <col min="16131" max="16133" width="8.42578125" style="26" customWidth="1"/>
    <col min="16134" max="16139" width="0" style="26" hidden="1" customWidth="1"/>
    <col min="16140" max="16140" width="9.85546875" style="26" customWidth="1"/>
    <col min="16141" max="16384" width="11.42578125" style="26"/>
  </cols>
  <sheetData>
    <row r="1" spans="1:16" s="27" customFormat="1" ht="12.75" customHeight="1" x14ac:dyDescent="0.2">
      <c r="B1" s="39"/>
      <c r="C1" s="39"/>
      <c r="D1" s="39"/>
      <c r="E1" s="39"/>
      <c r="F1" s="39"/>
      <c r="G1" s="39"/>
      <c r="H1" s="39"/>
      <c r="I1" s="39"/>
      <c r="J1" s="39"/>
      <c r="K1" s="39"/>
      <c r="L1" s="39"/>
    </row>
    <row r="2" spans="1:16" s="27" customFormat="1" ht="12.75" customHeight="1" x14ac:dyDescent="0.2">
      <c r="A2" s="47" t="s">
        <v>101</v>
      </c>
      <c r="B2" s="39"/>
      <c r="C2" s="39"/>
      <c r="D2" s="39"/>
      <c r="E2" s="39"/>
      <c r="F2" s="39"/>
      <c r="G2" s="39"/>
      <c r="H2" s="39"/>
      <c r="I2" s="39"/>
      <c r="K2" s="39"/>
      <c r="L2" s="39"/>
    </row>
    <row r="3" spans="1:16" s="27" customFormat="1" ht="12.75" customHeight="1" x14ac:dyDescent="0.25">
      <c r="A3" s="47" t="s">
        <v>102</v>
      </c>
      <c r="B3" s="39"/>
      <c r="C3" s="39"/>
      <c r="D3" s="39"/>
      <c r="E3" s="39"/>
      <c r="F3" s="39"/>
      <c r="G3" s="39"/>
      <c r="H3" s="39"/>
      <c r="I3" s="39"/>
      <c r="J3" s="95"/>
      <c r="K3" s="39"/>
      <c r="L3" s="39"/>
    </row>
    <row r="4" spans="1:16" s="27" customFormat="1" ht="12.75" customHeight="1" x14ac:dyDescent="0.2">
      <c r="B4" s="39"/>
      <c r="C4" s="39"/>
      <c r="D4" s="39"/>
      <c r="E4" s="39"/>
      <c r="F4" s="39"/>
      <c r="G4" s="39"/>
      <c r="H4" s="39"/>
      <c r="I4" s="39"/>
      <c r="J4" s="39"/>
      <c r="K4" s="39"/>
      <c r="L4" s="39"/>
    </row>
    <row r="5" spans="1:16" s="27" customFormat="1" ht="12.75" x14ac:dyDescent="0.2">
      <c r="B5" s="369" t="s">
        <v>84</v>
      </c>
      <c r="C5" s="369"/>
      <c r="D5" s="369"/>
      <c r="E5" s="369"/>
      <c r="F5" s="369"/>
      <c r="G5" s="369"/>
      <c r="H5" s="369"/>
      <c r="I5" s="369"/>
      <c r="J5" s="369"/>
      <c r="K5" s="369"/>
      <c r="M5" s="122" t="s">
        <v>566</v>
      </c>
      <c r="O5" s="96"/>
    </row>
    <row r="6" spans="1:16" s="27" customFormat="1" ht="12.75" x14ac:dyDescent="0.2">
      <c r="B6" s="385" t="str">
        <f>'Solicitudes Regiones'!$B$6:$R$6</f>
        <v>Acumuladas de julio de 2008 a diciembre de 2021</v>
      </c>
      <c r="C6" s="385"/>
      <c r="D6" s="385"/>
      <c r="E6" s="385"/>
      <c r="F6" s="385"/>
      <c r="G6" s="385"/>
      <c r="H6" s="385"/>
      <c r="I6" s="385"/>
      <c r="J6" s="385"/>
      <c r="K6" s="385"/>
      <c r="L6" s="56"/>
    </row>
    <row r="7" spans="1:16" x14ac:dyDescent="0.2">
      <c r="B7" s="28"/>
      <c r="C7" s="29"/>
      <c r="D7" s="29"/>
      <c r="E7" s="29"/>
      <c r="F7" s="29"/>
      <c r="G7" s="29"/>
      <c r="H7" s="29"/>
      <c r="I7" s="29"/>
      <c r="J7" s="29"/>
      <c r="K7" s="29"/>
      <c r="L7" s="29"/>
    </row>
    <row r="8" spans="1:16" ht="15" customHeight="1" x14ac:dyDescent="0.2">
      <c r="B8" s="399" t="s">
        <v>55</v>
      </c>
      <c r="C8" s="399"/>
      <c r="D8" s="399"/>
      <c r="E8" s="399"/>
      <c r="F8" s="399"/>
      <c r="G8" s="399"/>
      <c r="H8" s="399"/>
      <c r="I8" s="399"/>
      <c r="J8" s="399"/>
      <c r="K8" s="399"/>
      <c r="L8" s="399"/>
      <c r="M8" s="399"/>
    </row>
    <row r="9" spans="1:16" ht="20.25" customHeight="1" x14ac:dyDescent="0.2">
      <c r="B9" s="399" t="s">
        <v>56</v>
      </c>
      <c r="C9" s="397" t="s">
        <v>2</v>
      </c>
      <c r="D9" s="400"/>
      <c r="E9" s="400"/>
      <c r="F9" s="400"/>
      <c r="G9" s="400"/>
      <c r="H9" s="400"/>
      <c r="I9" s="400"/>
      <c r="J9" s="400"/>
      <c r="K9" s="398"/>
      <c r="L9" s="397"/>
      <c r="M9" s="398"/>
    </row>
    <row r="10" spans="1:16" ht="24" x14ac:dyDescent="0.2">
      <c r="B10" s="399"/>
      <c r="C10" s="23" t="s">
        <v>57</v>
      </c>
      <c r="D10" s="23" t="s">
        <v>58</v>
      </c>
      <c r="E10" s="23" t="s">
        <v>59</v>
      </c>
      <c r="F10" s="23" t="s">
        <v>60</v>
      </c>
      <c r="G10" s="23" t="s">
        <v>8</v>
      </c>
      <c r="H10" s="23" t="s">
        <v>61</v>
      </c>
      <c r="I10" s="23" t="s">
        <v>62</v>
      </c>
      <c r="J10" s="23" t="s">
        <v>63</v>
      </c>
      <c r="K10" s="261" t="s">
        <v>31</v>
      </c>
      <c r="L10" s="261" t="s">
        <v>584</v>
      </c>
      <c r="M10" s="261" t="s">
        <v>587</v>
      </c>
    </row>
    <row r="11" spans="1:16" x14ac:dyDescent="0.2">
      <c r="B11" s="18" t="s">
        <v>39</v>
      </c>
      <c r="C11" s="18">
        <v>10094</v>
      </c>
      <c r="D11" s="18">
        <v>5777</v>
      </c>
      <c r="E11" s="18">
        <f>C11+D11</f>
        <v>15871</v>
      </c>
      <c r="F11" s="19">
        <f>E11/$E$49</f>
        <v>0.17998208230798018</v>
      </c>
      <c r="G11" s="18">
        <v>37414</v>
      </c>
      <c r="H11" s="18">
        <v>2579</v>
      </c>
      <c r="I11" s="18">
        <f>G11+H11</f>
        <v>39993</v>
      </c>
      <c r="J11" s="19">
        <f>I11/$I$49</f>
        <v>0.17267761922238295</v>
      </c>
      <c r="K11" s="18">
        <f t="shared" ref="K11:K48" si="0">E11+I11</f>
        <v>55864</v>
      </c>
      <c r="L11" s="18">
        <v>21</v>
      </c>
      <c r="M11" s="18">
        <f>L11+K11</f>
        <v>55885</v>
      </c>
      <c r="P11" s="31"/>
    </row>
    <row r="12" spans="1:16" x14ac:dyDescent="0.2">
      <c r="B12" s="18" t="s">
        <v>163</v>
      </c>
      <c r="C12" s="18">
        <v>1124</v>
      </c>
      <c r="D12" s="18">
        <v>503</v>
      </c>
      <c r="E12" s="18">
        <f t="shared" ref="E12:E48" si="1">C12+D12</f>
        <v>1627</v>
      </c>
      <c r="F12" s="19">
        <f t="shared" ref="F12:F48" si="2">E12/$E$49</f>
        <v>1.8450686655855569E-2</v>
      </c>
      <c r="G12" s="18">
        <v>3481</v>
      </c>
      <c r="H12" s="18">
        <v>185</v>
      </c>
      <c r="I12" s="18">
        <f t="shared" ref="I12:I48" si="3">G12+H12</f>
        <v>3666</v>
      </c>
      <c r="J12" s="19">
        <f t="shared" ref="J12:J48" si="4">I12/$I$49</f>
        <v>1.5828673819649836E-2</v>
      </c>
      <c r="K12" s="18">
        <f t="shared" si="0"/>
        <v>5293</v>
      </c>
      <c r="L12" s="18">
        <v>6</v>
      </c>
      <c r="M12" s="18">
        <f t="shared" ref="M12:M49" si="5">L12+K12</f>
        <v>5299</v>
      </c>
      <c r="P12" s="31"/>
    </row>
    <row r="13" spans="1:16" x14ac:dyDescent="0.2">
      <c r="B13" s="18" t="s">
        <v>164</v>
      </c>
      <c r="C13" s="18">
        <v>821</v>
      </c>
      <c r="D13" s="18">
        <v>293</v>
      </c>
      <c r="E13" s="18">
        <f t="shared" si="1"/>
        <v>1114</v>
      </c>
      <c r="F13" s="19">
        <f t="shared" si="2"/>
        <v>1.2633106905115614E-2</v>
      </c>
      <c r="G13" s="18">
        <v>2259</v>
      </c>
      <c r="H13" s="18">
        <v>103</v>
      </c>
      <c r="I13" s="18">
        <f t="shared" si="3"/>
        <v>2362</v>
      </c>
      <c r="J13" s="19">
        <f t="shared" si="4"/>
        <v>1.0198398134755295E-2</v>
      </c>
      <c r="K13" s="18">
        <f t="shared" si="0"/>
        <v>3476</v>
      </c>
      <c r="L13" s="18">
        <v>1</v>
      </c>
      <c r="M13" s="18">
        <f t="shared" si="5"/>
        <v>3477</v>
      </c>
      <c r="P13" s="31"/>
    </row>
    <row r="14" spans="1:16" x14ac:dyDescent="0.2">
      <c r="B14" s="18" t="s">
        <v>165</v>
      </c>
      <c r="C14" s="18">
        <v>9417</v>
      </c>
      <c r="D14" s="18">
        <v>3876</v>
      </c>
      <c r="E14" s="18">
        <f t="shared" si="1"/>
        <v>13293</v>
      </c>
      <c r="F14" s="19">
        <f t="shared" si="2"/>
        <v>0.15074675950601604</v>
      </c>
      <c r="G14" s="18">
        <v>38709</v>
      </c>
      <c r="H14" s="18">
        <v>1961</v>
      </c>
      <c r="I14" s="18">
        <f t="shared" si="3"/>
        <v>40670</v>
      </c>
      <c r="J14" s="19">
        <f t="shared" si="4"/>
        <v>0.17560069946676454</v>
      </c>
      <c r="K14" s="18">
        <f t="shared" si="0"/>
        <v>53963</v>
      </c>
      <c r="L14" s="18">
        <v>25</v>
      </c>
      <c r="M14" s="18">
        <f t="shared" si="5"/>
        <v>53988</v>
      </c>
      <c r="P14" s="31"/>
    </row>
    <row r="15" spans="1:16" x14ac:dyDescent="0.2">
      <c r="B15" s="18" t="s">
        <v>166</v>
      </c>
      <c r="C15" s="18">
        <v>126</v>
      </c>
      <c r="D15" s="18">
        <v>74</v>
      </c>
      <c r="E15" s="18">
        <f t="shared" si="1"/>
        <v>200</v>
      </c>
      <c r="F15" s="19">
        <f t="shared" si="2"/>
        <v>2.2680622809902358E-3</v>
      </c>
      <c r="G15" s="18">
        <v>364</v>
      </c>
      <c r="H15" s="18">
        <v>35</v>
      </c>
      <c r="I15" s="18">
        <f t="shared" si="3"/>
        <v>399</v>
      </c>
      <c r="J15" s="19">
        <f t="shared" si="4"/>
        <v>1.7227607348718724E-3</v>
      </c>
      <c r="K15" s="18">
        <f t="shared" si="0"/>
        <v>599</v>
      </c>
      <c r="L15" s="18">
        <v>0</v>
      </c>
      <c r="M15" s="18">
        <f t="shared" si="5"/>
        <v>599</v>
      </c>
      <c r="P15" s="31"/>
    </row>
    <row r="16" spans="1:16" x14ac:dyDescent="0.2">
      <c r="B16" s="18" t="s">
        <v>167</v>
      </c>
      <c r="C16" s="18">
        <v>1870</v>
      </c>
      <c r="D16" s="18">
        <v>896</v>
      </c>
      <c r="E16" s="18">
        <f t="shared" si="1"/>
        <v>2766</v>
      </c>
      <c r="F16" s="19">
        <f t="shared" si="2"/>
        <v>3.1367301346094965E-2</v>
      </c>
      <c r="G16" s="18">
        <v>8372</v>
      </c>
      <c r="H16" s="18">
        <v>455</v>
      </c>
      <c r="I16" s="18">
        <f t="shared" si="3"/>
        <v>8827</v>
      </c>
      <c r="J16" s="19">
        <f t="shared" si="4"/>
        <v>3.8112303274972475E-2</v>
      </c>
      <c r="K16" s="18">
        <f t="shared" si="0"/>
        <v>11593</v>
      </c>
      <c r="L16" s="18">
        <v>4</v>
      </c>
      <c r="M16" s="18">
        <f t="shared" si="5"/>
        <v>11597</v>
      </c>
      <c r="P16" s="31"/>
    </row>
    <row r="17" spans="2:16" x14ac:dyDescent="0.2">
      <c r="B17" s="18" t="s">
        <v>168</v>
      </c>
      <c r="C17" s="18">
        <v>187</v>
      </c>
      <c r="D17" s="18">
        <v>115</v>
      </c>
      <c r="E17" s="18">
        <f t="shared" si="1"/>
        <v>302</v>
      </c>
      <c r="F17" s="19">
        <f t="shared" si="2"/>
        <v>3.4247740442952565E-3</v>
      </c>
      <c r="G17" s="18">
        <v>1028</v>
      </c>
      <c r="H17" s="18">
        <v>68</v>
      </c>
      <c r="I17" s="18">
        <f t="shared" si="3"/>
        <v>1096</v>
      </c>
      <c r="J17" s="19">
        <f t="shared" si="4"/>
        <v>4.7321949008009324E-3</v>
      </c>
      <c r="K17" s="18">
        <f t="shared" si="0"/>
        <v>1398</v>
      </c>
      <c r="L17" s="18">
        <v>0</v>
      </c>
      <c r="M17" s="18">
        <f t="shared" si="5"/>
        <v>1398</v>
      </c>
      <c r="P17" s="31"/>
    </row>
    <row r="18" spans="2:16" x14ac:dyDescent="0.2">
      <c r="B18" s="18" t="s">
        <v>169</v>
      </c>
      <c r="C18" s="18">
        <v>499</v>
      </c>
      <c r="D18" s="18">
        <v>285</v>
      </c>
      <c r="E18" s="18">
        <f t="shared" si="1"/>
        <v>784</v>
      </c>
      <c r="F18" s="19">
        <f t="shared" si="2"/>
        <v>8.8908041414817243E-3</v>
      </c>
      <c r="G18" s="18">
        <v>2100</v>
      </c>
      <c r="H18" s="18">
        <v>110</v>
      </c>
      <c r="I18" s="18">
        <f t="shared" si="3"/>
        <v>2210</v>
      </c>
      <c r="J18" s="19">
        <f t="shared" si="4"/>
        <v>9.5421083309945812E-3</v>
      </c>
      <c r="K18" s="18">
        <f t="shared" si="0"/>
        <v>2994</v>
      </c>
      <c r="L18" s="18">
        <v>0</v>
      </c>
      <c r="M18" s="18">
        <f t="shared" si="5"/>
        <v>2994</v>
      </c>
      <c r="P18" s="31"/>
    </row>
    <row r="19" spans="2:16" x14ac:dyDescent="0.2">
      <c r="B19" s="18" t="s">
        <v>170</v>
      </c>
      <c r="C19" s="18">
        <v>212</v>
      </c>
      <c r="D19" s="18">
        <v>112</v>
      </c>
      <c r="E19" s="18">
        <f t="shared" si="1"/>
        <v>324</v>
      </c>
      <c r="F19" s="19">
        <f t="shared" si="2"/>
        <v>3.6742608952041824E-3</v>
      </c>
      <c r="G19" s="18">
        <v>616</v>
      </c>
      <c r="H19" s="18">
        <v>56</v>
      </c>
      <c r="I19" s="18">
        <f t="shared" si="3"/>
        <v>672</v>
      </c>
      <c r="J19" s="19">
        <f t="shared" si="4"/>
        <v>2.9014917639947325E-3</v>
      </c>
      <c r="K19" s="18">
        <f t="shared" si="0"/>
        <v>996</v>
      </c>
      <c r="L19" s="18">
        <v>0</v>
      </c>
      <c r="M19" s="18">
        <f t="shared" si="5"/>
        <v>996</v>
      </c>
      <c r="P19" s="31"/>
    </row>
    <row r="20" spans="2:16" x14ac:dyDescent="0.2">
      <c r="B20" s="18" t="s">
        <v>171</v>
      </c>
      <c r="C20" s="18">
        <v>2110</v>
      </c>
      <c r="D20" s="18">
        <v>1080</v>
      </c>
      <c r="E20" s="18">
        <f t="shared" si="1"/>
        <v>3190</v>
      </c>
      <c r="F20" s="19">
        <f t="shared" si="2"/>
        <v>3.6175593381794262E-2</v>
      </c>
      <c r="G20" s="18">
        <v>7034</v>
      </c>
      <c r="H20" s="18">
        <v>505</v>
      </c>
      <c r="I20" s="18">
        <f t="shared" si="3"/>
        <v>7539</v>
      </c>
      <c r="J20" s="19">
        <f t="shared" si="4"/>
        <v>3.2551110727315903E-2</v>
      </c>
      <c r="K20" s="18">
        <f t="shared" si="0"/>
        <v>10729</v>
      </c>
      <c r="L20" s="18">
        <v>1</v>
      </c>
      <c r="M20" s="18">
        <f t="shared" si="5"/>
        <v>10730</v>
      </c>
      <c r="P20" s="31"/>
    </row>
    <row r="21" spans="2:16" x14ac:dyDescent="0.2">
      <c r="B21" s="18" t="s">
        <v>172</v>
      </c>
      <c r="C21" s="18">
        <v>774</v>
      </c>
      <c r="D21" s="18">
        <v>482</v>
      </c>
      <c r="E21" s="18">
        <f t="shared" si="1"/>
        <v>1256</v>
      </c>
      <c r="F21" s="19">
        <f t="shared" si="2"/>
        <v>1.4243431124618683E-2</v>
      </c>
      <c r="G21" s="18">
        <v>2030</v>
      </c>
      <c r="H21" s="18">
        <v>193</v>
      </c>
      <c r="I21" s="18">
        <f t="shared" si="3"/>
        <v>2223</v>
      </c>
      <c r="J21" s="19">
        <f t="shared" si="4"/>
        <v>9.5982383800004324E-3</v>
      </c>
      <c r="K21" s="18">
        <f t="shared" si="0"/>
        <v>3479</v>
      </c>
      <c r="L21" s="18">
        <v>0</v>
      </c>
      <c r="M21" s="18">
        <f t="shared" si="5"/>
        <v>3479</v>
      </c>
      <c r="P21" s="31"/>
    </row>
    <row r="22" spans="2:16" x14ac:dyDescent="0.2">
      <c r="B22" s="18" t="s">
        <v>173</v>
      </c>
      <c r="C22" s="18">
        <v>459</v>
      </c>
      <c r="D22" s="18">
        <v>207</v>
      </c>
      <c r="E22" s="18">
        <f t="shared" si="1"/>
        <v>666</v>
      </c>
      <c r="F22" s="19">
        <f t="shared" si="2"/>
        <v>7.5526473956974861E-3</v>
      </c>
      <c r="G22" s="18">
        <v>1731</v>
      </c>
      <c r="H22" s="18">
        <v>136</v>
      </c>
      <c r="I22" s="18">
        <f t="shared" si="3"/>
        <v>1867</v>
      </c>
      <c r="J22" s="19">
        <f t="shared" si="4"/>
        <v>8.0611385764556027E-3</v>
      </c>
      <c r="K22" s="18">
        <f t="shared" si="0"/>
        <v>2533</v>
      </c>
      <c r="L22" s="18">
        <v>1</v>
      </c>
      <c r="M22" s="18">
        <f t="shared" si="5"/>
        <v>2534</v>
      </c>
      <c r="P22" s="31"/>
    </row>
    <row r="23" spans="2:16" x14ac:dyDescent="0.2">
      <c r="B23" s="18" t="s">
        <v>174</v>
      </c>
      <c r="C23" s="18">
        <v>3461</v>
      </c>
      <c r="D23" s="18">
        <v>1895</v>
      </c>
      <c r="E23" s="18">
        <f t="shared" si="1"/>
        <v>5356</v>
      </c>
      <c r="F23" s="19">
        <f t="shared" si="2"/>
        <v>6.0738707884918523E-2</v>
      </c>
      <c r="G23" s="18">
        <v>12460</v>
      </c>
      <c r="H23" s="18">
        <v>904</v>
      </c>
      <c r="I23" s="18">
        <f t="shared" si="3"/>
        <v>13364</v>
      </c>
      <c r="J23" s="19">
        <f t="shared" si="4"/>
        <v>5.7701690378014293E-2</v>
      </c>
      <c r="K23" s="18">
        <f t="shared" si="0"/>
        <v>18720</v>
      </c>
      <c r="L23" s="18">
        <v>2</v>
      </c>
      <c r="M23" s="18">
        <f t="shared" si="5"/>
        <v>18722</v>
      </c>
      <c r="P23" s="31"/>
    </row>
    <row r="24" spans="2:16" x14ac:dyDescent="0.2">
      <c r="B24" s="18" t="s">
        <v>175</v>
      </c>
      <c r="C24" s="18">
        <v>1151</v>
      </c>
      <c r="D24" s="18">
        <v>524</v>
      </c>
      <c r="E24" s="18">
        <f t="shared" si="1"/>
        <v>1675</v>
      </c>
      <c r="F24" s="19">
        <f t="shared" si="2"/>
        <v>1.8995021603293225E-2</v>
      </c>
      <c r="G24" s="18">
        <v>2968</v>
      </c>
      <c r="H24" s="18">
        <v>241</v>
      </c>
      <c r="I24" s="18">
        <f t="shared" si="3"/>
        <v>3209</v>
      </c>
      <c r="J24" s="19">
        <f t="shared" si="4"/>
        <v>1.3855486712290322E-2</v>
      </c>
      <c r="K24" s="18">
        <f t="shared" si="0"/>
        <v>4884</v>
      </c>
      <c r="L24" s="18">
        <v>1</v>
      </c>
      <c r="M24" s="18">
        <f t="shared" si="5"/>
        <v>4885</v>
      </c>
      <c r="P24" s="31"/>
    </row>
    <row r="25" spans="2:16" x14ac:dyDescent="0.2">
      <c r="B25" s="18" t="s">
        <v>176</v>
      </c>
      <c r="C25" s="18">
        <v>799</v>
      </c>
      <c r="D25" s="18">
        <v>241</v>
      </c>
      <c r="E25" s="18">
        <f t="shared" si="1"/>
        <v>1040</v>
      </c>
      <c r="F25" s="19">
        <f t="shared" si="2"/>
        <v>1.1793923861149228E-2</v>
      </c>
      <c r="G25" s="18">
        <v>2480</v>
      </c>
      <c r="H25" s="18">
        <v>109</v>
      </c>
      <c r="I25" s="18">
        <f t="shared" si="3"/>
        <v>2589</v>
      </c>
      <c r="J25" s="19">
        <f t="shared" si="4"/>
        <v>1.1178515144318991E-2</v>
      </c>
      <c r="K25" s="18">
        <f t="shared" si="0"/>
        <v>3629</v>
      </c>
      <c r="L25" s="18">
        <v>1</v>
      </c>
      <c r="M25" s="18">
        <f t="shared" si="5"/>
        <v>3630</v>
      </c>
      <c r="P25" s="31"/>
    </row>
    <row r="26" spans="2:16" x14ac:dyDescent="0.2">
      <c r="B26" s="18" t="s">
        <v>177</v>
      </c>
      <c r="C26" s="18">
        <v>1771</v>
      </c>
      <c r="D26" s="18">
        <v>975</v>
      </c>
      <c r="E26" s="18">
        <f t="shared" si="1"/>
        <v>2746</v>
      </c>
      <c r="F26" s="19">
        <f t="shared" si="2"/>
        <v>3.114049511799594E-2</v>
      </c>
      <c r="G26" s="18">
        <v>10181</v>
      </c>
      <c r="H26" s="18">
        <v>614</v>
      </c>
      <c r="I26" s="18">
        <f t="shared" si="3"/>
        <v>10795</v>
      </c>
      <c r="J26" s="19">
        <f t="shared" si="4"/>
        <v>4.660952915524276E-2</v>
      </c>
      <c r="K26" s="18">
        <f t="shared" si="0"/>
        <v>13541</v>
      </c>
      <c r="L26" s="18">
        <v>6</v>
      </c>
      <c r="M26" s="18">
        <f t="shared" si="5"/>
        <v>13547</v>
      </c>
      <c r="P26" s="31"/>
    </row>
    <row r="27" spans="2:16" x14ac:dyDescent="0.2">
      <c r="B27" s="18" t="s">
        <v>178</v>
      </c>
      <c r="C27" s="18">
        <v>784</v>
      </c>
      <c r="D27" s="18">
        <v>422</v>
      </c>
      <c r="E27" s="18">
        <f t="shared" si="1"/>
        <v>1206</v>
      </c>
      <c r="F27" s="19">
        <f t="shared" si="2"/>
        <v>1.3676415554371123E-2</v>
      </c>
      <c r="G27" s="18">
        <v>3378</v>
      </c>
      <c r="H27" s="18">
        <v>184</v>
      </c>
      <c r="I27" s="18">
        <f t="shared" si="3"/>
        <v>3562</v>
      </c>
      <c r="J27" s="19">
        <f t="shared" si="4"/>
        <v>1.5379633427603031E-2</v>
      </c>
      <c r="K27" s="18">
        <f t="shared" si="0"/>
        <v>4768</v>
      </c>
      <c r="L27" s="18">
        <v>2</v>
      </c>
      <c r="M27" s="18">
        <f t="shared" si="5"/>
        <v>4770</v>
      </c>
      <c r="P27" s="31"/>
    </row>
    <row r="28" spans="2:16" x14ac:dyDescent="0.2">
      <c r="B28" s="18" t="s">
        <v>179</v>
      </c>
      <c r="C28" s="18">
        <v>561</v>
      </c>
      <c r="D28" s="18">
        <v>464</v>
      </c>
      <c r="E28" s="18">
        <f t="shared" si="1"/>
        <v>1025</v>
      </c>
      <c r="F28" s="19">
        <f t="shared" si="2"/>
        <v>1.162381919007496E-2</v>
      </c>
      <c r="G28" s="18">
        <v>2178</v>
      </c>
      <c r="H28" s="18">
        <v>168</v>
      </c>
      <c r="I28" s="18">
        <f t="shared" si="3"/>
        <v>2346</v>
      </c>
      <c r="J28" s="19">
        <f t="shared" si="4"/>
        <v>1.0129314997517324E-2</v>
      </c>
      <c r="K28" s="18">
        <f t="shared" si="0"/>
        <v>3371</v>
      </c>
      <c r="L28" s="18">
        <v>0</v>
      </c>
      <c r="M28" s="18">
        <f t="shared" si="5"/>
        <v>3371</v>
      </c>
      <c r="P28" s="31"/>
    </row>
    <row r="29" spans="2:16" x14ac:dyDescent="0.2">
      <c r="B29" s="18" t="s">
        <v>180</v>
      </c>
      <c r="C29" s="18">
        <v>49</v>
      </c>
      <c r="D29" s="18">
        <v>4</v>
      </c>
      <c r="E29" s="18">
        <f t="shared" si="1"/>
        <v>53</v>
      </c>
      <c r="F29" s="19">
        <f t="shared" si="2"/>
        <v>6.0103650446241249E-4</v>
      </c>
      <c r="G29" s="18">
        <v>75</v>
      </c>
      <c r="H29" s="18">
        <v>2</v>
      </c>
      <c r="I29" s="18">
        <f t="shared" si="3"/>
        <v>77</v>
      </c>
      <c r="J29" s="19">
        <f t="shared" si="4"/>
        <v>3.3246259795772977E-4</v>
      </c>
      <c r="K29" s="18">
        <f t="shared" si="0"/>
        <v>130</v>
      </c>
      <c r="L29" s="18">
        <v>2</v>
      </c>
      <c r="M29" s="18">
        <f t="shared" si="5"/>
        <v>132</v>
      </c>
      <c r="P29" s="31"/>
    </row>
    <row r="30" spans="2:16" x14ac:dyDescent="0.2">
      <c r="B30" s="18" t="s">
        <v>181</v>
      </c>
      <c r="C30" s="18">
        <v>938</v>
      </c>
      <c r="D30" s="18">
        <v>351</v>
      </c>
      <c r="E30" s="18">
        <f t="shared" si="1"/>
        <v>1289</v>
      </c>
      <c r="F30" s="19">
        <f t="shared" si="2"/>
        <v>1.4617661400982071E-2</v>
      </c>
      <c r="G30" s="18">
        <v>3050</v>
      </c>
      <c r="H30" s="18">
        <v>141</v>
      </c>
      <c r="I30" s="18">
        <f t="shared" si="3"/>
        <v>3191</v>
      </c>
      <c r="J30" s="19">
        <f t="shared" si="4"/>
        <v>1.3777768182897606E-2</v>
      </c>
      <c r="K30" s="18">
        <f t="shared" si="0"/>
        <v>4480</v>
      </c>
      <c r="L30" s="18">
        <v>0</v>
      </c>
      <c r="M30" s="18">
        <f t="shared" si="5"/>
        <v>4480</v>
      </c>
      <c r="P30" s="31"/>
    </row>
    <row r="31" spans="2:16" x14ac:dyDescent="0.2">
      <c r="B31" s="18" t="s">
        <v>182</v>
      </c>
      <c r="C31" s="18">
        <v>1064</v>
      </c>
      <c r="D31" s="18">
        <v>572</v>
      </c>
      <c r="E31" s="18">
        <f t="shared" si="1"/>
        <v>1636</v>
      </c>
      <c r="F31" s="19">
        <f t="shared" si="2"/>
        <v>1.8552749458500131E-2</v>
      </c>
      <c r="G31" s="18">
        <v>3575</v>
      </c>
      <c r="H31" s="18">
        <v>205</v>
      </c>
      <c r="I31" s="18">
        <f t="shared" si="3"/>
        <v>3780</v>
      </c>
      <c r="J31" s="19">
        <f t="shared" si="4"/>
        <v>1.6320891172470368E-2</v>
      </c>
      <c r="K31" s="18">
        <f t="shared" si="0"/>
        <v>5416</v>
      </c>
      <c r="L31" s="18">
        <v>6</v>
      </c>
      <c r="M31" s="18">
        <f t="shared" si="5"/>
        <v>5422</v>
      </c>
      <c r="P31" s="31"/>
    </row>
    <row r="32" spans="2:16" x14ac:dyDescent="0.2">
      <c r="B32" s="18" t="s">
        <v>183</v>
      </c>
      <c r="C32" s="18">
        <v>2900</v>
      </c>
      <c r="D32" s="18">
        <v>1421</v>
      </c>
      <c r="E32" s="18">
        <f t="shared" si="1"/>
        <v>4321</v>
      </c>
      <c r="F32" s="19">
        <f t="shared" si="2"/>
        <v>4.9001485580794049E-2</v>
      </c>
      <c r="G32" s="18">
        <v>11703</v>
      </c>
      <c r="H32" s="18">
        <v>724</v>
      </c>
      <c r="I32" s="18">
        <f t="shared" si="3"/>
        <v>12427</v>
      </c>
      <c r="J32" s="19">
        <f t="shared" si="4"/>
        <v>5.3656009153515684E-2</v>
      </c>
      <c r="K32" s="18">
        <f t="shared" si="0"/>
        <v>16748</v>
      </c>
      <c r="L32" s="18">
        <v>2</v>
      </c>
      <c r="M32" s="18">
        <f t="shared" si="5"/>
        <v>16750</v>
      </c>
      <c r="P32" s="31"/>
    </row>
    <row r="33" spans="2:16" x14ac:dyDescent="0.2">
      <c r="B33" s="18" t="s">
        <v>184</v>
      </c>
      <c r="C33" s="18">
        <v>1636</v>
      </c>
      <c r="D33" s="18">
        <v>968</v>
      </c>
      <c r="E33" s="18">
        <f t="shared" si="1"/>
        <v>2604</v>
      </c>
      <c r="F33" s="19">
        <f t="shared" si="2"/>
        <v>2.9530170898492872E-2</v>
      </c>
      <c r="G33" s="18">
        <v>4356</v>
      </c>
      <c r="H33" s="18">
        <v>324</v>
      </c>
      <c r="I33" s="18">
        <f t="shared" si="3"/>
        <v>4680</v>
      </c>
      <c r="J33" s="19">
        <f t="shared" si="4"/>
        <v>2.0206817642106172E-2</v>
      </c>
      <c r="K33" s="18">
        <f t="shared" si="0"/>
        <v>7284</v>
      </c>
      <c r="L33" s="18">
        <v>2</v>
      </c>
      <c r="M33" s="18">
        <f t="shared" si="5"/>
        <v>7286</v>
      </c>
      <c r="P33" s="31"/>
    </row>
    <row r="34" spans="2:16" x14ac:dyDescent="0.2">
      <c r="B34" s="18" t="s">
        <v>185</v>
      </c>
      <c r="C34" s="18">
        <v>760</v>
      </c>
      <c r="D34" s="18">
        <v>624</v>
      </c>
      <c r="E34" s="18">
        <f t="shared" si="1"/>
        <v>1384</v>
      </c>
      <c r="F34" s="19">
        <f t="shared" si="2"/>
        <v>1.5694990984452432E-2</v>
      </c>
      <c r="G34" s="18">
        <v>2569</v>
      </c>
      <c r="H34" s="18">
        <v>171</v>
      </c>
      <c r="I34" s="18">
        <f t="shared" si="3"/>
        <v>2740</v>
      </c>
      <c r="J34" s="19">
        <f t="shared" si="4"/>
        <v>1.1830487252002331E-2</v>
      </c>
      <c r="K34" s="18">
        <f t="shared" si="0"/>
        <v>4124</v>
      </c>
      <c r="L34" s="18">
        <v>1</v>
      </c>
      <c r="M34" s="18">
        <f t="shared" si="5"/>
        <v>4125</v>
      </c>
      <c r="P34" s="31"/>
    </row>
    <row r="35" spans="2:16" x14ac:dyDescent="0.2">
      <c r="B35" s="18" t="s">
        <v>186</v>
      </c>
      <c r="C35" s="18">
        <v>865</v>
      </c>
      <c r="D35" s="18">
        <v>450</v>
      </c>
      <c r="E35" s="18">
        <f t="shared" si="1"/>
        <v>1315</v>
      </c>
      <c r="F35" s="19">
        <f t="shared" si="2"/>
        <v>1.4912509497510801E-2</v>
      </c>
      <c r="G35" s="18">
        <v>2980</v>
      </c>
      <c r="H35" s="18">
        <v>163</v>
      </c>
      <c r="I35" s="18">
        <f t="shared" si="3"/>
        <v>3143</v>
      </c>
      <c r="J35" s="19">
        <f t="shared" si="4"/>
        <v>1.3570518771183697E-2</v>
      </c>
      <c r="K35" s="18">
        <f t="shared" si="0"/>
        <v>4458</v>
      </c>
      <c r="L35" s="18">
        <v>0</v>
      </c>
      <c r="M35" s="18">
        <f t="shared" si="5"/>
        <v>4458</v>
      </c>
      <c r="P35" s="31"/>
    </row>
    <row r="36" spans="2:16" x14ac:dyDescent="0.2">
      <c r="B36" s="18" t="s">
        <v>187</v>
      </c>
      <c r="C36" s="18">
        <v>258</v>
      </c>
      <c r="D36" s="18">
        <v>107</v>
      </c>
      <c r="E36" s="18">
        <f t="shared" si="1"/>
        <v>365</v>
      </c>
      <c r="F36" s="19">
        <f t="shared" si="2"/>
        <v>4.1392136628071808E-3</v>
      </c>
      <c r="G36" s="18">
        <v>788</v>
      </c>
      <c r="H36" s="18">
        <v>43</v>
      </c>
      <c r="I36" s="18">
        <f t="shared" si="3"/>
        <v>831</v>
      </c>
      <c r="J36" s="19">
        <f t="shared" si="4"/>
        <v>3.5880054402970575E-3</v>
      </c>
      <c r="K36" s="18">
        <f t="shared" si="0"/>
        <v>1196</v>
      </c>
      <c r="L36" s="18">
        <v>1</v>
      </c>
      <c r="M36" s="18">
        <f t="shared" si="5"/>
        <v>1197</v>
      </c>
      <c r="P36" s="31"/>
    </row>
    <row r="37" spans="2:16" x14ac:dyDescent="0.2">
      <c r="B37" s="18" t="s">
        <v>188</v>
      </c>
      <c r="C37" s="18">
        <v>321</v>
      </c>
      <c r="D37" s="18">
        <v>276</v>
      </c>
      <c r="E37" s="18">
        <f t="shared" si="1"/>
        <v>597</v>
      </c>
      <c r="F37" s="19">
        <f t="shared" si="2"/>
        <v>6.7701659087558543E-3</v>
      </c>
      <c r="G37" s="18">
        <v>1228</v>
      </c>
      <c r="H37" s="18">
        <v>139</v>
      </c>
      <c r="I37" s="18">
        <f t="shared" si="3"/>
        <v>1367</v>
      </c>
      <c r="J37" s="19">
        <f t="shared" si="4"/>
        <v>5.9022905377690464E-3</v>
      </c>
      <c r="K37" s="18">
        <f t="shared" si="0"/>
        <v>1964</v>
      </c>
      <c r="L37" s="18">
        <v>0</v>
      </c>
      <c r="M37" s="18">
        <f t="shared" si="5"/>
        <v>1964</v>
      </c>
      <c r="P37" s="31"/>
    </row>
    <row r="38" spans="2:16" x14ac:dyDescent="0.2">
      <c r="B38" s="18" t="s">
        <v>189</v>
      </c>
      <c r="C38" s="18">
        <v>654</v>
      </c>
      <c r="D38" s="18">
        <v>189</v>
      </c>
      <c r="E38" s="18">
        <f t="shared" si="1"/>
        <v>843</v>
      </c>
      <c r="F38" s="19">
        <f t="shared" si="2"/>
        <v>9.5598825143738443E-3</v>
      </c>
      <c r="G38" s="18">
        <v>1586</v>
      </c>
      <c r="H38" s="18">
        <v>67</v>
      </c>
      <c r="I38" s="18">
        <f t="shared" si="3"/>
        <v>1653</v>
      </c>
      <c r="J38" s="19">
        <f t="shared" si="4"/>
        <v>7.1371516158977568E-3</v>
      </c>
      <c r="K38" s="18">
        <f t="shared" si="0"/>
        <v>2496</v>
      </c>
      <c r="L38" s="18">
        <v>4</v>
      </c>
      <c r="M38" s="18">
        <f t="shared" si="5"/>
        <v>2500</v>
      </c>
      <c r="P38" s="31"/>
    </row>
    <row r="39" spans="2:16" x14ac:dyDescent="0.2">
      <c r="B39" s="18" t="s">
        <v>190</v>
      </c>
      <c r="C39" s="18">
        <v>664</v>
      </c>
      <c r="D39" s="18">
        <v>225</v>
      </c>
      <c r="E39" s="18">
        <f t="shared" si="1"/>
        <v>889</v>
      </c>
      <c r="F39" s="19">
        <f t="shared" si="2"/>
        <v>1.0081536839001599E-2</v>
      </c>
      <c r="G39" s="18">
        <v>2031</v>
      </c>
      <c r="H39" s="18">
        <v>102</v>
      </c>
      <c r="I39" s="18">
        <f t="shared" si="3"/>
        <v>2133</v>
      </c>
      <c r="J39" s="19">
        <f t="shared" si="4"/>
        <v>9.2096457330368524E-3</v>
      </c>
      <c r="K39" s="18">
        <f t="shared" si="0"/>
        <v>3022</v>
      </c>
      <c r="L39" s="18">
        <v>3</v>
      </c>
      <c r="M39" s="18">
        <f t="shared" si="5"/>
        <v>3025</v>
      </c>
      <c r="P39" s="31"/>
    </row>
    <row r="40" spans="2:16" x14ac:dyDescent="0.2">
      <c r="B40" s="18" t="s">
        <v>191</v>
      </c>
      <c r="C40" s="18">
        <v>382</v>
      </c>
      <c r="D40" s="18">
        <v>97</v>
      </c>
      <c r="E40" s="18">
        <f t="shared" si="1"/>
        <v>479</v>
      </c>
      <c r="F40" s="19">
        <f t="shared" si="2"/>
        <v>5.4320091629716152E-3</v>
      </c>
      <c r="G40" s="18">
        <v>1128</v>
      </c>
      <c r="H40" s="18">
        <v>49</v>
      </c>
      <c r="I40" s="18">
        <f t="shared" si="3"/>
        <v>1177</v>
      </c>
      <c r="J40" s="19">
        <f t="shared" si="4"/>
        <v>5.0819282830681552E-3</v>
      </c>
      <c r="K40" s="18">
        <f t="shared" si="0"/>
        <v>1656</v>
      </c>
      <c r="L40" s="18">
        <v>0</v>
      </c>
      <c r="M40" s="18">
        <f t="shared" si="5"/>
        <v>1656</v>
      </c>
      <c r="P40" s="31"/>
    </row>
    <row r="41" spans="2:16" x14ac:dyDescent="0.2">
      <c r="B41" s="18" t="s">
        <v>192</v>
      </c>
      <c r="C41" s="18">
        <v>277</v>
      </c>
      <c r="D41" s="18">
        <v>179</v>
      </c>
      <c r="E41" s="18">
        <f t="shared" si="1"/>
        <v>456</v>
      </c>
      <c r="F41" s="19">
        <f t="shared" si="2"/>
        <v>5.1711820006577385E-3</v>
      </c>
      <c r="G41" s="18">
        <v>1415</v>
      </c>
      <c r="H41" s="18">
        <v>78</v>
      </c>
      <c r="I41" s="18">
        <f t="shared" si="3"/>
        <v>1493</v>
      </c>
      <c r="J41" s="19">
        <f t="shared" si="4"/>
        <v>6.4463202435180592E-3</v>
      </c>
      <c r="K41" s="18">
        <f t="shared" si="0"/>
        <v>1949</v>
      </c>
      <c r="L41" s="18">
        <v>0</v>
      </c>
      <c r="M41" s="18">
        <f t="shared" si="5"/>
        <v>1949</v>
      </c>
      <c r="P41" s="31"/>
    </row>
    <row r="42" spans="2:16" x14ac:dyDescent="0.2">
      <c r="B42" s="18" t="s">
        <v>193</v>
      </c>
      <c r="C42" s="18">
        <v>541</v>
      </c>
      <c r="D42" s="18">
        <v>302</v>
      </c>
      <c r="E42" s="18">
        <f t="shared" si="1"/>
        <v>843</v>
      </c>
      <c r="F42" s="19">
        <f t="shared" si="2"/>
        <v>9.5598825143738443E-3</v>
      </c>
      <c r="G42" s="18">
        <v>1849</v>
      </c>
      <c r="H42" s="18">
        <v>78</v>
      </c>
      <c r="I42" s="18">
        <f t="shared" si="3"/>
        <v>1927</v>
      </c>
      <c r="J42" s="19">
        <f t="shared" si="4"/>
        <v>8.3202003410979899E-3</v>
      </c>
      <c r="K42" s="18">
        <f t="shared" si="0"/>
        <v>2770</v>
      </c>
      <c r="L42" s="18">
        <v>2</v>
      </c>
      <c r="M42" s="18">
        <f t="shared" si="5"/>
        <v>2772</v>
      </c>
      <c r="P42" s="31"/>
    </row>
    <row r="43" spans="2:16" x14ac:dyDescent="0.2">
      <c r="B43" s="18" t="s">
        <v>194</v>
      </c>
      <c r="C43" s="18">
        <v>194</v>
      </c>
      <c r="D43" s="18">
        <v>119</v>
      </c>
      <c r="E43" s="18">
        <f t="shared" si="1"/>
        <v>313</v>
      </c>
      <c r="F43" s="19">
        <f t="shared" si="2"/>
        <v>3.5495174697497195E-3</v>
      </c>
      <c r="G43" s="18">
        <v>941</v>
      </c>
      <c r="H43" s="18">
        <v>59</v>
      </c>
      <c r="I43" s="18">
        <f t="shared" si="3"/>
        <v>1000</v>
      </c>
      <c r="J43" s="19">
        <f t="shared" si="4"/>
        <v>4.3176960773731133E-3</v>
      </c>
      <c r="K43" s="18">
        <f t="shared" si="0"/>
        <v>1313</v>
      </c>
      <c r="L43" s="18">
        <v>0</v>
      </c>
      <c r="M43" s="18">
        <f t="shared" si="5"/>
        <v>1313</v>
      </c>
      <c r="P43" s="31"/>
    </row>
    <row r="44" spans="2:16" x14ac:dyDescent="0.2">
      <c r="B44" s="18" t="s">
        <v>195</v>
      </c>
      <c r="C44" s="18">
        <v>343</v>
      </c>
      <c r="D44" s="18">
        <v>208</v>
      </c>
      <c r="E44" s="18">
        <f t="shared" si="1"/>
        <v>551</v>
      </c>
      <c r="F44" s="19">
        <f t="shared" si="2"/>
        <v>6.2485115841281001E-3</v>
      </c>
      <c r="G44" s="18">
        <v>1988</v>
      </c>
      <c r="H44" s="18">
        <v>90</v>
      </c>
      <c r="I44" s="18">
        <f t="shared" si="3"/>
        <v>2078</v>
      </c>
      <c r="J44" s="19">
        <f t="shared" si="4"/>
        <v>8.9721724487813303E-3</v>
      </c>
      <c r="K44" s="18">
        <f t="shared" si="0"/>
        <v>2629</v>
      </c>
      <c r="L44" s="18">
        <v>0</v>
      </c>
      <c r="M44" s="18">
        <f t="shared" si="5"/>
        <v>2629</v>
      </c>
      <c r="P44" s="31"/>
    </row>
    <row r="45" spans="2:16" x14ac:dyDescent="0.2">
      <c r="B45" s="18" t="s">
        <v>196</v>
      </c>
      <c r="C45" s="18">
        <v>4953</v>
      </c>
      <c r="D45" s="18">
        <v>2300</v>
      </c>
      <c r="E45" s="18">
        <f t="shared" si="1"/>
        <v>7253</v>
      </c>
      <c r="F45" s="19">
        <f t="shared" si="2"/>
        <v>8.2251278620110904E-2</v>
      </c>
      <c r="G45" s="18">
        <v>17776</v>
      </c>
      <c r="H45" s="18">
        <v>1012</v>
      </c>
      <c r="I45" s="18">
        <f t="shared" si="3"/>
        <v>18788</v>
      </c>
      <c r="J45" s="19">
        <f t="shared" si="4"/>
        <v>8.1120873901686055E-2</v>
      </c>
      <c r="K45" s="18">
        <f t="shared" si="0"/>
        <v>26041</v>
      </c>
      <c r="L45" s="18">
        <v>10</v>
      </c>
      <c r="M45" s="18">
        <f t="shared" si="5"/>
        <v>26051</v>
      </c>
      <c r="P45" s="31"/>
    </row>
    <row r="46" spans="2:16" x14ac:dyDescent="0.2">
      <c r="B46" s="18" t="s">
        <v>197</v>
      </c>
      <c r="C46" s="18">
        <v>1594</v>
      </c>
      <c r="D46" s="18">
        <v>720</v>
      </c>
      <c r="E46" s="18">
        <f t="shared" si="1"/>
        <v>2314</v>
      </c>
      <c r="F46" s="19">
        <f t="shared" si="2"/>
        <v>2.6241480591057031E-2</v>
      </c>
      <c r="G46" s="18">
        <v>5973</v>
      </c>
      <c r="H46" s="18">
        <v>369</v>
      </c>
      <c r="I46" s="18">
        <f t="shared" si="3"/>
        <v>6342</v>
      </c>
      <c r="J46" s="19">
        <f t="shared" si="4"/>
        <v>2.7382828522700287E-2</v>
      </c>
      <c r="K46" s="18">
        <f t="shared" si="0"/>
        <v>8656</v>
      </c>
      <c r="L46" s="18">
        <v>2</v>
      </c>
      <c r="M46" s="18">
        <f t="shared" si="5"/>
        <v>8658</v>
      </c>
      <c r="P46" s="31"/>
    </row>
    <row r="47" spans="2:16" x14ac:dyDescent="0.2">
      <c r="B47" s="18" t="s">
        <v>198</v>
      </c>
      <c r="C47" s="18">
        <v>656</v>
      </c>
      <c r="D47" s="18">
        <v>335</v>
      </c>
      <c r="E47" s="18">
        <f t="shared" si="1"/>
        <v>991</v>
      </c>
      <c r="F47" s="19">
        <f t="shared" si="2"/>
        <v>1.1238248602306619E-2</v>
      </c>
      <c r="G47" s="18">
        <v>2104</v>
      </c>
      <c r="H47" s="18">
        <v>145</v>
      </c>
      <c r="I47" s="18">
        <f t="shared" si="3"/>
        <v>2249</v>
      </c>
      <c r="J47" s="19">
        <f t="shared" si="4"/>
        <v>9.710498478012133E-3</v>
      </c>
      <c r="K47" s="18">
        <f t="shared" si="0"/>
        <v>3240</v>
      </c>
      <c r="L47" s="18">
        <v>3</v>
      </c>
      <c r="M47" s="18">
        <f t="shared" si="5"/>
        <v>3243</v>
      </c>
      <c r="P47" s="31"/>
    </row>
    <row r="48" spans="2:16" x14ac:dyDescent="0.2">
      <c r="B48" s="18" t="s">
        <v>199</v>
      </c>
      <c r="C48" s="18">
        <v>3287</v>
      </c>
      <c r="D48" s="18">
        <v>1957</v>
      </c>
      <c r="E48" s="18">
        <f t="shared" si="1"/>
        <v>5244</v>
      </c>
      <c r="F48" s="19">
        <f t="shared" si="2"/>
        <v>5.9468593007563984E-2</v>
      </c>
      <c r="G48" s="18">
        <v>12381</v>
      </c>
      <c r="H48" s="18">
        <v>759</v>
      </c>
      <c r="I48" s="18">
        <f t="shared" si="3"/>
        <v>13140</v>
      </c>
      <c r="J48" s="19">
        <f t="shared" si="4"/>
        <v>5.6734526456682713E-2</v>
      </c>
      <c r="K48" s="18">
        <f t="shared" si="0"/>
        <v>18384</v>
      </c>
      <c r="L48" s="18">
        <v>8</v>
      </c>
      <c r="M48" s="18">
        <f t="shared" si="5"/>
        <v>18392</v>
      </c>
      <c r="P48" s="31"/>
    </row>
    <row r="49" spans="2:16" x14ac:dyDescent="0.2">
      <c r="B49" s="20" t="s">
        <v>49</v>
      </c>
      <c r="C49" s="18">
        <f t="shared" ref="C49:H49" si="6">SUM(C11:C48)</f>
        <v>58556</v>
      </c>
      <c r="D49" s="18">
        <f t="shared" si="6"/>
        <v>29625</v>
      </c>
      <c r="E49" s="20">
        <f t="shared" ref="E49" si="7">C49+D49</f>
        <v>88181</v>
      </c>
      <c r="F49" s="22">
        <f t="shared" ref="F49" si="8">E49/$E$49</f>
        <v>1</v>
      </c>
      <c r="G49" s="18">
        <f t="shared" si="6"/>
        <v>218279</v>
      </c>
      <c r="H49" s="18">
        <f t="shared" si="6"/>
        <v>13326</v>
      </c>
      <c r="I49" s="20">
        <f t="shared" ref="I49" si="9">G49+H49</f>
        <v>231605</v>
      </c>
      <c r="J49" s="22">
        <f t="shared" ref="J49" si="10">I49/$I$49</f>
        <v>1</v>
      </c>
      <c r="K49" s="20">
        <f t="shared" ref="K49" si="11">E49+I49</f>
        <v>319786</v>
      </c>
      <c r="L49" s="18">
        <f t="shared" ref="L49" si="12">SUM(L11:L48)</f>
        <v>117</v>
      </c>
      <c r="M49" s="20">
        <f t="shared" si="5"/>
        <v>319903</v>
      </c>
      <c r="P49" s="31"/>
    </row>
    <row r="50" spans="2:16" ht="25.5" customHeight="1" x14ac:dyDescent="0.2">
      <c r="B50" s="32" t="s">
        <v>64</v>
      </c>
      <c r="C50" s="33">
        <f>+C49/M49</f>
        <v>0.18304298490479926</v>
      </c>
      <c r="D50" s="33">
        <f>+D49/M49</f>
        <v>9.2606196253239265E-2</v>
      </c>
      <c r="E50" s="34">
        <f>+E49/M49</f>
        <v>0.27564918115803855</v>
      </c>
      <c r="F50" s="34"/>
      <c r="G50" s="33">
        <f>+G49/M49</f>
        <v>0.68232870588897254</v>
      </c>
      <c r="H50" s="33">
        <f>+H49/M49</f>
        <v>4.1656377089305197E-2</v>
      </c>
      <c r="I50" s="34">
        <f>+I49/M49</f>
        <v>0.72398508297827779</v>
      </c>
      <c r="J50" s="34"/>
      <c r="K50" s="34">
        <f>+K49/M49</f>
        <v>0.99963426413631629</v>
      </c>
      <c r="L50" s="34">
        <f>+L49/M49</f>
        <v>3.6573586368367911E-4</v>
      </c>
      <c r="M50" s="34">
        <f>K50+L50</f>
        <v>1</v>
      </c>
    </row>
    <row r="51" spans="2:16" x14ac:dyDescent="0.2">
      <c r="B51" s="25"/>
      <c r="C51" s="38"/>
      <c r="D51" s="38"/>
      <c r="E51" s="38"/>
      <c r="F51" s="38"/>
      <c r="G51" s="38"/>
      <c r="H51" s="38"/>
      <c r="I51" s="38"/>
      <c r="J51" s="38"/>
      <c r="K51" s="38"/>
    </row>
    <row r="52" spans="2:16" ht="12.75" x14ac:dyDescent="0.2">
      <c r="B52" s="369" t="s">
        <v>85</v>
      </c>
      <c r="C52" s="369"/>
      <c r="D52" s="369"/>
      <c r="E52" s="369"/>
      <c r="F52" s="369"/>
      <c r="G52" s="369"/>
      <c r="H52" s="369"/>
      <c r="I52" s="369"/>
      <c r="J52" s="369"/>
      <c r="K52" s="369"/>
    </row>
    <row r="53" spans="2:16" ht="12.75" x14ac:dyDescent="0.2">
      <c r="B53" s="385" t="str">
        <f>'Solicitudes Regiones'!$B$6:$R$6</f>
        <v>Acumuladas de julio de 2008 a diciembre de 2021</v>
      </c>
      <c r="C53" s="385"/>
      <c r="D53" s="385"/>
      <c r="E53" s="385"/>
      <c r="F53" s="385"/>
      <c r="G53" s="385"/>
      <c r="H53" s="385"/>
      <c r="I53" s="385"/>
      <c r="J53" s="385"/>
      <c r="K53" s="385"/>
    </row>
    <row r="54" spans="2:16" x14ac:dyDescent="0.2">
      <c r="B54" s="25"/>
      <c r="C54" s="38"/>
      <c r="D54" s="38"/>
      <c r="E54" s="38"/>
      <c r="F54" s="38"/>
      <c r="G54" s="38"/>
      <c r="H54" s="38"/>
      <c r="I54" s="38"/>
      <c r="J54" s="38"/>
      <c r="K54" s="38"/>
    </row>
    <row r="55" spans="2:16" ht="15" customHeight="1" x14ac:dyDescent="0.2">
      <c r="B55" s="399" t="s">
        <v>65</v>
      </c>
      <c r="C55" s="399"/>
      <c r="D55" s="399"/>
      <c r="E55" s="399"/>
      <c r="F55" s="399"/>
      <c r="G55" s="399"/>
      <c r="H55" s="399"/>
      <c r="I55" s="399"/>
      <c r="J55" s="399"/>
      <c r="K55" s="399"/>
      <c r="L55" s="399"/>
      <c r="M55" s="399"/>
    </row>
    <row r="56" spans="2:16" ht="15" customHeight="1" x14ac:dyDescent="0.2">
      <c r="B56" s="399" t="s">
        <v>56</v>
      </c>
      <c r="C56" s="399" t="s">
        <v>2</v>
      </c>
      <c r="D56" s="399"/>
      <c r="E56" s="399"/>
      <c r="F56" s="399"/>
      <c r="G56" s="399"/>
      <c r="H56" s="399"/>
      <c r="I56" s="399"/>
      <c r="J56" s="399"/>
      <c r="K56" s="399"/>
      <c r="L56" s="397"/>
      <c r="M56" s="398"/>
    </row>
    <row r="57" spans="2:16" ht="24" x14ac:dyDescent="0.2">
      <c r="B57" s="399"/>
      <c r="C57" s="23" t="s">
        <v>57</v>
      </c>
      <c r="D57" s="23" t="s">
        <v>58</v>
      </c>
      <c r="E57" s="23" t="s">
        <v>59</v>
      </c>
      <c r="F57" s="23" t="s">
        <v>60</v>
      </c>
      <c r="G57" s="23" t="s">
        <v>8</v>
      </c>
      <c r="H57" s="23" t="s">
        <v>61</v>
      </c>
      <c r="I57" s="23" t="s">
        <v>62</v>
      </c>
      <c r="J57" s="23" t="s">
        <v>63</v>
      </c>
      <c r="K57" s="24" t="s">
        <v>31</v>
      </c>
      <c r="L57" s="261" t="s">
        <v>584</v>
      </c>
      <c r="M57" s="261" t="s">
        <v>587</v>
      </c>
    </row>
    <row r="58" spans="2:16" x14ac:dyDescent="0.2">
      <c r="B58" s="18" t="s">
        <v>39</v>
      </c>
      <c r="C58" s="18">
        <v>9073</v>
      </c>
      <c r="D58" s="18">
        <v>4025</v>
      </c>
      <c r="E58" s="18">
        <f>C58+D58</f>
        <v>13098</v>
      </c>
      <c r="F58" s="19">
        <f>E58/$E$96</f>
        <v>0.18679673127112481</v>
      </c>
      <c r="G58" s="18">
        <v>31449</v>
      </c>
      <c r="H58" s="18">
        <v>2222</v>
      </c>
      <c r="I58" s="18">
        <f>G58+H58</f>
        <v>33671</v>
      </c>
      <c r="J58" s="19">
        <f>I58/$I$96</f>
        <v>0.17377235310814645</v>
      </c>
      <c r="K58" s="18">
        <f t="shared" ref="K58:K95" si="13">E58+I58</f>
        <v>46769</v>
      </c>
      <c r="L58" s="18">
        <v>0</v>
      </c>
      <c r="M58" s="18">
        <f>L58+K58</f>
        <v>46769</v>
      </c>
    </row>
    <row r="59" spans="2:16" x14ac:dyDescent="0.2">
      <c r="B59" s="18" t="s">
        <v>163</v>
      </c>
      <c r="C59" s="18">
        <v>923</v>
      </c>
      <c r="D59" s="18">
        <v>342</v>
      </c>
      <c r="E59" s="18">
        <f t="shared" ref="E59:E95" si="14">C59+D59</f>
        <v>1265</v>
      </c>
      <c r="F59" s="19">
        <f t="shared" ref="F59:F95" si="15">E59/$E$96</f>
        <v>1.8040759280651464E-2</v>
      </c>
      <c r="G59" s="18">
        <v>2849</v>
      </c>
      <c r="H59" s="18">
        <v>158</v>
      </c>
      <c r="I59" s="18">
        <f t="shared" ref="I59:I95" si="16">G59+H59</f>
        <v>3007</v>
      </c>
      <c r="J59" s="19">
        <f t="shared" ref="J59:J95" si="17">I59/$I$96</f>
        <v>1.5518798544628802E-2</v>
      </c>
      <c r="K59" s="18">
        <f t="shared" si="13"/>
        <v>4272</v>
      </c>
      <c r="L59" s="18">
        <v>0</v>
      </c>
      <c r="M59" s="18">
        <f t="shared" ref="M59:M96" si="18">L59+K59</f>
        <v>4272</v>
      </c>
    </row>
    <row r="60" spans="2:16" x14ac:dyDescent="0.2">
      <c r="B60" s="18" t="s">
        <v>164</v>
      </c>
      <c r="C60" s="18">
        <v>679</v>
      </c>
      <c r="D60" s="18">
        <v>159</v>
      </c>
      <c r="E60" s="18">
        <f t="shared" si="14"/>
        <v>838</v>
      </c>
      <c r="F60" s="19">
        <f t="shared" si="15"/>
        <v>1.1951111681569903E-2</v>
      </c>
      <c r="G60" s="18">
        <v>1847</v>
      </c>
      <c r="H60" s="18">
        <v>93</v>
      </c>
      <c r="I60" s="18">
        <f t="shared" si="16"/>
        <v>1940</v>
      </c>
      <c r="J60" s="19">
        <f t="shared" si="17"/>
        <v>1.0012128093308904E-2</v>
      </c>
      <c r="K60" s="18">
        <f t="shared" si="13"/>
        <v>2778</v>
      </c>
      <c r="L60" s="18">
        <v>0</v>
      </c>
      <c r="M60" s="18">
        <f t="shared" si="18"/>
        <v>2778</v>
      </c>
    </row>
    <row r="61" spans="2:16" x14ac:dyDescent="0.2">
      <c r="B61" s="18" t="s">
        <v>165</v>
      </c>
      <c r="C61" s="18">
        <v>8323</v>
      </c>
      <c r="D61" s="18">
        <v>2812</v>
      </c>
      <c r="E61" s="18">
        <f t="shared" si="14"/>
        <v>11135</v>
      </c>
      <c r="F61" s="19">
        <f t="shared" si="15"/>
        <v>0.15880146607909412</v>
      </c>
      <c r="G61" s="18">
        <v>31631</v>
      </c>
      <c r="H61" s="18">
        <v>1694</v>
      </c>
      <c r="I61" s="18">
        <f t="shared" si="16"/>
        <v>33325</v>
      </c>
      <c r="J61" s="19">
        <f t="shared" si="17"/>
        <v>0.17198668490181404</v>
      </c>
      <c r="K61" s="18">
        <f t="shared" si="13"/>
        <v>44460</v>
      </c>
      <c r="L61" s="18">
        <v>2</v>
      </c>
      <c r="M61" s="18">
        <f t="shared" si="18"/>
        <v>44462</v>
      </c>
    </row>
    <row r="62" spans="2:16" x14ac:dyDescent="0.2">
      <c r="B62" s="18" t="s">
        <v>166</v>
      </c>
      <c r="C62" s="18">
        <v>109</v>
      </c>
      <c r="D62" s="18">
        <v>52</v>
      </c>
      <c r="E62" s="18">
        <f t="shared" si="14"/>
        <v>161</v>
      </c>
      <c r="F62" s="19">
        <f t="shared" si="15"/>
        <v>2.2960966357192772E-3</v>
      </c>
      <c r="G62" s="18">
        <v>315</v>
      </c>
      <c r="H62" s="18">
        <v>30</v>
      </c>
      <c r="I62" s="18">
        <f t="shared" si="16"/>
        <v>345</v>
      </c>
      <c r="J62" s="19">
        <f t="shared" si="17"/>
        <v>1.780507315562666E-3</v>
      </c>
      <c r="K62" s="18">
        <f t="shared" si="13"/>
        <v>506</v>
      </c>
      <c r="L62" s="18">
        <v>0</v>
      </c>
      <c r="M62" s="18">
        <f t="shared" si="18"/>
        <v>506</v>
      </c>
    </row>
    <row r="63" spans="2:16" x14ac:dyDescent="0.2">
      <c r="B63" s="18" t="s">
        <v>167</v>
      </c>
      <c r="C63" s="18">
        <v>1495</v>
      </c>
      <c r="D63" s="18">
        <v>483</v>
      </c>
      <c r="E63" s="18">
        <f t="shared" si="14"/>
        <v>1978</v>
      </c>
      <c r="F63" s="19">
        <f t="shared" si="15"/>
        <v>2.8209187238836836E-2</v>
      </c>
      <c r="G63" s="18">
        <v>6873</v>
      </c>
      <c r="H63" s="18">
        <v>391</v>
      </c>
      <c r="I63" s="18">
        <f t="shared" si="16"/>
        <v>7264</v>
      </c>
      <c r="J63" s="19">
        <f t="shared" si="17"/>
        <v>3.7488710551441179E-2</v>
      </c>
      <c r="K63" s="18">
        <f t="shared" si="13"/>
        <v>9242</v>
      </c>
      <c r="L63" s="18">
        <v>0</v>
      </c>
      <c r="M63" s="18">
        <f t="shared" si="18"/>
        <v>9242</v>
      </c>
    </row>
    <row r="64" spans="2:16" x14ac:dyDescent="0.2">
      <c r="B64" s="18" t="s">
        <v>168</v>
      </c>
      <c r="C64" s="18">
        <v>167</v>
      </c>
      <c r="D64" s="18">
        <v>65</v>
      </c>
      <c r="E64" s="18">
        <f t="shared" si="14"/>
        <v>232</v>
      </c>
      <c r="F64" s="19">
        <f t="shared" si="15"/>
        <v>3.3086609906016915E-3</v>
      </c>
      <c r="G64" s="18">
        <v>913</v>
      </c>
      <c r="H64" s="18">
        <v>60</v>
      </c>
      <c r="I64" s="18">
        <f t="shared" si="16"/>
        <v>973</v>
      </c>
      <c r="J64" s="19">
        <f t="shared" si="17"/>
        <v>5.0215467189636933E-3</v>
      </c>
      <c r="K64" s="18">
        <f t="shared" si="13"/>
        <v>1205</v>
      </c>
      <c r="L64" s="18">
        <v>0</v>
      </c>
      <c r="M64" s="18">
        <f t="shared" si="18"/>
        <v>1205</v>
      </c>
    </row>
    <row r="65" spans="2:13" x14ac:dyDescent="0.2">
      <c r="B65" s="18" t="s">
        <v>169</v>
      </c>
      <c r="C65" s="18">
        <v>396</v>
      </c>
      <c r="D65" s="18">
        <v>135</v>
      </c>
      <c r="E65" s="18">
        <f t="shared" si="14"/>
        <v>531</v>
      </c>
      <c r="F65" s="19">
        <f t="shared" si="15"/>
        <v>7.5728404569374921E-3</v>
      </c>
      <c r="G65" s="18">
        <v>1753</v>
      </c>
      <c r="H65" s="18">
        <v>94</v>
      </c>
      <c r="I65" s="18">
        <f t="shared" si="16"/>
        <v>1847</v>
      </c>
      <c r="J65" s="19">
        <f t="shared" si="17"/>
        <v>9.5321652517224471E-3</v>
      </c>
      <c r="K65" s="18">
        <f t="shared" si="13"/>
        <v>2378</v>
      </c>
      <c r="L65" s="18">
        <v>0</v>
      </c>
      <c r="M65" s="18">
        <f t="shared" si="18"/>
        <v>2378</v>
      </c>
    </row>
    <row r="66" spans="2:13" x14ac:dyDescent="0.2">
      <c r="B66" s="18" t="s">
        <v>170</v>
      </c>
      <c r="C66" s="18">
        <v>197</v>
      </c>
      <c r="D66" s="18">
        <v>69</v>
      </c>
      <c r="E66" s="18">
        <f t="shared" si="14"/>
        <v>266</v>
      </c>
      <c r="F66" s="19">
        <f t="shared" si="15"/>
        <v>3.7935509633622842E-3</v>
      </c>
      <c r="G66" s="18">
        <v>538</v>
      </c>
      <c r="H66" s="18">
        <v>39</v>
      </c>
      <c r="I66" s="18">
        <f t="shared" si="16"/>
        <v>577</v>
      </c>
      <c r="J66" s="19">
        <f t="shared" si="17"/>
        <v>2.9778339741439374E-3</v>
      </c>
      <c r="K66" s="18">
        <f t="shared" si="13"/>
        <v>843</v>
      </c>
      <c r="L66" s="18">
        <v>0</v>
      </c>
      <c r="M66" s="18">
        <f t="shared" si="18"/>
        <v>843</v>
      </c>
    </row>
    <row r="67" spans="2:13" x14ac:dyDescent="0.2">
      <c r="B67" s="18" t="s">
        <v>171</v>
      </c>
      <c r="C67" s="18">
        <v>1889</v>
      </c>
      <c r="D67" s="18">
        <v>687</v>
      </c>
      <c r="E67" s="18">
        <f t="shared" si="14"/>
        <v>2576</v>
      </c>
      <c r="F67" s="19">
        <f t="shared" si="15"/>
        <v>3.6737546171508435E-2</v>
      </c>
      <c r="G67" s="18">
        <v>6026</v>
      </c>
      <c r="H67" s="18">
        <v>416</v>
      </c>
      <c r="I67" s="18">
        <f t="shared" si="16"/>
        <v>6442</v>
      </c>
      <c r="J67" s="19">
        <f t="shared" si="17"/>
        <v>3.3246458338709262E-2</v>
      </c>
      <c r="K67" s="18">
        <f t="shared" si="13"/>
        <v>9018</v>
      </c>
      <c r="L67" s="18">
        <v>0</v>
      </c>
      <c r="M67" s="18">
        <f t="shared" si="18"/>
        <v>9018</v>
      </c>
    </row>
    <row r="68" spans="2:13" x14ac:dyDescent="0.2">
      <c r="B68" s="18" t="s">
        <v>172</v>
      </c>
      <c r="C68" s="18">
        <v>687</v>
      </c>
      <c r="D68" s="18">
        <v>270</v>
      </c>
      <c r="E68" s="18">
        <f t="shared" si="14"/>
        <v>957</v>
      </c>
      <c r="F68" s="19">
        <f t="shared" si="15"/>
        <v>1.3648226586231977E-2</v>
      </c>
      <c r="G68" s="18">
        <v>1733</v>
      </c>
      <c r="H68" s="18">
        <v>168</v>
      </c>
      <c r="I68" s="18">
        <f t="shared" si="16"/>
        <v>1901</v>
      </c>
      <c r="J68" s="19">
        <f t="shared" si="17"/>
        <v>9.810853353288778E-3</v>
      </c>
      <c r="K68" s="18">
        <f t="shared" si="13"/>
        <v>2858</v>
      </c>
      <c r="L68" s="18">
        <v>0</v>
      </c>
      <c r="M68" s="18">
        <f t="shared" si="18"/>
        <v>2858</v>
      </c>
    </row>
    <row r="69" spans="2:13" x14ac:dyDescent="0.2">
      <c r="B69" s="18" t="s">
        <v>173</v>
      </c>
      <c r="C69" s="18">
        <v>401</v>
      </c>
      <c r="D69" s="18">
        <v>128</v>
      </c>
      <c r="E69" s="18">
        <f t="shared" si="14"/>
        <v>529</v>
      </c>
      <c r="F69" s="19">
        <f t="shared" si="15"/>
        <v>7.5443175173633397E-3</v>
      </c>
      <c r="G69" s="18">
        <v>1484</v>
      </c>
      <c r="H69" s="18">
        <v>101</v>
      </c>
      <c r="I69" s="18">
        <f t="shared" si="16"/>
        <v>1585</v>
      </c>
      <c r="J69" s="19">
        <f t="shared" si="17"/>
        <v>8.1800118700487701E-3</v>
      </c>
      <c r="K69" s="18">
        <f t="shared" si="13"/>
        <v>2114</v>
      </c>
      <c r="L69" s="18">
        <v>0</v>
      </c>
      <c r="M69" s="18">
        <f t="shared" si="18"/>
        <v>2114</v>
      </c>
    </row>
    <row r="70" spans="2:13" x14ac:dyDescent="0.2">
      <c r="B70" s="18" t="s">
        <v>174</v>
      </c>
      <c r="C70" s="18">
        <v>2854</v>
      </c>
      <c r="D70" s="18">
        <v>1229</v>
      </c>
      <c r="E70" s="18">
        <f t="shared" si="14"/>
        <v>4083</v>
      </c>
      <c r="F70" s="19">
        <f t="shared" si="15"/>
        <v>5.8229581140632355E-2</v>
      </c>
      <c r="G70" s="18">
        <v>10150</v>
      </c>
      <c r="H70" s="18">
        <v>751</v>
      </c>
      <c r="I70" s="18">
        <f t="shared" si="16"/>
        <v>10901</v>
      </c>
      <c r="J70" s="19">
        <f t="shared" si="17"/>
        <v>5.6258870281010502E-2</v>
      </c>
      <c r="K70" s="18">
        <f t="shared" si="13"/>
        <v>14984</v>
      </c>
      <c r="L70" s="18">
        <v>0</v>
      </c>
      <c r="M70" s="18">
        <f t="shared" si="18"/>
        <v>14984</v>
      </c>
    </row>
    <row r="71" spans="2:13" x14ac:dyDescent="0.2">
      <c r="B71" s="18" t="s">
        <v>175</v>
      </c>
      <c r="C71" s="18">
        <v>1021</v>
      </c>
      <c r="D71" s="18">
        <v>292</v>
      </c>
      <c r="E71" s="18">
        <f t="shared" si="14"/>
        <v>1313</v>
      </c>
      <c r="F71" s="19">
        <f t="shared" si="15"/>
        <v>1.8725309830431126E-2</v>
      </c>
      <c r="G71" s="18">
        <v>2566</v>
      </c>
      <c r="H71" s="18">
        <v>198</v>
      </c>
      <c r="I71" s="18">
        <f t="shared" si="16"/>
        <v>2764</v>
      </c>
      <c r="J71" s="19">
        <f t="shared" si="17"/>
        <v>1.4264702087580317E-2</v>
      </c>
      <c r="K71" s="18">
        <f t="shared" si="13"/>
        <v>4077</v>
      </c>
      <c r="L71" s="18">
        <v>0</v>
      </c>
      <c r="M71" s="18">
        <f t="shared" si="18"/>
        <v>4077</v>
      </c>
    </row>
    <row r="72" spans="2:13" x14ac:dyDescent="0.2">
      <c r="B72" s="18" t="s">
        <v>176</v>
      </c>
      <c r="C72" s="18">
        <v>663</v>
      </c>
      <c r="D72" s="18">
        <v>144</v>
      </c>
      <c r="E72" s="18">
        <f t="shared" si="14"/>
        <v>807</v>
      </c>
      <c r="F72" s="19">
        <f t="shared" si="15"/>
        <v>1.1509006118170538E-2</v>
      </c>
      <c r="G72" s="18">
        <v>1987</v>
      </c>
      <c r="H72" s="18">
        <v>90</v>
      </c>
      <c r="I72" s="18">
        <f t="shared" si="16"/>
        <v>2077</v>
      </c>
      <c r="J72" s="19">
        <f t="shared" si="17"/>
        <v>1.0719170128764225E-2</v>
      </c>
      <c r="K72" s="18">
        <f t="shared" si="13"/>
        <v>2884</v>
      </c>
      <c r="L72" s="18">
        <v>0</v>
      </c>
      <c r="M72" s="18">
        <f t="shared" si="18"/>
        <v>2884</v>
      </c>
    </row>
    <row r="73" spans="2:13" x14ac:dyDescent="0.2">
      <c r="B73" s="18" t="s">
        <v>177</v>
      </c>
      <c r="C73" s="18">
        <v>1553</v>
      </c>
      <c r="D73" s="18">
        <v>606</v>
      </c>
      <c r="E73" s="18">
        <f t="shared" si="14"/>
        <v>2159</v>
      </c>
      <c r="F73" s="19">
        <f t="shared" si="15"/>
        <v>3.0790513270297637E-2</v>
      </c>
      <c r="G73" s="18">
        <v>8456</v>
      </c>
      <c r="H73" s="18">
        <v>534</v>
      </c>
      <c r="I73" s="18">
        <f t="shared" si="16"/>
        <v>8990</v>
      </c>
      <c r="J73" s="19">
        <f t="shared" si="17"/>
        <v>4.6396408020024253E-2</v>
      </c>
      <c r="K73" s="18">
        <f t="shared" si="13"/>
        <v>11149</v>
      </c>
      <c r="L73" s="18">
        <v>0</v>
      </c>
      <c r="M73" s="18">
        <f t="shared" si="18"/>
        <v>11149</v>
      </c>
    </row>
    <row r="74" spans="2:13" x14ac:dyDescent="0.2">
      <c r="B74" s="18" t="s">
        <v>178</v>
      </c>
      <c r="C74" s="18">
        <v>704</v>
      </c>
      <c r="D74" s="18">
        <v>214</v>
      </c>
      <c r="E74" s="18">
        <f t="shared" si="14"/>
        <v>918</v>
      </c>
      <c r="F74" s="19">
        <f t="shared" si="15"/>
        <v>1.3092029264536002E-2</v>
      </c>
      <c r="G74" s="18">
        <v>2922</v>
      </c>
      <c r="H74" s="18">
        <v>153</v>
      </c>
      <c r="I74" s="18">
        <f t="shared" si="16"/>
        <v>3075</v>
      </c>
      <c r="J74" s="19">
        <f t="shared" si="17"/>
        <v>1.5869739116971589E-2</v>
      </c>
      <c r="K74" s="18">
        <f t="shared" si="13"/>
        <v>3993</v>
      </c>
      <c r="L74" s="18">
        <v>0</v>
      </c>
      <c r="M74" s="18">
        <f t="shared" si="18"/>
        <v>3993</v>
      </c>
    </row>
    <row r="75" spans="2:13" x14ac:dyDescent="0.2">
      <c r="B75" s="18" t="s">
        <v>179</v>
      </c>
      <c r="C75" s="18">
        <v>490</v>
      </c>
      <c r="D75" s="18">
        <v>256</v>
      </c>
      <c r="E75" s="18">
        <f t="shared" si="14"/>
        <v>746</v>
      </c>
      <c r="F75" s="19">
        <f t="shared" si="15"/>
        <v>1.0639056461158886E-2</v>
      </c>
      <c r="G75" s="18">
        <v>1939</v>
      </c>
      <c r="H75" s="18">
        <v>129</v>
      </c>
      <c r="I75" s="18">
        <f t="shared" si="16"/>
        <v>2068</v>
      </c>
      <c r="J75" s="19">
        <f t="shared" si="17"/>
        <v>1.0672722111836503E-2</v>
      </c>
      <c r="K75" s="18">
        <f t="shared" si="13"/>
        <v>2814</v>
      </c>
      <c r="L75" s="18">
        <v>0</v>
      </c>
      <c r="M75" s="18">
        <f t="shared" si="18"/>
        <v>2814</v>
      </c>
    </row>
    <row r="76" spans="2:13" x14ac:dyDescent="0.2">
      <c r="B76" s="18" t="s">
        <v>180</v>
      </c>
      <c r="C76" s="18">
        <v>42</v>
      </c>
      <c r="D76" s="18">
        <v>3</v>
      </c>
      <c r="E76" s="18">
        <f t="shared" si="14"/>
        <v>45</v>
      </c>
      <c r="F76" s="19">
        <f t="shared" si="15"/>
        <v>6.4176614041843154E-4</v>
      </c>
      <c r="G76" s="18">
        <v>69</v>
      </c>
      <c r="H76" s="18">
        <v>2</v>
      </c>
      <c r="I76" s="18">
        <f t="shared" si="16"/>
        <v>71</v>
      </c>
      <c r="J76" s="19">
        <f t="shared" si="17"/>
        <v>3.6642324465202693E-4</v>
      </c>
      <c r="K76" s="18">
        <f t="shared" si="13"/>
        <v>116</v>
      </c>
      <c r="L76" s="18">
        <v>0</v>
      </c>
      <c r="M76" s="18">
        <f t="shared" si="18"/>
        <v>116</v>
      </c>
    </row>
    <row r="77" spans="2:13" x14ac:dyDescent="0.2">
      <c r="B77" s="18" t="s">
        <v>181</v>
      </c>
      <c r="C77" s="18">
        <v>803</v>
      </c>
      <c r="D77" s="18">
        <v>221</v>
      </c>
      <c r="E77" s="18">
        <f t="shared" si="14"/>
        <v>1024</v>
      </c>
      <c r="F77" s="19">
        <f t="shared" si="15"/>
        <v>1.4603745061966086E-2</v>
      </c>
      <c r="G77" s="18">
        <v>2558</v>
      </c>
      <c r="H77" s="18">
        <v>111</v>
      </c>
      <c r="I77" s="18">
        <f t="shared" si="16"/>
        <v>2669</v>
      </c>
      <c r="J77" s="19">
        <f t="shared" si="17"/>
        <v>1.3774417464454364E-2</v>
      </c>
      <c r="K77" s="18">
        <f t="shared" si="13"/>
        <v>3693</v>
      </c>
      <c r="L77" s="18">
        <v>0</v>
      </c>
      <c r="M77" s="18">
        <f t="shared" si="18"/>
        <v>3693</v>
      </c>
    </row>
    <row r="78" spans="2:13" x14ac:dyDescent="0.2">
      <c r="B78" s="18" t="s">
        <v>182</v>
      </c>
      <c r="C78" s="18">
        <v>950</v>
      </c>
      <c r="D78" s="18">
        <v>362</v>
      </c>
      <c r="E78" s="18">
        <f t="shared" si="14"/>
        <v>1312</v>
      </c>
      <c r="F78" s="19">
        <f t="shared" si="15"/>
        <v>1.8711048360644047E-2</v>
      </c>
      <c r="G78" s="18">
        <v>3030</v>
      </c>
      <c r="H78" s="18">
        <v>183</v>
      </c>
      <c r="I78" s="18">
        <f t="shared" si="16"/>
        <v>3213</v>
      </c>
      <c r="J78" s="19">
        <f t="shared" si="17"/>
        <v>1.6581942043196657E-2</v>
      </c>
      <c r="K78" s="18">
        <f t="shared" si="13"/>
        <v>4525</v>
      </c>
      <c r="L78" s="18">
        <v>0</v>
      </c>
      <c r="M78" s="18">
        <f t="shared" si="18"/>
        <v>4525</v>
      </c>
    </row>
    <row r="79" spans="2:13" x14ac:dyDescent="0.2">
      <c r="B79" s="18" t="s">
        <v>183</v>
      </c>
      <c r="C79" s="18">
        <v>2578</v>
      </c>
      <c r="D79" s="18">
        <v>916</v>
      </c>
      <c r="E79" s="18">
        <f t="shared" si="14"/>
        <v>3494</v>
      </c>
      <c r="F79" s="19">
        <f t="shared" si="15"/>
        <v>4.9829575436044438E-2</v>
      </c>
      <c r="G79" s="18">
        <v>9921</v>
      </c>
      <c r="H79" s="18">
        <v>582</v>
      </c>
      <c r="I79" s="18">
        <f t="shared" si="16"/>
        <v>10503</v>
      </c>
      <c r="J79" s="19">
        <f t="shared" si="17"/>
        <v>5.4204835754651251E-2</v>
      </c>
      <c r="K79" s="18">
        <f t="shared" si="13"/>
        <v>13997</v>
      </c>
      <c r="L79" s="18">
        <v>0</v>
      </c>
      <c r="M79" s="18">
        <f t="shared" si="18"/>
        <v>13997</v>
      </c>
    </row>
    <row r="80" spans="2:13" x14ac:dyDescent="0.2">
      <c r="B80" s="18" t="s">
        <v>184</v>
      </c>
      <c r="C80" s="18">
        <v>1464</v>
      </c>
      <c r="D80" s="18">
        <v>511</v>
      </c>
      <c r="E80" s="18">
        <f t="shared" si="14"/>
        <v>1975</v>
      </c>
      <c r="F80" s="19">
        <f t="shared" si="15"/>
        <v>2.8166402829475606E-2</v>
      </c>
      <c r="G80" s="18">
        <v>3783</v>
      </c>
      <c r="H80" s="18">
        <v>236</v>
      </c>
      <c r="I80" s="18">
        <f t="shared" si="16"/>
        <v>4019</v>
      </c>
      <c r="J80" s="19">
        <f t="shared" si="17"/>
        <v>2.0741620003612623E-2</v>
      </c>
      <c r="K80" s="18">
        <f t="shared" si="13"/>
        <v>5994</v>
      </c>
      <c r="L80" s="18">
        <v>0</v>
      </c>
      <c r="M80" s="18">
        <f t="shared" si="18"/>
        <v>5994</v>
      </c>
    </row>
    <row r="81" spans="2:13" x14ac:dyDescent="0.2">
      <c r="B81" s="18" t="s">
        <v>185</v>
      </c>
      <c r="C81" s="18">
        <v>650</v>
      </c>
      <c r="D81" s="18">
        <v>319</v>
      </c>
      <c r="E81" s="18">
        <f t="shared" si="14"/>
        <v>969</v>
      </c>
      <c r="F81" s="19">
        <f t="shared" si="15"/>
        <v>1.3819364223676892E-2</v>
      </c>
      <c r="G81" s="18">
        <v>2141</v>
      </c>
      <c r="H81" s="18">
        <v>114</v>
      </c>
      <c r="I81" s="18">
        <f t="shared" si="16"/>
        <v>2255</v>
      </c>
      <c r="J81" s="19">
        <f t="shared" si="17"/>
        <v>1.1637808685779166E-2</v>
      </c>
      <c r="K81" s="18">
        <f t="shared" si="13"/>
        <v>3224</v>
      </c>
      <c r="L81" s="18">
        <v>0</v>
      </c>
      <c r="M81" s="18">
        <f t="shared" si="18"/>
        <v>3224</v>
      </c>
    </row>
    <row r="82" spans="2:13" x14ac:dyDescent="0.2">
      <c r="B82" s="18" t="s">
        <v>186</v>
      </c>
      <c r="C82" s="18">
        <v>735</v>
      </c>
      <c r="D82" s="18">
        <v>271</v>
      </c>
      <c r="E82" s="18">
        <f t="shared" si="14"/>
        <v>1006</v>
      </c>
      <c r="F82" s="19">
        <f t="shared" si="15"/>
        <v>1.4347038605798714E-2</v>
      </c>
      <c r="G82" s="18">
        <v>2401</v>
      </c>
      <c r="H82" s="18">
        <v>147</v>
      </c>
      <c r="I82" s="18">
        <f t="shared" si="16"/>
        <v>2548</v>
      </c>
      <c r="J82" s="19">
        <f t="shared" si="17"/>
        <v>1.3149949681314995E-2</v>
      </c>
      <c r="K82" s="18">
        <f t="shared" si="13"/>
        <v>3554</v>
      </c>
      <c r="L82" s="18">
        <v>0</v>
      </c>
      <c r="M82" s="18">
        <f t="shared" si="18"/>
        <v>3554</v>
      </c>
    </row>
    <row r="83" spans="2:13" x14ac:dyDescent="0.2">
      <c r="B83" s="18" t="s">
        <v>187</v>
      </c>
      <c r="C83" s="18">
        <v>229</v>
      </c>
      <c r="D83" s="18">
        <v>77</v>
      </c>
      <c r="E83" s="18">
        <f t="shared" si="14"/>
        <v>306</v>
      </c>
      <c r="F83" s="19">
        <f t="shared" si="15"/>
        <v>4.3640097548453341E-3</v>
      </c>
      <c r="G83" s="18">
        <v>668</v>
      </c>
      <c r="H83" s="18">
        <v>33</v>
      </c>
      <c r="I83" s="18">
        <f t="shared" si="16"/>
        <v>701</v>
      </c>
      <c r="J83" s="19">
        <f t="shared" si="17"/>
        <v>3.6177844295925475E-3</v>
      </c>
      <c r="K83" s="18">
        <f t="shared" si="13"/>
        <v>1007</v>
      </c>
      <c r="L83" s="18">
        <v>0</v>
      </c>
      <c r="M83" s="18">
        <f t="shared" si="18"/>
        <v>1007</v>
      </c>
    </row>
    <row r="84" spans="2:13" x14ac:dyDescent="0.2">
      <c r="B84" s="18" t="s">
        <v>188</v>
      </c>
      <c r="C84" s="18">
        <v>289</v>
      </c>
      <c r="D84" s="18">
        <v>127</v>
      </c>
      <c r="E84" s="18">
        <f t="shared" si="14"/>
        <v>416</v>
      </c>
      <c r="F84" s="19">
        <f t="shared" si="15"/>
        <v>5.9327714314237221E-3</v>
      </c>
      <c r="G84" s="18">
        <v>1100</v>
      </c>
      <c r="H84" s="18">
        <v>58</v>
      </c>
      <c r="I84" s="18">
        <f t="shared" si="16"/>
        <v>1158</v>
      </c>
      <c r="J84" s="19">
        <f t="shared" si="17"/>
        <v>5.9763115113668618E-3</v>
      </c>
      <c r="K84" s="18">
        <f t="shared" si="13"/>
        <v>1574</v>
      </c>
      <c r="L84" s="18">
        <v>0</v>
      </c>
      <c r="M84" s="18">
        <f t="shared" si="18"/>
        <v>1574</v>
      </c>
    </row>
    <row r="85" spans="2:13" x14ac:dyDescent="0.2">
      <c r="B85" s="18" t="s">
        <v>189</v>
      </c>
      <c r="C85" s="18">
        <v>547</v>
      </c>
      <c r="D85" s="18">
        <v>111</v>
      </c>
      <c r="E85" s="18">
        <f t="shared" si="14"/>
        <v>658</v>
      </c>
      <c r="F85" s="19">
        <f t="shared" si="15"/>
        <v>9.3840471198961758E-3</v>
      </c>
      <c r="G85" s="18">
        <v>1293</v>
      </c>
      <c r="H85" s="18">
        <v>61</v>
      </c>
      <c r="I85" s="18">
        <f t="shared" si="16"/>
        <v>1354</v>
      </c>
      <c r="J85" s="19">
        <f t="shared" si="17"/>
        <v>6.9878461022372463E-3</v>
      </c>
      <c r="K85" s="18">
        <f t="shared" si="13"/>
        <v>2012</v>
      </c>
      <c r="L85" s="18">
        <v>1</v>
      </c>
      <c r="M85" s="18">
        <f t="shared" si="18"/>
        <v>2013</v>
      </c>
    </row>
    <row r="86" spans="2:13" x14ac:dyDescent="0.2">
      <c r="B86" s="18" t="s">
        <v>190</v>
      </c>
      <c r="C86" s="18">
        <v>560</v>
      </c>
      <c r="D86" s="18">
        <v>140</v>
      </c>
      <c r="E86" s="18">
        <f t="shared" si="14"/>
        <v>700</v>
      </c>
      <c r="F86" s="19">
        <f t="shared" si="15"/>
        <v>9.9830288509533786E-3</v>
      </c>
      <c r="G86" s="18">
        <v>1662</v>
      </c>
      <c r="H86" s="18">
        <v>88</v>
      </c>
      <c r="I86" s="18">
        <f t="shared" si="16"/>
        <v>1750</v>
      </c>
      <c r="J86" s="19">
        <f t="shared" si="17"/>
        <v>9.0315588470570012E-3</v>
      </c>
      <c r="K86" s="18">
        <f t="shared" si="13"/>
        <v>2450</v>
      </c>
      <c r="L86" s="18">
        <v>0</v>
      </c>
      <c r="M86" s="18">
        <f t="shared" si="18"/>
        <v>2450</v>
      </c>
    </row>
    <row r="87" spans="2:13" x14ac:dyDescent="0.2">
      <c r="B87" s="18" t="s">
        <v>191</v>
      </c>
      <c r="C87" s="18">
        <v>304</v>
      </c>
      <c r="D87" s="18">
        <v>57</v>
      </c>
      <c r="E87" s="18">
        <f t="shared" si="14"/>
        <v>361</v>
      </c>
      <c r="F87" s="19">
        <f t="shared" si="15"/>
        <v>5.1483905931345286E-3</v>
      </c>
      <c r="G87" s="18">
        <v>848</v>
      </c>
      <c r="H87" s="18">
        <v>38</v>
      </c>
      <c r="I87" s="18">
        <f t="shared" si="16"/>
        <v>886</v>
      </c>
      <c r="J87" s="19">
        <f t="shared" si="17"/>
        <v>4.5725492219957165E-3</v>
      </c>
      <c r="K87" s="18">
        <f t="shared" si="13"/>
        <v>1247</v>
      </c>
      <c r="L87" s="18">
        <v>0</v>
      </c>
      <c r="M87" s="18">
        <f t="shared" si="18"/>
        <v>1247</v>
      </c>
    </row>
    <row r="88" spans="2:13" x14ac:dyDescent="0.2">
      <c r="B88" s="18" t="s">
        <v>192</v>
      </c>
      <c r="C88" s="18">
        <v>246</v>
      </c>
      <c r="D88" s="18">
        <v>87</v>
      </c>
      <c r="E88" s="18">
        <f t="shared" si="14"/>
        <v>333</v>
      </c>
      <c r="F88" s="19">
        <f t="shared" si="15"/>
        <v>4.7490694390963937E-3</v>
      </c>
      <c r="G88" s="18">
        <v>1228</v>
      </c>
      <c r="H88" s="18">
        <v>68</v>
      </c>
      <c r="I88" s="18">
        <f t="shared" si="16"/>
        <v>1296</v>
      </c>
      <c r="J88" s="19">
        <f t="shared" si="17"/>
        <v>6.6885144375919284E-3</v>
      </c>
      <c r="K88" s="18">
        <f t="shared" si="13"/>
        <v>1629</v>
      </c>
      <c r="L88" s="18">
        <v>0</v>
      </c>
      <c r="M88" s="18">
        <f t="shared" si="18"/>
        <v>1629</v>
      </c>
    </row>
    <row r="89" spans="2:13" x14ac:dyDescent="0.2">
      <c r="B89" s="18" t="s">
        <v>193</v>
      </c>
      <c r="C89" s="18">
        <v>462</v>
      </c>
      <c r="D89" s="18">
        <v>146</v>
      </c>
      <c r="E89" s="18">
        <f t="shared" si="14"/>
        <v>608</v>
      </c>
      <c r="F89" s="19">
        <f t="shared" si="15"/>
        <v>8.6709736305423633E-3</v>
      </c>
      <c r="G89" s="18">
        <v>1647</v>
      </c>
      <c r="H89" s="18">
        <v>66</v>
      </c>
      <c r="I89" s="18">
        <f t="shared" si="16"/>
        <v>1713</v>
      </c>
      <c r="J89" s="19">
        <f t="shared" si="17"/>
        <v>8.8406058885763684E-3</v>
      </c>
      <c r="K89" s="18">
        <f t="shared" si="13"/>
        <v>2321</v>
      </c>
      <c r="L89" s="18">
        <v>0</v>
      </c>
      <c r="M89" s="18">
        <f t="shared" si="18"/>
        <v>2321</v>
      </c>
    </row>
    <row r="90" spans="2:13" x14ac:dyDescent="0.2">
      <c r="B90" s="18" t="s">
        <v>194</v>
      </c>
      <c r="C90" s="18">
        <v>164</v>
      </c>
      <c r="D90" s="18">
        <v>61</v>
      </c>
      <c r="E90" s="18">
        <f t="shared" si="14"/>
        <v>225</v>
      </c>
      <c r="F90" s="19">
        <f t="shared" si="15"/>
        <v>3.2088307020921576E-3</v>
      </c>
      <c r="G90" s="18">
        <v>788</v>
      </c>
      <c r="H90" s="18">
        <v>49</v>
      </c>
      <c r="I90" s="18">
        <f t="shared" si="16"/>
        <v>837</v>
      </c>
      <c r="J90" s="19">
        <f t="shared" si="17"/>
        <v>4.3196655742781202E-3</v>
      </c>
      <c r="K90" s="18">
        <f t="shared" si="13"/>
        <v>1062</v>
      </c>
      <c r="L90" s="18">
        <v>0</v>
      </c>
      <c r="M90" s="18">
        <f t="shared" si="18"/>
        <v>1062</v>
      </c>
    </row>
    <row r="91" spans="2:13" x14ac:dyDescent="0.2">
      <c r="B91" s="18" t="s">
        <v>195</v>
      </c>
      <c r="C91" s="18">
        <v>299</v>
      </c>
      <c r="D91" s="18">
        <v>112</v>
      </c>
      <c r="E91" s="18">
        <f t="shared" si="14"/>
        <v>411</v>
      </c>
      <c r="F91" s="19">
        <f t="shared" si="15"/>
        <v>5.8614640824883411E-3</v>
      </c>
      <c r="G91" s="18">
        <v>1690</v>
      </c>
      <c r="H91" s="18">
        <v>75</v>
      </c>
      <c r="I91" s="18">
        <f t="shared" si="16"/>
        <v>1765</v>
      </c>
      <c r="J91" s="19">
        <f t="shared" si="17"/>
        <v>9.1089722086032041E-3</v>
      </c>
      <c r="K91" s="18">
        <f t="shared" si="13"/>
        <v>2176</v>
      </c>
      <c r="L91" s="18">
        <v>0</v>
      </c>
      <c r="M91" s="18">
        <f t="shared" si="18"/>
        <v>2176</v>
      </c>
    </row>
    <row r="92" spans="2:13" x14ac:dyDescent="0.2">
      <c r="B92" s="18" t="s">
        <v>196</v>
      </c>
      <c r="C92" s="18">
        <v>4406</v>
      </c>
      <c r="D92" s="18">
        <v>1456</v>
      </c>
      <c r="E92" s="18">
        <f t="shared" si="14"/>
        <v>5862</v>
      </c>
      <c r="F92" s="19">
        <f t="shared" si="15"/>
        <v>8.3600735891841013E-2</v>
      </c>
      <c r="G92" s="18">
        <v>15092</v>
      </c>
      <c r="H92" s="18">
        <v>824</v>
      </c>
      <c r="I92" s="18">
        <f t="shared" si="16"/>
        <v>15916</v>
      </c>
      <c r="J92" s="19">
        <f t="shared" si="17"/>
        <v>8.2140737491290999E-2</v>
      </c>
      <c r="K92" s="18">
        <f t="shared" si="13"/>
        <v>21778</v>
      </c>
      <c r="L92" s="18">
        <v>1</v>
      </c>
      <c r="M92" s="18">
        <f t="shared" si="18"/>
        <v>21779</v>
      </c>
    </row>
    <row r="93" spans="2:13" x14ac:dyDescent="0.2">
      <c r="B93" s="18" t="s">
        <v>197</v>
      </c>
      <c r="C93" s="18">
        <v>1405</v>
      </c>
      <c r="D93" s="18">
        <v>518</v>
      </c>
      <c r="E93" s="18">
        <f t="shared" si="14"/>
        <v>1923</v>
      </c>
      <c r="F93" s="19">
        <f t="shared" si="15"/>
        <v>2.742480640054764E-2</v>
      </c>
      <c r="G93" s="18">
        <v>5087</v>
      </c>
      <c r="H93" s="18">
        <v>311</v>
      </c>
      <c r="I93" s="18">
        <f t="shared" si="16"/>
        <v>5398</v>
      </c>
      <c r="J93" s="19">
        <f t="shared" si="17"/>
        <v>2.785848837509354E-2</v>
      </c>
      <c r="K93" s="18">
        <f t="shared" si="13"/>
        <v>7321</v>
      </c>
      <c r="L93" s="18">
        <v>0</v>
      </c>
      <c r="M93" s="18">
        <f t="shared" si="18"/>
        <v>7321</v>
      </c>
    </row>
    <row r="94" spans="2:13" x14ac:dyDescent="0.2">
      <c r="B94" s="18" t="s">
        <v>198</v>
      </c>
      <c r="C94" s="18">
        <v>602</v>
      </c>
      <c r="D94" s="18">
        <v>226</v>
      </c>
      <c r="E94" s="18">
        <f t="shared" si="14"/>
        <v>828</v>
      </c>
      <c r="F94" s="19">
        <f t="shared" si="15"/>
        <v>1.1808496983699139E-2</v>
      </c>
      <c r="G94" s="18">
        <v>1809</v>
      </c>
      <c r="H94" s="18">
        <v>131</v>
      </c>
      <c r="I94" s="18">
        <f t="shared" si="16"/>
        <v>1940</v>
      </c>
      <c r="J94" s="19">
        <f t="shared" si="17"/>
        <v>1.0012128093308904E-2</v>
      </c>
      <c r="K94" s="18">
        <f t="shared" si="13"/>
        <v>2768</v>
      </c>
      <c r="L94" s="18">
        <v>0</v>
      </c>
      <c r="M94" s="18">
        <f t="shared" si="18"/>
        <v>2768</v>
      </c>
    </row>
    <row r="95" spans="2:13" x14ac:dyDescent="0.2">
      <c r="B95" s="18" t="s">
        <v>199</v>
      </c>
      <c r="C95" s="18">
        <v>2867</v>
      </c>
      <c r="D95" s="18">
        <v>1204</v>
      </c>
      <c r="E95" s="18">
        <f t="shared" si="14"/>
        <v>4071</v>
      </c>
      <c r="F95" s="19">
        <f t="shared" si="15"/>
        <v>5.8058443503187437E-2</v>
      </c>
      <c r="G95" s="18">
        <v>10361</v>
      </c>
      <c r="H95" s="18">
        <v>660</v>
      </c>
      <c r="I95" s="18">
        <f t="shared" si="16"/>
        <v>11021</v>
      </c>
      <c r="J95" s="19">
        <f t="shared" si="17"/>
        <v>5.6878177173380125E-2</v>
      </c>
      <c r="K95" s="18">
        <f t="shared" si="13"/>
        <v>15092</v>
      </c>
      <c r="L95" s="18">
        <v>0</v>
      </c>
      <c r="M95" s="18">
        <f t="shared" si="18"/>
        <v>15092</v>
      </c>
    </row>
    <row r="96" spans="2:13" x14ac:dyDescent="0.2">
      <c r="B96" s="20" t="s">
        <v>49</v>
      </c>
      <c r="C96" s="18">
        <f t="shared" ref="C96:H96" si="19">SUM(C58:C95)</f>
        <v>51226</v>
      </c>
      <c r="D96" s="18">
        <f t="shared" si="19"/>
        <v>18893</v>
      </c>
      <c r="E96" s="20">
        <f t="shared" ref="E96" si="20">C96+D96</f>
        <v>70119</v>
      </c>
      <c r="F96" s="22">
        <f t="shared" ref="F96" si="21">E96/$E$96</f>
        <v>1</v>
      </c>
      <c r="G96" s="18">
        <f t="shared" si="19"/>
        <v>182607</v>
      </c>
      <c r="H96" s="18">
        <f t="shared" si="19"/>
        <v>11158</v>
      </c>
      <c r="I96" s="20">
        <f t="shared" ref="I96" si="22">G96+H96</f>
        <v>193765</v>
      </c>
      <c r="J96" s="22">
        <f t="shared" ref="J96" si="23">I96/$I$96</f>
        <v>1</v>
      </c>
      <c r="K96" s="20">
        <f t="shared" ref="K96" si="24">E96+I96</f>
        <v>263884</v>
      </c>
      <c r="L96" s="18">
        <f t="shared" ref="L96" si="25">SUM(L58:L95)</f>
        <v>4</v>
      </c>
      <c r="M96" s="20">
        <f t="shared" si="18"/>
        <v>263888</v>
      </c>
    </row>
    <row r="97" spans="2:13" ht="24" x14ac:dyDescent="0.2">
      <c r="B97" s="32" t="s">
        <v>66</v>
      </c>
      <c r="C97" s="33">
        <f>+C96/M96</f>
        <v>0.1941202328260474</v>
      </c>
      <c r="D97" s="33">
        <f>+D96/M96</f>
        <v>7.1594767477111507E-2</v>
      </c>
      <c r="E97" s="34">
        <f>+E96/M96</f>
        <v>0.26571500030315892</v>
      </c>
      <c r="F97" s="34"/>
      <c r="G97" s="33">
        <f>+G96/M96</f>
        <v>0.69198675195537496</v>
      </c>
      <c r="H97" s="33">
        <f>+H96/M96</f>
        <v>4.2283089795670893E-2</v>
      </c>
      <c r="I97" s="34">
        <f>+I96/M96</f>
        <v>0.73426984175104593</v>
      </c>
      <c r="J97" s="34"/>
      <c r="K97" s="34">
        <f>+K96/M96</f>
        <v>0.99998484205420479</v>
      </c>
      <c r="L97" s="34">
        <f>+L96/M96</f>
        <v>1.5157945795185836E-5</v>
      </c>
      <c r="M97" s="34">
        <f>K97+L97</f>
        <v>1</v>
      </c>
    </row>
    <row r="98" spans="2:13" x14ac:dyDescent="0.2">
      <c r="B98" s="25" t="s">
        <v>129</v>
      </c>
    </row>
    <row r="99" spans="2:13" x14ac:dyDescent="0.2">
      <c r="B99" s="25" t="s">
        <v>130</v>
      </c>
    </row>
    <row r="141" spans="2:2" x14ac:dyDescent="0.2">
      <c r="B141" s="26" t="s">
        <v>78</v>
      </c>
    </row>
  </sheetData>
  <mergeCells count="12">
    <mergeCell ref="L56:M56"/>
    <mergeCell ref="B55:M55"/>
    <mergeCell ref="B6:K6"/>
    <mergeCell ref="B5:K5"/>
    <mergeCell ref="B53:K53"/>
    <mergeCell ref="B52:K52"/>
    <mergeCell ref="B8:M8"/>
    <mergeCell ref="L9:M9"/>
    <mergeCell ref="B56:B57"/>
    <mergeCell ref="C56:K56"/>
    <mergeCell ref="B9:B10"/>
    <mergeCell ref="C9:K9"/>
  </mergeCells>
  <hyperlinks>
    <hyperlink ref="M5" location="'Índice Pensiones Solidarias'!A1" display="Volver Sistema de Pensiones Solidadias" xr:uid="{00000000-0004-0000-0C00-000000000000}"/>
  </hyperlinks>
  <pageMargins left="0.74803149606299213" right="0.74803149606299213" top="0.98425196850393704" bottom="0.98425196850393704" header="0" footer="0"/>
  <pageSetup scale="75" fitToHeight="2" orientation="portrait" r:id="rId1"/>
  <headerFooter alignWithMargins="0"/>
  <rowBreaks count="1" manualBreakCount="1">
    <brk id="55" min="1" max="12"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24"/>
  <dimension ref="A1:Q89"/>
  <sheetViews>
    <sheetView showGridLines="0" zoomScaleNormal="100" workbookViewId="0">
      <selection sqref="A1:XFD1048576"/>
    </sheetView>
  </sheetViews>
  <sheetFormatPr baseColWidth="10" defaultRowHeight="12" x14ac:dyDescent="0.2"/>
  <cols>
    <col min="1" max="1" width="6" style="26" customWidth="1"/>
    <col min="2" max="2" width="18.140625" style="26" customWidth="1"/>
    <col min="3" max="3" width="7.85546875" style="26" bestFit="1" customWidth="1"/>
    <col min="4" max="4" width="7.28515625" style="26" bestFit="1" customWidth="1"/>
    <col min="5" max="6" width="7.28515625" style="26" customWidth="1"/>
    <col min="7" max="8" width="7.28515625" style="26" bestFit="1" customWidth="1"/>
    <col min="9" max="11" width="7.28515625" style="26" customWidth="1"/>
    <col min="12" max="12" width="9.7109375" style="26" customWidth="1"/>
    <col min="13" max="14" width="11.42578125" style="26"/>
    <col min="15" max="15" width="12.42578125" style="26" bestFit="1" customWidth="1"/>
    <col min="16" max="251" width="11.42578125" style="26"/>
    <col min="252" max="252" width="18.140625" style="26" customWidth="1"/>
    <col min="253" max="253" width="7.85546875" style="26" bestFit="1" customWidth="1"/>
    <col min="254" max="254" width="7.28515625" style="26" bestFit="1" customWidth="1"/>
    <col min="255" max="256" width="7.28515625" style="26" customWidth="1"/>
    <col min="257" max="258" width="7.28515625" style="26" bestFit="1" customWidth="1"/>
    <col min="259" max="261" width="7.28515625" style="26" customWidth="1"/>
    <col min="262" max="267" width="0" style="26" hidden="1" customWidth="1"/>
    <col min="268" max="268" width="9.7109375" style="26" customWidth="1"/>
    <col min="269" max="270" width="11.42578125" style="26"/>
    <col min="271" max="271" width="12.42578125" style="26" bestFit="1" customWidth="1"/>
    <col min="272" max="507" width="11.42578125" style="26"/>
    <col min="508" max="508" width="18.140625" style="26" customWidth="1"/>
    <col min="509" max="509" width="7.85546875" style="26" bestFit="1" customWidth="1"/>
    <col min="510" max="510" width="7.28515625" style="26" bestFit="1" customWidth="1"/>
    <col min="511" max="512" width="7.28515625" style="26" customWidth="1"/>
    <col min="513" max="514" width="7.28515625" style="26" bestFit="1" customWidth="1"/>
    <col min="515" max="517" width="7.28515625" style="26" customWidth="1"/>
    <col min="518" max="523" width="0" style="26" hidden="1" customWidth="1"/>
    <col min="524" max="524" width="9.7109375" style="26" customWidth="1"/>
    <col min="525" max="526" width="11.42578125" style="26"/>
    <col min="527" max="527" width="12.42578125" style="26" bestFit="1" customWidth="1"/>
    <col min="528" max="763" width="11.42578125" style="26"/>
    <col min="764" max="764" width="18.140625" style="26" customWidth="1"/>
    <col min="765" max="765" width="7.85546875" style="26" bestFit="1" customWidth="1"/>
    <col min="766" max="766" width="7.28515625" style="26" bestFit="1" customWidth="1"/>
    <col min="767" max="768" width="7.28515625" style="26" customWidth="1"/>
    <col min="769" max="770" width="7.28515625" style="26" bestFit="1" customWidth="1"/>
    <col min="771" max="773" width="7.28515625" style="26" customWidth="1"/>
    <col min="774" max="779" width="0" style="26" hidden="1" customWidth="1"/>
    <col min="780" max="780" width="9.7109375" style="26" customWidth="1"/>
    <col min="781" max="782" width="11.42578125" style="26"/>
    <col min="783" max="783" width="12.42578125" style="26" bestFit="1" customWidth="1"/>
    <col min="784" max="1019" width="11.42578125" style="26"/>
    <col min="1020" max="1020" width="18.140625" style="26" customWidth="1"/>
    <col min="1021" max="1021" width="7.85546875" style="26" bestFit="1" customWidth="1"/>
    <col min="1022" max="1022" width="7.28515625" style="26" bestFit="1" customWidth="1"/>
    <col min="1023" max="1024" width="7.28515625" style="26" customWidth="1"/>
    <col min="1025" max="1026" width="7.28515625" style="26" bestFit="1" customWidth="1"/>
    <col min="1027" max="1029" width="7.28515625" style="26" customWidth="1"/>
    <col min="1030" max="1035" width="0" style="26" hidden="1" customWidth="1"/>
    <col min="1036" max="1036" width="9.7109375" style="26" customWidth="1"/>
    <col min="1037" max="1038" width="11.42578125" style="26"/>
    <col min="1039" max="1039" width="12.42578125" style="26" bestFit="1" customWidth="1"/>
    <col min="1040" max="1275" width="11.42578125" style="26"/>
    <col min="1276" max="1276" width="18.140625" style="26" customWidth="1"/>
    <col min="1277" max="1277" width="7.85546875" style="26" bestFit="1" customWidth="1"/>
    <col min="1278" max="1278" width="7.28515625" style="26" bestFit="1" customWidth="1"/>
    <col min="1279" max="1280" width="7.28515625" style="26" customWidth="1"/>
    <col min="1281" max="1282" width="7.28515625" style="26" bestFit="1" customWidth="1"/>
    <col min="1283" max="1285" width="7.28515625" style="26" customWidth="1"/>
    <col min="1286" max="1291" width="0" style="26" hidden="1" customWidth="1"/>
    <col min="1292" max="1292" width="9.7109375" style="26" customWidth="1"/>
    <col min="1293" max="1294" width="11.42578125" style="26"/>
    <col min="1295" max="1295" width="12.42578125" style="26" bestFit="1" customWidth="1"/>
    <col min="1296" max="1531" width="11.42578125" style="26"/>
    <col min="1532" max="1532" width="18.140625" style="26" customWidth="1"/>
    <col min="1533" max="1533" width="7.85546875" style="26" bestFit="1" customWidth="1"/>
    <col min="1534" max="1534" width="7.28515625" style="26" bestFit="1" customWidth="1"/>
    <col min="1535" max="1536" width="7.28515625" style="26" customWidth="1"/>
    <col min="1537" max="1538" width="7.28515625" style="26" bestFit="1" customWidth="1"/>
    <col min="1539" max="1541" width="7.28515625" style="26" customWidth="1"/>
    <col min="1542" max="1547" width="0" style="26" hidden="1" customWidth="1"/>
    <col min="1548" max="1548" width="9.7109375" style="26" customWidth="1"/>
    <col min="1549" max="1550" width="11.42578125" style="26"/>
    <col min="1551" max="1551" width="12.42578125" style="26" bestFit="1" customWidth="1"/>
    <col min="1552" max="1787" width="11.42578125" style="26"/>
    <col min="1788" max="1788" width="18.140625" style="26" customWidth="1"/>
    <col min="1789" max="1789" width="7.85546875" style="26" bestFit="1" customWidth="1"/>
    <col min="1790" max="1790" width="7.28515625" style="26" bestFit="1" customWidth="1"/>
    <col min="1791" max="1792" width="7.28515625" style="26" customWidth="1"/>
    <col min="1793" max="1794" width="7.28515625" style="26" bestFit="1" customWidth="1"/>
    <col min="1795" max="1797" width="7.28515625" style="26" customWidth="1"/>
    <col min="1798" max="1803" width="0" style="26" hidden="1" customWidth="1"/>
    <col min="1804" max="1804" width="9.7109375" style="26" customWidth="1"/>
    <col min="1805" max="1806" width="11.42578125" style="26"/>
    <col min="1807" max="1807" width="12.42578125" style="26" bestFit="1" customWidth="1"/>
    <col min="1808" max="2043" width="11.42578125" style="26"/>
    <col min="2044" max="2044" width="18.140625" style="26" customWidth="1"/>
    <col min="2045" max="2045" width="7.85546875" style="26" bestFit="1" customWidth="1"/>
    <col min="2046" max="2046" width="7.28515625" style="26" bestFit="1" customWidth="1"/>
    <col min="2047" max="2048" width="7.28515625" style="26" customWidth="1"/>
    <col min="2049" max="2050" width="7.28515625" style="26" bestFit="1" customWidth="1"/>
    <col min="2051" max="2053" width="7.28515625" style="26" customWidth="1"/>
    <col min="2054" max="2059" width="0" style="26" hidden="1" customWidth="1"/>
    <col min="2060" max="2060" width="9.7109375" style="26" customWidth="1"/>
    <col min="2061" max="2062" width="11.42578125" style="26"/>
    <col min="2063" max="2063" width="12.42578125" style="26" bestFit="1" customWidth="1"/>
    <col min="2064" max="2299" width="11.42578125" style="26"/>
    <col min="2300" max="2300" width="18.140625" style="26" customWidth="1"/>
    <col min="2301" max="2301" width="7.85546875" style="26" bestFit="1" customWidth="1"/>
    <col min="2302" max="2302" width="7.28515625" style="26" bestFit="1" customWidth="1"/>
    <col min="2303" max="2304" width="7.28515625" style="26" customWidth="1"/>
    <col min="2305" max="2306" width="7.28515625" style="26" bestFit="1" customWidth="1"/>
    <col min="2307" max="2309" width="7.28515625" style="26" customWidth="1"/>
    <col min="2310" max="2315" width="0" style="26" hidden="1" customWidth="1"/>
    <col min="2316" max="2316" width="9.7109375" style="26" customWidth="1"/>
    <col min="2317" max="2318" width="11.42578125" style="26"/>
    <col min="2319" max="2319" width="12.42578125" style="26" bestFit="1" customWidth="1"/>
    <col min="2320" max="2555" width="11.42578125" style="26"/>
    <col min="2556" max="2556" width="18.140625" style="26" customWidth="1"/>
    <col min="2557" max="2557" width="7.85546875" style="26" bestFit="1" customWidth="1"/>
    <col min="2558" max="2558" width="7.28515625" style="26" bestFit="1" customWidth="1"/>
    <col min="2559" max="2560" width="7.28515625" style="26" customWidth="1"/>
    <col min="2561" max="2562" width="7.28515625" style="26" bestFit="1" customWidth="1"/>
    <col min="2563" max="2565" width="7.28515625" style="26" customWidth="1"/>
    <col min="2566" max="2571" width="0" style="26" hidden="1" customWidth="1"/>
    <col min="2572" max="2572" width="9.7109375" style="26" customWidth="1"/>
    <col min="2573" max="2574" width="11.42578125" style="26"/>
    <col min="2575" max="2575" width="12.42578125" style="26" bestFit="1" customWidth="1"/>
    <col min="2576" max="2811" width="11.42578125" style="26"/>
    <col min="2812" max="2812" width="18.140625" style="26" customWidth="1"/>
    <col min="2813" max="2813" width="7.85546875" style="26" bestFit="1" customWidth="1"/>
    <col min="2814" max="2814" width="7.28515625" style="26" bestFit="1" customWidth="1"/>
    <col min="2815" max="2816" width="7.28515625" style="26" customWidth="1"/>
    <col min="2817" max="2818" width="7.28515625" style="26" bestFit="1" customWidth="1"/>
    <col min="2819" max="2821" width="7.28515625" style="26" customWidth="1"/>
    <col min="2822" max="2827" width="0" style="26" hidden="1" customWidth="1"/>
    <col min="2828" max="2828" width="9.7109375" style="26" customWidth="1"/>
    <col min="2829" max="2830" width="11.42578125" style="26"/>
    <col min="2831" max="2831" width="12.42578125" style="26" bestFit="1" customWidth="1"/>
    <col min="2832" max="3067" width="11.42578125" style="26"/>
    <col min="3068" max="3068" width="18.140625" style="26" customWidth="1"/>
    <col min="3069" max="3069" width="7.85546875" style="26" bestFit="1" customWidth="1"/>
    <col min="3070" max="3070" width="7.28515625" style="26" bestFit="1" customWidth="1"/>
    <col min="3071" max="3072" width="7.28515625" style="26" customWidth="1"/>
    <col min="3073" max="3074" width="7.28515625" style="26" bestFit="1" customWidth="1"/>
    <col min="3075" max="3077" width="7.28515625" style="26" customWidth="1"/>
    <col min="3078" max="3083" width="0" style="26" hidden="1" customWidth="1"/>
    <col min="3084" max="3084" width="9.7109375" style="26" customWidth="1"/>
    <col min="3085" max="3086" width="11.42578125" style="26"/>
    <col min="3087" max="3087" width="12.42578125" style="26" bestFit="1" customWidth="1"/>
    <col min="3088" max="3323" width="11.42578125" style="26"/>
    <col min="3324" max="3324" width="18.140625" style="26" customWidth="1"/>
    <col min="3325" max="3325" width="7.85546875" style="26" bestFit="1" customWidth="1"/>
    <col min="3326" max="3326" width="7.28515625" style="26" bestFit="1" customWidth="1"/>
    <col min="3327" max="3328" width="7.28515625" style="26" customWidth="1"/>
    <col min="3329" max="3330" width="7.28515625" style="26" bestFit="1" customWidth="1"/>
    <col min="3331" max="3333" width="7.28515625" style="26" customWidth="1"/>
    <col min="3334" max="3339" width="0" style="26" hidden="1" customWidth="1"/>
    <col min="3340" max="3340" width="9.7109375" style="26" customWidth="1"/>
    <col min="3341" max="3342" width="11.42578125" style="26"/>
    <col min="3343" max="3343" width="12.42578125" style="26" bestFit="1" customWidth="1"/>
    <col min="3344" max="3579" width="11.42578125" style="26"/>
    <col min="3580" max="3580" width="18.140625" style="26" customWidth="1"/>
    <col min="3581" max="3581" width="7.85546875" style="26" bestFit="1" customWidth="1"/>
    <col min="3582" max="3582" width="7.28515625" style="26" bestFit="1" customWidth="1"/>
    <col min="3583" max="3584" width="7.28515625" style="26" customWidth="1"/>
    <col min="3585" max="3586" width="7.28515625" style="26" bestFit="1" customWidth="1"/>
    <col min="3587" max="3589" width="7.28515625" style="26" customWidth="1"/>
    <col min="3590" max="3595" width="0" style="26" hidden="1" customWidth="1"/>
    <col min="3596" max="3596" width="9.7109375" style="26" customWidth="1"/>
    <col min="3597" max="3598" width="11.42578125" style="26"/>
    <col min="3599" max="3599" width="12.42578125" style="26" bestFit="1" customWidth="1"/>
    <col min="3600" max="3835" width="11.42578125" style="26"/>
    <col min="3836" max="3836" width="18.140625" style="26" customWidth="1"/>
    <col min="3837" max="3837" width="7.85546875" style="26" bestFit="1" customWidth="1"/>
    <col min="3838" max="3838" width="7.28515625" style="26" bestFit="1" customWidth="1"/>
    <col min="3839" max="3840" width="7.28515625" style="26" customWidth="1"/>
    <col min="3841" max="3842" width="7.28515625" style="26" bestFit="1" customWidth="1"/>
    <col min="3843" max="3845" width="7.28515625" style="26" customWidth="1"/>
    <col min="3846" max="3851" width="0" style="26" hidden="1" customWidth="1"/>
    <col min="3852" max="3852" width="9.7109375" style="26" customWidth="1"/>
    <col min="3853" max="3854" width="11.42578125" style="26"/>
    <col min="3855" max="3855" width="12.42578125" style="26" bestFit="1" customWidth="1"/>
    <col min="3856" max="4091" width="11.42578125" style="26"/>
    <col min="4092" max="4092" width="18.140625" style="26" customWidth="1"/>
    <col min="4093" max="4093" width="7.85546875" style="26" bestFit="1" customWidth="1"/>
    <col min="4094" max="4094" width="7.28515625" style="26" bestFit="1" customWidth="1"/>
    <col min="4095" max="4096" width="7.28515625" style="26" customWidth="1"/>
    <col min="4097" max="4098" width="7.28515625" style="26" bestFit="1" customWidth="1"/>
    <col min="4099" max="4101" width="7.28515625" style="26" customWidth="1"/>
    <col min="4102" max="4107" width="0" style="26" hidden="1" customWidth="1"/>
    <col min="4108" max="4108" width="9.7109375" style="26" customWidth="1"/>
    <col min="4109" max="4110" width="11.42578125" style="26"/>
    <col min="4111" max="4111" width="12.42578125" style="26" bestFit="1" customWidth="1"/>
    <col min="4112" max="4347" width="11.42578125" style="26"/>
    <col min="4348" max="4348" width="18.140625" style="26" customWidth="1"/>
    <col min="4349" max="4349" width="7.85546875" style="26" bestFit="1" customWidth="1"/>
    <col min="4350" max="4350" width="7.28515625" style="26" bestFit="1" customWidth="1"/>
    <col min="4351" max="4352" width="7.28515625" style="26" customWidth="1"/>
    <col min="4353" max="4354" width="7.28515625" style="26" bestFit="1" customWidth="1"/>
    <col min="4355" max="4357" width="7.28515625" style="26" customWidth="1"/>
    <col min="4358" max="4363" width="0" style="26" hidden="1" customWidth="1"/>
    <col min="4364" max="4364" width="9.7109375" style="26" customWidth="1"/>
    <col min="4365" max="4366" width="11.42578125" style="26"/>
    <col min="4367" max="4367" width="12.42578125" style="26" bestFit="1" customWidth="1"/>
    <col min="4368" max="4603" width="11.42578125" style="26"/>
    <col min="4604" max="4604" width="18.140625" style="26" customWidth="1"/>
    <col min="4605" max="4605" width="7.85546875" style="26" bestFit="1" customWidth="1"/>
    <col min="4606" max="4606" width="7.28515625" style="26" bestFit="1" customWidth="1"/>
    <col min="4607" max="4608" width="7.28515625" style="26" customWidth="1"/>
    <col min="4609" max="4610" width="7.28515625" style="26" bestFit="1" customWidth="1"/>
    <col min="4611" max="4613" width="7.28515625" style="26" customWidth="1"/>
    <col min="4614" max="4619" width="0" style="26" hidden="1" customWidth="1"/>
    <col min="4620" max="4620" width="9.7109375" style="26" customWidth="1"/>
    <col min="4621" max="4622" width="11.42578125" style="26"/>
    <col min="4623" max="4623" width="12.42578125" style="26" bestFit="1" customWidth="1"/>
    <col min="4624" max="4859" width="11.42578125" style="26"/>
    <col min="4860" max="4860" width="18.140625" style="26" customWidth="1"/>
    <col min="4861" max="4861" width="7.85546875" style="26" bestFit="1" customWidth="1"/>
    <col min="4862" max="4862" width="7.28515625" style="26" bestFit="1" customWidth="1"/>
    <col min="4863" max="4864" width="7.28515625" style="26" customWidth="1"/>
    <col min="4865" max="4866" width="7.28515625" style="26" bestFit="1" customWidth="1"/>
    <col min="4867" max="4869" width="7.28515625" style="26" customWidth="1"/>
    <col min="4870" max="4875" width="0" style="26" hidden="1" customWidth="1"/>
    <col min="4876" max="4876" width="9.7109375" style="26" customWidth="1"/>
    <col min="4877" max="4878" width="11.42578125" style="26"/>
    <col min="4879" max="4879" width="12.42578125" style="26" bestFit="1" customWidth="1"/>
    <col min="4880" max="5115" width="11.42578125" style="26"/>
    <col min="5116" max="5116" width="18.140625" style="26" customWidth="1"/>
    <col min="5117" max="5117" width="7.85546875" style="26" bestFit="1" customWidth="1"/>
    <col min="5118" max="5118" width="7.28515625" style="26" bestFit="1" customWidth="1"/>
    <col min="5119" max="5120" width="7.28515625" style="26" customWidth="1"/>
    <col min="5121" max="5122" width="7.28515625" style="26" bestFit="1" customWidth="1"/>
    <col min="5123" max="5125" width="7.28515625" style="26" customWidth="1"/>
    <col min="5126" max="5131" width="0" style="26" hidden="1" customWidth="1"/>
    <col min="5132" max="5132" width="9.7109375" style="26" customWidth="1"/>
    <col min="5133" max="5134" width="11.42578125" style="26"/>
    <col min="5135" max="5135" width="12.42578125" style="26" bestFit="1" customWidth="1"/>
    <col min="5136" max="5371" width="11.42578125" style="26"/>
    <col min="5372" max="5372" width="18.140625" style="26" customWidth="1"/>
    <col min="5373" max="5373" width="7.85546875" style="26" bestFit="1" customWidth="1"/>
    <col min="5374" max="5374" width="7.28515625" style="26" bestFit="1" customWidth="1"/>
    <col min="5375" max="5376" width="7.28515625" style="26" customWidth="1"/>
    <col min="5377" max="5378" width="7.28515625" style="26" bestFit="1" customWidth="1"/>
    <col min="5379" max="5381" width="7.28515625" style="26" customWidth="1"/>
    <col min="5382" max="5387" width="0" style="26" hidden="1" customWidth="1"/>
    <col min="5388" max="5388" width="9.7109375" style="26" customWidth="1"/>
    <col min="5389" max="5390" width="11.42578125" style="26"/>
    <col min="5391" max="5391" width="12.42578125" style="26" bestFit="1" customWidth="1"/>
    <col min="5392" max="5627" width="11.42578125" style="26"/>
    <col min="5628" max="5628" width="18.140625" style="26" customWidth="1"/>
    <col min="5629" max="5629" width="7.85546875" style="26" bestFit="1" customWidth="1"/>
    <col min="5630" max="5630" width="7.28515625" style="26" bestFit="1" customWidth="1"/>
    <col min="5631" max="5632" width="7.28515625" style="26" customWidth="1"/>
    <col min="5633" max="5634" width="7.28515625" style="26" bestFit="1" customWidth="1"/>
    <col min="5635" max="5637" width="7.28515625" style="26" customWidth="1"/>
    <col min="5638" max="5643" width="0" style="26" hidden="1" customWidth="1"/>
    <col min="5644" max="5644" width="9.7109375" style="26" customWidth="1"/>
    <col min="5645" max="5646" width="11.42578125" style="26"/>
    <col min="5647" max="5647" width="12.42578125" style="26" bestFit="1" customWidth="1"/>
    <col min="5648" max="5883" width="11.42578125" style="26"/>
    <col min="5884" max="5884" width="18.140625" style="26" customWidth="1"/>
    <col min="5885" max="5885" width="7.85546875" style="26" bestFit="1" customWidth="1"/>
    <col min="5886" max="5886" width="7.28515625" style="26" bestFit="1" customWidth="1"/>
    <col min="5887" max="5888" width="7.28515625" style="26" customWidth="1"/>
    <col min="5889" max="5890" width="7.28515625" style="26" bestFit="1" customWidth="1"/>
    <col min="5891" max="5893" width="7.28515625" style="26" customWidth="1"/>
    <col min="5894" max="5899" width="0" style="26" hidden="1" customWidth="1"/>
    <col min="5900" max="5900" width="9.7109375" style="26" customWidth="1"/>
    <col min="5901" max="5902" width="11.42578125" style="26"/>
    <col min="5903" max="5903" width="12.42578125" style="26" bestFit="1" customWidth="1"/>
    <col min="5904" max="6139" width="11.42578125" style="26"/>
    <col min="6140" max="6140" width="18.140625" style="26" customWidth="1"/>
    <col min="6141" max="6141" width="7.85546875" style="26" bestFit="1" customWidth="1"/>
    <col min="6142" max="6142" width="7.28515625" style="26" bestFit="1" customWidth="1"/>
    <col min="6143" max="6144" width="7.28515625" style="26" customWidth="1"/>
    <col min="6145" max="6146" width="7.28515625" style="26" bestFit="1" customWidth="1"/>
    <col min="6147" max="6149" width="7.28515625" style="26" customWidth="1"/>
    <col min="6150" max="6155" width="0" style="26" hidden="1" customWidth="1"/>
    <col min="6156" max="6156" width="9.7109375" style="26" customWidth="1"/>
    <col min="6157" max="6158" width="11.42578125" style="26"/>
    <col min="6159" max="6159" width="12.42578125" style="26" bestFit="1" customWidth="1"/>
    <col min="6160" max="6395" width="11.42578125" style="26"/>
    <col min="6396" max="6396" width="18.140625" style="26" customWidth="1"/>
    <col min="6397" max="6397" width="7.85546875" style="26" bestFit="1" customWidth="1"/>
    <col min="6398" max="6398" width="7.28515625" style="26" bestFit="1" customWidth="1"/>
    <col min="6399" max="6400" width="7.28515625" style="26" customWidth="1"/>
    <col min="6401" max="6402" width="7.28515625" style="26" bestFit="1" customWidth="1"/>
    <col min="6403" max="6405" width="7.28515625" style="26" customWidth="1"/>
    <col min="6406" max="6411" width="0" style="26" hidden="1" customWidth="1"/>
    <col min="6412" max="6412" width="9.7109375" style="26" customWidth="1"/>
    <col min="6413" max="6414" width="11.42578125" style="26"/>
    <col min="6415" max="6415" width="12.42578125" style="26" bestFit="1" customWidth="1"/>
    <col min="6416" max="6651" width="11.42578125" style="26"/>
    <col min="6652" max="6652" width="18.140625" style="26" customWidth="1"/>
    <col min="6653" max="6653" width="7.85546875" style="26" bestFit="1" customWidth="1"/>
    <col min="6654" max="6654" width="7.28515625" style="26" bestFit="1" customWidth="1"/>
    <col min="6655" max="6656" width="7.28515625" style="26" customWidth="1"/>
    <col min="6657" max="6658" width="7.28515625" style="26" bestFit="1" customWidth="1"/>
    <col min="6659" max="6661" width="7.28515625" style="26" customWidth="1"/>
    <col min="6662" max="6667" width="0" style="26" hidden="1" customWidth="1"/>
    <col min="6668" max="6668" width="9.7109375" style="26" customWidth="1"/>
    <col min="6669" max="6670" width="11.42578125" style="26"/>
    <col min="6671" max="6671" width="12.42578125" style="26" bestFit="1" customWidth="1"/>
    <col min="6672" max="6907" width="11.42578125" style="26"/>
    <col min="6908" max="6908" width="18.140625" style="26" customWidth="1"/>
    <col min="6909" max="6909" width="7.85546875" style="26" bestFit="1" customWidth="1"/>
    <col min="6910" max="6910" width="7.28515625" style="26" bestFit="1" customWidth="1"/>
    <col min="6911" max="6912" width="7.28515625" style="26" customWidth="1"/>
    <col min="6913" max="6914" width="7.28515625" style="26" bestFit="1" customWidth="1"/>
    <col min="6915" max="6917" width="7.28515625" style="26" customWidth="1"/>
    <col min="6918" max="6923" width="0" style="26" hidden="1" customWidth="1"/>
    <col min="6924" max="6924" width="9.7109375" style="26" customWidth="1"/>
    <col min="6925" max="6926" width="11.42578125" style="26"/>
    <col min="6927" max="6927" width="12.42578125" style="26" bestFit="1" customWidth="1"/>
    <col min="6928" max="7163" width="11.42578125" style="26"/>
    <col min="7164" max="7164" width="18.140625" style="26" customWidth="1"/>
    <col min="7165" max="7165" width="7.85546875" style="26" bestFit="1" customWidth="1"/>
    <col min="7166" max="7166" width="7.28515625" style="26" bestFit="1" customWidth="1"/>
    <col min="7167" max="7168" width="7.28515625" style="26" customWidth="1"/>
    <col min="7169" max="7170" width="7.28515625" style="26" bestFit="1" customWidth="1"/>
    <col min="7171" max="7173" width="7.28515625" style="26" customWidth="1"/>
    <col min="7174" max="7179" width="0" style="26" hidden="1" customWidth="1"/>
    <col min="7180" max="7180" width="9.7109375" style="26" customWidth="1"/>
    <col min="7181" max="7182" width="11.42578125" style="26"/>
    <col min="7183" max="7183" width="12.42578125" style="26" bestFit="1" customWidth="1"/>
    <col min="7184" max="7419" width="11.42578125" style="26"/>
    <col min="7420" max="7420" width="18.140625" style="26" customWidth="1"/>
    <col min="7421" max="7421" width="7.85546875" style="26" bestFit="1" customWidth="1"/>
    <col min="7422" max="7422" width="7.28515625" style="26" bestFit="1" customWidth="1"/>
    <col min="7423" max="7424" width="7.28515625" style="26" customWidth="1"/>
    <col min="7425" max="7426" width="7.28515625" style="26" bestFit="1" customWidth="1"/>
    <col min="7427" max="7429" width="7.28515625" style="26" customWidth="1"/>
    <col min="7430" max="7435" width="0" style="26" hidden="1" customWidth="1"/>
    <col min="7436" max="7436" width="9.7109375" style="26" customWidth="1"/>
    <col min="7437" max="7438" width="11.42578125" style="26"/>
    <col min="7439" max="7439" width="12.42578125" style="26" bestFit="1" customWidth="1"/>
    <col min="7440" max="7675" width="11.42578125" style="26"/>
    <col min="7676" max="7676" width="18.140625" style="26" customWidth="1"/>
    <col min="7677" max="7677" width="7.85546875" style="26" bestFit="1" customWidth="1"/>
    <col min="7678" max="7678" width="7.28515625" style="26" bestFit="1" customWidth="1"/>
    <col min="7679" max="7680" width="7.28515625" style="26" customWidth="1"/>
    <col min="7681" max="7682" width="7.28515625" style="26" bestFit="1" customWidth="1"/>
    <col min="7683" max="7685" width="7.28515625" style="26" customWidth="1"/>
    <col min="7686" max="7691" width="0" style="26" hidden="1" customWidth="1"/>
    <col min="7692" max="7692" width="9.7109375" style="26" customWidth="1"/>
    <col min="7693" max="7694" width="11.42578125" style="26"/>
    <col min="7695" max="7695" width="12.42578125" style="26" bestFit="1" customWidth="1"/>
    <col min="7696" max="7931" width="11.42578125" style="26"/>
    <col min="7932" max="7932" width="18.140625" style="26" customWidth="1"/>
    <col min="7933" max="7933" width="7.85546875" style="26" bestFit="1" customWidth="1"/>
    <col min="7934" max="7934" width="7.28515625" style="26" bestFit="1" customWidth="1"/>
    <col min="7935" max="7936" width="7.28515625" style="26" customWidth="1"/>
    <col min="7937" max="7938" width="7.28515625" style="26" bestFit="1" customWidth="1"/>
    <col min="7939" max="7941" width="7.28515625" style="26" customWidth="1"/>
    <col min="7942" max="7947" width="0" style="26" hidden="1" customWidth="1"/>
    <col min="7948" max="7948" width="9.7109375" style="26" customWidth="1"/>
    <col min="7949" max="7950" width="11.42578125" style="26"/>
    <col min="7951" max="7951" width="12.42578125" style="26" bestFit="1" customWidth="1"/>
    <col min="7952" max="8187" width="11.42578125" style="26"/>
    <col min="8188" max="8188" width="18.140625" style="26" customWidth="1"/>
    <col min="8189" max="8189" width="7.85546875" style="26" bestFit="1" customWidth="1"/>
    <col min="8190" max="8190" width="7.28515625" style="26" bestFit="1" customWidth="1"/>
    <col min="8191" max="8192" width="7.28515625" style="26" customWidth="1"/>
    <col min="8193" max="8194" width="7.28515625" style="26" bestFit="1" customWidth="1"/>
    <col min="8195" max="8197" width="7.28515625" style="26" customWidth="1"/>
    <col min="8198" max="8203" width="0" style="26" hidden="1" customWidth="1"/>
    <col min="8204" max="8204" width="9.7109375" style="26" customWidth="1"/>
    <col min="8205" max="8206" width="11.42578125" style="26"/>
    <col min="8207" max="8207" width="12.42578125" style="26" bestFit="1" customWidth="1"/>
    <col min="8208" max="8443" width="11.42578125" style="26"/>
    <col min="8444" max="8444" width="18.140625" style="26" customWidth="1"/>
    <col min="8445" max="8445" width="7.85546875" style="26" bestFit="1" customWidth="1"/>
    <col min="8446" max="8446" width="7.28515625" style="26" bestFit="1" customWidth="1"/>
    <col min="8447" max="8448" width="7.28515625" style="26" customWidth="1"/>
    <col min="8449" max="8450" width="7.28515625" style="26" bestFit="1" customWidth="1"/>
    <col min="8451" max="8453" width="7.28515625" style="26" customWidth="1"/>
    <col min="8454" max="8459" width="0" style="26" hidden="1" customWidth="1"/>
    <col min="8460" max="8460" width="9.7109375" style="26" customWidth="1"/>
    <col min="8461" max="8462" width="11.42578125" style="26"/>
    <col min="8463" max="8463" width="12.42578125" style="26" bestFit="1" customWidth="1"/>
    <col min="8464" max="8699" width="11.42578125" style="26"/>
    <col min="8700" max="8700" width="18.140625" style="26" customWidth="1"/>
    <col min="8701" max="8701" width="7.85546875" style="26" bestFit="1" customWidth="1"/>
    <col min="8702" max="8702" width="7.28515625" style="26" bestFit="1" customWidth="1"/>
    <col min="8703" max="8704" width="7.28515625" style="26" customWidth="1"/>
    <col min="8705" max="8706" width="7.28515625" style="26" bestFit="1" customWidth="1"/>
    <col min="8707" max="8709" width="7.28515625" style="26" customWidth="1"/>
    <col min="8710" max="8715" width="0" style="26" hidden="1" customWidth="1"/>
    <col min="8716" max="8716" width="9.7109375" style="26" customWidth="1"/>
    <col min="8717" max="8718" width="11.42578125" style="26"/>
    <col min="8719" max="8719" width="12.42578125" style="26" bestFit="1" customWidth="1"/>
    <col min="8720" max="8955" width="11.42578125" style="26"/>
    <col min="8956" max="8956" width="18.140625" style="26" customWidth="1"/>
    <col min="8957" max="8957" width="7.85546875" style="26" bestFit="1" customWidth="1"/>
    <col min="8958" max="8958" width="7.28515625" style="26" bestFit="1" customWidth="1"/>
    <col min="8959" max="8960" width="7.28515625" style="26" customWidth="1"/>
    <col min="8961" max="8962" width="7.28515625" style="26" bestFit="1" customWidth="1"/>
    <col min="8963" max="8965" width="7.28515625" style="26" customWidth="1"/>
    <col min="8966" max="8971" width="0" style="26" hidden="1" customWidth="1"/>
    <col min="8972" max="8972" width="9.7109375" style="26" customWidth="1"/>
    <col min="8973" max="8974" width="11.42578125" style="26"/>
    <col min="8975" max="8975" width="12.42578125" style="26" bestFit="1" customWidth="1"/>
    <col min="8976" max="9211" width="11.42578125" style="26"/>
    <col min="9212" max="9212" width="18.140625" style="26" customWidth="1"/>
    <col min="9213" max="9213" width="7.85546875" style="26" bestFit="1" customWidth="1"/>
    <col min="9214" max="9214" width="7.28515625" style="26" bestFit="1" customWidth="1"/>
    <col min="9215" max="9216" width="7.28515625" style="26" customWidth="1"/>
    <col min="9217" max="9218" width="7.28515625" style="26" bestFit="1" customWidth="1"/>
    <col min="9219" max="9221" width="7.28515625" style="26" customWidth="1"/>
    <col min="9222" max="9227" width="0" style="26" hidden="1" customWidth="1"/>
    <col min="9228" max="9228" width="9.7109375" style="26" customWidth="1"/>
    <col min="9229" max="9230" width="11.42578125" style="26"/>
    <col min="9231" max="9231" width="12.42578125" style="26" bestFit="1" customWidth="1"/>
    <col min="9232" max="9467" width="11.42578125" style="26"/>
    <col min="9468" max="9468" width="18.140625" style="26" customWidth="1"/>
    <col min="9469" max="9469" width="7.85546875" style="26" bestFit="1" customWidth="1"/>
    <col min="9470" max="9470" width="7.28515625" style="26" bestFit="1" customWidth="1"/>
    <col min="9471" max="9472" width="7.28515625" style="26" customWidth="1"/>
    <col min="9473" max="9474" width="7.28515625" style="26" bestFit="1" customWidth="1"/>
    <col min="9475" max="9477" width="7.28515625" style="26" customWidth="1"/>
    <col min="9478" max="9483" width="0" style="26" hidden="1" customWidth="1"/>
    <col min="9484" max="9484" width="9.7109375" style="26" customWidth="1"/>
    <col min="9485" max="9486" width="11.42578125" style="26"/>
    <col min="9487" max="9487" width="12.42578125" style="26" bestFit="1" customWidth="1"/>
    <col min="9488" max="9723" width="11.42578125" style="26"/>
    <col min="9724" max="9724" width="18.140625" style="26" customWidth="1"/>
    <col min="9725" max="9725" width="7.85546875" style="26" bestFit="1" customWidth="1"/>
    <col min="9726" max="9726" width="7.28515625" style="26" bestFit="1" customWidth="1"/>
    <col min="9727" max="9728" width="7.28515625" style="26" customWidth="1"/>
    <col min="9729" max="9730" width="7.28515625" style="26" bestFit="1" customWidth="1"/>
    <col min="9731" max="9733" width="7.28515625" style="26" customWidth="1"/>
    <col min="9734" max="9739" width="0" style="26" hidden="1" customWidth="1"/>
    <col min="9740" max="9740" width="9.7109375" style="26" customWidth="1"/>
    <col min="9741" max="9742" width="11.42578125" style="26"/>
    <col min="9743" max="9743" width="12.42578125" style="26" bestFit="1" customWidth="1"/>
    <col min="9744" max="9979" width="11.42578125" style="26"/>
    <col min="9980" max="9980" width="18.140625" style="26" customWidth="1"/>
    <col min="9981" max="9981" width="7.85546875" style="26" bestFit="1" customWidth="1"/>
    <col min="9982" max="9982" width="7.28515625" style="26" bestFit="1" customWidth="1"/>
    <col min="9983" max="9984" width="7.28515625" style="26" customWidth="1"/>
    <col min="9985" max="9986" width="7.28515625" style="26" bestFit="1" customWidth="1"/>
    <col min="9987" max="9989" width="7.28515625" style="26" customWidth="1"/>
    <col min="9990" max="9995" width="0" style="26" hidden="1" customWidth="1"/>
    <col min="9996" max="9996" width="9.7109375" style="26" customWidth="1"/>
    <col min="9997" max="9998" width="11.42578125" style="26"/>
    <col min="9999" max="9999" width="12.42578125" style="26" bestFit="1" customWidth="1"/>
    <col min="10000" max="10235" width="11.42578125" style="26"/>
    <col min="10236" max="10236" width="18.140625" style="26" customWidth="1"/>
    <col min="10237" max="10237" width="7.85546875" style="26" bestFit="1" customWidth="1"/>
    <col min="10238" max="10238" width="7.28515625" style="26" bestFit="1" customWidth="1"/>
    <col min="10239" max="10240" width="7.28515625" style="26" customWidth="1"/>
    <col min="10241" max="10242" width="7.28515625" style="26" bestFit="1" customWidth="1"/>
    <col min="10243" max="10245" width="7.28515625" style="26" customWidth="1"/>
    <col min="10246" max="10251" width="0" style="26" hidden="1" customWidth="1"/>
    <col min="10252" max="10252" width="9.7109375" style="26" customWidth="1"/>
    <col min="10253" max="10254" width="11.42578125" style="26"/>
    <col min="10255" max="10255" width="12.42578125" style="26" bestFit="1" customWidth="1"/>
    <col min="10256" max="10491" width="11.42578125" style="26"/>
    <col min="10492" max="10492" width="18.140625" style="26" customWidth="1"/>
    <col min="10493" max="10493" width="7.85546875" style="26" bestFit="1" customWidth="1"/>
    <col min="10494" max="10494" width="7.28515625" style="26" bestFit="1" customWidth="1"/>
    <col min="10495" max="10496" width="7.28515625" style="26" customWidth="1"/>
    <col min="10497" max="10498" width="7.28515625" style="26" bestFit="1" customWidth="1"/>
    <col min="10499" max="10501" width="7.28515625" style="26" customWidth="1"/>
    <col min="10502" max="10507" width="0" style="26" hidden="1" customWidth="1"/>
    <col min="10508" max="10508" width="9.7109375" style="26" customWidth="1"/>
    <col min="10509" max="10510" width="11.42578125" style="26"/>
    <col min="10511" max="10511" width="12.42578125" style="26" bestFit="1" customWidth="1"/>
    <col min="10512" max="10747" width="11.42578125" style="26"/>
    <col min="10748" max="10748" width="18.140625" style="26" customWidth="1"/>
    <col min="10749" max="10749" width="7.85546875" style="26" bestFit="1" customWidth="1"/>
    <col min="10750" max="10750" width="7.28515625" style="26" bestFit="1" customWidth="1"/>
    <col min="10751" max="10752" width="7.28515625" style="26" customWidth="1"/>
    <col min="10753" max="10754" width="7.28515625" style="26" bestFit="1" customWidth="1"/>
    <col min="10755" max="10757" width="7.28515625" style="26" customWidth="1"/>
    <col min="10758" max="10763" width="0" style="26" hidden="1" customWidth="1"/>
    <col min="10764" max="10764" width="9.7109375" style="26" customWidth="1"/>
    <col min="10765" max="10766" width="11.42578125" style="26"/>
    <col min="10767" max="10767" width="12.42578125" style="26" bestFit="1" customWidth="1"/>
    <col min="10768" max="11003" width="11.42578125" style="26"/>
    <col min="11004" max="11004" width="18.140625" style="26" customWidth="1"/>
    <col min="11005" max="11005" width="7.85546875" style="26" bestFit="1" customWidth="1"/>
    <col min="11006" max="11006" width="7.28515625" style="26" bestFit="1" customWidth="1"/>
    <col min="11007" max="11008" width="7.28515625" style="26" customWidth="1"/>
    <col min="11009" max="11010" width="7.28515625" style="26" bestFit="1" customWidth="1"/>
    <col min="11011" max="11013" width="7.28515625" style="26" customWidth="1"/>
    <col min="11014" max="11019" width="0" style="26" hidden="1" customWidth="1"/>
    <col min="11020" max="11020" width="9.7109375" style="26" customWidth="1"/>
    <col min="11021" max="11022" width="11.42578125" style="26"/>
    <col min="11023" max="11023" width="12.42578125" style="26" bestFit="1" customWidth="1"/>
    <col min="11024" max="11259" width="11.42578125" style="26"/>
    <col min="11260" max="11260" width="18.140625" style="26" customWidth="1"/>
    <col min="11261" max="11261" width="7.85546875" style="26" bestFit="1" customWidth="1"/>
    <col min="11262" max="11262" width="7.28515625" style="26" bestFit="1" customWidth="1"/>
    <col min="11263" max="11264" width="7.28515625" style="26" customWidth="1"/>
    <col min="11265" max="11266" width="7.28515625" style="26" bestFit="1" customWidth="1"/>
    <col min="11267" max="11269" width="7.28515625" style="26" customWidth="1"/>
    <col min="11270" max="11275" width="0" style="26" hidden="1" customWidth="1"/>
    <col min="11276" max="11276" width="9.7109375" style="26" customWidth="1"/>
    <col min="11277" max="11278" width="11.42578125" style="26"/>
    <col min="11279" max="11279" width="12.42578125" style="26" bestFit="1" customWidth="1"/>
    <col min="11280" max="11515" width="11.42578125" style="26"/>
    <col min="11516" max="11516" width="18.140625" style="26" customWidth="1"/>
    <col min="11517" max="11517" width="7.85546875" style="26" bestFit="1" customWidth="1"/>
    <col min="11518" max="11518" width="7.28515625" style="26" bestFit="1" customWidth="1"/>
    <col min="11519" max="11520" width="7.28515625" style="26" customWidth="1"/>
    <col min="11521" max="11522" width="7.28515625" style="26" bestFit="1" customWidth="1"/>
    <col min="11523" max="11525" width="7.28515625" style="26" customWidth="1"/>
    <col min="11526" max="11531" width="0" style="26" hidden="1" customWidth="1"/>
    <col min="11532" max="11532" width="9.7109375" style="26" customWidth="1"/>
    <col min="11533" max="11534" width="11.42578125" style="26"/>
    <col min="11535" max="11535" width="12.42578125" style="26" bestFit="1" customWidth="1"/>
    <col min="11536" max="11771" width="11.42578125" style="26"/>
    <col min="11772" max="11772" width="18.140625" style="26" customWidth="1"/>
    <col min="11773" max="11773" width="7.85546875" style="26" bestFit="1" customWidth="1"/>
    <col min="11774" max="11774" width="7.28515625" style="26" bestFit="1" customWidth="1"/>
    <col min="11775" max="11776" width="7.28515625" style="26" customWidth="1"/>
    <col min="11777" max="11778" width="7.28515625" style="26" bestFit="1" customWidth="1"/>
    <col min="11779" max="11781" width="7.28515625" style="26" customWidth="1"/>
    <col min="11782" max="11787" width="0" style="26" hidden="1" customWidth="1"/>
    <col min="11788" max="11788" width="9.7109375" style="26" customWidth="1"/>
    <col min="11789" max="11790" width="11.42578125" style="26"/>
    <col min="11791" max="11791" width="12.42578125" style="26" bestFit="1" customWidth="1"/>
    <col min="11792" max="12027" width="11.42578125" style="26"/>
    <col min="12028" max="12028" width="18.140625" style="26" customWidth="1"/>
    <col min="12029" max="12029" width="7.85546875" style="26" bestFit="1" customWidth="1"/>
    <col min="12030" max="12030" width="7.28515625" style="26" bestFit="1" customWidth="1"/>
    <col min="12031" max="12032" width="7.28515625" style="26" customWidth="1"/>
    <col min="12033" max="12034" width="7.28515625" style="26" bestFit="1" customWidth="1"/>
    <col min="12035" max="12037" width="7.28515625" style="26" customWidth="1"/>
    <col min="12038" max="12043" width="0" style="26" hidden="1" customWidth="1"/>
    <col min="12044" max="12044" width="9.7109375" style="26" customWidth="1"/>
    <col min="12045" max="12046" width="11.42578125" style="26"/>
    <col min="12047" max="12047" width="12.42578125" style="26" bestFit="1" customWidth="1"/>
    <col min="12048" max="12283" width="11.42578125" style="26"/>
    <col min="12284" max="12284" width="18.140625" style="26" customWidth="1"/>
    <col min="12285" max="12285" width="7.85546875" style="26" bestFit="1" customWidth="1"/>
    <col min="12286" max="12286" width="7.28515625" style="26" bestFit="1" customWidth="1"/>
    <col min="12287" max="12288" width="7.28515625" style="26" customWidth="1"/>
    <col min="12289" max="12290" width="7.28515625" style="26" bestFit="1" customWidth="1"/>
    <col min="12291" max="12293" width="7.28515625" style="26" customWidth="1"/>
    <col min="12294" max="12299" width="0" style="26" hidden="1" customWidth="1"/>
    <col min="12300" max="12300" width="9.7109375" style="26" customWidth="1"/>
    <col min="12301" max="12302" width="11.42578125" style="26"/>
    <col min="12303" max="12303" width="12.42578125" style="26" bestFit="1" customWidth="1"/>
    <col min="12304" max="12539" width="11.42578125" style="26"/>
    <col min="12540" max="12540" width="18.140625" style="26" customWidth="1"/>
    <col min="12541" max="12541" width="7.85546875" style="26" bestFit="1" customWidth="1"/>
    <col min="12542" max="12542" width="7.28515625" style="26" bestFit="1" customWidth="1"/>
    <col min="12543" max="12544" width="7.28515625" style="26" customWidth="1"/>
    <col min="12545" max="12546" width="7.28515625" style="26" bestFit="1" customWidth="1"/>
    <col min="12547" max="12549" width="7.28515625" style="26" customWidth="1"/>
    <col min="12550" max="12555" width="0" style="26" hidden="1" customWidth="1"/>
    <col min="12556" max="12556" width="9.7109375" style="26" customWidth="1"/>
    <col min="12557" max="12558" width="11.42578125" style="26"/>
    <col min="12559" max="12559" width="12.42578125" style="26" bestFit="1" customWidth="1"/>
    <col min="12560" max="12795" width="11.42578125" style="26"/>
    <col min="12796" max="12796" width="18.140625" style="26" customWidth="1"/>
    <col min="12797" max="12797" width="7.85546875" style="26" bestFit="1" customWidth="1"/>
    <col min="12798" max="12798" width="7.28515625" style="26" bestFit="1" customWidth="1"/>
    <col min="12799" max="12800" width="7.28515625" style="26" customWidth="1"/>
    <col min="12801" max="12802" width="7.28515625" style="26" bestFit="1" customWidth="1"/>
    <col min="12803" max="12805" width="7.28515625" style="26" customWidth="1"/>
    <col min="12806" max="12811" width="0" style="26" hidden="1" customWidth="1"/>
    <col min="12812" max="12812" width="9.7109375" style="26" customWidth="1"/>
    <col min="12813" max="12814" width="11.42578125" style="26"/>
    <col min="12815" max="12815" width="12.42578125" style="26" bestFit="1" customWidth="1"/>
    <col min="12816" max="13051" width="11.42578125" style="26"/>
    <col min="13052" max="13052" width="18.140625" style="26" customWidth="1"/>
    <col min="13053" max="13053" width="7.85546875" style="26" bestFit="1" customWidth="1"/>
    <col min="13054" max="13054" width="7.28515625" style="26" bestFit="1" customWidth="1"/>
    <col min="13055" max="13056" width="7.28515625" style="26" customWidth="1"/>
    <col min="13057" max="13058" width="7.28515625" style="26" bestFit="1" customWidth="1"/>
    <col min="13059" max="13061" width="7.28515625" style="26" customWidth="1"/>
    <col min="13062" max="13067" width="0" style="26" hidden="1" customWidth="1"/>
    <col min="13068" max="13068" width="9.7109375" style="26" customWidth="1"/>
    <col min="13069" max="13070" width="11.42578125" style="26"/>
    <col min="13071" max="13071" width="12.42578125" style="26" bestFit="1" customWidth="1"/>
    <col min="13072" max="13307" width="11.42578125" style="26"/>
    <col min="13308" max="13308" width="18.140625" style="26" customWidth="1"/>
    <col min="13309" max="13309" width="7.85546875" style="26" bestFit="1" customWidth="1"/>
    <col min="13310" max="13310" width="7.28515625" style="26" bestFit="1" customWidth="1"/>
    <col min="13311" max="13312" width="7.28515625" style="26" customWidth="1"/>
    <col min="13313" max="13314" width="7.28515625" style="26" bestFit="1" customWidth="1"/>
    <col min="13315" max="13317" width="7.28515625" style="26" customWidth="1"/>
    <col min="13318" max="13323" width="0" style="26" hidden="1" customWidth="1"/>
    <col min="13324" max="13324" width="9.7109375" style="26" customWidth="1"/>
    <col min="13325" max="13326" width="11.42578125" style="26"/>
    <col min="13327" max="13327" width="12.42578125" style="26" bestFit="1" customWidth="1"/>
    <col min="13328" max="13563" width="11.42578125" style="26"/>
    <col min="13564" max="13564" width="18.140625" style="26" customWidth="1"/>
    <col min="13565" max="13565" width="7.85546875" style="26" bestFit="1" customWidth="1"/>
    <col min="13566" max="13566" width="7.28515625" style="26" bestFit="1" customWidth="1"/>
    <col min="13567" max="13568" width="7.28515625" style="26" customWidth="1"/>
    <col min="13569" max="13570" width="7.28515625" style="26" bestFit="1" customWidth="1"/>
    <col min="13571" max="13573" width="7.28515625" style="26" customWidth="1"/>
    <col min="13574" max="13579" width="0" style="26" hidden="1" customWidth="1"/>
    <col min="13580" max="13580" width="9.7109375" style="26" customWidth="1"/>
    <col min="13581" max="13582" width="11.42578125" style="26"/>
    <col min="13583" max="13583" width="12.42578125" style="26" bestFit="1" customWidth="1"/>
    <col min="13584" max="13819" width="11.42578125" style="26"/>
    <col min="13820" max="13820" width="18.140625" style="26" customWidth="1"/>
    <col min="13821" max="13821" width="7.85546875" style="26" bestFit="1" customWidth="1"/>
    <col min="13822" max="13822" width="7.28515625" style="26" bestFit="1" customWidth="1"/>
    <col min="13823" max="13824" width="7.28515625" style="26" customWidth="1"/>
    <col min="13825" max="13826" width="7.28515625" style="26" bestFit="1" customWidth="1"/>
    <col min="13827" max="13829" width="7.28515625" style="26" customWidth="1"/>
    <col min="13830" max="13835" width="0" style="26" hidden="1" customWidth="1"/>
    <col min="13836" max="13836" width="9.7109375" style="26" customWidth="1"/>
    <col min="13837" max="13838" width="11.42578125" style="26"/>
    <col min="13839" max="13839" width="12.42578125" style="26" bestFit="1" customWidth="1"/>
    <col min="13840" max="14075" width="11.42578125" style="26"/>
    <col min="14076" max="14076" width="18.140625" style="26" customWidth="1"/>
    <col min="14077" max="14077" width="7.85546875" style="26" bestFit="1" customWidth="1"/>
    <col min="14078" max="14078" width="7.28515625" style="26" bestFit="1" customWidth="1"/>
    <col min="14079" max="14080" width="7.28515625" style="26" customWidth="1"/>
    <col min="14081" max="14082" width="7.28515625" style="26" bestFit="1" customWidth="1"/>
    <col min="14083" max="14085" width="7.28515625" style="26" customWidth="1"/>
    <col min="14086" max="14091" width="0" style="26" hidden="1" customWidth="1"/>
    <col min="14092" max="14092" width="9.7109375" style="26" customWidth="1"/>
    <col min="14093" max="14094" width="11.42578125" style="26"/>
    <col min="14095" max="14095" width="12.42578125" style="26" bestFit="1" customWidth="1"/>
    <col min="14096" max="14331" width="11.42578125" style="26"/>
    <col min="14332" max="14332" width="18.140625" style="26" customWidth="1"/>
    <col min="14333" max="14333" width="7.85546875" style="26" bestFit="1" customWidth="1"/>
    <col min="14334" max="14334" width="7.28515625" style="26" bestFit="1" customWidth="1"/>
    <col min="14335" max="14336" width="7.28515625" style="26" customWidth="1"/>
    <col min="14337" max="14338" width="7.28515625" style="26" bestFit="1" customWidth="1"/>
    <col min="14339" max="14341" width="7.28515625" style="26" customWidth="1"/>
    <col min="14342" max="14347" width="0" style="26" hidden="1" customWidth="1"/>
    <col min="14348" max="14348" width="9.7109375" style="26" customWidth="1"/>
    <col min="14349" max="14350" width="11.42578125" style="26"/>
    <col min="14351" max="14351" width="12.42578125" style="26" bestFit="1" customWidth="1"/>
    <col min="14352" max="14587" width="11.42578125" style="26"/>
    <col min="14588" max="14588" width="18.140625" style="26" customWidth="1"/>
    <col min="14589" max="14589" width="7.85546875" style="26" bestFit="1" customWidth="1"/>
    <col min="14590" max="14590" width="7.28515625" style="26" bestFit="1" customWidth="1"/>
    <col min="14591" max="14592" width="7.28515625" style="26" customWidth="1"/>
    <col min="14593" max="14594" width="7.28515625" style="26" bestFit="1" customWidth="1"/>
    <col min="14595" max="14597" width="7.28515625" style="26" customWidth="1"/>
    <col min="14598" max="14603" width="0" style="26" hidden="1" customWidth="1"/>
    <col min="14604" max="14604" width="9.7109375" style="26" customWidth="1"/>
    <col min="14605" max="14606" width="11.42578125" style="26"/>
    <col min="14607" max="14607" width="12.42578125" style="26" bestFit="1" customWidth="1"/>
    <col min="14608" max="14843" width="11.42578125" style="26"/>
    <col min="14844" max="14844" width="18.140625" style="26" customWidth="1"/>
    <col min="14845" max="14845" width="7.85546875" style="26" bestFit="1" customWidth="1"/>
    <col min="14846" max="14846" width="7.28515625" style="26" bestFit="1" customWidth="1"/>
    <col min="14847" max="14848" width="7.28515625" style="26" customWidth="1"/>
    <col min="14849" max="14850" width="7.28515625" style="26" bestFit="1" customWidth="1"/>
    <col min="14851" max="14853" width="7.28515625" style="26" customWidth="1"/>
    <col min="14854" max="14859" width="0" style="26" hidden="1" customWidth="1"/>
    <col min="14860" max="14860" width="9.7109375" style="26" customWidth="1"/>
    <col min="14861" max="14862" width="11.42578125" style="26"/>
    <col min="14863" max="14863" width="12.42578125" style="26" bestFit="1" customWidth="1"/>
    <col min="14864" max="15099" width="11.42578125" style="26"/>
    <col min="15100" max="15100" width="18.140625" style="26" customWidth="1"/>
    <col min="15101" max="15101" width="7.85546875" style="26" bestFit="1" customWidth="1"/>
    <col min="15102" max="15102" width="7.28515625" style="26" bestFit="1" customWidth="1"/>
    <col min="15103" max="15104" width="7.28515625" style="26" customWidth="1"/>
    <col min="15105" max="15106" width="7.28515625" style="26" bestFit="1" customWidth="1"/>
    <col min="15107" max="15109" width="7.28515625" style="26" customWidth="1"/>
    <col min="15110" max="15115" width="0" style="26" hidden="1" customWidth="1"/>
    <col min="15116" max="15116" width="9.7109375" style="26" customWidth="1"/>
    <col min="15117" max="15118" width="11.42578125" style="26"/>
    <col min="15119" max="15119" width="12.42578125" style="26" bestFit="1" customWidth="1"/>
    <col min="15120" max="15355" width="11.42578125" style="26"/>
    <col min="15356" max="15356" width="18.140625" style="26" customWidth="1"/>
    <col min="15357" max="15357" width="7.85546875" style="26" bestFit="1" customWidth="1"/>
    <col min="15358" max="15358" width="7.28515625" style="26" bestFit="1" customWidth="1"/>
    <col min="15359" max="15360" width="7.28515625" style="26" customWidth="1"/>
    <col min="15361" max="15362" width="7.28515625" style="26" bestFit="1" customWidth="1"/>
    <col min="15363" max="15365" width="7.28515625" style="26" customWidth="1"/>
    <col min="15366" max="15371" width="0" style="26" hidden="1" customWidth="1"/>
    <col min="15372" max="15372" width="9.7109375" style="26" customWidth="1"/>
    <col min="15373" max="15374" width="11.42578125" style="26"/>
    <col min="15375" max="15375" width="12.42578125" style="26" bestFit="1" customWidth="1"/>
    <col min="15376" max="15611" width="11.42578125" style="26"/>
    <col min="15612" max="15612" width="18.140625" style="26" customWidth="1"/>
    <col min="15613" max="15613" width="7.85546875" style="26" bestFit="1" customWidth="1"/>
    <col min="15614" max="15614" width="7.28515625" style="26" bestFit="1" customWidth="1"/>
    <col min="15615" max="15616" width="7.28515625" style="26" customWidth="1"/>
    <col min="15617" max="15618" width="7.28515625" style="26" bestFit="1" customWidth="1"/>
    <col min="15619" max="15621" width="7.28515625" style="26" customWidth="1"/>
    <col min="15622" max="15627" width="0" style="26" hidden="1" customWidth="1"/>
    <col min="15628" max="15628" width="9.7109375" style="26" customWidth="1"/>
    <col min="15629" max="15630" width="11.42578125" style="26"/>
    <col min="15631" max="15631" width="12.42578125" style="26" bestFit="1" customWidth="1"/>
    <col min="15632" max="15867" width="11.42578125" style="26"/>
    <col min="15868" max="15868" width="18.140625" style="26" customWidth="1"/>
    <col min="15869" max="15869" width="7.85546875" style="26" bestFit="1" customWidth="1"/>
    <col min="15870" max="15870" width="7.28515625" style="26" bestFit="1" customWidth="1"/>
    <col min="15871" max="15872" width="7.28515625" style="26" customWidth="1"/>
    <col min="15873" max="15874" width="7.28515625" style="26" bestFit="1" customWidth="1"/>
    <col min="15875" max="15877" width="7.28515625" style="26" customWidth="1"/>
    <col min="15878" max="15883" width="0" style="26" hidden="1" customWidth="1"/>
    <col min="15884" max="15884" width="9.7109375" style="26" customWidth="1"/>
    <col min="15885" max="15886" width="11.42578125" style="26"/>
    <col min="15887" max="15887" width="12.42578125" style="26" bestFit="1" customWidth="1"/>
    <col min="15888" max="16123" width="11.42578125" style="26"/>
    <col min="16124" max="16124" width="18.140625" style="26" customWidth="1"/>
    <col min="16125" max="16125" width="7.85546875" style="26" bestFit="1" customWidth="1"/>
    <col min="16126" max="16126" width="7.28515625" style="26" bestFit="1" customWidth="1"/>
    <col min="16127" max="16128" width="7.28515625" style="26" customWidth="1"/>
    <col min="16129" max="16130" width="7.28515625" style="26" bestFit="1" customWidth="1"/>
    <col min="16131" max="16133" width="7.28515625" style="26" customWidth="1"/>
    <col min="16134" max="16139" width="0" style="26" hidden="1" customWidth="1"/>
    <col min="16140" max="16140" width="9.7109375" style="26" customWidth="1"/>
    <col min="16141" max="16142" width="11.42578125" style="26"/>
    <col min="16143" max="16143" width="12.42578125" style="26" bestFit="1" customWidth="1"/>
    <col min="16144" max="16384" width="11.42578125" style="26"/>
  </cols>
  <sheetData>
    <row r="1" spans="1:17" s="27" customFormat="1" x14ac:dyDescent="0.2">
      <c r="B1" s="39"/>
      <c r="C1" s="39"/>
      <c r="D1" s="39"/>
      <c r="E1" s="39"/>
      <c r="F1" s="39"/>
      <c r="G1" s="39"/>
      <c r="H1" s="39"/>
      <c r="I1" s="39"/>
      <c r="J1" s="39"/>
      <c r="K1" s="39"/>
      <c r="L1" s="39"/>
    </row>
    <row r="2" spans="1:17" s="27" customFormat="1" x14ac:dyDescent="0.2">
      <c r="A2" s="47" t="s">
        <v>101</v>
      </c>
      <c r="B2" s="39"/>
      <c r="C2" s="39"/>
      <c r="D2" s="39"/>
      <c r="E2" s="39"/>
      <c r="F2" s="39"/>
      <c r="G2" s="39"/>
      <c r="H2" s="39"/>
      <c r="I2" s="39"/>
      <c r="K2" s="39"/>
      <c r="L2" s="39"/>
    </row>
    <row r="3" spans="1:17" s="27" customFormat="1" ht="15" x14ac:dyDescent="0.25">
      <c r="A3" s="47" t="s">
        <v>102</v>
      </c>
      <c r="B3" s="39"/>
      <c r="C3" s="39"/>
      <c r="D3" s="39"/>
      <c r="E3" s="39"/>
      <c r="F3" s="39"/>
      <c r="G3" s="39"/>
      <c r="H3" s="39"/>
      <c r="I3" s="39"/>
      <c r="J3" s="95"/>
      <c r="K3" s="39"/>
      <c r="L3" s="39"/>
    </row>
    <row r="4" spans="1:17" s="27" customFormat="1" x14ac:dyDescent="0.2">
      <c r="B4" s="39"/>
      <c r="C4" s="39"/>
      <c r="D4" s="39"/>
      <c r="E4" s="39"/>
      <c r="F4" s="39"/>
      <c r="G4" s="39"/>
      <c r="H4" s="39"/>
      <c r="I4" s="39"/>
      <c r="J4" s="39"/>
      <c r="K4" s="39"/>
      <c r="L4" s="39"/>
    </row>
    <row r="5" spans="1:17" s="27" customFormat="1" ht="12.75" x14ac:dyDescent="0.2">
      <c r="B5" s="369" t="s">
        <v>86</v>
      </c>
      <c r="C5" s="369"/>
      <c r="D5" s="369"/>
      <c r="E5" s="369"/>
      <c r="F5" s="369"/>
      <c r="G5" s="369"/>
      <c r="H5" s="369"/>
      <c r="I5" s="369"/>
      <c r="J5" s="369"/>
      <c r="K5" s="369"/>
      <c r="M5" s="122" t="s">
        <v>566</v>
      </c>
      <c r="O5" s="96"/>
    </row>
    <row r="6" spans="1:17" s="27" customFormat="1" ht="12.75" x14ac:dyDescent="0.2">
      <c r="B6" s="385" t="str">
        <f>'Solicitudes Regiones'!$B$6:$R$6</f>
        <v>Acumuladas de julio de 2008 a diciembre de 2021</v>
      </c>
      <c r="C6" s="385"/>
      <c r="D6" s="385"/>
      <c r="E6" s="385"/>
      <c r="F6" s="385"/>
      <c r="G6" s="385"/>
      <c r="H6" s="385"/>
      <c r="I6" s="385"/>
      <c r="J6" s="385"/>
      <c r="K6" s="385"/>
      <c r="L6" s="56"/>
    </row>
    <row r="7" spans="1:17" s="30" customFormat="1" x14ac:dyDescent="0.2">
      <c r="B7" s="28"/>
      <c r="C7" s="29"/>
      <c r="D7" s="29"/>
      <c r="E7" s="29"/>
      <c r="F7" s="29"/>
      <c r="G7" s="29"/>
      <c r="H7" s="29"/>
      <c r="I7" s="29"/>
      <c r="J7" s="29"/>
      <c r="K7" s="29"/>
      <c r="L7" s="29"/>
    </row>
    <row r="8" spans="1:17" ht="15" customHeight="1" x14ac:dyDescent="0.2">
      <c r="B8" s="399" t="s">
        <v>55</v>
      </c>
      <c r="C8" s="399"/>
      <c r="D8" s="399"/>
      <c r="E8" s="399"/>
      <c r="F8" s="399"/>
      <c r="G8" s="399"/>
      <c r="H8" s="399"/>
      <c r="I8" s="399"/>
      <c r="J8" s="399"/>
      <c r="K8" s="399"/>
      <c r="L8" s="399"/>
      <c r="M8" s="399"/>
    </row>
    <row r="9" spans="1:17" ht="20.25" customHeight="1" x14ac:dyDescent="0.2">
      <c r="B9" s="399" t="s">
        <v>56</v>
      </c>
      <c r="C9" s="397" t="s">
        <v>2</v>
      </c>
      <c r="D9" s="400"/>
      <c r="E9" s="400"/>
      <c r="F9" s="400"/>
      <c r="G9" s="400"/>
      <c r="H9" s="400"/>
      <c r="I9" s="400"/>
      <c r="J9" s="400"/>
      <c r="K9" s="398"/>
      <c r="L9" s="397"/>
      <c r="M9" s="398"/>
    </row>
    <row r="10" spans="1:17" ht="24" x14ac:dyDescent="0.2">
      <c r="B10" s="399"/>
      <c r="C10" s="23" t="s">
        <v>57</v>
      </c>
      <c r="D10" s="23" t="s">
        <v>58</v>
      </c>
      <c r="E10" s="23" t="s">
        <v>59</v>
      </c>
      <c r="F10" s="23" t="s">
        <v>60</v>
      </c>
      <c r="G10" s="23" t="s">
        <v>8</v>
      </c>
      <c r="H10" s="23" t="s">
        <v>61</v>
      </c>
      <c r="I10" s="23" t="s">
        <v>62</v>
      </c>
      <c r="J10" s="23" t="s">
        <v>63</v>
      </c>
      <c r="K10" s="261" t="s">
        <v>31</v>
      </c>
      <c r="L10" s="261" t="s">
        <v>584</v>
      </c>
      <c r="M10" s="261" t="s">
        <v>587</v>
      </c>
    </row>
    <row r="11" spans="1:17" x14ac:dyDescent="0.2">
      <c r="B11" s="20" t="s">
        <v>200</v>
      </c>
      <c r="C11" s="18">
        <v>6376</v>
      </c>
      <c r="D11" s="18">
        <v>3682</v>
      </c>
      <c r="E11" s="18">
        <f>C11+D11</f>
        <v>10058</v>
      </c>
      <c r="F11" s="19">
        <f>E11/$E$44</f>
        <v>0.22158089531194924</v>
      </c>
      <c r="G11" s="18">
        <v>23932</v>
      </c>
      <c r="H11" s="18">
        <v>2167</v>
      </c>
      <c r="I11" s="18">
        <f>G11+H11</f>
        <v>26099</v>
      </c>
      <c r="J11" s="19">
        <f>I11/$I$44</f>
        <v>0.23747520518279921</v>
      </c>
      <c r="K11" s="18">
        <f t="shared" ref="K11:K43" si="0">E11+I11</f>
        <v>36157</v>
      </c>
      <c r="L11" s="18">
        <v>14</v>
      </c>
      <c r="M11" s="310">
        <f>K11+L11</f>
        <v>36171</v>
      </c>
      <c r="Q11" s="31"/>
    </row>
    <row r="12" spans="1:17" x14ac:dyDescent="0.2">
      <c r="B12" s="20" t="s">
        <v>201</v>
      </c>
      <c r="C12" s="18">
        <v>646</v>
      </c>
      <c r="D12" s="18">
        <v>369</v>
      </c>
      <c r="E12" s="18">
        <f t="shared" ref="E12:E43" si="1">C12+D12</f>
        <v>1015</v>
      </c>
      <c r="F12" s="19">
        <f t="shared" ref="F12:F43" si="2">E12/$E$44</f>
        <v>2.2360768417342265E-2</v>
      </c>
      <c r="G12" s="18">
        <v>2378</v>
      </c>
      <c r="H12" s="18">
        <v>163</v>
      </c>
      <c r="I12" s="18">
        <f t="shared" ref="I12:I43" si="3">G12+H12</f>
        <v>2541</v>
      </c>
      <c r="J12" s="19">
        <f t="shared" ref="J12:J43" si="4">I12/$I$44</f>
        <v>2.3120598351258393E-2</v>
      </c>
      <c r="K12" s="18">
        <f t="shared" si="0"/>
        <v>3556</v>
      </c>
      <c r="L12" s="18">
        <v>0</v>
      </c>
      <c r="M12" s="310">
        <f t="shared" ref="M12:M44" si="5">K12+L12</f>
        <v>3556</v>
      </c>
      <c r="Q12" s="31"/>
    </row>
    <row r="13" spans="1:17" x14ac:dyDescent="0.2">
      <c r="B13" s="20" t="s">
        <v>202</v>
      </c>
      <c r="C13" s="18">
        <v>819</v>
      </c>
      <c r="D13" s="18">
        <v>414</v>
      </c>
      <c r="E13" s="18">
        <f t="shared" si="1"/>
        <v>1233</v>
      </c>
      <c r="F13" s="19">
        <f t="shared" si="2"/>
        <v>2.7163376806485725E-2</v>
      </c>
      <c r="G13" s="18">
        <v>3184</v>
      </c>
      <c r="H13" s="18">
        <v>236</v>
      </c>
      <c r="I13" s="18">
        <f t="shared" si="3"/>
        <v>3420</v>
      </c>
      <c r="J13" s="19">
        <f t="shared" si="4"/>
        <v>3.1118632963913304E-2</v>
      </c>
      <c r="K13" s="18">
        <f t="shared" si="0"/>
        <v>4653</v>
      </c>
      <c r="L13" s="18">
        <v>1</v>
      </c>
      <c r="M13" s="310">
        <f t="shared" si="5"/>
        <v>4654</v>
      </c>
      <c r="Q13" s="31"/>
    </row>
    <row r="14" spans="1:17" x14ac:dyDescent="0.2">
      <c r="B14" s="20" t="s">
        <v>203</v>
      </c>
      <c r="C14" s="18">
        <v>833</v>
      </c>
      <c r="D14" s="18">
        <v>509</v>
      </c>
      <c r="E14" s="18">
        <f t="shared" si="1"/>
        <v>1342</v>
      </c>
      <c r="F14" s="19">
        <f t="shared" si="2"/>
        <v>2.9564681001057455E-2</v>
      </c>
      <c r="G14" s="18">
        <v>2550</v>
      </c>
      <c r="H14" s="18">
        <v>160</v>
      </c>
      <c r="I14" s="18">
        <f t="shared" si="3"/>
        <v>2710</v>
      </c>
      <c r="J14" s="19">
        <f t="shared" si="4"/>
        <v>2.4658331968481009E-2</v>
      </c>
      <c r="K14" s="18">
        <f t="shared" si="0"/>
        <v>4052</v>
      </c>
      <c r="L14" s="18">
        <v>0</v>
      </c>
      <c r="M14" s="310">
        <f t="shared" si="5"/>
        <v>4052</v>
      </c>
      <c r="Q14" s="31"/>
    </row>
    <row r="15" spans="1:17" x14ac:dyDescent="0.2">
      <c r="B15" s="20" t="s">
        <v>204</v>
      </c>
      <c r="C15" s="18">
        <v>557</v>
      </c>
      <c r="D15" s="18">
        <v>380</v>
      </c>
      <c r="E15" s="18">
        <f t="shared" si="1"/>
        <v>937</v>
      </c>
      <c r="F15" s="19">
        <f t="shared" si="2"/>
        <v>2.0642403947832216E-2</v>
      </c>
      <c r="G15" s="18">
        <v>2730</v>
      </c>
      <c r="H15" s="18">
        <v>201</v>
      </c>
      <c r="I15" s="18">
        <f t="shared" si="3"/>
        <v>2931</v>
      </c>
      <c r="J15" s="19">
        <f t="shared" si="4"/>
        <v>2.6669214391002893E-2</v>
      </c>
      <c r="K15" s="18">
        <f t="shared" si="0"/>
        <v>3868</v>
      </c>
      <c r="L15" s="18">
        <v>0</v>
      </c>
      <c r="M15" s="310">
        <f t="shared" si="5"/>
        <v>3868</v>
      </c>
      <c r="Q15" s="31"/>
    </row>
    <row r="16" spans="1:17" x14ac:dyDescent="0.2">
      <c r="B16" s="20" t="s">
        <v>205</v>
      </c>
      <c r="C16" s="18">
        <v>265</v>
      </c>
      <c r="D16" s="18">
        <v>176</v>
      </c>
      <c r="E16" s="18">
        <f t="shared" si="1"/>
        <v>441</v>
      </c>
      <c r="F16" s="19">
        <f t="shared" si="2"/>
        <v>9.7153683468452594E-3</v>
      </c>
      <c r="G16" s="18">
        <v>714</v>
      </c>
      <c r="H16" s="18">
        <v>40</v>
      </c>
      <c r="I16" s="18">
        <f t="shared" si="3"/>
        <v>754</v>
      </c>
      <c r="J16" s="19">
        <f t="shared" si="4"/>
        <v>6.8606576768393658E-3</v>
      </c>
      <c r="K16" s="18">
        <f t="shared" si="0"/>
        <v>1195</v>
      </c>
      <c r="L16" s="18">
        <v>0</v>
      </c>
      <c r="M16" s="310">
        <f t="shared" si="5"/>
        <v>1195</v>
      </c>
      <c r="Q16" s="31"/>
    </row>
    <row r="17" spans="2:17" x14ac:dyDescent="0.2">
      <c r="B17" s="20" t="s">
        <v>206</v>
      </c>
      <c r="C17" s="18">
        <v>301</v>
      </c>
      <c r="D17" s="18">
        <v>231</v>
      </c>
      <c r="E17" s="18">
        <f t="shared" si="1"/>
        <v>532</v>
      </c>
      <c r="F17" s="19">
        <f t="shared" si="2"/>
        <v>1.172012689460698E-2</v>
      </c>
      <c r="G17" s="18">
        <v>872</v>
      </c>
      <c r="H17" s="18">
        <v>58</v>
      </c>
      <c r="I17" s="18">
        <f t="shared" si="3"/>
        <v>930</v>
      </c>
      <c r="J17" s="19">
        <f t="shared" si="4"/>
        <v>8.4620844024676529E-3</v>
      </c>
      <c r="K17" s="18">
        <f t="shared" si="0"/>
        <v>1462</v>
      </c>
      <c r="L17" s="18">
        <v>0</v>
      </c>
      <c r="M17" s="310">
        <f t="shared" si="5"/>
        <v>1462</v>
      </c>
      <c r="Q17" s="31"/>
    </row>
    <row r="18" spans="2:17" x14ac:dyDescent="0.2">
      <c r="B18" s="20" t="s">
        <v>207</v>
      </c>
      <c r="C18" s="18">
        <v>663</v>
      </c>
      <c r="D18" s="18">
        <v>474</v>
      </c>
      <c r="E18" s="18">
        <f t="shared" si="1"/>
        <v>1137</v>
      </c>
      <c r="F18" s="19">
        <f t="shared" si="2"/>
        <v>2.504846669016567E-2</v>
      </c>
      <c r="G18" s="18">
        <v>2151</v>
      </c>
      <c r="H18" s="18">
        <v>136</v>
      </c>
      <c r="I18" s="18">
        <f t="shared" si="3"/>
        <v>2287</v>
      </c>
      <c r="J18" s="19">
        <f t="shared" si="4"/>
        <v>2.0809448417681207E-2</v>
      </c>
      <c r="K18" s="18">
        <f t="shared" si="0"/>
        <v>3424</v>
      </c>
      <c r="L18" s="18">
        <v>1</v>
      </c>
      <c r="M18" s="310">
        <f t="shared" si="5"/>
        <v>3425</v>
      </c>
      <c r="Q18" s="31"/>
    </row>
    <row r="19" spans="2:17" x14ac:dyDescent="0.2">
      <c r="B19" s="20" t="s">
        <v>208</v>
      </c>
      <c r="C19" s="18">
        <v>490</v>
      </c>
      <c r="D19" s="18">
        <v>258</v>
      </c>
      <c r="E19" s="18">
        <f t="shared" si="1"/>
        <v>748</v>
      </c>
      <c r="F19" s="19">
        <f t="shared" si="2"/>
        <v>1.6478674656327106E-2</v>
      </c>
      <c r="G19" s="18">
        <v>1605</v>
      </c>
      <c r="H19" s="18">
        <v>114</v>
      </c>
      <c r="I19" s="18">
        <f t="shared" si="3"/>
        <v>1719</v>
      </c>
      <c r="J19" s="19">
        <f t="shared" si="4"/>
        <v>1.5641207621335373E-2</v>
      </c>
      <c r="K19" s="18">
        <f t="shared" si="0"/>
        <v>2467</v>
      </c>
      <c r="L19" s="18">
        <v>2</v>
      </c>
      <c r="M19" s="310">
        <f t="shared" si="5"/>
        <v>2469</v>
      </c>
      <c r="Q19" s="31"/>
    </row>
    <row r="20" spans="2:17" x14ac:dyDescent="0.2">
      <c r="B20" s="20" t="s">
        <v>209</v>
      </c>
      <c r="C20" s="18">
        <v>257</v>
      </c>
      <c r="D20" s="18">
        <v>231</v>
      </c>
      <c r="E20" s="18">
        <f t="shared" si="1"/>
        <v>488</v>
      </c>
      <c r="F20" s="19">
        <f t="shared" si="2"/>
        <v>1.075079309129362E-2</v>
      </c>
      <c r="G20" s="18">
        <v>1108</v>
      </c>
      <c r="H20" s="18">
        <v>84</v>
      </c>
      <c r="I20" s="18">
        <f t="shared" si="3"/>
        <v>1192</v>
      </c>
      <c r="J20" s="19">
        <f t="shared" si="4"/>
        <v>1.0846026459937035E-2</v>
      </c>
      <c r="K20" s="18">
        <f t="shared" si="0"/>
        <v>1680</v>
      </c>
      <c r="L20" s="18">
        <v>0</v>
      </c>
      <c r="M20" s="310">
        <f t="shared" si="5"/>
        <v>1680</v>
      </c>
      <c r="Q20" s="31"/>
    </row>
    <row r="21" spans="2:17" x14ac:dyDescent="0.2">
      <c r="B21" s="20" t="s">
        <v>210</v>
      </c>
      <c r="C21" s="18">
        <v>1322</v>
      </c>
      <c r="D21" s="18">
        <v>837</v>
      </c>
      <c r="E21" s="18">
        <f t="shared" si="1"/>
        <v>2159</v>
      </c>
      <c r="F21" s="19">
        <f t="shared" si="2"/>
        <v>4.7563447303489603E-2</v>
      </c>
      <c r="G21" s="18">
        <v>5109</v>
      </c>
      <c r="H21" s="18">
        <v>387</v>
      </c>
      <c r="I21" s="18">
        <f t="shared" si="3"/>
        <v>5496</v>
      </c>
      <c r="J21" s="19">
        <f t="shared" si="4"/>
        <v>5.0008189113937875E-2</v>
      </c>
      <c r="K21" s="18">
        <f t="shared" si="0"/>
        <v>7655</v>
      </c>
      <c r="L21" s="18">
        <v>2</v>
      </c>
      <c r="M21" s="310">
        <f t="shared" si="5"/>
        <v>7657</v>
      </c>
      <c r="Q21" s="31"/>
    </row>
    <row r="22" spans="2:17" x14ac:dyDescent="0.2">
      <c r="B22" s="20" t="s">
        <v>211</v>
      </c>
      <c r="C22" s="18">
        <v>311</v>
      </c>
      <c r="D22" s="18">
        <v>259</v>
      </c>
      <c r="E22" s="18">
        <f t="shared" si="1"/>
        <v>570</v>
      </c>
      <c r="F22" s="19">
        <f t="shared" si="2"/>
        <v>1.2557278815650335E-2</v>
      </c>
      <c r="G22" s="18">
        <v>1327</v>
      </c>
      <c r="H22" s="18">
        <v>131</v>
      </c>
      <c r="I22" s="18">
        <f t="shared" si="3"/>
        <v>1458</v>
      </c>
      <c r="J22" s="19">
        <f t="shared" si="4"/>
        <v>1.3266364579352515E-2</v>
      </c>
      <c r="K22" s="18">
        <f t="shared" si="0"/>
        <v>2028</v>
      </c>
      <c r="L22" s="18">
        <v>0</v>
      </c>
      <c r="M22" s="310">
        <f t="shared" si="5"/>
        <v>2028</v>
      </c>
      <c r="Q22" s="31"/>
    </row>
    <row r="23" spans="2:17" x14ac:dyDescent="0.2">
      <c r="B23" s="20" t="s">
        <v>212</v>
      </c>
      <c r="C23" s="18">
        <v>967</v>
      </c>
      <c r="D23" s="18">
        <v>569</v>
      </c>
      <c r="E23" s="18">
        <f t="shared" si="1"/>
        <v>1536</v>
      </c>
      <c r="F23" s="19">
        <f t="shared" si="2"/>
        <v>3.38385618611209E-2</v>
      </c>
      <c r="G23" s="18">
        <v>2911</v>
      </c>
      <c r="H23" s="18">
        <v>148</v>
      </c>
      <c r="I23" s="18">
        <f t="shared" si="3"/>
        <v>3059</v>
      </c>
      <c r="J23" s="19">
        <f t="shared" si="4"/>
        <v>2.783388837327801E-2</v>
      </c>
      <c r="K23" s="18">
        <f t="shared" si="0"/>
        <v>4595</v>
      </c>
      <c r="L23" s="18">
        <v>0</v>
      </c>
      <c r="M23" s="310">
        <f t="shared" si="5"/>
        <v>4595</v>
      </c>
      <c r="Q23" s="31"/>
    </row>
    <row r="24" spans="2:17" x14ac:dyDescent="0.2">
      <c r="B24" s="20" t="s">
        <v>213</v>
      </c>
      <c r="C24" s="18">
        <v>693</v>
      </c>
      <c r="D24" s="18">
        <v>535</v>
      </c>
      <c r="E24" s="18">
        <f t="shared" si="1"/>
        <v>1228</v>
      </c>
      <c r="F24" s="19">
        <f t="shared" si="2"/>
        <v>2.705322523792739E-2</v>
      </c>
      <c r="G24" s="18">
        <v>2904</v>
      </c>
      <c r="H24" s="18">
        <v>217</v>
      </c>
      <c r="I24" s="18">
        <f t="shared" si="3"/>
        <v>3121</v>
      </c>
      <c r="J24" s="19">
        <f t="shared" si="4"/>
        <v>2.8398027333442523E-2</v>
      </c>
      <c r="K24" s="18">
        <f t="shared" si="0"/>
        <v>4349</v>
      </c>
      <c r="L24" s="18">
        <v>1</v>
      </c>
      <c r="M24" s="310">
        <f t="shared" si="5"/>
        <v>4350</v>
      </c>
      <c r="Q24" s="31"/>
    </row>
    <row r="25" spans="2:17" x14ac:dyDescent="0.2">
      <c r="B25" s="20" t="s">
        <v>214</v>
      </c>
      <c r="C25" s="18">
        <v>518</v>
      </c>
      <c r="D25" s="18">
        <v>287</v>
      </c>
      <c r="E25" s="18">
        <f t="shared" si="1"/>
        <v>805</v>
      </c>
      <c r="F25" s="19">
        <f t="shared" si="2"/>
        <v>1.773440253789214E-2</v>
      </c>
      <c r="G25" s="18">
        <v>1956</v>
      </c>
      <c r="H25" s="18">
        <v>98</v>
      </c>
      <c r="I25" s="18">
        <f t="shared" si="3"/>
        <v>2054</v>
      </c>
      <c r="J25" s="19">
        <f t="shared" si="4"/>
        <v>1.868937780932103E-2</v>
      </c>
      <c r="K25" s="18">
        <f t="shared" si="0"/>
        <v>2859</v>
      </c>
      <c r="L25" s="18">
        <v>0</v>
      </c>
      <c r="M25" s="310">
        <f t="shared" si="5"/>
        <v>2859</v>
      </c>
      <c r="Q25" s="31"/>
    </row>
    <row r="26" spans="2:17" x14ac:dyDescent="0.2">
      <c r="B26" s="20" t="s">
        <v>215</v>
      </c>
      <c r="C26" s="18">
        <v>497</v>
      </c>
      <c r="D26" s="18">
        <v>325</v>
      </c>
      <c r="E26" s="18">
        <f t="shared" si="1"/>
        <v>822</v>
      </c>
      <c r="F26" s="19">
        <f t="shared" si="2"/>
        <v>1.8108917870990483E-2</v>
      </c>
      <c r="G26" s="18">
        <v>1549</v>
      </c>
      <c r="H26" s="18">
        <v>110</v>
      </c>
      <c r="I26" s="18">
        <f t="shared" si="3"/>
        <v>1659</v>
      </c>
      <c r="J26" s="19">
        <f t="shared" si="4"/>
        <v>1.5095266692143909E-2</v>
      </c>
      <c r="K26" s="18">
        <f t="shared" si="0"/>
        <v>2481</v>
      </c>
      <c r="L26" s="18">
        <v>0</v>
      </c>
      <c r="M26" s="310">
        <f t="shared" si="5"/>
        <v>2481</v>
      </c>
      <c r="Q26" s="31"/>
    </row>
    <row r="27" spans="2:17" x14ac:dyDescent="0.2">
      <c r="B27" s="20" t="s">
        <v>216</v>
      </c>
      <c r="C27" s="18">
        <v>1760</v>
      </c>
      <c r="D27" s="18">
        <v>1161</v>
      </c>
      <c r="E27" s="18">
        <f t="shared" si="1"/>
        <v>2921</v>
      </c>
      <c r="F27" s="19">
        <f t="shared" si="2"/>
        <v>6.4350546351780044E-2</v>
      </c>
      <c r="G27" s="18">
        <v>7101</v>
      </c>
      <c r="H27" s="18">
        <v>574</v>
      </c>
      <c r="I27" s="18">
        <f t="shared" si="3"/>
        <v>7675</v>
      </c>
      <c r="J27" s="19">
        <f t="shared" si="4"/>
        <v>6.9834943859074447E-2</v>
      </c>
      <c r="K27" s="18">
        <f t="shared" si="0"/>
        <v>10596</v>
      </c>
      <c r="L27" s="18">
        <v>3</v>
      </c>
      <c r="M27" s="310">
        <f t="shared" si="5"/>
        <v>10599</v>
      </c>
      <c r="Q27" s="31"/>
    </row>
    <row r="28" spans="2:17" x14ac:dyDescent="0.2">
      <c r="B28" s="20" t="s">
        <v>217</v>
      </c>
      <c r="C28" s="18">
        <v>308</v>
      </c>
      <c r="D28" s="18">
        <v>171</v>
      </c>
      <c r="E28" s="18">
        <f t="shared" si="1"/>
        <v>479</v>
      </c>
      <c r="F28" s="19">
        <f t="shared" si="2"/>
        <v>1.0552520267888615E-2</v>
      </c>
      <c r="G28" s="18">
        <v>1079</v>
      </c>
      <c r="H28" s="18">
        <v>35</v>
      </c>
      <c r="I28" s="18">
        <f t="shared" si="3"/>
        <v>1114</v>
      </c>
      <c r="J28" s="19">
        <f t="shared" si="4"/>
        <v>1.0136303251988135E-2</v>
      </c>
      <c r="K28" s="18">
        <f t="shared" si="0"/>
        <v>1593</v>
      </c>
      <c r="L28" s="18">
        <v>0</v>
      </c>
      <c r="M28" s="310">
        <f t="shared" si="5"/>
        <v>1593</v>
      </c>
      <c r="Q28" s="31"/>
    </row>
    <row r="29" spans="2:17" x14ac:dyDescent="0.2">
      <c r="B29" s="20" t="s">
        <v>218</v>
      </c>
      <c r="C29" s="18">
        <v>432</v>
      </c>
      <c r="D29" s="18">
        <v>233</v>
      </c>
      <c r="E29" s="18">
        <f t="shared" si="1"/>
        <v>665</v>
      </c>
      <c r="F29" s="19">
        <f t="shared" si="2"/>
        <v>1.4650158618258724E-2</v>
      </c>
      <c r="G29" s="18">
        <v>727</v>
      </c>
      <c r="H29" s="18">
        <v>46</v>
      </c>
      <c r="I29" s="18">
        <f t="shared" si="3"/>
        <v>773</v>
      </c>
      <c r="J29" s="19">
        <f t="shared" si="4"/>
        <v>7.033538971083329E-3</v>
      </c>
      <c r="K29" s="18">
        <f t="shared" si="0"/>
        <v>1438</v>
      </c>
      <c r="L29" s="18">
        <v>0</v>
      </c>
      <c r="M29" s="310">
        <f t="shared" si="5"/>
        <v>1438</v>
      </c>
      <c r="Q29" s="31"/>
    </row>
    <row r="30" spans="2:17" x14ac:dyDescent="0.2">
      <c r="B30" s="20" t="s">
        <v>219</v>
      </c>
      <c r="C30" s="18">
        <v>1233</v>
      </c>
      <c r="D30" s="18">
        <v>921</v>
      </c>
      <c r="E30" s="18">
        <f t="shared" si="1"/>
        <v>2154</v>
      </c>
      <c r="F30" s="19">
        <f t="shared" si="2"/>
        <v>4.7453295734931268E-2</v>
      </c>
      <c r="G30" s="18">
        <v>4237</v>
      </c>
      <c r="H30" s="18">
        <v>291</v>
      </c>
      <c r="I30" s="18">
        <f t="shared" si="3"/>
        <v>4528</v>
      </c>
      <c r="J30" s="19">
        <f t="shared" si="4"/>
        <v>4.1200342122982292E-2</v>
      </c>
      <c r="K30" s="18">
        <f t="shared" si="0"/>
        <v>6682</v>
      </c>
      <c r="L30" s="18">
        <v>0</v>
      </c>
      <c r="M30" s="310">
        <f t="shared" si="5"/>
        <v>6682</v>
      </c>
      <c r="Q30" s="31"/>
    </row>
    <row r="31" spans="2:17" x14ac:dyDescent="0.2">
      <c r="B31" s="20" t="s">
        <v>220</v>
      </c>
      <c r="C31" s="18">
        <v>321</v>
      </c>
      <c r="D31" s="18">
        <v>220</v>
      </c>
      <c r="E31" s="18">
        <f t="shared" si="1"/>
        <v>541</v>
      </c>
      <c r="F31" s="19">
        <f t="shared" si="2"/>
        <v>1.1918399718011985E-2</v>
      </c>
      <c r="G31" s="18">
        <v>832</v>
      </c>
      <c r="H31" s="18">
        <v>68</v>
      </c>
      <c r="I31" s="18">
        <f t="shared" si="3"/>
        <v>900</v>
      </c>
      <c r="J31" s="19">
        <f t="shared" si="4"/>
        <v>8.1891139378719221E-3</v>
      </c>
      <c r="K31" s="18">
        <f t="shared" si="0"/>
        <v>1441</v>
      </c>
      <c r="L31" s="18">
        <v>0</v>
      </c>
      <c r="M31" s="310">
        <f t="shared" si="5"/>
        <v>1441</v>
      </c>
      <c r="Q31" s="31"/>
    </row>
    <row r="32" spans="2:17" x14ac:dyDescent="0.2">
      <c r="B32" s="20" t="s">
        <v>221</v>
      </c>
      <c r="C32" s="18">
        <v>616</v>
      </c>
      <c r="D32" s="18">
        <v>376</v>
      </c>
      <c r="E32" s="18">
        <f t="shared" si="1"/>
        <v>992</v>
      </c>
      <c r="F32" s="19">
        <f t="shared" si="2"/>
        <v>2.1854071201973916E-2</v>
      </c>
      <c r="G32" s="18">
        <v>2208</v>
      </c>
      <c r="H32" s="18">
        <v>144</v>
      </c>
      <c r="I32" s="18">
        <f t="shared" si="3"/>
        <v>2352</v>
      </c>
      <c r="J32" s="19">
        <f t="shared" si="4"/>
        <v>2.1400884424305291E-2</v>
      </c>
      <c r="K32" s="18">
        <f t="shared" si="0"/>
        <v>3344</v>
      </c>
      <c r="L32" s="18">
        <v>0</v>
      </c>
      <c r="M32" s="310">
        <f t="shared" si="5"/>
        <v>3344</v>
      </c>
      <c r="Q32" s="31"/>
    </row>
    <row r="33" spans="2:17" x14ac:dyDescent="0.2">
      <c r="B33" s="20" t="s">
        <v>222</v>
      </c>
      <c r="C33" s="18">
        <v>884</v>
      </c>
      <c r="D33" s="18">
        <v>603</v>
      </c>
      <c r="E33" s="18">
        <f t="shared" si="1"/>
        <v>1487</v>
      </c>
      <c r="F33" s="19">
        <f t="shared" si="2"/>
        <v>3.2759076489249209E-2</v>
      </c>
      <c r="G33" s="18">
        <v>2966</v>
      </c>
      <c r="H33" s="18">
        <v>251</v>
      </c>
      <c r="I33" s="18">
        <f t="shared" si="3"/>
        <v>3217</v>
      </c>
      <c r="J33" s="19">
        <f t="shared" si="4"/>
        <v>2.9271532820148861E-2</v>
      </c>
      <c r="K33" s="18">
        <f t="shared" si="0"/>
        <v>4704</v>
      </c>
      <c r="L33" s="18">
        <v>1</v>
      </c>
      <c r="M33" s="310">
        <f t="shared" si="5"/>
        <v>4705</v>
      </c>
      <c r="Q33" s="31"/>
    </row>
    <row r="34" spans="2:17" x14ac:dyDescent="0.2">
      <c r="B34" s="20" t="s">
        <v>223</v>
      </c>
      <c r="C34" s="18">
        <v>354</v>
      </c>
      <c r="D34" s="18">
        <v>185</v>
      </c>
      <c r="E34" s="18">
        <f t="shared" si="1"/>
        <v>539</v>
      </c>
      <c r="F34" s="19">
        <f t="shared" si="2"/>
        <v>1.1874339090588651E-2</v>
      </c>
      <c r="G34" s="18">
        <v>1401</v>
      </c>
      <c r="H34" s="18">
        <v>101</v>
      </c>
      <c r="I34" s="18">
        <f t="shared" si="3"/>
        <v>1502</v>
      </c>
      <c r="J34" s="19">
        <f t="shared" si="4"/>
        <v>1.3666721260759586E-2</v>
      </c>
      <c r="K34" s="18">
        <f t="shared" si="0"/>
        <v>2041</v>
      </c>
      <c r="L34" s="18">
        <v>1</v>
      </c>
      <c r="M34" s="310">
        <f t="shared" si="5"/>
        <v>2042</v>
      </c>
      <c r="Q34" s="31"/>
    </row>
    <row r="35" spans="2:17" x14ac:dyDescent="0.2">
      <c r="B35" s="20" t="s">
        <v>224</v>
      </c>
      <c r="C35" s="18">
        <v>562</v>
      </c>
      <c r="D35" s="18">
        <v>340</v>
      </c>
      <c r="E35" s="18">
        <f t="shared" si="1"/>
        <v>902</v>
      </c>
      <c r="F35" s="19">
        <f t="shared" si="2"/>
        <v>1.9871342967923863E-2</v>
      </c>
      <c r="G35" s="18">
        <v>1657</v>
      </c>
      <c r="H35" s="18">
        <v>128</v>
      </c>
      <c r="I35" s="18">
        <f t="shared" si="3"/>
        <v>1785</v>
      </c>
      <c r="J35" s="19">
        <f t="shared" si="4"/>
        <v>1.6241742643445981E-2</v>
      </c>
      <c r="K35" s="18">
        <f t="shared" si="0"/>
        <v>2687</v>
      </c>
      <c r="L35" s="18">
        <v>0</v>
      </c>
      <c r="M35" s="310">
        <f t="shared" si="5"/>
        <v>2687</v>
      </c>
      <c r="Q35" s="31"/>
    </row>
    <row r="36" spans="2:17" x14ac:dyDescent="0.2">
      <c r="B36" s="20" t="s">
        <v>225</v>
      </c>
      <c r="C36" s="18">
        <v>1974</v>
      </c>
      <c r="D36" s="18">
        <v>1135</v>
      </c>
      <c r="E36" s="18">
        <f t="shared" si="1"/>
        <v>3109</v>
      </c>
      <c r="F36" s="19">
        <f t="shared" si="2"/>
        <v>6.8492245329573487E-2</v>
      </c>
      <c r="G36" s="18">
        <v>8819</v>
      </c>
      <c r="H36" s="18">
        <v>590</v>
      </c>
      <c r="I36" s="18">
        <f t="shared" si="3"/>
        <v>9409</v>
      </c>
      <c r="J36" s="19">
        <f t="shared" si="4"/>
        <v>8.561263671270769E-2</v>
      </c>
      <c r="K36" s="18">
        <f t="shared" si="0"/>
        <v>12518</v>
      </c>
      <c r="L36" s="18">
        <v>5</v>
      </c>
      <c r="M36" s="310">
        <f t="shared" si="5"/>
        <v>12523</v>
      </c>
      <c r="Q36" s="31"/>
    </row>
    <row r="37" spans="2:17" x14ac:dyDescent="0.2">
      <c r="B37" s="20" t="s">
        <v>226</v>
      </c>
      <c r="C37" s="18">
        <v>455</v>
      </c>
      <c r="D37" s="18">
        <v>352</v>
      </c>
      <c r="E37" s="18">
        <f t="shared" si="1"/>
        <v>807</v>
      </c>
      <c r="F37" s="19">
        <f t="shared" si="2"/>
        <v>1.7778463165315474E-2</v>
      </c>
      <c r="G37" s="18">
        <v>2214</v>
      </c>
      <c r="H37" s="18">
        <v>178</v>
      </c>
      <c r="I37" s="18">
        <f t="shared" si="3"/>
        <v>2392</v>
      </c>
      <c r="J37" s="19">
        <f t="shared" si="4"/>
        <v>2.1764845043766263E-2</v>
      </c>
      <c r="K37" s="18">
        <f t="shared" si="0"/>
        <v>3199</v>
      </c>
      <c r="L37" s="18">
        <v>0</v>
      </c>
      <c r="M37" s="310">
        <f t="shared" si="5"/>
        <v>3199</v>
      </c>
      <c r="Q37" s="31"/>
    </row>
    <row r="38" spans="2:17" x14ac:dyDescent="0.2">
      <c r="B38" s="20" t="s">
        <v>227</v>
      </c>
      <c r="C38" s="18">
        <v>392</v>
      </c>
      <c r="D38" s="18">
        <v>329</v>
      </c>
      <c r="E38" s="18">
        <f t="shared" si="1"/>
        <v>721</v>
      </c>
      <c r="F38" s="19">
        <f t="shared" si="2"/>
        <v>1.5883856186112089E-2</v>
      </c>
      <c r="G38" s="18">
        <v>1502</v>
      </c>
      <c r="H38" s="18">
        <v>71</v>
      </c>
      <c r="I38" s="18">
        <f t="shared" si="3"/>
        <v>1573</v>
      </c>
      <c r="J38" s="19">
        <f t="shared" si="4"/>
        <v>1.4312751360302816E-2</v>
      </c>
      <c r="K38" s="18">
        <f t="shared" si="0"/>
        <v>2294</v>
      </c>
      <c r="L38" s="18">
        <v>0</v>
      </c>
      <c r="M38" s="310">
        <f t="shared" si="5"/>
        <v>2294</v>
      </c>
      <c r="Q38" s="31"/>
    </row>
    <row r="39" spans="2:17" x14ac:dyDescent="0.2">
      <c r="B39" s="20" t="s">
        <v>228</v>
      </c>
      <c r="C39" s="18">
        <v>346</v>
      </c>
      <c r="D39" s="18">
        <v>228</v>
      </c>
      <c r="E39" s="18">
        <f t="shared" si="1"/>
        <v>574</v>
      </c>
      <c r="F39" s="19">
        <f t="shared" si="2"/>
        <v>1.2645400070497003E-2</v>
      </c>
      <c r="G39" s="18">
        <v>1014</v>
      </c>
      <c r="H39" s="18">
        <v>47</v>
      </c>
      <c r="I39" s="18">
        <f t="shared" si="3"/>
        <v>1061</v>
      </c>
      <c r="J39" s="19">
        <f t="shared" si="4"/>
        <v>9.6540554312023446E-3</v>
      </c>
      <c r="K39" s="18">
        <f t="shared" si="0"/>
        <v>1635</v>
      </c>
      <c r="L39" s="18">
        <v>0</v>
      </c>
      <c r="M39" s="310">
        <f t="shared" si="5"/>
        <v>1635</v>
      </c>
      <c r="Q39" s="31"/>
    </row>
    <row r="40" spans="2:17" x14ac:dyDescent="0.2">
      <c r="B40" s="20" t="s">
        <v>229</v>
      </c>
      <c r="C40" s="18">
        <v>195</v>
      </c>
      <c r="D40" s="18">
        <v>112</v>
      </c>
      <c r="E40" s="18">
        <f t="shared" si="1"/>
        <v>307</v>
      </c>
      <c r="F40" s="19">
        <f t="shared" si="2"/>
        <v>6.7633063094818474E-3</v>
      </c>
      <c r="G40" s="18">
        <v>595</v>
      </c>
      <c r="H40" s="18">
        <v>29</v>
      </c>
      <c r="I40" s="18">
        <f t="shared" si="3"/>
        <v>624</v>
      </c>
      <c r="J40" s="19">
        <f t="shared" si="4"/>
        <v>5.6777856635911996E-3</v>
      </c>
      <c r="K40" s="18">
        <f t="shared" si="0"/>
        <v>931</v>
      </c>
      <c r="L40" s="18">
        <v>1</v>
      </c>
      <c r="M40" s="310">
        <f t="shared" si="5"/>
        <v>932</v>
      </c>
      <c r="Q40" s="31"/>
    </row>
    <row r="41" spans="2:17" x14ac:dyDescent="0.2">
      <c r="B41" s="20" t="s">
        <v>230</v>
      </c>
      <c r="C41" s="18">
        <v>1902</v>
      </c>
      <c r="D41" s="18">
        <v>998</v>
      </c>
      <c r="E41" s="18">
        <f t="shared" si="1"/>
        <v>2900</v>
      </c>
      <c r="F41" s="19">
        <f t="shared" si="2"/>
        <v>6.3887909763835043E-2</v>
      </c>
      <c r="G41" s="18">
        <v>6539</v>
      </c>
      <c r="H41" s="18">
        <v>392</v>
      </c>
      <c r="I41" s="18">
        <f t="shared" si="3"/>
        <v>6931</v>
      </c>
      <c r="J41" s="19">
        <f t="shared" si="4"/>
        <v>6.3065276337100323E-2</v>
      </c>
      <c r="K41" s="18">
        <f t="shared" si="0"/>
        <v>9831</v>
      </c>
      <c r="L41" s="18">
        <v>2</v>
      </c>
      <c r="M41" s="310">
        <f t="shared" si="5"/>
        <v>9833</v>
      </c>
      <c r="Q41" s="31"/>
    </row>
    <row r="42" spans="2:17" x14ac:dyDescent="0.2">
      <c r="B42" s="20" t="s">
        <v>231</v>
      </c>
      <c r="C42" s="18">
        <v>592</v>
      </c>
      <c r="D42" s="18">
        <v>385</v>
      </c>
      <c r="E42" s="18">
        <f t="shared" si="1"/>
        <v>977</v>
      </c>
      <c r="F42" s="19">
        <f t="shared" si="2"/>
        <v>2.1523616496298907E-2</v>
      </c>
      <c r="G42" s="18">
        <v>2016</v>
      </c>
      <c r="H42" s="18">
        <v>133</v>
      </c>
      <c r="I42" s="18">
        <f t="shared" si="3"/>
        <v>2149</v>
      </c>
      <c r="J42" s="19">
        <f t="shared" si="4"/>
        <v>1.9553784280540845E-2</v>
      </c>
      <c r="K42" s="18">
        <f t="shared" si="0"/>
        <v>3126</v>
      </c>
      <c r="L42" s="18">
        <v>0</v>
      </c>
      <c r="M42" s="310">
        <f t="shared" si="5"/>
        <v>3126</v>
      </c>
      <c r="Q42" s="31"/>
    </row>
    <row r="43" spans="2:17" x14ac:dyDescent="0.2">
      <c r="B43" s="20" t="s">
        <v>232</v>
      </c>
      <c r="C43" s="18">
        <v>157</v>
      </c>
      <c r="D43" s="18">
        <v>109</v>
      </c>
      <c r="E43" s="18">
        <f t="shared" si="1"/>
        <v>266</v>
      </c>
      <c r="F43" s="19">
        <f t="shared" si="2"/>
        <v>5.8600634473034898E-3</v>
      </c>
      <c r="G43" s="18">
        <v>472</v>
      </c>
      <c r="H43" s="18">
        <v>15</v>
      </c>
      <c r="I43" s="18">
        <f t="shared" si="3"/>
        <v>487</v>
      </c>
      <c r="J43" s="19">
        <f t="shared" si="4"/>
        <v>4.4312205419373626E-3</v>
      </c>
      <c r="K43" s="18">
        <f t="shared" si="0"/>
        <v>753</v>
      </c>
      <c r="L43" s="18">
        <v>0</v>
      </c>
      <c r="M43" s="310">
        <f t="shared" si="5"/>
        <v>753</v>
      </c>
      <c r="Q43" s="31"/>
    </row>
    <row r="44" spans="2:17" x14ac:dyDescent="0.2">
      <c r="B44" s="20" t="s">
        <v>49</v>
      </c>
      <c r="C44" s="18">
        <f>SUM(C11:C43)</f>
        <v>27998</v>
      </c>
      <c r="D44" s="18">
        <f t="shared" ref="D44:G44" si="6">SUM(D11:D43)</f>
        <v>17394</v>
      </c>
      <c r="E44" s="20">
        <f t="shared" ref="E44" si="7">C44+D44</f>
        <v>45392</v>
      </c>
      <c r="F44" s="19">
        <f t="shared" ref="F44" si="8">E44/$E$44</f>
        <v>1</v>
      </c>
      <c r="G44" s="18">
        <f t="shared" si="6"/>
        <v>102359</v>
      </c>
      <c r="H44" s="18">
        <f>SUM(H11:H43)</f>
        <v>7543</v>
      </c>
      <c r="I44" s="20">
        <f t="shared" ref="I44" si="9">G44+H44</f>
        <v>109902</v>
      </c>
      <c r="J44" s="19">
        <f t="shared" ref="J44" si="10">I44/$I$44</f>
        <v>1</v>
      </c>
      <c r="K44" s="18">
        <f t="shared" ref="K44" si="11">E44+I44</f>
        <v>155294</v>
      </c>
      <c r="L44" s="18">
        <f>SUM(L11:L43)</f>
        <v>34</v>
      </c>
      <c r="M44" s="310">
        <f t="shared" si="5"/>
        <v>155328</v>
      </c>
      <c r="Q44" s="31"/>
    </row>
    <row r="45" spans="2:17" ht="25.5" customHeight="1" x14ac:dyDescent="0.2">
      <c r="B45" s="32" t="s">
        <v>64</v>
      </c>
      <c r="C45" s="33">
        <f>+C44/M44</f>
        <v>0.18025082406262877</v>
      </c>
      <c r="D45" s="33">
        <f>+D44/M44</f>
        <v>0.11198238566131026</v>
      </c>
      <c r="E45" s="34">
        <f>+E44/M44</f>
        <v>0.29223320972393901</v>
      </c>
      <c r="F45" s="34"/>
      <c r="G45" s="33">
        <f>+G44/M44</f>
        <v>0.65898614544705403</v>
      </c>
      <c r="H45" s="33">
        <f>+H44/M44</f>
        <v>4.8561753193242685E-2</v>
      </c>
      <c r="I45" s="34">
        <f>+I44/M44</f>
        <v>0.70754789864029666</v>
      </c>
      <c r="J45" s="34"/>
      <c r="K45" s="34">
        <f>+K44/M44</f>
        <v>0.99978110836423573</v>
      </c>
      <c r="L45" s="34">
        <f>+L44/M44</f>
        <v>2.1889163576431809E-4</v>
      </c>
      <c r="M45" s="34">
        <f>K45+L45</f>
        <v>1</v>
      </c>
    </row>
    <row r="46" spans="2:17" x14ac:dyDescent="0.2">
      <c r="B46" s="25"/>
      <c r="C46" s="38"/>
      <c r="D46" s="38"/>
      <c r="E46" s="38"/>
      <c r="F46" s="38"/>
      <c r="G46" s="38"/>
      <c r="H46" s="38"/>
      <c r="I46" s="38"/>
      <c r="J46" s="38"/>
      <c r="K46" s="38"/>
    </row>
    <row r="47" spans="2:17" ht="12.75" x14ac:dyDescent="0.2">
      <c r="B47" s="369" t="s">
        <v>89</v>
      </c>
      <c r="C47" s="369"/>
      <c r="D47" s="369"/>
      <c r="E47" s="369"/>
      <c r="F47" s="369"/>
      <c r="G47" s="369"/>
      <c r="H47" s="369"/>
      <c r="I47" s="369"/>
      <c r="J47" s="369"/>
      <c r="K47" s="369"/>
    </row>
    <row r="48" spans="2:17" ht="12.75" x14ac:dyDescent="0.2">
      <c r="B48" s="385" t="str">
        <f>'Solicitudes Regiones'!$B$6:$R$6</f>
        <v>Acumuladas de julio de 2008 a diciembre de 2021</v>
      </c>
      <c r="C48" s="385"/>
      <c r="D48" s="385"/>
      <c r="E48" s="385"/>
      <c r="F48" s="385"/>
      <c r="G48" s="385"/>
      <c r="H48" s="385"/>
      <c r="I48" s="385"/>
      <c r="J48" s="385"/>
      <c r="K48" s="385"/>
    </row>
    <row r="49" spans="2:13" x14ac:dyDescent="0.2">
      <c r="B49" s="25"/>
      <c r="C49" s="38"/>
      <c r="D49" s="38"/>
      <c r="E49" s="38"/>
      <c r="F49" s="38"/>
      <c r="G49" s="38"/>
      <c r="H49" s="38"/>
      <c r="I49" s="38"/>
      <c r="J49" s="38"/>
      <c r="K49" s="38"/>
    </row>
    <row r="50" spans="2:13" ht="15" customHeight="1" x14ac:dyDescent="0.2">
      <c r="B50" s="399" t="s">
        <v>65</v>
      </c>
      <c r="C50" s="399"/>
      <c r="D50" s="399"/>
      <c r="E50" s="399"/>
      <c r="F50" s="399"/>
      <c r="G50" s="399"/>
      <c r="H50" s="399"/>
      <c r="I50" s="399"/>
      <c r="J50" s="399"/>
      <c r="K50" s="399"/>
      <c r="L50" s="399"/>
      <c r="M50" s="399"/>
    </row>
    <row r="51" spans="2:13" ht="15" customHeight="1" x14ac:dyDescent="0.2">
      <c r="B51" s="402" t="s">
        <v>56</v>
      </c>
      <c r="C51" s="397" t="s">
        <v>2</v>
      </c>
      <c r="D51" s="400"/>
      <c r="E51" s="400"/>
      <c r="F51" s="400"/>
      <c r="G51" s="400"/>
      <c r="H51" s="400"/>
      <c r="I51" s="400"/>
      <c r="J51" s="400"/>
      <c r="K51" s="398"/>
      <c r="L51" s="397"/>
      <c r="M51" s="398"/>
    </row>
    <row r="52" spans="2:13" ht="24" x14ac:dyDescent="0.2">
      <c r="B52" s="399"/>
      <c r="C52" s="23" t="s">
        <v>57</v>
      </c>
      <c r="D52" s="23" t="s">
        <v>58</v>
      </c>
      <c r="E52" s="23" t="s">
        <v>59</v>
      </c>
      <c r="F52" s="23" t="s">
        <v>60</v>
      </c>
      <c r="G52" s="23" t="s">
        <v>8</v>
      </c>
      <c r="H52" s="23" t="s">
        <v>61</v>
      </c>
      <c r="I52" s="23" t="s">
        <v>62</v>
      </c>
      <c r="J52" s="23" t="s">
        <v>63</v>
      </c>
      <c r="K52" s="24" t="s">
        <v>31</v>
      </c>
      <c r="L52" s="261" t="s">
        <v>584</v>
      </c>
      <c r="M52" s="261" t="s">
        <v>587</v>
      </c>
    </row>
    <row r="53" spans="2:13" x14ac:dyDescent="0.2">
      <c r="B53" s="20" t="s">
        <v>200</v>
      </c>
      <c r="C53" s="18">
        <v>5321</v>
      </c>
      <c r="D53" s="18">
        <v>2260</v>
      </c>
      <c r="E53" s="18">
        <f>C53+D53</f>
        <v>7581</v>
      </c>
      <c r="F53" s="19">
        <f>E53/$E$86</f>
        <v>0.22676557685980078</v>
      </c>
      <c r="G53" s="18">
        <v>19502</v>
      </c>
      <c r="H53" s="18">
        <v>1869</v>
      </c>
      <c r="I53" s="18">
        <f>G53+H53</f>
        <v>21371</v>
      </c>
      <c r="J53" s="19">
        <f>I53/$I$86</f>
        <v>0.22744785014899957</v>
      </c>
      <c r="K53" s="18">
        <f t="shared" ref="K53:K85" si="12">E53+I53</f>
        <v>28952</v>
      </c>
      <c r="L53" s="18">
        <v>0</v>
      </c>
      <c r="M53" s="310">
        <f>K53+L53</f>
        <v>28952</v>
      </c>
    </row>
    <row r="54" spans="2:13" x14ac:dyDescent="0.2">
      <c r="B54" s="20" t="s">
        <v>201</v>
      </c>
      <c r="C54" s="18">
        <v>572</v>
      </c>
      <c r="D54" s="18">
        <v>203</v>
      </c>
      <c r="E54" s="18">
        <f t="shared" ref="E54:E85" si="13">C54+D54</f>
        <v>775</v>
      </c>
      <c r="F54" s="19">
        <f t="shared" ref="F54:F85" si="14">E54/$E$86</f>
        <v>2.318207651580868E-2</v>
      </c>
      <c r="G54" s="18">
        <v>2130</v>
      </c>
      <c r="H54" s="18">
        <v>132</v>
      </c>
      <c r="I54" s="18">
        <f t="shared" ref="I54:I85" si="15">G54+H54</f>
        <v>2262</v>
      </c>
      <c r="J54" s="19">
        <f t="shared" ref="J54:J85" si="16">I54/$I$86</f>
        <v>2.4074074074074074E-2</v>
      </c>
      <c r="K54" s="18">
        <f t="shared" si="12"/>
        <v>3037</v>
      </c>
      <c r="L54" s="18">
        <v>0</v>
      </c>
      <c r="M54" s="310">
        <f t="shared" ref="M54:M86" si="17">K54+L54</f>
        <v>3037</v>
      </c>
    </row>
    <row r="55" spans="2:13" x14ac:dyDescent="0.2">
      <c r="B55" s="20" t="s">
        <v>202</v>
      </c>
      <c r="C55" s="18">
        <v>695</v>
      </c>
      <c r="D55" s="18">
        <v>271</v>
      </c>
      <c r="E55" s="18">
        <f t="shared" si="13"/>
        <v>966</v>
      </c>
      <c r="F55" s="19">
        <f t="shared" si="14"/>
        <v>2.8895336663575723E-2</v>
      </c>
      <c r="G55" s="18">
        <v>2730</v>
      </c>
      <c r="H55" s="18">
        <v>199</v>
      </c>
      <c r="I55" s="18">
        <f t="shared" si="15"/>
        <v>2929</v>
      </c>
      <c r="J55" s="19">
        <f t="shared" si="16"/>
        <v>3.1172839506172841E-2</v>
      </c>
      <c r="K55" s="18">
        <f t="shared" si="12"/>
        <v>3895</v>
      </c>
      <c r="L55" s="18">
        <v>1</v>
      </c>
      <c r="M55" s="310">
        <f t="shared" si="17"/>
        <v>3896</v>
      </c>
    </row>
    <row r="56" spans="2:13" x14ac:dyDescent="0.2">
      <c r="B56" s="20" t="s">
        <v>203</v>
      </c>
      <c r="C56" s="18">
        <v>751</v>
      </c>
      <c r="D56" s="18">
        <v>239</v>
      </c>
      <c r="E56" s="18">
        <f t="shared" si="13"/>
        <v>990</v>
      </c>
      <c r="F56" s="19">
        <f t="shared" si="14"/>
        <v>2.9613233226645927E-2</v>
      </c>
      <c r="G56" s="18">
        <v>2257</v>
      </c>
      <c r="H56" s="18">
        <v>139</v>
      </c>
      <c r="I56" s="18">
        <f t="shared" si="15"/>
        <v>2396</v>
      </c>
      <c r="J56" s="19">
        <f t="shared" si="16"/>
        <v>2.5500212856534695E-2</v>
      </c>
      <c r="K56" s="18">
        <f t="shared" si="12"/>
        <v>3386</v>
      </c>
      <c r="L56" s="18">
        <v>0</v>
      </c>
      <c r="M56" s="310">
        <f t="shared" si="17"/>
        <v>3386</v>
      </c>
    </row>
    <row r="57" spans="2:13" x14ac:dyDescent="0.2">
      <c r="B57" s="20" t="s">
        <v>204</v>
      </c>
      <c r="C57" s="18">
        <v>467</v>
      </c>
      <c r="D57" s="18">
        <v>219</v>
      </c>
      <c r="E57" s="18">
        <f t="shared" si="13"/>
        <v>686</v>
      </c>
      <c r="F57" s="19">
        <f t="shared" si="14"/>
        <v>2.0519876761090006E-2</v>
      </c>
      <c r="G57" s="18">
        <v>2265</v>
      </c>
      <c r="H57" s="18">
        <v>157</v>
      </c>
      <c r="I57" s="18">
        <f t="shared" si="15"/>
        <v>2422</v>
      </c>
      <c r="J57" s="19">
        <f t="shared" si="16"/>
        <v>2.5776926351638994E-2</v>
      </c>
      <c r="K57" s="18">
        <f t="shared" si="12"/>
        <v>3108</v>
      </c>
      <c r="L57" s="18">
        <v>0</v>
      </c>
      <c r="M57" s="310">
        <f t="shared" si="17"/>
        <v>3108</v>
      </c>
    </row>
    <row r="58" spans="2:13" x14ac:dyDescent="0.2">
      <c r="B58" s="20" t="s">
        <v>205</v>
      </c>
      <c r="C58" s="18">
        <v>236</v>
      </c>
      <c r="D58" s="18">
        <v>71</v>
      </c>
      <c r="E58" s="18">
        <f t="shared" si="13"/>
        <v>307</v>
      </c>
      <c r="F58" s="19">
        <f t="shared" si="14"/>
        <v>9.1830935359396969E-3</v>
      </c>
      <c r="G58" s="18">
        <v>638</v>
      </c>
      <c r="H58" s="18">
        <v>29</v>
      </c>
      <c r="I58" s="18">
        <f t="shared" si="15"/>
        <v>667</v>
      </c>
      <c r="J58" s="19">
        <f t="shared" si="16"/>
        <v>7.0987654320987656E-3</v>
      </c>
      <c r="K58" s="18">
        <f t="shared" si="12"/>
        <v>974</v>
      </c>
      <c r="L58" s="18">
        <v>0</v>
      </c>
      <c r="M58" s="310">
        <f t="shared" si="17"/>
        <v>974</v>
      </c>
    </row>
    <row r="59" spans="2:13" x14ac:dyDescent="0.2">
      <c r="B59" s="20" t="s">
        <v>206</v>
      </c>
      <c r="C59" s="18">
        <v>286</v>
      </c>
      <c r="D59" s="18">
        <v>103</v>
      </c>
      <c r="E59" s="18">
        <f t="shared" si="13"/>
        <v>389</v>
      </c>
      <c r="F59" s="19">
        <f t="shared" si="14"/>
        <v>1.1635906793096227E-2</v>
      </c>
      <c r="G59" s="18">
        <v>807</v>
      </c>
      <c r="H59" s="18">
        <v>49</v>
      </c>
      <c r="I59" s="18">
        <f t="shared" si="15"/>
        <v>856</v>
      </c>
      <c r="J59" s="19">
        <f t="shared" si="16"/>
        <v>9.1102596849723279E-3</v>
      </c>
      <c r="K59" s="18">
        <f t="shared" si="12"/>
        <v>1245</v>
      </c>
      <c r="L59" s="18">
        <v>0</v>
      </c>
      <c r="M59" s="310">
        <f t="shared" si="17"/>
        <v>1245</v>
      </c>
    </row>
    <row r="60" spans="2:13" x14ac:dyDescent="0.2">
      <c r="B60" s="20" t="s">
        <v>207</v>
      </c>
      <c r="C60" s="18">
        <v>586</v>
      </c>
      <c r="D60" s="18">
        <v>199</v>
      </c>
      <c r="E60" s="18">
        <f t="shared" si="13"/>
        <v>785</v>
      </c>
      <c r="F60" s="19">
        <f t="shared" si="14"/>
        <v>2.3481200083754598E-2</v>
      </c>
      <c r="G60" s="18">
        <v>1860</v>
      </c>
      <c r="H60" s="18">
        <v>121</v>
      </c>
      <c r="I60" s="18">
        <f t="shared" si="15"/>
        <v>1981</v>
      </c>
      <c r="J60" s="19">
        <f t="shared" si="16"/>
        <v>2.1083439761600681E-2</v>
      </c>
      <c r="K60" s="18">
        <f t="shared" si="12"/>
        <v>2766</v>
      </c>
      <c r="L60" s="18">
        <v>0</v>
      </c>
      <c r="M60" s="310">
        <f t="shared" si="17"/>
        <v>2766</v>
      </c>
    </row>
    <row r="61" spans="2:13" x14ac:dyDescent="0.2">
      <c r="B61" s="20" t="s">
        <v>208</v>
      </c>
      <c r="C61" s="18">
        <v>394</v>
      </c>
      <c r="D61" s="18">
        <v>128</v>
      </c>
      <c r="E61" s="18">
        <f t="shared" si="13"/>
        <v>522</v>
      </c>
      <c r="F61" s="19">
        <f t="shared" si="14"/>
        <v>1.5614250246776944E-2</v>
      </c>
      <c r="G61" s="18">
        <v>1366</v>
      </c>
      <c r="H61" s="18">
        <v>93</v>
      </c>
      <c r="I61" s="18">
        <f t="shared" si="15"/>
        <v>1459</v>
      </c>
      <c r="J61" s="19">
        <f t="shared" si="16"/>
        <v>1.5527884206045126E-2</v>
      </c>
      <c r="K61" s="18">
        <f t="shared" si="12"/>
        <v>1981</v>
      </c>
      <c r="L61" s="18">
        <v>0</v>
      </c>
      <c r="M61" s="310">
        <f t="shared" si="17"/>
        <v>1981</v>
      </c>
    </row>
    <row r="62" spans="2:13" x14ac:dyDescent="0.2">
      <c r="B62" s="20" t="s">
        <v>209</v>
      </c>
      <c r="C62" s="18">
        <v>236</v>
      </c>
      <c r="D62" s="18">
        <v>100</v>
      </c>
      <c r="E62" s="18">
        <f t="shared" si="13"/>
        <v>336</v>
      </c>
      <c r="F62" s="19">
        <f t="shared" si="14"/>
        <v>1.005055188298286E-2</v>
      </c>
      <c r="G62" s="18">
        <v>981</v>
      </c>
      <c r="H62" s="18">
        <v>67</v>
      </c>
      <c r="I62" s="18">
        <f t="shared" si="15"/>
        <v>1048</v>
      </c>
      <c r="J62" s="19">
        <f t="shared" si="16"/>
        <v>1.1153682418050235E-2</v>
      </c>
      <c r="K62" s="18">
        <f t="shared" si="12"/>
        <v>1384</v>
      </c>
      <c r="L62" s="18">
        <v>0</v>
      </c>
      <c r="M62" s="310">
        <f t="shared" si="17"/>
        <v>1384</v>
      </c>
    </row>
    <row r="63" spans="2:13" x14ac:dyDescent="0.2">
      <c r="B63" s="20" t="s">
        <v>210</v>
      </c>
      <c r="C63" s="18">
        <v>1162</v>
      </c>
      <c r="D63" s="18">
        <v>411</v>
      </c>
      <c r="E63" s="18">
        <f t="shared" si="13"/>
        <v>1573</v>
      </c>
      <c r="F63" s="19">
        <f t="shared" si="14"/>
        <v>4.7052137237892977E-2</v>
      </c>
      <c r="G63" s="18">
        <v>4446</v>
      </c>
      <c r="H63" s="18">
        <v>326</v>
      </c>
      <c r="I63" s="18">
        <f t="shared" si="15"/>
        <v>4772</v>
      </c>
      <c r="J63" s="19">
        <f t="shared" si="16"/>
        <v>5.0787569178373779E-2</v>
      </c>
      <c r="K63" s="18">
        <f t="shared" si="12"/>
        <v>6345</v>
      </c>
      <c r="L63" s="18">
        <v>0</v>
      </c>
      <c r="M63" s="310">
        <f t="shared" si="17"/>
        <v>6345</v>
      </c>
    </row>
    <row r="64" spans="2:13" x14ac:dyDescent="0.2">
      <c r="B64" s="20" t="s">
        <v>211</v>
      </c>
      <c r="C64" s="18">
        <v>271</v>
      </c>
      <c r="D64" s="18">
        <v>128</v>
      </c>
      <c r="E64" s="18">
        <f t="shared" si="13"/>
        <v>399</v>
      </c>
      <c r="F64" s="19">
        <f t="shared" si="14"/>
        <v>1.1935030361042147E-2</v>
      </c>
      <c r="G64" s="18">
        <v>1193</v>
      </c>
      <c r="H64" s="18">
        <v>107</v>
      </c>
      <c r="I64" s="18">
        <f t="shared" si="15"/>
        <v>1300</v>
      </c>
      <c r="J64" s="19">
        <f t="shared" si="16"/>
        <v>1.3835674755214985E-2</v>
      </c>
      <c r="K64" s="18">
        <f t="shared" si="12"/>
        <v>1699</v>
      </c>
      <c r="L64" s="18">
        <v>0</v>
      </c>
      <c r="M64" s="310">
        <f t="shared" si="17"/>
        <v>1699</v>
      </c>
    </row>
    <row r="65" spans="2:13" x14ac:dyDescent="0.2">
      <c r="B65" s="20" t="s">
        <v>212</v>
      </c>
      <c r="C65" s="18">
        <v>849</v>
      </c>
      <c r="D65" s="18">
        <v>263</v>
      </c>
      <c r="E65" s="18">
        <f t="shared" si="13"/>
        <v>1112</v>
      </c>
      <c r="F65" s="19">
        <f t="shared" si="14"/>
        <v>3.3262540755586135E-2</v>
      </c>
      <c r="G65" s="18">
        <v>2622</v>
      </c>
      <c r="H65" s="18">
        <v>121</v>
      </c>
      <c r="I65" s="18">
        <f t="shared" si="15"/>
        <v>2743</v>
      </c>
      <c r="J65" s="19">
        <f t="shared" si="16"/>
        <v>2.9193273733503618E-2</v>
      </c>
      <c r="K65" s="18">
        <f t="shared" si="12"/>
        <v>3855</v>
      </c>
      <c r="L65" s="18">
        <v>0</v>
      </c>
      <c r="M65" s="310">
        <f t="shared" si="17"/>
        <v>3855</v>
      </c>
    </row>
    <row r="66" spans="2:13" x14ac:dyDescent="0.2">
      <c r="B66" s="20" t="s">
        <v>213</v>
      </c>
      <c r="C66" s="18">
        <v>596</v>
      </c>
      <c r="D66" s="18">
        <v>282</v>
      </c>
      <c r="E66" s="18">
        <f t="shared" si="13"/>
        <v>878</v>
      </c>
      <c r="F66" s="19">
        <f t="shared" si="14"/>
        <v>2.626304926565164E-2</v>
      </c>
      <c r="G66" s="18">
        <v>2419</v>
      </c>
      <c r="H66" s="18">
        <v>178</v>
      </c>
      <c r="I66" s="18">
        <f t="shared" si="15"/>
        <v>2597</v>
      </c>
      <c r="J66" s="19">
        <f t="shared" si="16"/>
        <v>2.7639421030225628E-2</v>
      </c>
      <c r="K66" s="18">
        <f t="shared" si="12"/>
        <v>3475</v>
      </c>
      <c r="L66" s="18">
        <v>0</v>
      </c>
      <c r="M66" s="310">
        <f t="shared" si="17"/>
        <v>3475</v>
      </c>
    </row>
    <row r="67" spans="2:13" x14ac:dyDescent="0.2">
      <c r="B67" s="20" t="s">
        <v>214</v>
      </c>
      <c r="C67" s="18">
        <v>482</v>
      </c>
      <c r="D67" s="18">
        <v>147</v>
      </c>
      <c r="E67" s="18">
        <f t="shared" si="13"/>
        <v>629</v>
      </c>
      <c r="F67" s="19">
        <f t="shared" si="14"/>
        <v>1.8814872423798271E-2</v>
      </c>
      <c r="G67" s="18">
        <v>1763</v>
      </c>
      <c r="H67" s="18">
        <v>80</v>
      </c>
      <c r="I67" s="18">
        <f t="shared" si="15"/>
        <v>1843</v>
      </c>
      <c r="J67" s="19">
        <f t="shared" si="16"/>
        <v>1.9614729672200938E-2</v>
      </c>
      <c r="K67" s="18">
        <f t="shared" si="12"/>
        <v>2472</v>
      </c>
      <c r="L67" s="18">
        <v>0</v>
      </c>
      <c r="M67" s="310">
        <f t="shared" si="17"/>
        <v>2472</v>
      </c>
    </row>
    <row r="68" spans="2:13" x14ac:dyDescent="0.2">
      <c r="B68" s="20" t="s">
        <v>215</v>
      </c>
      <c r="C68" s="18">
        <v>430</v>
      </c>
      <c r="D68" s="18">
        <v>171</v>
      </c>
      <c r="E68" s="18">
        <f t="shared" si="13"/>
        <v>601</v>
      </c>
      <c r="F68" s="19">
        <f t="shared" si="14"/>
        <v>1.7977326433549698E-2</v>
      </c>
      <c r="G68" s="18">
        <v>1358</v>
      </c>
      <c r="H68" s="18">
        <v>100</v>
      </c>
      <c r="I68" s="18">
        <f t="shared" si="15"/>
        <v>1458</v>
      </c>
      <c r="J68" s="19">
        <f t="shared" si="16"/>
        <v>1.5517241379310345E-2</v>
      </c>
      <c r="K68" s="18">
        <f t="shared" si="12"/>
        <v>2059</v>
      </c>
      <c r="L68" s="18">
        <v>0</v>
      </c>
      <c r="M68" s="310">
        <f t="shared" si="17"/>
        <v>2059</v>
      </c>
    </row>
    <row r="69" spans="2:13" x14ac:dyDescent="0.2">
      <c r="B69" s="20" t="s">
        <v>216</v>
      </c>
      <c r="C69" s="18">
        <v>1494</v>
      </c>
      <c r="D69" s="18">
        <v>637</v>
      </c>
      <c r="E69" s="18">
        <f t="shared" si="13"/>
        <v>2131</v>
      </c>
      <c r="F69" s="19">
        <f t="shared" si="14"/>
        <v>6.3743232329275229E-2</v>
      </c>
      <c r="G69" s="18">
        <v>6059</v>
      </c>
      <c r="H69" s="18">
        <v>447</v>
      </c>
      <c r="I69" s="18">
        <f t="shared" si="15"/>
        <v>6506</v>
      </c>
      <c r="J69" s="19">
        <f t="shared" si="16"/>
        <v>6.9242230736483612E-2</v>
      </c>
      <c r="K69" s="18">
        <f t="shared" si="12"/>
        <v>8637</v>
      </c>
      <c r="L69" s="18">
        <v>0</v>
      </c>
      <c r="M69" s="310">
        <f t="shared" si="17"/>
        <v>8637</v>
      </c>
    </row>
    <row r="70" spans="2:13" x14ac:dyDescent="0.2">
      <c r="B70" s="20" t="s">
        <v>217</v>
      </c>
      <c r="C70" s="18">
        <v>276</v>
      </c>
      <c r="D70" s="18">
        <v>78</v>
      </c>
      <c r="E70" s="18">
        <f t="shared" si="13"/>
        <v>354</v>
      </c>
      <c r="F70" s="19">
        <f t="shared" si="14"/>
        <v>1.0588974305285513E-2</v>
      </c>
      <c r="G70" s="18">
        <v>982</v>
      </c>
      <c r="H70" s="18">
        <v>29</v>
      </c>
      <c r="I70" s="18">
        <f t="shared" si="15"/>
        <v>1011</v>
      </c>
      <c r="J70" s="19">
        <f t="shared" si="16"/>
        <v>1.0759897828863347E-2</v>
      </c>
      <c r="K70" s="18">
        <f t="shared" si="12"/>
        <v>1365</v>
      </c>
      <c r="L70" s="18">
        <v>0</v>
      </c>
      <c r="M70" s="310">
        <f t="shared" si="17"/>
        <v>1365</v>
      </c>
    </row>
    <row r="71" spans="2:13" x14ac:dyDescent="0.2">
      <c r="B71" s="20" t="s">
        <v>218</v>
      </c>
      <c r="C71" s="18">
        <v>393</v>
      </c>
      <c r="D71" s="18">
        <v>97</v>
      </c>
      <c r="E71" s="18">
        <f t="shared" si="13"/>
        <v>490</v>
      </c>
      <c r="F71" s="19">
        <f t="shared" si="14"/>
        <v>1.4657054829350005E-2</v>
      </c>
      <c r="G71" s="18">
        <v>639</v>
      </c>
      <c r="H71" s="18">
        <v>38</v>
      </c>
      <c r="I71" s="18">
        <f t="shared" si="15"/>
        <v>677</v>
      </c>
      <c r="J71" s="19">
        <f t="shared" si="16"/>
        <v>7.2051936994465731E-3</v>
      </c>
      <c r="K71" s="18">
        <f t="shared" si="12"/>
        <v>1167</v>
      </c>
      <c r="L71" s="18">
        <v>0</v>
      </c>
      <c r="M71" s="310">
        <f t="shared" si="17"/>
        <v>1167</v>
      </c>
    </row>
    <row r="72" spans="2:13" x14ac:dyDescent="0.2">
      <c r="B72" s="20" t="s">
        <v>219</v>
      </c>
      <c r="C72" s="18">
        <v>1035</v>
      </c>
      <c r="D72" s="18">
        <v>426</v>
      </c>
      <c r="E72" s="18">
        <f t="shared" si="13"/>
        <v>1461</v>
      </c>
      <c r="F72" s="19">
        <f t="shared" si="14"/>
        <v>4.3701953276898686E-2</v>
      </c>
      <c r="G72" s="18">
        <v>3621</v>
      </c>
      <c r="H72" s="18">
        <v>245</v>
      </c>
      <c r="I72" s="18">
        <f t="shared" si="15"/>
        <v>3866</v>
      </c>
      <c r="J72" s="19">
        <f t="shared" si="16"/>
        <v>4.1145168156662408E-2</v>
      </c>
      <c r="K72" s="18">
        <f t="shared" si="12"/>
        <v>5327</v>
      </c>
      <c r="L72" s="18">
        <v>0</v>
      </c>
      <c r="M72" s="310">
        <f t="shared" si="17"/>
        <v>5327</v>
      </c>
    </row>
    <row r="73" spans="2:13" x14ac:dyDescent="0.2">
      <c r="B73" s="20" t="s">
        <v>220</v>
      </c>
      <c r="C73" s="18">
        <v>287</v>
      </c>
      <c r="D73" s="18">
        <v>114</v>
      </c>
      <c r="E73" s="18">
        <f t="shared" si="13"/>
        <v>401</v>
      </c>
      <c r="F73" s="19">
        <f t="shared" si="14"/>
        <v>1.1994855074631329E-2</v>
      </c>
      <c r="G73" s="18">
        <v>744</v>
      </c>
      <c r="H73" s="18">
        <v>58</v>
      </c>
      <c r="I73" s="18">
        <f t="shared" si="15"/>
        <v>802</v>
      </c>
      <c r="J73" s="19">
        <f t="shared" si="16"/>
        <v>8.535547041294167E-3</v>
      </c>
      <c r="K73" s="18">
        <f t="shared" si="12"/>
        <v>1203</v>
      </c>
      <c r="L73" s="18">
        <v>0</v>
      </c>
      <c r="M73" s="310">
        <f t="shared" si="17"/>
        <v>1203</v>
      </c>
    </row>
    <row r="74" spans="2:13" x14ac:dyDescent="0.2">
      <c r="B74" s="20" t="s">
        <v>221</v>
      </c>
      <c r="C74" s="18">
        <v>524</v>
      </c>
      <c r="D74" s="18">
        <v>183</v>
      </c>
      <c r="E74" s="18">
        <f t="shared" si="13"/>
        <v>707</v>
      </c>
      <c r="F74" s="19">
        <f t="shared" si="14"/>
        <v>2.1148036253776436E-2</v>
      </c>
      <c r="G74" s="18">
        <v>1934</v>
      </c>
      <c r="H74" s="18">
        <v>124</v>
      </c>
      <c r="I74" s="18">
        <f t="shared" si="15"/>
        <v>2058</v>
      </c>
      <c r="J74" s="19">
        <f t="shared" si="16"/>
        <v>2.1902937420178799E-2</v>
      </c>
      <c r="K74" s="18">
        <f t="shared" si="12"/>
        <v>2765</v>
      </c>
      <c r="L74" s="18">
        <v>0</v>
      </c>
      <c r="M74" s="310">
        <f t="shared" si="17"/>
        <v>2765</v>
      </c>
    </row>
    <row r="75" spans="2:13" x14ac:dyDescent="0.2">
      <c r="B75" s="20" t="s">
        <v>222</v>
      </c>
      <c r="C75" s="18">
        <v>760</v>
      </c>
      <c r="D75" s="18">
        <v>276</v>
      </c>
      <c r="E75" s="18">
        <f t="shared" si="13"/>
        <v>1036</v>
      </c>
      <c r="F75" s="19">
        <f t="shared" si="14"/>
        <v>3.0989201639197151E-2</v>
      </c>
      <c r="G75" s="18">
        <v>2586</v>
      </c>
      <c r="H75" s="18">
        <v>196</v>
      </c>
      <c r="I75" s="18">
        <f t="shared" si="15"/>
        <v>2782</v>
      </c>
      <c r="J75" s="19">
        <f t="shared" si="16"/>
        <v>2.9608343976160068E-2</v>
      </c>
      <c r="K75" s="18">
        <f t="shared" si="12"/>
        <v>3818</v>
      </c>
      <c r="L75" s="18">
        <v>0</v>
      </c>
      <c r="M75" s="310">
        <f t="shared" si="17"/>
        <v>3818</v>
      </c>
    </row>
    <row r="76" spans="2:13" x14ac:dyDescent="0.2">
      <c r="B76" s="20" t="s">
        <v>223</v>
      </c>
      <c r="C76" s="18">
        <v>296</v>
      </c>
      <c r="D76" s="18">
        <v>104</v>
      </c>
      <c r="E76" s="18">
        <f t="shared" si="13"/>
        <v>400</v>
      </c>
      <c r="F76" s="19">
        <f t="shared" si="14"/>
        <v>1.1964942717836739E-2</v>
      </c>
      <c r="G76" s="18">
        <v>1179</v>
      </c>
      <c r="H76" s="18">
        <v>82</v>
      </c>
      <c r="I76" s="18">
        <f t="shared" si="15"/>
        <v>1261</v>
      </c>
      <c r="J76" s="19">
        <f t="shared" si="16"/>
        <v>1.3420604512558535E-2</v>
      </c>
      <c r="K76" s="18">
        <f t="shared" si="12"/>
        <v>1661</v>
      </c>
      <c r="L76" s="18">
        <v>0</v>
      </c>
      <c r="M76" s="310">
        <f t="shared" si="17"/>
        <v>1661</v>
      </c>
    </row>
    <row r="77" spans="2:13" x14ac:dyDescent="0.2">
      <c r="B77" s="20" t="s">
        <v>224</v>
      </c>
      <c r="C77" s="18">
        <v>502</v>
      </c>
      <c r="D77" s="18">
        <v>189</v>
      </c>
      <c r="E77" s="18">
        <f t="shared" si="13"/>
        <v>691</v>
      </c>
      <c r="F77" s="19">
        <f t="shared" si="14"/>
        <v>2.0669438545062965E-2</v>
      </c>
      <c r="G77" s="18">
        <v>1455</v>
      </c>
      <c r="H77" s="18">
        <v>105</v>
      </c>
      <c r="I77" s="18">
        <f t="shared" si="15"/>
        <v>1560</v>
      </c>
      <c r="J77" s="19">
        <f t="shared" si="16"/>
        <v>1.6602809706257982E-2</v>
      </c>
      <c r="K77" s="18">
        <f t="shared" si="12"/>
        <v>2251</v>
      </c>
      <c r="L77" s="18">
        <v>0</v>
      </c>
      <c r="M77" s="310">
        <f t="shared" si="17"/>
        <v>2251</v>
      </c>
    </row>
    <row r="78" spans="2:13" x14ac:dyDescent="0.2">
      <c r="B78" s="20" t="s">
        <v>225</v>
      </c>
      <c r="C78" s="18">
        <v>1767</v>
      </c>
      <c r="D78" s="18">
        <v>641</v>
      </c>
      <c r="E78" s="18">
        <f t="shared" si="13"/>
        <v>2408</v>
      </c>
      <c r="F78" s="19">
        <f t="shared" si="14"/>
        <v>7.2028955161377167E-2</v>
      </c>
      <c r="G78" s="18">
        <v>7514</v>
      </c>
      <c r="H78" s="18">
        <v>516</v>
      </c>
      <c r="I78" s="18">
        <f t="shared" si="15"/>
        <v>8030</v>
      </c>
      <c r="J78" s="19">
        <f t="shared" si="16"/>
        <v>8.5461898680289486E-2</v>
      </c>
      <c r="K78" s="18">
        <f t="shared" si="12"/>
        <v>10438</v>
      </c>
      <c r="L78" s="18">
        <v>0</v>
      </c>
      <c r="M78" s="310">
        <f t="shared" si="17"/>
        <v>10438</v>
      </c>
    </row>
    <row r="79" spans="2:13" x14ac:dyDescent="0.2">
      <c r="B79" s="20" t="s">
        <v>226</v>
      </c>
      <c r="C79" s="18">
        <v>398</v>
      </c>
      <c r="D79" s="18">
        <v>185</v>
      </c>
      <c r="E79" s="18">
        <f t="shared" si="13"/>
        <v>583</v>
      </c>
      <c r="F79" s="19">
        <f t="shared" si="14"/>
        <v>1.7438904011247047E-2</v>
      </c>
      <c r="G79" s="18">
        <v>1926</v>
      </c>
      <c r="H79" s="18">
        <v>153</v>
      </c>
      <c r="I79" s="18">
        <f t="shared" si="15"/>
        <v>2079</v>
      </c>
      <c r="J79" s="19">
        <f t="shared" si="16"/>
        <v>2.2126436781609197E-2</v>
      </c>
      <c r="K79" s="18">
        <f t="shared" si="12"/>
        <v>2662</v>
      </c>
      <c r="L79" s="18">
        <v>0</v>
      </c>
      <c r="M79" s="310">
        <f t="shared" si="17"/>
        <v>2662</v>
      </c>
    </row>
    <row r="80" spans="2:13" x14ac:dyDescent="0.2">
      <c r="B80" s="20" t="s">
        <v>227</v>
      </c>
      <c r="C80" s="18">
        <v>355</v>
      </c>
      <c r="D80" s="18">
        <v>135</v>
      </c>
      <c r="E80" s="18">
        <f t="shared" si="13"/>
        <v>490</v>
      </c>
      <c r="F80" s="19">
        <f t="shared" si="14"/>
        <v>1.4657054829350005E-2</v>
      </c>
      <c r="G80" s="18">
        <v>1327</v>
      </c>
      <c r="H80" s="18">
        <v>56</v>
      </c>
      <c r="I80" s="18">
        <f t="shared" si="15"/>
        <v>1383</v>
      </c>
      <c r="J80" s="19">
        <f t="shared" si="16"/>
        <v>1.4719029374201787E-2</v>
      </c>
      <c r="K80" s="18">
        <f t="shared" si="12"/>
        <v>1873</v>
      </c>
      <c r="L80" s="18">
        <v>0</v>
      </c>
      <c r="M80" s="310">
        <f t="shared" si="17"/>
        <v>1873</v>
      </c>
    </row>
    <row r="81" spans="2:13" x14ac:dyDescent="0.2">
      <c r="B81" s="20" t="s">
        <v>228</v>
      </c>
      <c r="C81" s="18">
        <v>305</v>
      </c>
      <c r="D81" s="18">
        <v>107</v>
      </c>
      <c r="E81" s="18">
        <f t="shared" si="13"/>
        <v>412</v>
      </c>
      <c r="F81" s="19">
        <f t="shared" si="14"/>
        <v>1.2323890999371841E-2</v>
      </c>
      <c r="G81" s="18">
        <v>916</v>
      </c>
      <c r="H81" s="18">
        <v>40</v>
      </c>
      <c r="I81" s="18">
        <f t="shared" si="15"/>
        <v>956</v>
      </c>
      <c r="J81" s="19">
        <f t="shared" si="16"/>
        <v>1.0174542358450405E-2</v>
      </c>
      <c r="K81" s="18">
        <f t="shared" si="12"/>
        <v>1368</v>
      </c>
      <c r="L81" s="18">
        <v>0</v>
      </c>
      <c r="M81" s="310">
        <f t="shared" si="17"/>
        <v>1368</v>
      </c>
    </row>
    <row r="82" spans="2:13" x14ac:dyDescent="0.2">
      <c r="B82" s="20" t="s">
        <v>229</v>
      </c>
      <c r="C82" s="18">
        <v>177</v>
      </c>
      <c r="D82" s="18">
        <v>44</v>
      </c>
      <c r="E82" s="18">
        <f t="shared" si="13"/>
        <v>221</v>
      </c>
      <c r="F82" s="19">
        <f t="shared" si="14"/>
        <v>6.6106308516047981E-3</v>
      </c>
      <c r="G82" s="18">
        <v>518</v>
      </c>
      <c r="H82" s="18">
        <v>24</v>
      </c>
      <c r="I82" s="18">
        <f t="shared" si="15"/>
        <v>542</v>
      </c>
      <c r="J82" s="19">
        <f t="shared" si="16"/>
        <v>5.7684120902511708E-3</v>
      </c>
      <c r="K82" s="18">
        <f t="shared" si="12"/>
        <v>763</v>
      </c>
      <c r="L82" s="18">
        <v>0</v>
      </c>
      <c r="M82" s="310">
        <f t="shared" si="17"/>
        <v>763</v>
      </c>
    </row>
    <row r="83" spans="2:13" x14ac:dyDescent="0.2">
      <c r="B83" s="20" t="s">
        <v>230</v>
      </c>
      <c r="C83" s="18">
        <v>1704</v>
      </c>
      <c r="D83" s="18">
        <v>527</v>
      </c>
      <c r="E83" s="18">
        <f t="shared" si="13"/>
        <v>2231</v>
      </c>
      <c r="F83" s="19">
        <f t="shared" si="14"/>
        <v>6.6734468008734407E-2</v>
      </c>
      <c r="G83" s="18">
        <v>5682</v>
      </c>
      <c r="H83" s="18">
        <v>322</v>
      </c>
      <c r="I83" s="18">
        <f t="shared" si="15"/>
        <v>6004</v>
      </c>
      <c r="J83" s="19">
        <f t="shared" si="16"/>
        <v>6.3899531715623667E-2</v>
      </c>
      <c r="K83" s="18">
        <f t="shared" si="12"/>
        <v>8235</v>
      </c>
      <c r="L83" s="18">
        <v>0</v>
      </c>
      <c r="M83" s="310">
        <f t="shared" si="17"/>
        <v>8235</v>
      </c>
    </row>
    <row r="84" spans="2:13" x14ac:dyDescent="0.2">
      <c r="B84" s="20" t="s">
        <v>231</v>
      </c>
      <c r="C84" s="18">
        <v>529</v>
      </c>
      <c r="D84" s="18">
        <v>167</v>
      </c>
      <c r="E84" s="18">
        <f t="shared" si="13"/>
        <v>696</v>
      </c>
      <c r="F84" s="19">
        <f t="shared" si="14"/>
        <v>2.0819000329035924E-2</v>
      </c>
      <c r="G84" s="18">
        <v>1783</v>
      </c>
      <c r="H84" s="18">
        <v>120</v>
      </c>
      <c r="I84" s="18">
        <f t="shared" si="15"/>
        <v>1903</v>
      </c>
      <c r="J84" s="19">
        <f t="shared" si="16"/>
        <v>2.0253299276287783E-2</v>
      </c>
      <c r="K84" s="18">
        <f t="shared" si="12"/>
        <v>2599</v>
      </c>
      <c r="L84" s="18">
        <v>0</v>
      </c>
      <c r="M84" s="310">
        <f t="shared" si="17"/>
        <v>2599</v>
      </c>
    </row>
    <row r="85" spans="2:13" x14ac:dyDescent="0.2">
      <c r="B85" s="20" t="s">
        <v>232</v>
      </c>
      <c r="C85" s="18">
        <v>147</v>
      </c>
      <c r="D85" s="18">
        <v>43</v>
      </c>
      <c r="E85" s="18">
        <f t="shared" si="13"/>
        <v>190</v>
      </c>
      <c r="F85" s="19">
        <f t="shared" si="14"/>
        <v>5.6833477909724508E-3</v>
      </c>
      <c r="G85" s="18">
        <v>423</v>
      </c>
      <c r="H85" s="18">
        <v>13</v>
      </c>
      <c r="I85" s="18">
        <f t="shared" si="15"/>
        <v>436</v>
      </c>
      <c r="J85" s="19">
        <f t="shared" si="16"/>
        <v>4.6402724563644106E-3</v>
      </c>
      <c r="K85" s="18">
        <f t="shared" si="12"/>
        <v>626</v>
      </c>
      <c r="L85" s="18">
        <v>0</v>
      </c>
      <c r="M85" s="310">
        <f t="shared" si="17"/>
        <v>626</v>
      </c>
    </row>
    <row r="86" spans="2:13" x14ac:dyDescent="0.2">
      <c r="B86" s="20" t="s">
        <v>49</v>
      </c>
      <c r="C86" s="18">
        <f t="shared" ref="C86:H86" si="18">SUM(C53:C85)</f>
        <v>24283</v>
      </c>
      <c r="D86" s="18">
        <f t="shared" si="18"/>
        <v>9148</v>
      </c>
      <c r="E86" s="20">
        <f t="shared" ref="E86" si="19">C86+D86</f>
        <v>33431</v>
      </c>
      <c r="F86" s="19">
        <f t="shared" ref="F86" si="20">E86/$E$86</f>
        <v>1</v>
      </c>
      <c r="G86" s="18">
        <f t="shared" si="18"/>
        <v>87625</v>
      </c>
      <c r="H86" s="18">
        <f t="shared" si="18"/>
        <v>6335</v>
      </c>
      <c r="I86" s="20">
        <f t="shared" ref="I86" si="21">G86+H86</f>
        <v>93960</v>
      </c>
      <c r="J86" s="19">
        <f t="shared" ref="J86" si="22">I86/$I$86</f>
        <v>1</v>
      </c>
      <c r="K86" s="20">
        <f t="shared" ref="K86" si="23">E86+I86</f>
        <v>127391</v>
      </c>
      <c r="L86" s="18">
        <f t="shared" ref="L86" si="24">SUM(L53:L85)</f>
        <v>1</v>
      </c>
      <c r="M86" s="311">
        <f t="shared" si="17"/>
        <v>127392</v>
      </c>
    </row>
    <row r="87" spans="2:13" ht="24" x14ac:dyDescent="0.2">
      <c r="B87" s="32" t="s">
        <v>66</v>
      </c>
      <c r="C87" s="33">
        <f>+C86/M86</f>
        <v>0.19061636523486561</v>
      </c>
      <c r="D87" s="33">
        <f>+D86/M86</f>
        <v>7.1809846772167799E-2</v>
      </c>
      <c r="E87" s="34">
        <f>+E86/M86</f>
        <v>0.26242621200703342</v>
      </c>
      <c r="F87" s="34"/>
      <c r="G87" s="33">
        <f>+G86/M86</f>
        <v>0.6878375408188897</v>
      </c>
      <c r="H87" s="33">
        <f>+H86/M86</f>
        <v>4.9728397387591057E-2</v>
      </c>
      <c r="I87" s="34">
        <f>+I86/M86</f>
        <v>0.73756593820648075</v>
      </c>
      <c r="J87" s="34"/>
      <c r="K87" s="34">
        <f>+K86/M86</f>
        <v>0.99999215021351417</v>
      </c>
      <c r="L87" s="34">
        <f>+L86/M86</f>
        <v>7.8497864858075856E-6</v>
      </c>
      <c r="M87" s="34">
        <f>K87+L87</f>
        <v>1</v>
      </c>
    </row>
    <row r="88" spans="2:13" x14ac:dyDescent="0.2">
      <c r="B88" s="25" t="s">
        <v>129</v>
      </c>
    </row>
    <row r="89" spans="2:13" x14ac:dyDescent="0.2">
      <c r="B89" s="25" t="s">
        <v>130</v>
      </c>
    </row>
  </sheetData>
  <mergeCells count="12">
    <mergeCell ref="L51:M51"/>
    <mergeCell ref="B50:M50"/>
    <mergeCell ref="B6:K6"/>
    <mergeCell ref="B5:K5"/>
    <mergeCell ref="B47:K47"/>
    <mergeCell ref="B48:K48"/>
    <mergeCell ref="B8:M8"/>
    <mergeCell ref="L9:M9"/>
    <mergeCell ref="B51:B52"/>
    <mergeCell ref="C51:K51"/>
    <mergeCell ref="B9:B10"/>
    <mergeCell ref="C9:K9"/>
  </mergeCells>
  <hyperlinks>
    <hyperlink ref="M5" location="'Índice Pensiones Solidarias'!A1" display="Volver Sistema de Pensiones Solidadias" xr:uid="{00000000-0004-0000-0D00-000000000000}"/>
  </hyperlinks>
  <pageMargins left="0.74803149606299213" right="0.74803149606299213" top="0.98425196850393704" bottom="0.98425196850393704" header="0" footer="0"/>
  <pageSetup scale="83" fitToHeight="2" orientation="portrait" r:id="rId1"/>
  <headerFooter alignWithMargins="0"/>
  <rowBreaks count="1" manualBreakCount="1">
    <brk id="50" min="1" max="12"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25"/>
  <dimension ref="A1:P83"/>
  <sheetViews>
    <sheetView showGridLines="0" zoomScaleNormal="100" workbookViewId="0">
      <selection sqref="A1:XFD1048576"/>
    </sheetView>
  </sheetViews>
  <sheetFormatPr baseColWidth="10" defaultRowHeight="12" x14ac:dyDescent="0.2"/>
  <cols>
    <col min="1" max="1" width="6" style="26" customWidth="1"/>
    <col min="2" max="2" width="18.140625" style="26" customWidth="1"/>
    <col min="3" max="3" width="7.85546875" style="26" bestFit="1" customWidth="1"/>
    <col min="4" max="4" width="7.28515625" style="26" bestFit="1" customWidth="1"/>
    <col min="5" max="6" width="7.28515625" style="26" customWidth="1"/>
    <col min="7" max="8" width="7.28515625" style="26" bestFit="1" customWidth="1"/>
    <col min="9" max="11" width="7.28515625" style="26" customWidth="1"/>
    <col min="12" max="12" width="9.7109375" style="26" customWidth="1"/>
    <col min="13" max="251" width="11.42578125" style="26"/>
    <col min="252" max="252" width="18.140625" style="26" customWidth="1"/>
    <col min="253" max="253" width="7.85546875" style="26" bestFit="1" customWidth="1"/>
    <col min="254" max="254" width="7.28515625" style="26" bestFit="1" customWidth="1"/>
    <col min="255" max="256" width="7.28515625" style="26" customWidth="1"/>
    <col min="257" max="258" width="7.28515625" style="26" bestFit="1" customWidth="1"/>
    <col min="259" max="261" width="7.28515625" style="26" customWidth="1"/>
    <col min="262" max="267" width="0" style="26" hidden="1" customWidth="1"/>
    <col min="268" max="268" width="9.7109375" style="26" customWidth="1"/>
    <col min="269" max="507" width="11.42578125" style="26"/>
    <col min="508" max="508" width="18.140625" style="26" customWidth="1"/>
    <col min="509" max="509" width="7.85546875" style="26" bestFit="1" customWidth="1"/>
    <col min="510" max="510" width="7.28515625" style="26" bestFit="1" customWidth="1"/>
    <col min="511" max="512" width="7.28515625" style="26" customWidth="1"/>
    <col min="513" max="514" width="7.28515625" style="26" bestFit="1" customWidth="1"/>
    <col min="515" max="517" width="7.28515625" style="26" customWidth="1"/>
    <col min="518" max="523" width="0" style="26" hidden="1" customWidth="1"/>
    <col min="524" max="524" width="9.7109375" style="26" customWidth="1"/>
    <col min="525" max="763" width="11.42578125" style="26"/>
    <col min="764" max="764" width="18.140625" style="26" customWidth="1"/>
    <col min="765" max="765" width="7.85546875" style="26" bestFit="1" customWidth="1"/>
    <col min="766" max="766" width="7.28515625" style="26" bestFit="1" customWidth="1"/>
    <col min="767" max="768" width="7.28515625" style="26" customWidth="1"/>
    <col min="769" max="770" width="7.28515625" style="26" bestFit="1" customWidth="1"/>
    <col min="771" max="773" width="7.28515625" style="26" customWidth="1"/>
    <col min="774" max="779" width="0" style="26" hidden="1" customWidth="1"/>
    <col min="780" max="780" width="9.7109375" style="26" customWidth="1"/>
    <col min="781" max="1019" width="11.42578125" style="26"/>
    <col min="1020" max="1020" width="18.140625" style="26" customWidth="1"/>
    <col min="1021" max="1021" width="7.85546875" style="26" bestFit="1" customWidth="1"/>
    <col min="1022" max="1022" width="7.28515625" style="26" bestFit="1" customWidth="1"/>
    <col min="1023" max="1024" width="7.28515625" style="26" customWidth="1"/>
    <col min="1025" max="1026" width="7.28515625" style="26" bestFit="1" customWidth="1"/>
    <col min="1027" max="1029" width="7.28515625" style="26" customWidth="1"/>
    <col min="1030" max="1035" width="0" style="26" hidden="1" customWidth="1"/>
    <col min="1036" max="1036" width="9.7109375" style="26" customWidth="1"/>
    <col min="1037" max="1275" width="11.42578125" style="26"/>
    <col min="1276" max="1276" width="18.140625" style="26" customWidth="1"/>
    <col min="1277" max="1277" width="7.85546875" style="26" bestFit="1" customWidth="1"/>
    <col min="1278" max="1278" width="7.28515625" style="26" bestFit="1" customWidth="1"/>
    <col min="1279" max="1280" width="7.28515625" style="26" customWidth="1"/>
    <col min="1281" max="1282" width="7.28515625" style="26" bestFit="1" customWidth="1"/>
    <col min="1283" max="1285" width="7.28515625" style="26" customWidth="1"/>
    <col min="1286" max="1291" width="0" style="26" hidden="1" customWidth="1"/>
    <col min="1292" max="1292" width="9.7109375" style="26" customWidth="1"/>
    <col min="1293" max="1531" width="11.42578125" style="26"/>
    <col min="1532" max="1532" width="18.140625" style="26" customWidth="1"/>
    <col min="1533" max="1533" width="7.85546875" style="26" bestFit="1" customWidth="1"/>
    <col min="1534" max="1534" width="7.28515625" style="26" bestFit="1" customWidth="1"/>
    <col min="1535" max="1536" width="7.28515625" style="26" customWidth="1"/>
    <col min="1537" max="1538" width="7.28515625" style="26" bestFit="1" customWidth="1"/>
    <col min="1539" max="1541" width="7.28515625" style="26" customWidth="1"/>
    <col min="1542" max="1547" width="0" style="26" hidden="1" customWidth="1"/>
    <col min="1548" max="1548" width="9.7109375" style="26" customWidth="1"/>
    <col min="1549" max="1787" width="11.42578125" style="26"/>
    <col min="1788" max="1788" width="18.140625" style="26" customWidth="1"/>
    <col min="1789" max="1789" width="7.85546875" style="26" bestFit="1" customWidth="1"/>
    <col min="1790" max="1790" width="7.28515625" style="26" bestFit="1" customWidth="1"/>
    <col min="1791" max="1792" width="7.28515625" style="26" customWidth="1"/>
    <col min="1793" max="1794" width="7.28515625" style="26" bestFit="1" customWidth="1"/>
    <col min="1795" max="1797" width="7.28515625" style="26" customWidth="1"/>
    <col min="1798" max="1803" width="0" style="26" hidden="1" customWidth="1"/>
    <col min="1804" max="1804" width="9.7109375" style="26" customWidth="1"/>
    <col min="1805" max="2043" width="11.42578125" style="26"/>
    <col min="2044" max="2044" width="18.140625" style="26" customWidth="1"/>
    <col min="2045" max="2045" width="7.85546875" style="26" bestFit="1" customWidth="1"/>
    <col min="2046" max="2046" width="7.28515625" style="26" bestFit="1" customWidth="1"/>
    <col min="2047" max="2048" width="7.28515625" style="26" customWidth="1"/>
    <col min="2049" max="2050" width="7.28515625" style="26" bestFit="1" customWidth="1"/>
    <col min="2051" max="2053" width="7.28515625" style="26" customWidth="1"/>
    <col min="2054" max="2059" width="0" style="26" hidden="1" customWidth="1"/>
    <col min="2060" max="2060" width="9.7109375" style="26" customWidth="1"/>
    <col min="2061" max="2299" width="11.42578125" style="26"/>
    <col min="2300" max="2300" width="18.140625" style="26" customWidth="1"/>
    <col min="2301" max="2301" width="7.85546875" style="26" bestFit="1" customWidth="1"/>
    <col min="2302" max="2302" width="7.28515625" style="26" bestFit="1" customWidth="1"/>
    <col min="2303" max="2304" width="7.28515625" style="26" customWidth="1"/>
    <col min="2305" max="2306" width="7.28515625" style="26" bestFit="1" customWidth="1"/>
    <col min="2307" max="2309" width="7.28515625" style="26" customWidth="1"/>
    <col min="2310" max="2315" width="0" style="26" hidden="1" customWidth="1"/>
    <col min="2316" max="2316" width="9.7109375" style="26" customWidth="1"/>
    <col min="2317" max="2555" width="11.42578125" style="26"/>
    <col min="2556" max="2556" width="18.140625" style="26" customWidth="1"/>
    <col min="2557" max="2557" width="7.85546875" style="26" bestFit="1" customWidth="1"/>
    <col min="2558" max="2558" width="7.28515625" style="26" bestFit="1" customWidth="1"/>
    <col min="2559" max="2560" width="7.28515625" style="26" customWidth="1"/>
    <col min="2561" max="2562" width="7.28515625" style="26" bestFit="1" customWidth="1"/>
    <col min="2563" max="2565" width="7.28515625" style="26" customWidth="1"/>
    <col min="2566" max="2571" width="0" style="26" hidden="1" customWidth="1"/>
    <col min="2572" max="2572" width="9.7109375" style="26" customWidth="1"/>
    <col min="2573" max="2811" width="11.42578125" style="26"/>
    <col min="2812" max="2812" width="18.140625" style="26" customWidth="1"/>
    <col min="2813" max="2813" width="7.85546875" style="26" bestFit="1" customWidth="1"/>
    <col min="2814" max="2814" width="7.28515625" style="26" bestFit="1" customWidth="1"/>
    <col min="2815" max="2816" width="7.28515625" style="26" customWidth="1"/>
    <col min="2817" max="2818" width="7.28515625" style="26" bestFit="1" customWidth="1"/>
    <col min="2819" max="2821" width="7.28515625" style="26" customWidth="1"/>
    <col min="2822" max="2827" width="0" style="26" hidden="1" customWidth="1"/>
    <col min="2828" max="2828" width="9.7109375" style="26" customWidth="1"/>
    <col min="2829" max="3067" width="11.42578125" style="26"/>
    <col min="3068" max="3068" width="18.140625" style="26" customWidth="1"/>
    <col min="3069" max="3069" width="7.85546875" style="26" bestFit="1" customWidth="1"/>
    <col min="3070" max="3070" width="7.28515625" style="26" bestFit="1" customWidth="1"/>
    <col min="3071" max="3072" width="7.28515625" style="26" customWidth="1"/>
    <col min="3073" max="3074" width="7.28515625" style="26" bestFit="1" customWidth="1"/>
    <col min="3075" max="3077" width="7.28515625" style="26" customWidth="1"/>
    <col min="3078" max="3083" width="0" style="26" hidden="1" customWidth="1"/>
    <col min="3084" max="3084" width="9.7109375" style="26" customWidth="1"/>
    <col min="3085" max="3323" width="11.42578125" style="26"/>
    <col min="3324" max="3324" width="18.140625" style="26" customWidth="1"/>
    <col min="3325" max="3325" width="7.85546875" style="26" bestFit="1" customWidth="1"/>
    <col min="3326" max="3326" width="7.28515625" style="26" bestFit="1" customWidth="1"/>
    <col min="3327" max="3328" width="7.28515625" style="26" customWidth="1"/>
    <col min="3329" max="3330" width="7.28515625" style="26" bestFit="1" customWidth="1"/>
    <col min="3331" max="3333" width="7.28515625" style="26" customWidth="1"/>
    <col min="3334" max="3339" width="0" style="26" hidden="1" customWidth="1"/>
    <col min="3340" max="3340" width="9.7109375" style="26" customWidth="1"/>
    <col min="3341" max="3579" width="11.42578125" style="26"/>
    <col min="3580" max="3580" width="18.140625" style="26" customWidth="1"/>
    <col min="3581" max="3581" width="7.85546875" style="26" bestFit="1" customWidth="1"/>
    <col min="3582" max="3582" width="7.28515625" style="26" bestFit="1" customWidth="1"/>
    <col min="3583" max="3584" width="7.28515625" style="26" customWidth="1"/>
    <col min="3585" max="3586" width="7.28515625" style="26" bestFit="1" customWidth="1"/>
    <col min="3587" max="3589" width="7.28515625" style="26" customWidth="1"/>
    <col min="3590" max="3595" width="0" style="26" hidden="1" customWidth="1"/>
    <col min="3596" max="3596" width="9.7109375" style="26" customWidth="1"/>
    <col min="3597" max="3835" width="11.42578125" style="26"/>
    <col min="3836" max="3836" width="18.140625" style="26" customWidth="1"/>
    <col min="3837" max="3837" width="7.85546875" style="26" bestFit="1" customWidth="1"/>
    <col min="3838" max="3838" width="7.28515625" style="26" bestFit="1" customWidth="1"/>
    <col min="3839" max="3840" width="7.28515625" style="26" customWidth="1"/>
    <col min="3841" max="3842" width="7.28515625" style="26" bestFit="1" customWidth="1"/>
    <col min="3843" max="3845" width="7.28515625" style="26" customWidth="1"/>
    <col min="3846" max="3851" width="0" style="26" hidden="1" customWidth="1"/>
    <col min="3852" max="3852" width="9.7109375" style="26" customWidth="1"/>
    <col min="3853" max="4091" width="11.42578125" style="26"/>
    <col min="4092" max="4092" width="18.140625" style="26" customWidth="1"/>
    <col min="4093" max="4093" width="7.85546875" style="26" bestFit="1" customWidth="1"/>
    <col min="4094" max="4094" width="7.28515625" style="26" bestFit="1" customWidth="1"/>
    <col min="4095" max="4096" width="7.28515625" style="26" customWidth="1"/>
    <col min="4097" max="4098" width="7.28515625" style="26" bestFit="1" customWidth="1"/>
    <col min="4099" max="4101" width="7.28515625" style="26" customWidth="1"/>
    <col min="4102" max="4107" width="0" style="26" hidden="1" customWidth="1"/>
    <col min="4108" max="4108" width="9.7109375" style="26" customWidth="1"/>
    <col min="4109" max="4347" width="11.42578125" style="26"/>
    <col min="4348" max="4348" width="18.140625" style="26" customWidth="1"/>
    <col min="4349" max="4349" width="7.85546875" style="26" bestFit="1" customWidth="1"/>
    <col min="4350" max="4350" width="7.28515625" style="26" bestFit="1" customWidth="1"/>
    <col min="4351" max="4352" width="7.28515625" style="26" customWidth="1"/>
    <col min="4353" max="4354" width="7.28515625" style="26" bestFit="1" customWidth="1"/>
    <col min="4355" max="4357" width="7.28515625" style="26" customWidth="1"/>
    <col min="4358" max="4363" width="0" style="26" hidden="1" customWidth="1"/>
    <col min="4364" max="4364" width="9.7109375" style="26" customWidth="1"/>
    <col min="4365" max="4603" width="11.42578125" style="26"/>
    <col min="4604" max="4604" width="18.140625" style="26" customWidth="1"/>
    <col min="4605" max="4605" width="7.85546875" style="26" bestFit="1" customWidth="1"/>
    <col min="4606" max="4606" width="7.28515625" style="26" bestFit="1" customWidth="1"/>
    <col min="4607" max="4608" width="7.28515625" style="26" customWidth="1"/>
    <col min="4609" max="4610" width="7.28515625" style="26" bestFit="1" customWidth="1"/>
    <col min="4611" max="4613" width="7.28515625" style="26" customWidth="1"/>
    <col min="4614" max="4619" width="0" style="26" hidden="1" customWidth="1"/>
    <col min="4620" max="4620" width="9.7109375" style="26" customWidth="1"/>
    <col min="4621" max="4859" width="11.42578125" style="26"/>
    <col min="4860" max="4860" width="18.140625" style="26" customWidth="1"/>
    <col min="4861" max="4861" width="7.85546875" style="26" bestFit="1" customWidth="1"/>
    <col min="4862" max="4862" width="7.28515625" style="26" bestFit="1" customWidth="1"/>
    <col min="4863" max="4864" width="7.28515625" style="26" customWidth="1"/>
    <col min="4865" max="4866" width="7.28515625" style="26" bestFit="1" customWidth="1"/>
    <col min="4867" max="4869" width="7.28515625" style="26" customWidth="1"/>
    <col min="4870" max="4875" width="0" style="26" hidden="1" customWidth="1"/>
    <col min="4876" max="4876" width="9.7109375" style="26" customWidth="1"/>
    <col min="4877" max="5115" width="11.42578125" style="26"/>
    <col min="5116" max="5116" width="18.140625" style="26" customWidth="1"/>
    <col min="5117" max="5117" width="7.85546875" style="26" bestFit="1" customWidth="1"/>
    <col min="5118" max="5118" width="7.28515625" style="26" bestFit="1" customWidth="1"/>
    <col min="5119" max="5120" width="7.28515625" style="26" customWidth="1"/>
    <col min="5121" max="5122" width="7.28515625" style="26" bestFit="1" customWidth="1"/>
    <col min="5123" max="5125" width="7.28515625" style="26" customWidth="1"/>
    <col min="5126" max="5131" width="0" style="26" hidden="1" customWidth="1"/>
    <col min="5132" max="5132" width="9.7109375" style="26" customWidth="1"/>
    <col min="5133" max="5371" width="11.42578125" style="26"/>
    <col min="5372" max="5372" width="18.140625" style="26" customWidth="1"/>
    <col min="5373" max="5373" width="7.85546875" style="26" bestFit="1" customWidth="1"/>
    <col min="5374" max="5374" width="7.28515625" style="26" bestFit="1" customWidth="1"/>
    <col min="5375" max="5376" width="7.28515625" style="26" customWidth="1"/>
    <col min="5377" max="5378" width="7.28515625" style="26" bestFit="1" customWidth="1"/>
    <col min="5379" max="5381" width="7.28515625" style="26" customWidth="1"/>
    <col min="5382" max="5387" width="0" style="26" hidden="1" customWidth="1"/>
    <col min="5388" max="5388" width="9.7109375" style="26" customWidth="1"/>
    <col min="5389" max="5627" width="11.42578125" style="26"/>
    <col min="5628" max="5628" width="18.140625" style="26" customWidth="1"/>
    <col min="5629" max="5629" width="7.85546875" style="26" bestFit="1" customWidth="1"/>
    <col min="5630" max="5630" width="7.28515625" style="26" bestFit="1" customWidth="1"/>
    <col min="5631" max="5632" width="7.28515625" style="26" customWidth="1"/>
    <col min="5633" max="5634" width="7.28515625" style="26" bestFit="1" customWidth="1"/>
    <col min="5635" max="5637" width="7.28515625" style="26" customWidth="1"/>
    <col min="5638" max="5643" width="0" style="26" hidden="1" customWidth="1"/>
    <col min="5644" max="5644" width="9.7109375" style="26" customWidth="1"/>
    <col min="5645" max="5883" width="11.42578125" style="26"/>
    <col min="5884" max="5884" width="18.140625" style="26" customWidth="1"/>
    <col min="5885" max="5885" width="7.85546875" style="26" bestFit="1" customWidth="1"/>
    <col min="5886" max="5886" width="7.28515625" style="26" bestFit="1" customWidth="1"/>
    <col min="5887" max="5888" width="7.28515625" style="26" customWidth="1"/>
    <col min="5889" max="5890" width="7.28515625" style="26" bestFit="1" customWidth="1"/>
    <col min="5891" max="5893" width="7.28515625" style="26" customWidth="1"/>
    <col min="5894" max="5899" width="0" style="26" hidden="1" customWidth="1"/>
    <col min="5900" max="5900" width="9.7109375" style="26" customWidth="1"/>
    <col min="5901" max="6139" width="11.42578125" style="26"/>
    <col min="6140" max="6140" width="18.140625" style="26" customWidth="1"/>
    <col min="6141" max="6141" width="7.85546875" style="26" bestFit="1" customWidth="1"/>
    <col min="6142" max="6142" width="7.28515625" style="26" bestFit="1" customWidth="1"/>
    <col min="6143" max="6144" width="7.28515625" style="26" customWidth="1"/>
    <col min="6145" max="6146" width="7.28515625" style="26" bestFit="1" customWidth="1"/>
    <col min="6147" max="6149" width="7.28515625" style="26" customWidth="1"/>
    <col min="6150" max="6155" width="0" style="26" hidden="1" customWidth="1"/>
    <col min="6156" max="6156" width="9.7109375" style="26" customWidth="1"/>
    <col min="6157" max="6395" width="11.42578125" style="26"/>
    <col min="6396" max="6396" width="18.140625" style="26" customWidth="1"/>
    <col min="6397" max="6397" width="7.85546875" style="26" bestFit="1" customWidth="1"/>
    <col min="6398" max="6398" width="7.28515625" style="26" bestFit="1" customWidth="1"/>
    <col min="6399" max="6400" width="7.28515625" style="26" customWidth="1"/>
    <col min="6401" max="6402" width="7.28515625" style="26" bestFit="1" customWidth="1"/>
    <col min="6403" max="6405" width="7.28515625" style="26" customWidth="1"/>
    <col min="6406" max="6411" width="0" style="26" hidden="1" customWidth="1"/>
    <col min="6412" max="6412" width="9.7109375" style="26" customWidth="1"/>
    <col min="6413" max="6651" width="11.42578125" style="26"/>
    <col min="6652" max="6652" width="18.140625" style="26" customWidth="1"/>
    <col min="6653" max="6653" width="7.85546875" style="26" bestFit="1" customWidth="1"/>
    <col min="6654" max="6654" width="7.28515625" style="26" bestFit="1" customWidth="1"/>
    <col min="6655" max="6656" width="7.28515625" style="26" customWidth="1"/>
    <col min="6657" max="6658" width="7.28515625" style="26" bestFit="1" customWidth="1"/>
    <col min="6659" max="6661" width="7.28515625" style="26" customWidth="1"/>
    <col min="6662" max="6667" width="0" style="26" hidden="1" customWidth="1"/>
    <col min="6668" max="6668" width="9.7109375" style="26" customWidth="1"/>
    <col min="6669" max="6907" width="11.42578125" style="26"/>
    <col min="6908" max="6908" width="18.140625" style="26" customWidth="1"/>
    <col min="6909" max="6909" width="7.85546875" style="26" bestFit="1" customWidth="1"/>
    <col min="6910" max="6910" width="7.28515625" style="26" bestFit="1" customWidth="1"/>
    <col min="6911" max="6912" width="7.28515625" style="26" customWidth="1"/>
    <col min="6913" max="6914" width="7.28515625" style="26" bestFit="1" customWidth="1"/>
    <col min="6915" max="6917" width="7.28515625" style="26" customWidth="1"/>
    <col min="6918" max="6923" width="0" style="26" hidden="1" customWidth="1"/>
    <col min="6924" max="6924" width="9.7109375" style="26" customWidth="1"/>
    <col min="6925" max="7163" width="11.42578125" style="26"/>
    <col min="7164" max="7164" width="18.140625" style="26" customWidth="1"/>
    <col min="7165" max="7165" width="7.85546875" style="26" bestFit="1" customWidth="1"/>
    <col min="7166" max="7166" width="7.28515625" style="26" bestFit="1" customWidth="1"/>
    <col min="7167" max="7168" width="7.28515625" style="26" customWidth="1"/>
    <col min="7169" max="7170" width="7.28515625" style="26" bestFit="1" customWidth="1"/>
    <col min="7171" max="7173" width="7.28515625" style="26" customWidth="1"/>
    <col min="7174" max="7179" width="0" style="26" hidden="1" customWidth="1"/>
    <col min="7180" max="7180" width="9.7109375" style="26" customWidth="1"/>
    <col min="7181" max="7419" width="11.42578125" style="26"/>
    <col min="7420" max="7420" width="18.140625" style="26" customWidth="1"/>
    <col min="7421" max="7421" width="7.85546875" style="26" bestFit="1" customWidth="1"/>
    <col min="7422" max="7422" width="7.28515625" style="26" bestFit="1" customWidth="1"/>
    <col min="7423" max="7424" width="7.28515625" style="26" customWidth="1"/>
    <col min="7425" max="7426" width="7.28515625" style="26" bestFit="1" customWidth="1"/>
    <col min="7427" max="7429" width="7.28515625" style="26" customWidth="1"/>
    <col min="7430" max="7435" width="0" style="26" hidden="1" customWidth="1"/>
    <col min="7436" max="7436" width="9.7109375" style="26" customWidth="1"/>
    <col min="7437" max="7675" width="11.42578125" style="26"/>
    <col min="7676" max="7676" width="18.140625" style="26" customWidth="1"/>
    <col min="7677" max="7677" width="7.85546875" style="26" bestFit="1" customWidth="1"/>
    <col min="7678" max="7678" width="7.28515625" style="26" bestFit="1" customWidth="1"/>
    <col min="7679" max="7680" width="7.28515625" style="26" customWidth="1"/>
    <col min="7681" max="7682" width="7.28515625" style="26" bestFit="1" customWidth="1"/>
    <col min="7683" max="7685" width="7.28515625" style="26" customWidth="1"/>
    <col min="7686" max="7691" width="0" style="26" hidden="1" customWidth="1"/>
    <col min="7692" max="7692" width="9.7109375" style="26" customWidth="1"/>
    <col min="7693" max="7931" width="11.42578125" style="26"/>
    <col min="7932" max="7932" width="18.140625" style="26" customWidth="1"/>
    <col min="7933" max="7933" width="7.85546875" style="26" bestFit="1" customWidth="1"/>
    <col min="7934" max="7934" width="7.28515625" style="26" bestFit="1" customWidth="1"/>
    <col min="7935" max="7936" width="7.28515625" style="26" customWidth="1"/>
    <col min="7937" max="7938" width="7.28515625" style="26" bestFit="1" customWidth="1"/>
    <col min="7939" max="7941" width="7.28515625" style="26" customWidth="1"/>
    <col min="7942" max="7947" width="0" style="26" hidden="1" customWidth="1"/>
    <col min="7948" max="7948" width="9.7109375" style="26" customWidth="1"/>
    <col min="7949" max="8187" width="11.42578125" style="26"/>
    <col min="8188" max="8188" width="18.140625" style="26" customWidth="1"/>
    <col min="8189" max="8189" width="7.85546875" style="26" bestFit="1" customWidth="1"/>
    <col min="8190" max="8190" width="7.28515625" style="26" bestFit="1" customWidth="1"/>
    <col min="8191" max="8192" width="7.28515625" style="26" customWidth="1"/>
    <col min="8193" max="8194" width="7.28515625" style="26" bestFit="1" customWidth="1"/>
    <col min="8195" max="8197" width="7.28515625" style="26" customWidth="1"/>
    <col min="8198" max="8203" width="0" style="26" hidden="1" customWidth="1"/>
    <col min="8204" max="8204" width="9.7109375" style="26" customWidth="1"/>
    <col min="8205" max="8443" width="11.42578125" style="26"/>
    <col min="8444" max="8444" width="18.140625" style="26" customWidth="1"/>
    <col min="8445" max="8445" width="7.85546875" style="26" bestFit="1" customWidth="1"/>
    <col min="8446" max="8446" width="7.28515625" style="26" bestFit="1" customWidth="1"/>
    <col min="8447" max="8448" width="7.28515625" style="26" customWidth="1"/>
    <col min="8449" max="8450" width="7.28515625" style="26" bestFit="1" customWidth="1"/>
    <col min="8451" max="8453" width="7.28515625" style="26" customWidth="1"/>
    <col min="8454" max="8459" width="0" style="26" hidden="1" customWidth="1"/>
    <col min="8460" max="8460" width="9.7109375" style="26" customWidth="1"/>
    <col min="8461" max="8699" width="11.42578125" style="26"/>
    <col min="8700" max="8700" width="18.140625" style="26" customWidth="1"/>
    <col min="8701" max="8701" width="7.85546875" style="26" bestFit="1" customWidth="1"/>
    <col min="8702" max="8702" width="7.28515625" style="26" bestFit="1" customWidth="1"/>
    <col min="8703" max="8704" width="7.28515625" style="26" customWidth="1"/>
    <col min="8705" max="8706" width="7.28515625" style="26" bestFit="1" customWidth="1"/>
    <col min="8707" max="8709" width="7.28515625" style="26" customWidth="1"/>
    <col min="8710" max="8715" width="0" style="26" hidden="1" customWidth="1"/>
    <col min="8716" max="8716" width="9.7109375" style="26" customWidth="1"/>
    <col min="8717" max="8955" width="11.42578125" style="26"/>
    <col min="8956" max="8956" width="18.140625" style="26" customWidth="1"/>
    <col min="8957" max="8957" width="7.85546875" style="26" bestFit="1" customWidth="1"/>
    <col min="8958" max="8958" width="7.28515625" style="26" bestFit="1" customWidth="1"/>
    <col min="8959" max="8960" width="7.28515625" style="26" customWidth="1"/>
    <col min="8961" max="8962" width="7.28515625" style="26" bestFit="1" customWidth="1"/>
    <col min="8963" max="8965" width="7.28515625" style="26" customWidth="1"/>
    <col min="8966" max="8971" width="0" style="26" hidden="1" customWidth="1"/>
    <col min="8972" max="8972" width="9.7109375" style="26" customWidth="1"/>
    <col min="8973" max="9211" width="11.42578125" style="26"/>
    <col min="9212" max="9212" width="18.140625" style="26" customWidth="1"/>
    <col min="9213" max="9213" width="7.85546875" style="26" bestFit="1" customWidth="1"/>
    <col min="9214" max="9214" width="7.28515625" style="26" bestFit="1" customWidth="1"/>
    <col min="9215" max="9216" width="7.28515625" style="26" customWidth="1"/>
    <col min="9217" max="9218" width="7.28515625" style="26" bestFit="1" customWidth="1"/>
    <col min="9219" max="9221" width="7.28515625" style="26" customWidth="1"/>
    <col min="9222" max="9227" width="0" style="26" hidden="1" customWidth="1"/>
    <col min="9228" max="9228" width="9.7109375" style="26" customWidth="1"/>
    <col min="9229" max="9467" width="11.42578125" style="26"/>
    <col min="9468" max="9468" width="18.140625" style="26" customWidth="1"/>
    <col min="9469" max="9469" width="7.85546875" style="26" bestFit="1" customWidth="1"/>
    <col min="9470" max="9470" width="7.28515625" style="26" bestFit="1" customWidth="1"/>
    <col min="9471" max="9472" width="7.28515625" style="26" customWidth="1"/>
    <col min="9473" max="9474" width="7.28515625" style="26" bestFit="1" customWidth="1"/>
    <col min="9475" max="9477" width="7.28515625" style="26" customWidth="1"/>
    <col min="9478" max="9483" width="0" style="26" hidden="1" customWidth="1"/>
    <col min="9484" max="9484" width="9.7109375" style="26" customWidth="1"/>
    <col min="9485" max="9723" width="11.42578125" style="26"/>
    <col min="9724" max="9724" width="18.140625" style="26" customWidth="1"/>
    <col min="9725" max="9725" width="7.85546875" style="26" bestFit="1" customWidth="1"/>
    <col min="9726" max="9726" width="7.28515625" style="26" bestFit="1" customWidth="1"/>
    <col min="9727" max="9728" width="7.28515625" style="26" customWidth="1"/>
    <col min="9729" max="9730" width="7.28515625" style="26" bestFit="1" customWidth="1"/>
    <col min="9731" max="9733" width="7.28515625" style="26" customWidth="1"/>
    <col min="9734" max="9739" width="0" style="26" hidden="1" customWidth="1"/>
    <col min="9740" max="9740" width="9.7109375" style="26" customWidth="1"/>
    <col min="9741" max="9979" width="11.42578125" style="26"/>
    <col min="9980" max="9980" width="18.140625" style="26" customWidth="1"/>
    <col min="9981" max="9981" width="7.85546875" style="26" bestFit="1" customWidth="1"/>
    <col min="9982" max="9982" width="7.28515625" style="26" bestFit="1" customWidth="1"/>
    <col min="9983" max="9984" width="7.28515625" style="26" customWidth="1"/>
    <col min="9985" max="9986" width="7.28515625" style="26" bestFit="1" customWidth="1"/>
    <col min="9987" max="9989" width="7.28515625" style="26" customWidth="1"/>
    <col min="9990" max="9995" width="0" style="26" hidden="1" customWidth="1"/>
    <col min="9996" max="9996" width="9.7109375" style="26" customWidth="1"/>
    <col min="9997" max="10235" width="11.42578125" style="26"/>
    <col min="10236" max="10236" width="18.140625" style="26" customWidth="1"/>
    <col min="10237" max="10237" width="7.85546875" style="26" bestFit="1" customWidth="1"/>
    <col min="10238" max="10238" width="7.28515625" style="26" bestFit="1" customWidth="1"/>
    <col min="10239" max="10240" width="7.28515625" style="26" customWidth="1"/>
    <col min="10241" max="10242" width="7.28515625" style="26" bestFit="1" customWidth="1"/>
    <col min="10243" max="10245" width="7.28515625" style="26" customWidth="1"/>
    <col min="10246" max="10251" width="0" style="26" hidden="1" customWidth="1"/>
    <col min="10252" max="10252" width="9.7109375" style="26" customWidth="1"/>
    <col min="10253" max="10491" width="11.42578125" style="26"/>
    <col min="10492" max="10492" width="18.140625" style="26" customWidth="1"/>
    <col min="10493" max="10493" width="7.85546875" style="26" bestFit="1" customWidth="1"/>
    <col min="10494" max="10494" width="7.28515625" style="26" bestFit="1" customWidth="1"/>
    <col min="10495" max="10496" width="7.28515625" style="26" customWidth="1"/>
    <col min="10497" max="10498" width="7.28515625" style="26" bestFit="1" customWidth="1"/>
    <col min="10499" max="10501" width="7.28515625" style="26" customWidth="1"/>
    <col min="10502" max="10507" width="0" style="26" hidden="1" customWidth="1"/>
    <col min="10508" max="10508" width="9.7109375" style="26" customWidth="1"/>
    <col min="10509" max="10747" width="11.42578125" style="26"/>
    <col min="10748" max="10748" width="18.140625" style="26" customWidth="1"/>
    <col min="10749" max="10749" width="7.85546875" style="26" bestFit="1" customWidth="1"/>
    <col min="10750" max="10750" width="7.28515625" style="26" bestFit="1" customWidth="1"/>
    <col min="10751" max="10752" width="7.28515625" style="26" customWidth="1"/>
    <col min="10753" max="10754" width="7.28515625" style="26" bestFit="1" customWidth="1"/>
    <col min="10755" max="10757" width="7.28515625" style="26" customWidth="1"/>
    <col min="10758" max="10763" width="0" style="26" hidden="1" customWidth="1"/>
    <col min="10764" max="10764" width="9.7109375" style="26" customWidth="1"/>
    <col min="10765" max="11003" width="11.42578125" style="26"/>
    <col min="11004" max="11004" width="18.140625" style="26" customWidth="1"/>
    <col min="11005" max="11005" width="7.85546875" style="26" bestFit="1" customWidth="1"/>
    <col min="11006" max="11006" width="7.28515625" style="26" bestFit="1" customWidth="1"/>
    <col min="11007" max="11008" width="7.28515625" style="26" customWidth="1"/>
    <col min="11009" max="11010" width="7.28515625" style="26" bestFit="1" customWidth="1"/>
    <col min="11011" max="11013" width="7.28515625" style="26" customWidth="1"/>
    <col min="11014" max="11019" width="0" style="26" hidden="1" customWidth="1"/>
    <col min="11020" max="11020" width="9.7109375" style="26" customWidth="1"/>
    <col min="11021" max="11259" width="11.42578125" style="26"/>
    <col min="11260" max="11260" width="18.140625" style="26" customWidth="1"/>
    <col min="11261" max="11261" width="7.85546875" style="26" bestFit="1" customWidth="1"/>
    <col min="11262" max="11262" width="7.28515625" style="26" bestFit="1" customWidth="1"/>
    <col min="11263" max="11264" width="7.28515625" style="26" customWidth="1"/>
    <col min="11265" max="11266" width="7.28515625" style="26" bestFit="1" customWidth="1"/>
    <col min="11267" max="11269" width="7.28515625" style="26" customWidth="1"/>
    <col min="11270" max="11275" width="0" style="26" hidden="1" customWidth="1"/>
    <col min="11276" max="11276" width="9.7109375" style="26" customWidth="1"/>
    <col min="11277" max="11515" width="11.42578125" style="26"/>
    <col min="11516" max="11516" width="18.140625" style="26" customWidth="1"/>
    <col min="11517" max="11517" width="7.85546875" style="26" bestFit="1" customWidth="1"/>
    <col min="11518" max="11518" width="7.28515625" style="26" bestFit="1" customWidth="1"/>
    <col min="11519" max="11520" width="7.28515625" style="26" customWidth="1"/>
    <col min="11521" max="11522" width="7.28515625" style="26" bestFit="1" customWidth="1"/>
    <col min="11523" max="11525" width="7.28515625" style="26" customWidth="1"/>
    <col min="11526" max="11531" width="0" style="26" hidden="1" customWidth="1"/>
    <col min="11532" max="11532" width="9.7109375" style="26" customWidth="1"/>
    <col min="11533" max="11771" width="11.42578125" style="26"/>
    <col min="11772" max="11772" width="18.140625" style="26" customWidth="1"/>
    <col min="11773" max="11773" width="7.85546875" style="26" bestFit="1" customWidth="1"/>
    <col min="11774" max="11774" width="7.28515625" style="26" bestFit="1" customWidth="1"/>
    <col min="11775" max="11776" width="7.28515625" style="26" customWidth="1"/>
    <col min="11777" max="11778" width="7.28515625" style="26" bestFit="1" customWidth="1"/>
    <col min="11779" max="11781" width="7.28515625" style="26" customWidth="1"/>
    <col min="11782" max="11787" width="0" style="26" hidden="1" customWidth="1"/>
    <col min="11788" max="11788" width="9.7109375" style="26" customWidth="1"/>
    <col min="11789" max="12027" width="11.42578125" style="26"/>
    <col min="12028" max="12028" width="18.140625" style="26" customWidth="1"/>
    <col min="12029" max="12029" width="7.85546875" style="26" bestFit="1" customWidth="1"/>
    <col min="12030" max="12030" width="7.28515625" style="26" bestFit="1" customWidth="1"/>
    <col min="12031" max="12032" width="7.28515625" style="26" customWidth="1"/>
    <col min="12033" max="12034" width="7.28515625" style="26" bestFit="1" customWidth="1"/>
    <col min="12035" max="12037" width="7.28515625" style="26" customWidth="1"/>
    <col min="12038" max="12043" width="0" style="26" hidden="1" customWidth="1"/>
    <col min="12044" max="12044" width="9.7109375" style="26" customWidth="1"/>
    <col min="12045" max="12283" width="11.42578125" style="26"/>
    <col min="12284" max="12284" width="18.140625" style="26" customWidth="1"/>
    <col min="12285" max="12285" width="7.85546875" style="26" bestFit="1" customWidth="1"/>
    <col min="12286" max="12286" width="7.28515625" style="26" bestFit="1" customWidth="1"/>
    <col min="12287" max="12288" width="7.28515625" style="26" customWidth="1"/>
    <col min="12289" max="12290" width="7.28515625" style="26" bestFit="1" customWidth="1"/>
    <col min="12291" max="12293" width="7.28515625" style="26" customWidth="1"/>
    <col min="12294" max="12299" width="0" style="26" hidden="1" customWidth="1"/>
    <col min="12300" max="12300" width="9.7109375" style="26" customWidth="1"/>
    <col min="12301" max="12539" width="11.42578125" style="26"/>
    <col min="12540" max="12540" width="18.140625" style="26" customWidth="1"/>
    <col min="12541" max="12541" width="7.85546875" style="26" bestFit="1" customWidth="1"/>
    <col min="12542" max="12542" width="7.28515625" style="26" bestFit="1" customWidth="1"/>
    <col min="12543" max="12544" width="7.28515625" style="26" customWidth="1"/>
    <col min="12545" max="12546" width="7.28515625" style="26" bestFit="1" customWidth="1"/>
    <col min="12547" max="12549" width="7.28515625" style="26" customWidth="1"/>
    <col min="12550" max="12555" width="0" style="26" hidden="1" customWidth="1"/>
    <col min="12556" max="12556" width="9.7109375" style="26" customWidth="1"/>
    <col min="12557" max="12795" width="11.42578125" style="26"/>
    <col min="12796" max="12796" width="18.140625" style="26" customWidth="1"/>
    <col min="12797" max="12797" width="7.85546875" style="26" bestFit="1" customWidth="1"/>
    <col min="12798" max="12798" width="7.28515625" style="26" bestFit="1" customWidth="1"/>
    <col min="12799" max="12800" width="7.28515625" style="26" customWidth="1"/>
    <col min="12801" max="12802" width="7.28515625" style="26" bestFit="1" customWidth="1"/>
    <col min="12803" max="12805" width="7.28515625" style="26" customWidth="1"/>
    <col min="12806" max="12811" width="0" style="26" hidden="1" customWidth="1"/>
    <col min="12812" max="12812" width="9.7109375" style="26" customWidth="1"/>
    <col min="12813" max="13051" width="11.42578125" style="26"/>
    <col min="13052" max="13052" width="18.140625" style="26" customWidth="1"/>
    <col min="13053" max="13053" width="7.85546875" style="26" bestFit="1" customWidth="1"/>
    <col min="13054" max="13054" width="7.28515625" style="26" bestFit="1" customWidth="1"/>
    <col min="13055" max="13056" width="7.28515625" style="26" customWidth="1"/>
    <col min="13057" max="13058" width="7.28515625" style="26" bestFit="1" customWidth="1"/>
    <col min="13059" max="13061" width="7.28515625" style="26" customWidth="1"/>
    <col min="13062" max="13067" width="0" style="26" hidden="1" customWidth="1"/>
    <col min="13068" max="13068" width="9.7109375" style="26" customWidth="1"/>
    <col min="13069" max="13307" width="11.42578125" style="26"/>
    <col min="13308" max="13308" width="18.140625" style="26" customWidth="1"/>
    <col min="13309" max="13309" width="7.85546875" style="26" bestFit="1" customWidth="1"/>
    <col min="13310" max="13310" width="7.28515625" style="26" bestFit="1" customWidth="1"/>
    <col min="13311" max="13312" width="7.28515625" style="26" customWidth="1"/>
    <col min="13313" max="13314" width="7.28515625" style="26" bestFit="1" customWidth="1"/>
    <col min="13315" max="13317" width="7.28515625" style="26" customWidth="1"/>
    <col min="13318" max="13323" width="0" style="26" hidden="1" customWidth="1"/>
    <col min="13324" max="13324" width="9.7109375" style="26" customWidth="1"/>
    <col min="13325" max="13563" width="11.42578125" style="26"/>
    <col min="13564" max="13564" width="18.140625" style="26" customWidth="1"/>
    <col min="13565" max="13565" width="7.85546875" style="26" bestFit="1" customWidth="1"/>
    <col min="13566" max="13566" width="7.28515625" style="26" bestFit="1" customWidth="1"/>
    <col min="13567" max="13568" width="7.28515625" style="26" customWidth="1"/>
    <col min="13569" max="13570" width="7.28515625" style="26" bestFit="1" customWidth="1"/>
    <col min="13571" max="13573" width="7.28515625" style="26" customWidth="1"/>
    <col min="13574" max="13579" width="0" style="26" hidden="1" customWidth="1"/>
    <col min="13580" max="13580" width="9.7109375" style="26" customWidth="1"/>
    <col min="13581" max="13819" width="11.42578125" style="26"/>
    <col min="13820" max="13820" width="18.140625" style="26" customWidth="1"/>
    <col min="13821" max="13821" width="7.85546875" style="26" bestFit="1" customWidth="1"/>
    <col min="13822" max="13822" width="7.28515625" style="26" bestFit="1" customWidth="1"/>
    <col min="13823" max="13824" width="7.28515625" style="26" customWidth="1"/>
    <col min="13825" max="13826" width="7.28515625" style="26" bestFit="1" customWidth="1"/>
    <col min="13827" max="13829" width="7.28515625" style="26" customWidth="1"/>
    <col min="13830" max="13835" width="0" style="26" hidden="1" customWidth="1"/>
    <col min="13836" max="13836" width="9.7109375" style="26" customWidth="1"/>
    <col min="13837" max="14075" width="11.42578125" style="26"/>
    <col min="14076" max="14076" width="18.140625" style="26" customWidth="1"/>
    <col min="14077" max="14077" width="7.85546875" style="26" bestFit="1" customWidth="1"/>
    <col min="14078" max="14078" width="7.28515625" style="26" bestFit="1" customWidth="1"/>
    <col min="14079" max="14080" width="7.28515625" style="26" customWidth="1"/>
    <col min="14081" max="14082" width="7.28515625" style="26" bestFit="1" customWidth="1"/>
    <col min="14083" max="14085" width="7.28515625" style="26" customWidth="1"/>
    <col min="14086" max="14091" width="0" style="26" hidden="1" customWidth="1"/>
    <col min="14092" max="14092" width="9.7109375" style="26" customWidth="1"/>
    <col min="14093" max="14331" width="11.42578125" style="26"/>
    <col min="14332" max="14332" width="18.140625" style="26" customWidth="1"/>
    <col min="14333" max="14333" width="7.85546875" style="26" bestFit="1" customWidth="1"/>
    <col min="14334" max="14334" width="7.28515625" style="26" bestFit="1" customWidth="1"/>
    <col min="14335" max="14336" width="7.28515625" style="26" customWidth="1"/>
    <col min="14337" max="14338" width="7.28515625" style="26" bestFit="1" customWidth="1"/>
    <col min="14339" max="14341" width="7.28515625" style="26" customWidth="1"/>
    <col min="14342" max="14347" width="0" style="26" hidden="1" customWidth="1"/>
    <col min="14348" max="14348" width="9.7109375" style="26" customWidth="1"/>
    <col min="14349" max="14587" width="11.42578125" style="26"/>
    <col min="14588" max="14588" width="18.140625" style="26" customWidth="1"/>
    <col min="14589" max="14589" width="7.85546875" style="26" bestFit="1" customWidth="1"/>
    <col min="14590" max="14590" width="7.28515625" style="26" bestFit="1" customWidth="1"/>
    <col min="14591" max="14592" width="7.28515625" style="26" customWidth="1"/>
    <col min="14593" max="14594" width="7.28515625" style="26" bestFit="1" customWidth="1"/>
    <col min="14595" max="14597" width="7.28515625" style="26" customWidth="1"/>
    <col min="14598" max="14603" width="0" style="26" hidden="1" customWidth="1"/>
    <col min="14604" max="14604" width="9.7109375" style="26" customWidth="1"/>
    <col min="14605" max="14843" width="11.42578125" style="26"/>
    <col min="14844" max="14844" width="18.140625" style="26" customWidth="1"/>
    <col min="14845" max="14845" width="7.85546875" style="26" bestFit="1" customWidth="1"/>
    <col min="14846" max="14846" width="7.28515625" style="26" bestFit="1" customWidth="1"/>
    <col min="14847" max="14848" width="7.28515625" style="26" customWidth="1"/>
    <col min="14849" max="14850" width="7.28515625" style="26" bestFit="1" customWidth="1"/>
    <col min="14851" max="14853" width="7.28515625" style="26" customWidth="1"/>
    <col min="14854" max="14859" width="0" style="26" hidden="1" customWidth="1"/>
    <col min="14860" max="14860" width="9.7109375" style="26" customWidth="1"/>
    <col min="14861" max="15099" width="11.42578125" style="26"/>
    <col min="15100" max="15100" width="18.140625" style="26" customWidth="1"/>
    <col min="15101" max="15101" width="7.85546875" style="26" bestFit="1" customWidth="1"/>
    <col min="15102" max="15102" width="7.28515625" style="26" bestFit="1" customWidth="1"/>
    <col min="15103" max="15104" width="7.28515625" style="26" customWidth="1"/>
    <col min="15105" max="15106" width="7.28515625" style="26" bestFit="1" customWidth="1"/>
    <col min="15107" max="15109" width="7.28515625" style="26" customWidth="1"/>
    <col min="15110" max="15115" width="0" style="26" hidden="1" customWidth="1"/>
    <col min="15116" max="15116" width="9.7109375" style="26" customWidth="1"/>
    <col min="15117" max="15355" width="11.42578125" style="26"/>
    <col min="15356" max="15356" width="18.140625" style="26" customWidth="1"/>
    <col min="15357" max="15357" width="7.85546875" style="26" bestFit="1" customWidth="1"/>
    <col min="15358" max="15358" width="7.28515625" style="26" bestFit="1" customWidth="1"/>
    <col min="15359" max="15360" width="7.28515625" style="26" customWidth="1"/>
    <col min="15361" max="15362" width="7.28515625" style="26" bestFit="1" customWidth="1"/>
    <col min="15363" max="15365" width="7.28515625" style="26" customWidth="1"/>
    <col min="15366" max="15371" width="0" style="26" hidden="1" customWidth="1"/>
    <col min="15372" max="15372" width="9.7109375" style="26" customWidth="1"/>
    <col min="15373" max="15611" width="11.42578125" style="26"/>
    <col min="15612" max="15612" width="18.140625" style="26" customWidth="1"/>
    <col min="15613" max="15613" width="7.85546875" style="26" bestFit="1" customWidth="1"/>
    <col min="15614" max="15614" width="7.28515625" style="26" bestFit="1" customWidth="1"/>
    <col min="15615" max="15616" width="7.28515625" style="26" customWidth="1"/>
    <col min="15617" max="15618" width="7.28515625" style="26" bestFit="1" customWidth="1"/>
    <col min="15619" max="15621" width="7.28515625" style="26" customWidth="1"/>
    <col min="15622" max="15627" width="0" style="26" hidden="1" customWidth="1"/>
    <col min="15628" max="15628" width="9.7109375" style="26" customWidth="1"/>
    <col min="15629" max="15867" width="11.42578125" style="26"/>
    <col min="15868" max="15868" width="18.140625" style="26" customWidth="1"/>
    <col min="15869" max="15869" width="7.85546875" style="26" bestFit="1" customWidth="1"/>
    <col min="15870" max="15870" width="7.28515625" style="26" bestFit="1" customWidth="1"/>
    <col min="15871" max="15872" width="7.28515625" style="26" customWidth="1"/>
    <col min="15873" max="15874" width="7.28515625" style="26" bestFit="1" customWidth="1"/>
    <col min="15875" max="15877" width="7.28515625" style="26" customWidth="1"/>
    <col min="15878" max="15883" width="0" style="26" hidden="1" customWidth="1"/>
    <col min="15884" max="15884" width="9.7109375" style="26" customWidth="1"/>
    <col min="15885" max="16123" width="11.42578125" style="26"/>
    <col min="16124" max="16124" width="18.140625" style="26" customWidth="1"/>
    <col min="16125" max="16125" width="7.85546875" style="26" bestFit="1" customWidth="1"/>
    <col min="16126" max="16126" width="7.28515625" style="26" bestFit="1" customWidth="1"/>
    <col min="16127" max="16128" width="7.28515625" style="26" customWidth="1"/>
    <col min="16129" max="16130" width="7.28515625" style="26" bestFit="1" customWidth="1"/>
    <col min="16131" max="16133" width="7.28515625" style="26" customWidth="1"/>
    <col min="16134" max="16139" width="0" style="26" hidden="1" customWidth="1"/>
    <col min="16140" max="16140" width="9.7109375" style="26" customWidth="1"/>
    <col min="16141" max="16384" width="11.42578125" style="26"/>
  </cols>
  <sheetData>
    <row r="1" spans="1:16" s="27" customFormat="1" x14ac:dyDescent="0.2"/>
    <row r="2" spans="1:16" s="27" customFormat="1" x14ac:dyDescent="0.2">
      <c r="A2" s="47" t="s">
        <v>101</v>
      </c>
    </row>
    <row r="3" spans="1:16" s="27" customFormat="1" ht="15" x14ac:dyDescent="0.25">
      <c r="A3" s="47" t="s">
        <v>102</v>
      </c>
      <c r="J3" s="95"/>
    </row>
    <row r="4" spans="1:16" s="27" customFormat="1" x14ac:dyDescent="0.2"/>
    <row r="5" spans="1:16" s="27" customFormat="1" ht="12.75" x14ac:dyDescent="0.2">
      <c r="B5" s="369" t="s">
        <v>87</v>
      </c>
      <c r="C5" s="369"/>
      <c r="D5" s="369"/>
      <c r="E5" s="369"/>
      <c r="F5" s="369"/>
      <c r="G5" s="369"/>
      <c r="H5" s="369"/>
      <c r="I5" s="369"/>
      <c r="J5" s="369"/>
      <c r="K5" s="369"/>
      <c r="M5" s="122" t="s">
        <v>566</v>
      </c>
      <c r="O5" s="96"/>
    </row>
    <row r="6" spans="1:16" s="27" customFormat="1" ht="12.75" x14ac:dyDescent="0.2">
      <c r="B6" s="385" t="str">
        <f>'Solicitudes Regiones'!$B$6:$R$6</f>
        <v>Acumuladas de julio de 2008 a diciembre de 2021</v>
      </c>
      <c r="C6" s="385"/>
      <c r="D6" s="385"/>
      <c r="E6" s="385"/>
      <c r="F6" s="385"/>
      <c r="G6" s="385"/>
      <c r="H6" s="385"/>
      <c r="I6" s="385"/>
      <c r="J6" s="385"/>
      <c r="K6" s="385"/>
      <c r="L6" s="56"/>
    </row>
    <row r="7" spans="1:16" s="30" customFormat="1" x14ac:dyDescent="0.2">
      <c r="B7" s="28"/>
      <c r="C7" s="29"/>
      <c r="D7" s="29"/>
      <c r="E7" s="29"/>
      <c r="F7" s="29"/>
      <c r="G7" s="29"/>
      <c r="H7" s="29"/>
      <c r="I7" s="29"/>
      <c r="J7" s="29"/>
      <c r="K7" s="29"/>
      <c r="L7" s="29"/>
    </row>
    <row r="8" spans="1:16" ht="15" customHeight="1" x14ac:dyDescent="0.2">
      <c r="B8" s="399" t="s">
        <v>55</v>
      </c>
      <c r="C8" s="399"/>
      <c r="D8" s="399"/>
      <c r="E8" s="399"/>
      <c r="F8" s="399"/>
      <c r="G8" s="399"/>
      <c r="H8" s="399"/>
      <c r="I8" s="399"/>
      <c r="J8" s="399"/>
      <c r="K8" s="399"/>
      <c r="L8" s="399"/>
      <c r="M8" s="399"/>
    </row>
    <row r="9" spans="1:16" ht="20.25" customHeight="1" x14ac:dyDescent="0.2">
      <c r="B9" s="399" t="s">
        <v>56</v>
      </c>
      <c r="C9" s="397" t="s">
        <v>2</v>
      </c>
      <c r="D9" s="400"/>
      <c r="E9" s="400"/>
      <c r="F9" s="400"/>
      <c r="G9" s="400"/>
      <c r="H9" s="400"/>
      <c r="I9" s="400"/>
      <c r="J9" s="400"/>
      <c r="K9" s="398"/>
      <c r="L9" s="397"/>
      <c r="M9" s="398"/>
    </row>
    <row r="10" spans="1:16" ht="24" x14ac:dyDescent="0.2">
      <c r="B10" s="399"/>
      <c r="C10" s="23" t="s">
        <v>57</v>
      </c>
      <c r="D10" s="23" t="s">
        <v>58</v>
      </c>
      <c r="E10" s="23" t="s">
        <v>59</v>
      </c>
      <c r="F10" s="23" t="s">
        <v>60</v>
      </c>
      <c r="G10" s="23" t="s">
        <v>8</v>
      </c>
      <c r="H10" s="23" t="s">
        <v>61</v>
      </c>
      <c r="I10" s="23" t="s">
        <v>62</v>
      </c>
      <c r="J10" s="23" t="s">
        <v>63</v>
      </c>
      <c r="K10" s="261" t="s">
        <v>31</v>
      </c>
      <c r="L10" s="261" t="s">
        <v>584</v>
      </c>
      <c r="M10" s="261" t="s">
        <v>587</v>
      </c>
    </row>
    <row r="11" spans="1:16" x14ac:dyDescent="0.2">
      <c r="B11" s="18" t="s">
        <v>233</v>
      </c>
      <c r="C11" s="18">
        <v>676</v>
      </c>
      <c r="D11" s="18">
        <v>587</v>
      </c>
      <c r="E11" s="18">
        <f>C11+D11</f>
        <v>1263</v>
      </c>
      <c r="F11" s="19">
        <f>E11/$E$41</f>
        <v>2.0794915700737618E-2</v>
      </c>
      <c r="G11" s="18">
        <v>1399</v>
      </c>
      <c r="H11" s="18">
        <v>113</v>
      </c>
      <c r="I11" s="18">
        <f>G11+H11</f>
        <v>1512</v>
      </c>
      <c r="J11" s="19">
        <f>I11/$I$41</f>
        <v>1.183311550592047E-2</v>
      </c>
      <c r="K11" s="18">
        <f t="shared" ref="K11:K40" si="0">E11+I11</f>
        <v>2775</v>
      </c>
      <c r="L11" s="18">
        <v>0</v>
      </c>
      <c r="M11" s="18">
        <f>K11+L11</f>
        <v>2775</v>
      </c>
      <c r="P11" s="31"/>
    </row>
    <row r="12" spans="1:16" x14ac:dyDescent="0.2">
      <c r="B12" s="18" t="s">
        <v>234</v>
      </c>
      <c r="C12" s="18">
        <v>409</v>
      </c>
      <c r="D12" s="18">
        <v>183</v>
      </c>
      <c r="E12" s="18">
        <f t="shared" ref="E12:E40" si="1">C12+D12</f>
        <v>592</v>
      </c>
      <c r="F12" s="19">
        <f t="shared" ref="F12:F40" si="2">E12/$E$41</f>
        <v>9.7471022128556382E-3</v>
      </c>
      <c r="G12" s="18">
        <v>1007</v>
      </c>
      <c r="H12" s="18">
        <v>65</v>
      </c>
      <c r="I12" s="18">
        <f t="shared" ref="I12:I40" si="3">G12+H12</f>
        <v>1072</v>
      </c>
      <c r="J12" s="19">
        <f t="shared" ref="J12:J40" si="4">I12/$I$41</f>
        <v>8.3896162846208624E-3</v>
      </c>
      <c r="K12" s="18">
        <f t="shared" si="0"/>
        <v>1664</v>
      </c>
      <c r="L12" s="18">
        <v>0</v>
      </c>
      <c r="M12" s="18">
        <f t="shared" ref="M12:M41" si="5">K12+L12</f>
        <v>1664</v>
      </c>
      <c r="P12" s="31"/>
    </row>
    <row r="13" spans="1:16" x14ac:dyDescent="0.2">
      <c r="B13" s="18" t="s">
        <v>235</v>
      </c>
      <c r="C13" s="18">
        <v>393</v>
      </c>
      <c r="D13" s="18">
        <v>272</v>
      </c>
      <c r="E13" s="18">
        <f t="shared" si="1"/>
        <v>665</v>
      </c>
      <c r="F13" s="19">
        <f t="shared" si="2"/>
        <v>1.0949025289778714E-2</v>
      </c>
      <c r="G13" s="18">
        <v>976</v>
      </c>
      <c r="H13" s="18">
        <v>65</v>
      </c>
      <c r="I13" s="18">
        <f t="shared" si="3"/>
        <v>1041</v>
      </c>
      <c r="J13" s="19">
        <f t="shared" si="4"/>
        <v>8.1470061122111172E-3</v>
      </c>
      <c r="K13" s="18">
        <f t="shared" si="0"/>
        <v>1706</v>
      </c>
      <c r="L13" s="18">
        <v>0</v>
      </c>
      <c r="M13" s="18">
        <f t="shared" si="5"/>
        <v>1706</v>
      </c>
      <c r="P13" s="31"/>
    </row>
    <row r="14" spans="1:16" x14ac:dyDescent="0.2">
      <c r="B14" s="18" t="s">
        <v>236</v>
      </c>
      <c r="C14" s="18">
        <v>413</v>
      </c>
      <c r="D14" s="18">
        <v>284</v>
      </c>
      <c r="E14" s="18">
        <f t="shared" si="1"/>
        <v>697</v>
      </c>
      <c r="F14" s="19">
        <f t="shared" si="2"/>
        <v>1.1475895679662803E-2</v>
      </c>
      <c r="G14" s="18">
        <v>681</v>
      </c>
      <c r="H14" s="18">
        <v>54</v>
      </c>
      <c r="I14" s="18">
        <f t="shared" si="3"/>
        <v>735</v>
      </c>
      <c r="J14" s="19">
        <f t="shared" si="4"/>
        <v>5.752208926489118E-3</v>
      </c>
      <c r="K14" s="18">
        <f t="shared" si="0"/>
        <v>1432</v>
      </c>
      <c r="L14" s="18">
        <v>0</v>
      </c>
      <c r="M14" s="18">
        <f t="shared" si="5"/>
        <v>1432</v>
      </c>
      <c r="P14" s="31"/>
    </row>
    <row r="15" spans="1:16" x14ac:dyDescent="0.2">
      <c r="B15" s="18" t="s">
        <v>237</v>
      </c>
      <c r="C15" s="18">
        <v>320</v>
      </c>
      <c r="D15" s="18">
        <v>190</v>
      </c>
      <c r="E15" s="18">
        <f t="shared" si="1"/>
        <v>510</v>
      </c>
      <c r="F15" s="19">
        <f t="shared" si="2"/>
        <v>8.3969968387776605E-3</v>
      </c>
      <c r="G15" s="18">
        <v>751</v>
      </c>
      <c r="H15" s="18">
        <v>53</v>
      </c>
      <c r="I15" s="18">
        <f t="shared" si="3"/>
        <v>804</v>
      </c>
      <c r="J15" s="19">
        <f t="shared" si="4"/>
        <v>6.2922122134656472E-3</v>
      </c>
      <c r="K15" s="18">
        <f t="shared" si="0"/>
        <v>1314</v>
      </c>
      <c r="L15" s="18">
        <v>0</v>
      </c>
      <c r="M15" s="18">
        <f t="shared" si="5"/>
        <v>1314</v>
      </c>
      <c r="P15" s="31"/>
    </row>
    <row r="16" spans="1:16" x14ac:dyDescent="0.2">
      <c r="B16" s="18" t="s">
        <v>238</v>
      </c>
      <c r="C16" s="18">
        <v>409</v>
      </c>
      <c r="D16" s="18">
        <v>219</v>
      </c>
      <c r="E16" s="18">
        <f t="shared" si="1"/>
        <v>628</v>
      </c>
      <c r="F16" s="19">
        <f t="shared" si="2"/>
        <v>1.0339831401475237E-2</v>
      </c>
      <c r="G16" s="18">
        <v>1613</v>
      </c>
      <c r="H16" s="18">
        <v>103</v>
      </c>
      <c r="I16" s="18">
        <f t="shared" si="3"/>
        <v>1716</v>
      </c>
      <c r="J16" s="19">
        <f t="shared" si="4"/>
        <v>1.342964696306847E-2</v>
      </c>
      <c r="K16" s="18">
        <f t="shared" si="0"/>
        <v>2344</v>
      </c>
      <c r="L16" s="18">
        <v>0</v>
      </c>
      <c r="M16" s="18">
        <f t="shared" si="5"/>
        <v>2344</v>
      </c>
      <c r="P16" s="31"/>
    </row>
    <row r="17" spans="2:16" x14ac:dyDescent="0.2">
      <c r="B17" s="18" t="s">
        <v>239</v>
      </c>
      <c r="C17" s="18">
        <v>1526</v>
      </c>
      <c r="D17" s="18">
        <v>912</v>
      </c>
      <c r="E17" s="18">
        <f t="shared" si="1"/>
        <v>2438</v>
      </c>
      <c r="F17" s="19">
        <f t="shared" si="2"/>
        <v>4.0140937829293996E-2</v>
      </c>
      <c r="G17" s="18">
        <v>3467</v>
      </c>
      <c r="H17" s="18">
        <v>247</v>
      </c>
      <c r="I17" s="18">
        <f t="shared" si="3"/>
        <v>3714</v>
      </c>
      <c r="J17" s="19">
        <f t="shared" si="4"/>
        <v>2.9066263881606234E-2</v>
      </c>
      <c r="K17" s="18">
        <f t="shared" si="0"/>
        <v>6152</v>
      </c>
      <c r="L17" s="18">
        <v>1</v>
      </c>
      <c r="M17" s="18">
        <f t="shared" si="5"/>
        <v>6153</v>
      </c>
      <c r="P17" s="31"/>
    </row>
    <row r="18" spans="2:16" x14ac:dyDescent="0.2">
      <c r="B18" s="18" t="s">
        <v>240</v>
      </c>
      <c r="C18" s="18">
        <v>787</v>
      </c>
      <c r="D18" s="18">
        <v>453</v>
      </c>
      <c r="E18" s="18">
        <f t="shared" si="1"/>
        <v>1240</v>
      </c>
      <c r="F18" s="19">
        <f t="shared" si="2"/>
        <v>2.041622760800843E-2</v>
      </c>
      <c r="G18" s="18">
        <v>1912</v>
      </c>
      <c r="H18" s="18">
        <v>150</v>
      </c>
      <c r="I18" s="18">
        <f t="shared" si="3"/>
        <v>2062</v>
      </c>
      <c r="J18" s="19">
        <f t="shared" si="4"/>
        <v>1.6137489532544982E-2</v>
      </c>
      <c r="K18" s="18">
        <f t="shared" si="0"/>
        <v>3302</v>
      </c>
      <c r="L18" s="18">
        <v>0</v>
      </c>
      <c r="M18" s="18">
        <f t="shared" si="5"/>
        <v>3302</v>
      </c>
      <c r="P18" s="31"/>
    </row>
    <row r="19" spans="2:16" x14ac:dyDescent="0.2">
      <c r="B19" s="18" t="s">
        <v>241</v>
      </c>
      <c r="C19" s="18">
        <v>195</v>
      </c>
      <c r="D19" s="18">
        <v>218</v>
      </c>
      <c r="E19" s="18">
        <f t="shared" si="1"/>
        <v>413</v>
      </c>
      <c r="F19" s="19">
        <f t="shared" si="2"/>
        <v>6.7999209694415176E-3</v>
      </c>
      <c r="G19" s="18">
        <v>343</v>
      </c>
      <c r="H19" s="18">
        <v>38</v>
      </c>
      <c r="I19" s="18">
        <f t="shared" si="3"/>
        <v>381</v>
      </c>
      <c r="J19" s="19">
        <f t="shared" si="4"/>
        <v>2.981757280261706E-3</v>
      </c>
      <c r="K19" s="18">
        <f t="shared" si="0"/>
        <v>794</v>
      </c>
      <c r="L19" s="18">
        <v>0</v>
      </c>
      <c r="M19" s="18">
        <f t="shared" si="5"/>
        <v>794</v>
      </c>
      <c r="P19" s="31"/>
    </row>
    <row r="20" spans="2:16" x14ac:dyDescent="0.2">
      <c r="B20" s="18" t="s">
        <v>242</v>
      </c>
      <c r="C20" s="18">
        <v>1761</v>
      </c>
      <c r="D20" s="18">
        <v>1016</v>
      </c>
      <c r="E20" s="18">
        <f t="shared" si="1"/>
        <v>2777</v>
      </c>
      <c r="F20" s="19">
        <f t="shared" si="2"/>
        <v>4.5722471022128557E-2</v>
      </c>
      <c r="G20" s="18">
        <v>4431</v>
      </c>
      <c r="H20" s="18">
        <v>372</v>
      </c>
      <c r="I20" s="18">
        <f t="shared" si="3"/>
        <v>4803</v>
      </c>
      <c r="J20" s="19">
        <f t="shared" si="4"/>
        <v>3.7588924454322763E-2</v>
      </c>
      <c r="K20" s="18">
        <f t="shared" si="0"/>
        <v>7580</v>
      </c>
      <c r="L20" s="18">
        <v>1</v>
      </c>
      <c r="M20" s="18">
        <f t="shared" si="5"/>
        <v>7581</v>
      </c>
      <c r="P20" s="31"/>
    </row>
    <row r="21" spans="2:16" x14ac:dyDescent="0.2">
      <c r="B21" s="18" t="s">
        <v>243</v>
      </c>
      <c r="C21" s="18">
        <v>2159</v>
      </c>
      <c r="D21" s="18">
        <v>1234</v>
      </c>
      <c r="E21" s="18">
        <f t="shared" si="1"/>
        <v>3393</v>
      </c>
      <c r="F21" s="19">
        <f t="shared" si="2"/>
        <v>5.5864726027397262E-2</v>
      </c>
      <c r="G21" s="18">
        <v>6477</v>
      </c>
      <c r="H21" s="18">
        <v>398</v>
      </c>
      <c r="I21" s="18">
        <f t="shared" si="3"/>
        <v>6875</v>
      </c>
      <c r="J21" s="19">
        <f t="shared" si="4"/>
        <v>5.3804675332806376E-2</v>
      </c>
      <c r="K21" s="18">
        <f t="shared" si="0"/>
        <v>10268</v>
      </c>
      <c r="L21" s="18">
        <v>6</v>
      </c>
      <c r="M21" s="18">
        <f t="shared" si="5"/>
        <v>10274</v>
      </c>
      <c r="P21" s="31"/>
    </row>
    <row r="22" spans="2:16" x14ac:dyDescent="0.2">
      <c r="B22" s="18" t="s">
        <v>244</v>
      </c>
      <c r="C22" s="18">
        <v>1266</v>
      </c>
      <c r="D22" s="18">
        <v>630</v>
      </c>
      <c r="E22" s="18">
        <f t="shared" si="1"/>
        <v>1896</v>
      </c>
      <c r="F22" s="19">
        <f t="shared" si="2"/>
        <v>3.1217070600632245E-2</v>
      </c>
      <c r="G22" s="18">
        <v>5604</v>
      </c>
      <c r="H22" s="18">
        <v>314</v>
      </c>
      <c r="I22" s="18">
        <f t="shared" si="3"/>
        <v>5918</v>
      </c>
      <c r="J22" s="19">
        <f t="shared" si="4"/>
        <v>4.6315064526479724E-2</v>
      </c>
      <c r="K22" s="18">
        <f t="shared" si="0"/>
        <v>7814</v>
      </c>
      <c r="L22" s="18">
        <v>1</v>
      </c>
      <c r="M22" s="18">
        <f t="shared" si="5"/>
        <v>7815</v>
      </c>
      <c r="P22" s="31"/>
    </row>
    <row r="23" spans="2:16" x14ac:dyDescent="0.2">
      <c r="B23" s="18" t="s">
        <v>245</v>
      </c>
      <c r="C23" s="18">
        <v>360</v>
      </c>
      <c r="D23" s="18">
        <v>189</v>
      </c>
      <c r="E23" s="18">
        <f t="shared" si="1"/>
        <v>549</v>
      </c>
      <c r="F23" s="19">
        <f t="shared" si="2"/>
        <v>9.0391201264488942E-3</v>
      </c>
      <c r="G23" s="18">
        <v>1209</v>
      </c>
      <c r="H23" s="18">
        <v>71</v>
      </c>
      <c r="I23" s="18">
        <f t="shared" si="3"/>
        <v>1280</v>
      </c>
      <c r="J23" s="19">
        <f t="shared" si="4"/>
        <v>1.0017452280144314E-2</v>
      </c>
      <c r="K23" s="18">
        <f t="shared" si="0"/>
        <v>1829</v>
      </c>
      <c r="L23" s="18">
        <v>0</v>
      </c>
      <c r="M23" s="18">
        <f t="shared" si="5"/>
        <v>1829</v>
      </c>
      <c r="P23" s="31"/>
    </row>
    <row r="24" spans="2:16" x14ac:dyDescent="0.2">
      <c r="B24" s="18" t="s">
        <v>246</v>
      </c>
      <c r="C24" s="18">
        <v>1052</v>
      </c>
      <c r="D24" s="18">
        <v>664</v>
      </c>
      <c r="E24" s="18">
        <f t="shared" si="1"/>
        <v>1716</v>
      </c>
      <c r="F24" s="19">
        <f t="shared" si="2"/>
        <v>2.8253424657534245E-2</v>
      </c>
      <c r="G24" s="18">
        <v>3428</v>
      </c>
      <c r="H24" s="18">
        <v>198</v>
      </c>
      <c r="I24" s="18">
        <f t="shared" si="3"/>
        <v>3626</v>
      </c>
      <c r="J24" s="19">
        <f t="shared" si="4"/>
        <v>2.8377564037346314E-2</v>
      </c>
      <c r="K24" s="18">
        <f t="shared" si="0"/>
        <v>5342</v>
      </c>
      <c r="L24" s="18">
        <v>0</v>
      </c>
      <c r="M24" s="18">
        <f t="shared" si="5"/>
        <v>5342</v>
      </c>
      <c r="P24" s="31"/>
    </row>
    <row r="25" spans="2:16" x14ac:dyDescent="0.2">
      <c r="B25" s="18" t="s">
        <v>247</v>
      </c>
      <c r="C25" s="18">
        <v>245</v>
      </c>
      <c r="D25" s="18">
        <v>133</v>
      </c>
      <c r="E25" s="18">
        <f t="shared" si="1"/>
        <v>378</v>
      </c>
      <c r="F25" s="19">
        <f t="shared" si="2"/>
        <v>6.2236564805057959E-3</v>
      </c>
      <c r="G25" s="18">
        <v>446</v>
      </c>
      <c r="H25" s="18">
        <v>33</v>
      </c>
      <c r="I25" s="18">
        <f t="shared" si="3"/>
        <v>479</v>
      </c>
      <c r="J25" s="19">
        <f t="shared" si="4"/>
        <v>3.7487184704602548E-3</v>
      </c>
      <c r="K25" s="18">
        <f t="shared" si="0"/>
        <v>857</v>
      </c>
      <c r="L25" s="18">
        <v>0</v>
      </c>
      <c r="M25" s="18">
        <f t="shared" si="5"/>
        <v>857</v>
      </c>
      <c r="P25" s="31"/>
    </row>
    <row r="26" spans="2:16" x14ac:dyDescent="0.2">
      <c r="B26" s="18" t="s">
        <v>248</v>
      </c>
      <c r="C26" s="18">
        <v>3577</v>
      </c>
      <c r="D26" s="18">
        <v>1576</v>
      </c>
      <c r="E26" s="18">
        <f t="shared" si="1"/>
        <v>5153</v>
      </c>
      <c r="F26" s="19">
        <f t="shared" si="2"/>
        <v>8.484259747102213E-2</v>
      </c>
      <c r="G26" s="18">
        <v>11178</v>
      </c>
      <c r="H26" s="18">
        <v>722</v>
      </c>
      <c r="I26" s="18">
        <f t="shared" si="3"/>
        <v>11900</v>
      </c>
      <c r="J26" s="19">
        <f t="shared" si="4"/>
        <v>9.3131001666966667E-2</v>
      </c>
      <c r="K26" s="18">
        <f t="shared" si="0"/>
        <v>17053</v>
      </c>
      <c r="L26" s="18">
        <v>4</v>
      </c>
      <c r="M26" s="18">
        <f t="shared" si="5"/>
        <v>17057</v>
      </c>
      <c r="P26" s="31"/>
    </row>
    <row r="27" spans="2:16" x14ac:dyDescent="0.2">
      <c r="B27" s="18" t="s">
        <v>249</v>
      </c>
      <c r="C27" s="18">
        <v>974</v>
      </c>
      <c r="D27" s="18">
        <v>705</v>
      </c>
      <c r="E27" s="18">
        <f t="shared" si="1"/>
        <v>1679</v>
      </c>
      <c r="F27" s="19">
        <f t="shared" si="2"/>
        <v>2.7644230769230768E-2</v>
      </c>
      <c r="G27" s="18">
        <v>2385</v>
      </c>
      <c r="H27" s="18">
        <v>170</v>
      </c>
      <c r="I27" s="18">
        <f t="shared" si="3"/>
        <v>2555</v>
      </c>
      <c r="J27" s="19">
        <f t="shared" si="4"/>
        <v>1.9995773887319313E-2</v>
      </c>
      <c r="K27" s="18">
        <f t="shared" si="0"/>
        <v>4234</v>
      </c>
      <c r="L27" s="18">
        <v>0</v>
      </c>
      <c r="M27" s="18">
        <f t="shared" si="5"/>
        <v>4234</v>
      </c>
      <c r="P27" s="31"/>
    </row>
    <row r="28" spans="2:16" x14ac:dyDescent="0.2">
      <c r="B28" s="18" t="s">
        <v>250</v>
      </c>
      <c r="C28" s="18">
        <v>696</v>
      </c>
      <c r="D28" s="18">
        <v>420</v>
      </c>
      <c r="E28" s="18">
        <f t="shared" si="1"/>
        <v>1116</v>
      </c>
      <c r="F28" s="19">
        <f t="shared" si="2"/>
        <v>1.8374604847207588E-2</v>
      </c>
      <c r="G28" s="18">
        <v>2086</v>
      </c>
      <c r="H28" s="18">
        <v>116</v>
      </c>
      <c r="I28" s="18">
        <f t="shared" si="3"/>
        <v>2202</v>
      </c>
      <c r="J28" s="19">
        <f t="shared" si="4"/>
        <v>1.7233148375685764E-2</v>
      </c>
      <c r="K28" s="18">
        <f t="shared" si="0"/>
        <v>3318</v>
      </c>
      <c r="L28" s="18">
        <v>2</v>
      </c>
      <c r="M28" s="18">
        <f t="shared" si="5"/>
        <v>3320</v>
      </c>
      <c r="P28" s="31"/>
    </row>
    <row r="29" spans="2:16" x14ac:dyDescent="0.2">
      <c r="B29" s="18" t="s">
        <v>251</v>
      </c>
      <c r="C29" s="18">
        <v>7417</v>
      </c>
      <c r="D29" s="18">
        <v>4214</v>
      </c>
      <c r="E29" s="18">
        <f t="shared" si="1"/>
        <v>11631</v>
      </c>
      <c r="F29" s="19">
        <f t="shared" si="2"/>
        <v>0.19150092202318231</v>
      </c>
      <c r="G29" s="18">
        <v>24923</v>
      </c>
      <c r="H29" s="18">
        <v>1845</v>
      </c>
      <c r="I29" s="18">
        <f t="shared" si="3"/>
        <v>26768</v>
      </c>
      <c r="J29" s="19">
        <f t="shared" si="4"/>
        <v>0.20948997080851797</v>
      </c>
      <c r="K29" s="18">
        <f t="shared" si="0"/>
        <v>38399</v>
      </c>
      <c r="L29" s="18">
        <v>10</v>
      </c>
      <c r="M29" s="18">
        <f t="shared" si="5"/>
        <v>38409</v>
      </c>
      <c r="P29" s="31"/>
    </row>
    <row r="30" spans="2:16" x14ac:dyDescent="0.2">
      <c r="B30" s="18" t="s">
        <v>41</v>
      </c>
      <c r="C30" s="18">
        <v>985</v>
      </c>
      <c r="D30" s="18">
        <v>1003</v>
      </c>
      <c r="E30" s="18">
        <f t="shared" si="1"/>
        <v>1988</v>
      </c>
      <c r="F30" s="19">
        <f t="shared" si="2"/>
        <v>3.2731822971549002E-2</v>
      </c>
      <c r="G30" s="18">
        <v>2802</v>
      </c>
      <c r="H30" s="18">
        <v>292</v>
      </c>
      <c r="I30" s="18">
        <f t="shared" si="3"/>
        <v>3094</v>
      </c>
      <c r="J30" s="19">
        <f t="shared" si="4"/>
        <v>2.4214060433411334E-2</v>
      </c>
      <c r="K30" s="18">
        <f t="shared" si="0"/>
        <v>5082</v>
      </c>
      <c r="L30" s="18">
        <v>0</v>
      </c>
      <c r="M30" s="18">
        <f t="shared" si="5"/>
        <v>5082</v>
      </c>
      <c r="P30" s="31"/>
    </row>
    <row r="31" spans="2:16" x14ac:dyDescent="0.2">
      <c r="B31" s="18" t="s">
        <v>252</v>
      </c>
      <c r="C31" s="18">
        <v>333</v>
      </c>
      <c r="D31" s="18">
        <v>263</v>
      </c>
      <c r="E31" s="18">
        <f t="shared" si="1"/>
        <v>596</v>
      </c>
      <c r="F31" s="19">
        <f t="shared" si="2"/>
        <v>9.8129610115911484E-3</v>
      </c>
      <c r="G31" s="18">
        <v>968</v>
      </c>
      <c r="H31" s="18">
        <v>63</v>
      </c>
      <c r="I31" s="18">
        <f t="shared" si="3"/>
        <v>1031</v>
      </c>
      <c r="J31" s="19">
        <f t="shared" si="4"/>
        <v>8.0687447662724909E-3</v>
      </c>
      <c r="K31" s="18">
        <f t="shared" si="0"/>
        <v>1627</v>
      </c>
      <c r="L31" s="18">
        <v>0</v>
      </c>
      <c r="M31" s="18">
        <f t="shared" si="5"/>
        <v>1627</v>
      </c>
      <c r="P31" s="31"/>
    </row>
    <row r="32" spans="2:16" x14ac:dyDescent="0.2">
      <c r="B32" s="18" t="s">
        <v>253</v>
      </c>
      <c r="C32" s="18">
        <v>584</v>
      </c>
      <c r="D32" s="18">
        <v>370</v>
      </c>
      <c r="E32" s="18">
        <f t="shared" si="1"/>
        <v>954</v>
      </c>
      <c r="F32" s="19">
        <f t="shared" si="2"/>
        <v>1.5707323498419388E-2</v>
      </c>
      <c r="G32" s="18">
        <v>1620</v>
      </c>
      <c r="H32" s="18">
        <v>100</v>
      </c>
      <c r="I32" s="18">
        <f t="shared" si="3"/>
        <v>1720</v>
      </c>
      <c r="J32" s="19">
        <f t="shared" si="4"/>
        <v>1.3460951501443922E-2</v>
      </c>
      <c r="K32" s="18">
        <f t="shared" si="0"/>
        <v>2674</v>
      </c>
      <c r="L32" s="18">
        <v>1</v>
      </c>
      <c r="M32" s="18">
        <f t="shared" si="5"/>
        <v>2675</v>
      </c>
      <c r="P32" s="31"/>
    </row>
    <row r="33" spans="2:16" x14ac:dyDescent="0.2">
      <c r="B33" s="18" t="s">
        <v>254</v>
      </c>
      <c r="C33" s="18">
        <v>3915</v>
      </c>
      <c r="D33" s="18">
        <v>1728</v>
      </c>
      <c r="E33" s="18">
        <f t="shared" si="1"/>
        <v>5643</v>
      </c>
      <c r="F33" s="19">
        <f t="shared" si="2"/>
        <v>9.2910300316122241E-2</v>
      </c>
      <c r="G33" s="18">
        <v>16964</v>
      </c>
      <c r="H33" s="18">
        <v>1130</v>
      </c>
      <c r="I33" s="18">
        <f t="shared" si="3"/>
        <v>18094</v>
      </c>
      <c r="J33" s="19">
        <f t="shared" si="4"/>
        <v>0.14160607934135253</v>
      </c>
      <c r="K33" s="18">
        <f t="shared" si="0"/>
        <v>23737</v>
      </c>
      <c r="L33" s="18">
        <v>14</v>
      </c>
      <c r="M33" s="18">
        <f t="shared" si="5"/>
        <v>23751</v>
      </c>
      <c r="P33" s="31"/>
    </row>
    <row r="34" spans="2:16" x14ac:dyDescent="0.2">
      <c r="B34" s="18" t="s">
        <v>255</v>
      </c>
      <c r="C34" s="18">
        <v>652</v>
      </c>
      <c r="D34" s="18">
        <v>392</v>
      </c>
      <c r="E34" s="18">
        <f t="shared" si="1"/>
        <v>1044</v>
      </c>
      <c r="F34" s="19">
        <f t="shared" si="2"/>
        <v>1.7189146469968389E-2</v>
      </c>
      <c r="G34" s="18">
        <v>2142</v>
      </c>
      <c r="H34" s="18">
        <v>130</v>
      </c>
      <c r="I34" s="18">
        <f t="shared" si="3"/>
        <v>2272</v>
      </c>
      <c r="J34" s="19">
        <f t="shared" si="4"/>
        <v>1.7780977797256157E-2</v>
      </c>
      <c r="K34" s="18">
        <f t="shared" si="0"/>
        <v>3316</v>
      </c>
      <c r="L34" s="18">
        <v>0</v>
      </c>
      <c r="M34" s="18">
        <f t="shared" si="5"/>
        <v>3316</v>
      </c>
      <c r="P34" s="31"/>
    </row>
    <row r="35" spans="2:16" x14ac:dyDescent="0.2">
      <c r="B35" s="18" t="s">
        <v>256</v>
      </c>
      <c r="C35" s="18">
        <v>550</v>
      </c>
      <c r="D35" s="18">
        <v>412</v>
      </c>
      <c r="E35" s="18">
        <f t="shared" si="1"/>
        <v>962</v>
      </c>
      <c r="F35" s="19">
        <f t="shared" si="2"/>
        <v>1.5839041095890412E-2</v>
      </c>
      <c r="G35" s="18">
        <v>1398</v>
      </c>
      <c r="H35" s="18">
        <v>91</v>
      </c>
      <c r="I35" s="18">
        <f t="shared" si="3"/>
        <v>1489</v>
      </c>
      <c r="J35" s="19">
        <f t="shared" si="4"/>
        <v>1.1653114410261628E-2</v>
      </c>
      <c r="K35" s="18">
        <f t="shared" si="0"/>
        <v>2451</v>
      </c>
      <c r="L35" s="18">
        <v>0</v>
      </c>
      <c r="M35" s="18">
        <f t="shared" si="5"/>
        <v>2451</v>
      </c>
      <c r="P35" s="31"/>
    </row>
    <row r="36" spans="2:16" x14ac:dyDescent="0.2">
      <c r="B36" s="18" t="s">
        <v>257</v>
      </c>
      <c r="C36" s="18">
        <v>475</v>
      </c>
      <c r="D36" s="18">
        <v>410</v>
      </c>
      <c r="E36" s="18">
        <f t="shared" si="1"/>
        <v>885</v>
      </c>
      <c r="F36" s="19">
        <f t="shared" si="2"/>
        <v>1.4571259220231824E-2</v>
      </c>
      <c r="G36" s="18">
        <v>1037</v>
      </c>
      <c r="H36" s="18">
        <v>104</v>
      </c>
      <c r="I36" s="18">
        <f t="shared" si="3"/>
        <v>1141</v>
      </c>
      <c r="J36" s="19">
        <f t="shared" si="4"/>
        <v>8.9296195715973924E-3</v>
      </c>
      <c r="K36" s="18">
        <f t="shared" si="0"/>
        <v>2026</v>
      </c>
      <c r="L36" s="18">
        <v>0</v>
      </c>
      <c r="M36" s="18">
        <f t="shared" si="5"/>
        <v>2026</v>
      </c>
      <c r="P36" s="31"/>
    </row>
    <row r="37" spans="2:16" x14ac:dyDescent="0.2">
      <c r="B37" s="18" t="s">
        <v>258</v>
      </c>
      <c r="C37" s="18">
        <v>1608</v>
      </c>
      <c r="D37" s="18">
        <v>1402</v>
      </c>
      <c r="E37" s="18">
        <f t="shared" si="1"/>
        <v>3010</v>
      </c>
      <c r="F37" s="19">
        <f t="shared" si="2"/>
        <v>4.9558746048472074E-2</v>
      </c>
      <c r="G37" s="18">
        <v>4844</v>
      </c>
      <c r="H37" s="18">
        <v>337</v>
      </c>
      <c r="I37" s="18">
        <f t="shared" si="3"/>
        <v>5181</v>
      </c>
      <c r="J37" s="19">
        <f t="shared" si="4"/>
        <v>4.0547203330802882E-2</v>
      </c>
      <c r="K37" s="18">
        <f t="shared" si="0"/>
        <v>8191</v>
      </c>
      <c r="L37" s="18">
        <v>1</v>
      </c>
      <c r="M37" s="18">
        <f t="shared" si="5"/>
        <v>8192</v>
      </c>
      <c r="P37" s="31"/>
    </row>
    <row r="38" spans="2:16" x14ac:dyDescent="0.2">
      <c r="B38" s="18" t="s">
        <v>259</v>
      </c>
      <c r="C38" s="18">
        <v>1724</v>
      </c>
      <c r="D38" s="18">
        <v>802</v>
      </c>
      <c r="E38" s="18">
        <f t="shared" si="1"/>
        <v>2526</v>
      </c>
      <c r="F38" s="19">
        <f t="shared" si="2"/>
        <v>4.1589831401475236E-2</v>
      </c>
      <c r="G38" s="18">
        <v>5647</v>
      </c>
      <c r="H38" s="18">
        <v>281</v>
      </c>
      <c r="I38" s="18">
        <f t="shared" si="3"/>
        <v>5928</v>
      </c>
      <c r="J38" s="19">
        <f t="shared" si="4"/>
        <v>4.6393325872418352E-2</v>
      </c>
      <c r="K38" s="18">
        <f t="shared" si="0"/>
        <v>8454</v>
      </c>
      <c r="L38" s="18">
        <v>3</v>
      </c>
      <c r="M38" s="18">
        <f t="shared" si="5"/>
        <v>8457</v>
      </c>
      <c r="P38" s="31"/>
    </row>
    <row r="39" spans="2:16" x14ac:dyDescent="0.2">
      <c r="B39" s="18" t="s">
        <v>260</v>
      </c>
      <c r="C39" s="18">
        <v>780</v>
      </c>
      <c r="D39" s="18">
        <v>632</v>
      </c>
      <c r="E39" s="18">
        <f t="shared" si="1"/>
        <v>1412</v>
      </c>
      <c r="F39" s="19">
        <f t="shared" si="2"/>
        <v>2.3248155953635406E-2</v>
      </c>
      <c r="G39" s="18">
        <v>2299</v>
      </c>
      <c r="H39" s="18">
        <v>196</v>
      </c>
      <c r="I39" s="18">
        <f t="shared" si="3"/>
        <v>2495</v>
      </c>
      <c r="J39" s="19">
        <f t="shared" si="4"/>
        <v>1.9526205811687548E-2</v>
      </c>
      <c r="K39" s="18">
        <f t="shared" si="0"/>
        <v>3907</v>
      </c>
      <c r="L39" s="18">
        <v>0</v>
      </c>
      <c r="M39" s="18">
        <f t="shared" si="5"/>
        <v>3907</v>
      </c>
      <c r="P39" s="31"/>
    </row>
    <row r="40" spans="2:16" x14ac:dyDescent="0.2">
      <c r="B40" s="18" t="s">
        <v>261</v>
      </c>
      <c r="C40" s="18">
        <v>1860</v>
      </c>
      <c r="D40" s="18">
        <v>1122</v>
      </c>
      <c r="E40" s="18">
        <f t="shared" si="1"/>
        <v>2982</v>
      </c>
      <c r="F40" s="19">
        <f t="shared" si="2"/>
        <v>4.9097734457323496E-2</v>
      </c>
      <c r="G40" s="18">
        <v>5471</v>
      </c>
      <c r="H40" s="18">
        <v>418</v>
      </c>
      <c r="I40" s="18">
        <f t="shared" si="3"/>
        <v>5889</v>
      </c>
      <c r="J40" s="19">
        <f t="shared" si="4"/>
        <v>4.6088106623257706E-2</v>
      </c>
      <c r="K40" s="18">
        <f t="shared" si="0"/>
        <v>8871</v>
      </c>
      <c r="L40" s="18">
        <v>6</v>
      </c>
      <c r="M40" s="18">
        <f t="shared" si="5"/>
        <v>8877</v>
      </c>
      <c r="P40" s="31"/>
    </row>
    <row r="41" spans="2:16" x14ac:dyDescent="0.2">
      <c r="B41" s="20" t="s">
        <v>49</v>
      </c>
      <c r="C41" s="18">
        <f t="shared" ref="C41:H41" si="6">SUM(C11:C40)</f>
        <v>38101</v>
      </c>
      <c r="D41" s="18">
        <f t="shared" si="6"/>
        <v>22635</v>
      </c>
      <c r="E41" s="20">
        <f t="shared" ref="E41" si="7">C41+D41</f>
        <v>60736</v>
      </c>
      <c r="F41" s="19">
        <f t="shared" ref="F41" si="8">E41/$E$41</f>
        <v>1</v>
      </c>
      <c r="G41" s="18">
        <f t="shared" si="6"/>
        <v>119508</v>
      </c>
      <c r="H41" s="18">
        <f t="shared" si="6"/>
        <v>8269</v>
      </c>
      <c r="I41" s="20">
        <f t="shared" ref="I41" si="9">G41+H41</f>
        <v>127777</v>
      </c>
      <c r="J41" s="19">
        <f t="shared" ref="J41" si="10">I41/$I$41</f>
        <v>1</v>
      </c>
      <c r="K41" s="20">
        <f t="shared" ref="K41" si="11">E41+I41</f>
        <v>188513</v>
      </c>
      <c r="L41" s="18">
        <f t="shared" ref="L41" si="12">SUM(L11:L40)</f>
        <v>50</v>
      </c>
      <c r="M41" s="20">
        <f t="shared" si="5"/>
        <v>188563</v>
      </c>
      <c r="P41" s="31"/>
    </row>
    <row r="42" spans="2:16" ht="25.5" customHeight="1" x14ac:dyDescent="0.2">
      <c r="B42" s="32" t="s">
        <v>64</v>
      </c>
      <c r="C42" s="33">
        <f>+C41/M41</f>
        <v>0.20205978903602509</v>
      </c>
      <c r="D42" s="33">
        <f>+D41/M41</f>
        <v>0.120039456309032</v>
      </c>
      <c r="E42" s="34">
        <f>+E41/M41</f>
        <v>0.32209924534505707</v>
      </c>
      <c r="F42" s="34"/>
      <c r="G42" s="33">
        <f>+G41/M41</f>
        <v>0.63378287362844243</v>
      </c>
      <c r="H42" s="33">
        <f>+H41/M41</f>
        <v>4.3852717659349928E-2</v>
      </c>
      <c r="I42" s="34">
        <f>+I41/M41</f>
        <v>0.67763559128779238</v>
      </c>
      <c r="J42" s="34"/>
      <c r="K42" s="34">
        <f>+K41/M41</f>
        <v>0.99973483663284946</v>
      </c>
      <c r="L42" s="34">
        <f>+L41/M41</f>
        <v>2.6516336715050142E-4</v>
      </c>
      <c r="M42" s="34">
        <f>K42+L42</f>
        <v>1</v>
      </c>
    </row>
    <row r="43" spans="2:16" x14ac:dyDescent="0.2">
      <c r="B43" s="25"/>
      <c r="C43" s="38"/>
      <c r="D43" s="38"/>
      <c r="E43" s="38"/>
      <c r="F43" s="38"/>
      <c r="G43" s="38"/>
      <c r="H43" s="38"/>
      <c r="I43" s="38"/>
      <c r="J43" s="38"/>
      <c r="K43" s="38"/>
    </row>
    <row r="44" spans="2:16" ht="12.75" x14ac:dyDescent="0.2">
      <c r="B44" s="369" t="s">
        <v>88</v>
      </c>
      <c r="C44" s="369"/>
      <c r="D44" s="369"/>
      <c r="E44" s="369"/>
      <c r="F44" s="369"/>
      <c r="G44" s="369"/>
      <c r="H44" s="369"/>
      <c r="I44" s="369"/>
      <c r="J44" s="369"/>
      <c r="K44" s="369"/>
    </row>
    <row r="45" spans="2:16" ht="12.75" x14ac:dyDescent="0.2">
      <c r="B45" s="385" t="str">
        <f>'Solicitudes Regiones'!$B$6:$R$6</f>
        <v>Acumuladas de julio de 2008 a diciembre de 2021</v>
      </c>
      <c r="C45" s="385"/>
      <c r="D45" s="385"/>
      <c r="E45" s="385"/>
      <c r="F45" s="385"/>
      <c r="G45" s="385"/>
      <c r="H45" s="385"/>
      <c r="I45" s="385"/>
      <c r="J45" s="385"/>
      <c r="K45" s="385"/>
    </row>
    <row r="47" spans="2:16" ht="15" customHeight="1" x14ac:dyDescent="0.2">
      <c r="B47" s="399" t="s">
        <v>65</v>
      </c>
      <c r="C47" s="399"/>
      <c r="D47" s="399"/>
      <c r="E47" s="399"/>
      <c r="F47" s="399"/>
      <c r="G47" s="399"/>
      <c r="H47" s="399"/>
      <c r="I47" s="399"/>
      <c r="J47" s="399"/>
      <c r="K47" s="399"/>
      <c r="L47" s="399"/>
      <c r="M47" s="399"/>
    </row>
    <row r="48" spans="2:16" ht="21" customHeight="1" x14ac:dyDescent="0.2">
      <c r="B48" s="399" t="s">
        <v>56</v>
      </c>
      <c r="C48" s="397" t="s">
        <v>2</v>
      </c>
      <c r="D48" s="400"/>
      <c r="E48" s="400"/>
      <c r="F48" s="400"/>
      <c r="G48" s="400"/>
      <c r="H48" s="400"/>
      <c r="I48" s="400"/>
      <c r="J48" s="400"/>
      <c r="K48" s="398"/>
      <c r="L48" s="397"/>
      <c r="M48" s="398"/>
    </row>
    <row r="49" spans="2:13" ht="24" x14ac:dyDescent="0.2">
      <c r="B49" s="399"/>
      <c r="C49" s="23" t="s">
        <v>57</v>
      </c>
      <c r="D49" s="23" t="s">
        <v>58</v>
      </c>
      <c r="E49" s="23" t="s">
        <v>59</v>
      </c>
      <c r="F49" s="23" t="s">
        <v>60</v>
      </c>
      <c r="G49" s="23" t="s">
        <v>8</v>
      </c>
      <c r="H49" s="23" t="s">
        <v>61</v>
      </c>
      <c r="I49" s="23" t="s">
        <v>62</v>
      </c>
      <c r="J49" s="23" t="s">
        <v>63</v>
      </c>
      <c r="K49" s="70" t="s">
        <v>31</v>
      </c>
      <c r="L49" s="261" t="s">
        <v>584</v>
      </c>
      <c r="M49" s="261" t="s">
        <v>587</v>
      </c>
    </row>
    <row r="50" spans="2:13" x14ac:dyDescent="0.2">
      <c r="B50" s="18" t="s">
        <v>233</v>
      </c>
      <c r="C50" s="18">
        <v>641</v>
      </c>
      <c r="D50" s="18">
        <v>228</v>
      </c>
      <c r="E50" s="18">
        <f t="shared" ref="E50:E79" si="13">C50+D50</f>
        <v>869</v>
      </c>
      <c r="F50" s="19">
        <f>E50/$E$80</f>
        <v>1.8562823087110693E-2</v>
      </c>
      <c r="G50" s="18">
        <v>1247</v>
      </c>
      <c r="H50" s="18">
        <v>83</v>
      </c>
      <c r="I50" s="18">
        <f>G50+H50</f>
        <v>1330</v>
      </c>
      <c r="J50" s="19">
        <f>I50/$I$80</f>
        <v>1.1932638907580366E-2</v>
      </c>
      <c r="K50" s="18">
        <f t="shared" ref="K50:K79" si="14">E50+I50</f>
        <v>2199</v>
      </c>
      <c r="L50" s="18">
        <v>0</v>
      </c>
      <c r="M50" s="18">
        <f>K50+L50</f>
        <v>2199</v>
      </c>
    </row>
    <row r="51" spans="2:13" x14ac:dyDescent="0.2">
      <c r="B51" s="18" t="s">
        <v>234</v>
      </c>
      <c r="C51" s="18">
        <v>361</v>
      </c>
      <c r="D51" s="18">
        <v>102</v>
      </c>
      <c r="E51" s="18">
        <f t="shared" si="13"/>
        <v>463</v>
      </c>
      <c r="F51" s="19">
        <f t="shared" ref="F51:F79" si="15">E51/$E$80</f>
        <v>9.8902037851924633E-3</v>
      </c>
      <c r="G51" s="18">
        <v>878</v>
      </c>
      <c r="H51" s="18">
        <v>53</v>
      </c>
      <c r="I51" s="18">
        <f t="shared" ref="I51:I79" si="16">G51+H51</f>
        <v>931</v>
      </c>
      <c r="J51" s="19">
        <f t="shared" ref="J51:J79" si="17">I51/$I$80</f>
        <v>8.3528472353062554E-3</v>
      </c>
      <c r="K51" s="18">
        <f t="shared" si="14"/>
        <v>1394</v>
      </c>
      <c r="L51" s="18">
        <v>0</v>
      </c>
      <c r="M51" s="18">
        <f t="shared" ref="M51:M80" si="18">K51+L51</f>
        <v>1394</v>
      </c>
    </row>
    <row r="52" spans="2:13" x14ac:dyDescent="0.2">
      <c r="B52" s="18" t="s">
        <v>235</v>
      </c>
      <c r="C52" s="18">
        <v>338</v>
      </c>
      <c r="D52" s="18">
        <v>117</v>
      </c>
      <c r="E52" s="18">
        <f t="shared" si="13"/>
        <v>455</v>
      </c>
      <c r="F52" s="19">
        <f t="shared" si="15"/>
        <v>9.7193147349083613E-3</v>
      </c>
      <c r="G52" s="18">
        <v>846</v>
      </c>
      <c r="H52" s="18">
        <v>52</v>
      </c>
      <c r="I52" s="18">
        <f t="shared" si="16"/>
        <v>898</v>
      </c>
      <c r="J52" s="19">
        <f t="shared" si="17"/>
        <v>8.0567742398550135E-3</v>
      </c>
      <c r="K52" s="18">
        <f t="shared" si="14"/>
        <v>1353</v>
      </c>
      <c r="L52" s="18">
        <v>0</v>
      </c>
      <c r="M52" s="18">
        <f t="shared" si="18"/>
        <v>1353</v>
      </c>
    </row>
    <row r="53" spans="2:13" x14ac:dyDescent="0.2">
      <c r="B53" s="18" t="s">
        <v>236</v>
      </c>
      <c r="C53" s="18">
        <v>386</v>
      </c>
      <c r="D53" s="18">
        <v>132</v>
      </c>
      <c r="E53" s="18">
        <f t="shared" si="13"/>
        <v>518</v>
      </c>
      <c r="F53" s="19">
        <f t="shared" si="15"/>
        <v>1.1065066005895673E-2</v>
      </c>
      <c r="G53" s="18">
        <v>587</v>
      </c>
      <c r="H53" s="18">
        <v>37</v>
      </c>
      <c r="I53" s="18">
        <f t="shared" si="16"/>
        <v>624</v>
      </c>
      <c r="J53" s="19">
        <f t="shared" si="17"/>
        <v>5.5984711867143972E-3</v>
      </c>
      <c r="K53" s="18">
        <f t="shared" si="14"/>
        <v>1142</v>
      </c>
      <c r="L53" s="18">
        <v>0</v>
      </c>
      <c r="M53" s="18">
        <f t="shared" si="18"/>
        <v>1142</v>
      </c>
    </row>
    <row r="54" spans="2:13" x14ac:dyDescent="0.2">
      <c r="B54" s="18" t="s">
        <v>237</v>
      </c>
      <c r="C54" s="18">
        <v>298</v>
      </c>
      <c r="D54" s="18">
        <v>105</v>
      </c>
      <c r="E54" s="18">
        <f t="shared" si="13"/>
        <v>403</v>
      </c>
      <c r="F54" s="19">
        <f t="shared" si="15"/>
        <v>8.6085359080616906E-3</v>
      </c>
      <c r="G54" s="18">
        <v>684</v>
      </c>
      <c r="H54" s="18">
        <v>50</v>
      </c>
      <c r="I54" s="18">
        <f t="shared" si="16"/>
        <v>734</v>
      </c>
      <c r="J54" s="19">
        <f t="shared" si="17"/>
        <v>6.5853811715518712E-3</v>
      </c>
      <c r="K54" s="18">
        <f t="shared" si="14"/>
        <v>1137</v>
      </c>
      <c r="L54" s="18">
        <v>0</v>
      </c>
      <c r="M54" s="18">
        <f t="shared" si="18"/>
        <v>1137</v>
      </c>
    </row>
    <row r="55" spans="2:13" x14ac:dyDescent="0.2">
      <c r="B55" s="18" t="s">
        <v>238</v>
      </c>
      <c r="C55" s="18">
        <v>362</v>
      </c>
      <c r="D55" s="18">
        <v>127</v>
      </c>
      <c r="E55" s="18">
        <f t="shared" si="13"/>
        <v>489</v>
      </c>
      <c r="F55" s="19">
        <f t="shared" si="15"/>
        <v>1.0445593198615799E-2</v>
      </c>
      <c r="G55" s="18">
        <v>1456</v>
      </c>
      <c r="H55" s="18">
        <v>87</v>
      </c>
      <c r="I55" s="18">
        <f t="shared" si="16"/>
        <v>1543</v>
      </c>
      <c r="J55" s="19">
        <f t="shared" si="17"/>
        <v>1.3843655514583837E-2</v>
      </c>
      <c r="K55" s="18">
        <f t="shared" si="14"/>
        <v>2032</v>
      </c>
      <c r="L55" s="18">
        <v>0</v>
      </c>
      <c r="M55" s="18">
        <f t="shared" si="18"/>
        <v>2032</v>
      </c>
    </row>
    <row r="56" spans="2:13" x14ac:dyDescent="0.2">
      <c r="B56" s="18" t="s">
        <v>239</v>
      </c>
      <c r="C56" s="18">
        <v>1331</v>
      </c>
      <c r="D56" s="18">
        <v>466</v>
      </c>
      <c r="E56" s="18">
        <f t="shared" si="13"/>
        <v>1797</v>
      </c>
      <c r="F56" s="19">
        <f t="shared" si="15"/>
        <v>3.8385952920066649E-2</v>
      </c>
      <c r="G56" s="18">
        <v>3010</v>
      </c>
      <c r="H56" s="18">
        <v>220</v>
      </c>
      <c r="I56" s="18">
        <f t="shared" si="16"/>
        <v>3230</v>
      </c>
      <c r="J56" s="19">
        <f t="shared" si="17"/>
        <v>2.897926591840946E-2</v>
      </c>
      <c r="K56" s="18">
        <f t="shared" si="14"/>
        <v>5027</v>
      </c>
      <c r="L56" s="18">
        <v>0</v>
      </c>
      <c r="M56" s="18">
        <f t="shared" si="18"/>
        <v>5027</v>
      </c>
    </row>
    <row r="57" spans="2:13" x14ac:dyDescent="0.2">
      <c r="B57" s="18" t="s">
        <v>240</v>
      </c>
      <c r="C57" s="18">
        <v>699</v>
      </c>
      <c r="D57" s="18">
        <v>247</v>
      </c>
      <c r="E57" s="18">
        <f t="shared" si="13"/>
        <v>946</v>
      </c>
      <c r="F57" s="19">
        <f t="shared" si="15"/>
        <v>2.0207630196095186E-2</v>
      </c>
      <c r="G57" s="18">
        <v>1714</v>
      </c>
      <c r="H57" s="18">
        <v>126</v>
      </c>
      <c r="I57" s="18">
        <f t="shared" si="16"/>
        <v>1840</v>
      </c>
      <c r="J57" s="19">
        <f t="shared" si="17"/>
        <v>1.6508312473645016E-2</v>
      </c>
      <c r="K57" s="18">
        <f t="shared" si="14"/>
        <v>2786</v>
      </c>
      <c r="L57" s="18">
        <v>0</v>
      </c>
      <c r="M57" s="18">
        <f t="shared" si="18"/>
        <v>2786</v>
      </c>
    </row>
    <row r="58" spans="2:13" x14ac:dyDescent="0.2">
      <c r="B58" s="18" t="s">
        <v>241</v>
      </c>
      <c r="C58" s="18">
        <v>190</v>
      </c>
      <c r="D58" s="18">
        <v>86</v>
      </c>
      <c r="E58" s="18">
        <f t="shared" si="13"/>
        <v>276</v>
      </c>
      <c r="F58" s="19">
        <f t="shared" si="15"/>
        <v>5.8956722348015552E-3</v>
      </c>
      <c r="G58" s="18">
        <v>318</v>
      </c>
      <c r="H58" s="18">
        <v>30</v>
      </c>
      <c r="I58" s="18">
        <f t="shared" si="16"/>
        <v>348</v>
      </c>
      <c r="J58" s="19">
        <f t="shared" si="17"/>
        <v>3.1222243156676446E-3</v>
      </c>
      <c r="K58" s="18">
        <f t="shared" si="14"/>
        <v>624</v>
      </c>
      <c r="L58" s="18">
        <v>0</v>
      </c>
      <c r="M58" s="18">
        <f t="shared" si="18"/>
        <v>624</v>
      </c>
    </row>
    <row r="59" spans="2:13" x14ac:dyDescent="0.2">
      <c r="B59" s="18" t="s">
        <v>242</v>
      </c>
      <c r="C59" s="18">
        <v>1595</v>
      </c>
      <c r="D59" s="18">
        <v>550</v>
      </c>
      <c r="E59" s="18">
        <f t="shared" si="13"/>
        <v>2145</v>
      </c>
      <c r="F59" s="19">
        <f t="shared" si="15"/>
        <v>4.5819626607425126E-2</v>
      </c>
      <c r="G59" s="18">
        <v>3984</v>
      </c>
      <c r="H59" s="18">
        <v>279</v>
      </c>
      <c r="I59" s="18">
        <f t="shared" si="16"/>
        <v>4263</v>
      </c>
      <c r="J59" s="19">
        <f t="shared" si="17"/>
        <v>3.8247247866928645E-2</v>
      </c>
      <c r="K59" s="18">
        <f t="shared" si="14"/>
        <v>6408</v>
      </c>
      <c r="L59" s="18">
        <v>0</v>
      </c>
      <c r="M59" s="18">
        <f t="shared" si="18"/>
        <v>6408</v>
      </c>
    </row>
    <row r="60" spans="2:13" x14ac:dyDescent="0.2">
      <c r="B60" s="18" t="s">
        <v>243</v>
      </c>
      <c r="C60" s="18">
        <v>1982</v>
      </c>
      <c r="D60" s="18">
        <v>645</v>
      </c>
      <c r="E60" s="18">
        <f t="shared" si="13"/>
        <v>2627</v>
      </c>
      <c r="F60" s="19">
        <f t="shared" si="15"/>
        <v>5.6115691887042338E-2</v>
      </c>
      <c r="G60" s="18">
        <v>5595</v>
      </c>
      <c r="H60" s="18">
        <v>330</v>
      </c>
      <c r="I60" s="18">
        <f t="shared" si="16"/>
        <v>5925</v>
      </c>
      <c r="J60" s="19">
        <f t="shared" si="17"/>
        <v>5.3158560546927573E-2</v>
      </c>
      <c r="K60" s="18">
        <f t="shared" si="14"/>
        <v>8552</v>
      </c>
      <c r="L60" s="18">
        <v>0</v>
      </c>
      <c r="M60" s="18">
        <f t="shared" si="18"/>
        <v>8552</v>
      </c>
    </row>
    <row r="61" spans="2:13" x14ac:dyDescent="0.2">
      <c r="B61" s="18" t="s">
        <v>244</v>
      </c>
      <c r="C61" s="18">
        <v>1161</v>
      </c>
      <c r="D61" s="18">
        <v>417</v>
      </c>
      <c r="E61" s="18">
        <f t="shared" si="13"/>
        <v>1578</v>
      </c>
      <c r="F61" s="19">
        <f t="shared" si="15"/>
        <v>3.3707865168539325E-2</v>
      </c>
      <c r="G61" s="18">
        <v>4922</v>
      </c>
      <c r="H61" s="18">
        <v>271</v>
      </c>
      <c r="I61" s="18">
        <f t="shared" si="16"/>
        <v>5193</v>
      </c>
      <c r="J61" s="19">
        <f t="shared" si="17"/>
        <v>4.6591123193281833E-2</v>
      </c>
      <c r="K61" s="18">
        <f t="shared" si="14"/>
        <v>6771</v>
      </c>
      <c r="L61" s="18">
        <v>0</v>
      </c>
      <c r="M61" s="18">
        <f t="shared" si="18"/>
        <v>6771</v>
      </c>
    </row>
    <row r="62" spans="2:13" x14ac:dyDescent="0.2">
      <c r="B62" s="18" t="s">
        <v>245</v>
      </c>
      <c r="C62" s="18">
        <v>338</v>
      </c>
      <c r="D62" s="18">
        <v>99</v>
      </c>
      <c r="E62" s="18">
        <f t="shared" si="13"/>
        <v>437</v>
      </c>
      <c r="F62" s="19">
        <f t="shared" si="15"/>
        <v>9.3348143717691297E-3</v>
      </c>
      <c r="G62" s="18">
        <v>1109</v>
      </c>
      <c r="H62" s="18">
        <v>62</v>
      </c>
      <c r="I62" s="18">
        <f t="shared" si="16"/>
        <v>1171</v>
      </c>
      <c r="J62" s="19">
        <f t="shared" si="17"/>
        <v>1.0506105384042563E-2</v>
      </c>
      <c r="K62" s="18">
        <f t="shared" si="14"/>
        <v>1608</v>
      </c>
      <c r="L62" s="18">
        <v>0</v>
      </c>
      <c r="M62" s="18">
        <f t="shared" si="18"/>
        <v>1608</v>
      </c>
    </row>
    <row r="63" spans="2:13" x14ac:dyDescent="0.2">
      <c r="B63" s="18" t="s">
        <v>246</v>
      </c>
      <c r="C63" s="18">
        <v>974</v>
      </c>
      <c r="D63" s="18">
        <v>361</v>
      </c>
      <c r="E63" s="18">
        <f t="shared" si="13"/>
        <v>1335</v>
      </c>
      <c r="F63" s="19">
        <f t="shared" si="15"/>
        <v>2.8517110266159697E-2</v>
      </c>
      <c r="G63" s="18">
        <v>3120</v>
      </c>
      <c r="H63" s="18">
        <v>171</v>
      </c>
      <c r="I63" s="18">
        <f t="shared" si="16"/>
        <v>3291</v>
      </c>
      <c r="J63" s="19">
        <f t="shared" si="17"/>
        <v>2.9526552364546606E-2</v>
      </c>
      <c r="K63" s="18">
        <f t="shared" si="14"/>
        <v>4626</v>
      </c>
      <c r="L63" s="18">
        <v>0</v>
      </c>
      <c r="M63" s="18">
        <f t="shared" si="18"/>
        <v>4626</v>
      </c>
    </row>
    <row r="64" spans="2:13" x14ac:dyDescent="0.2">
      <c r="B64" s="18" t="s">
        <v>247</v>
      </c>
      <c r="C64" s="18">
        <v>229</v>
      </c>
      <c r="D64" s="18">
        <v>63</v>
      </c>
      <c r="E64" s="18">
        <f t="shared" si="13"/>
        <v>292</v>
      </c>
      <c r="F64" s="19">
        <f t="shared" si="15"/>
        <v>6.2374503353697609E-3</v>
      </c>
      <c r="G64" s="18">
        <v>420</v>
      </c>
      <c r="H64" s="18">
        <v>26</v>
      </c>
      <c r="I64" s="18">
        <f t="shared" si="16"/>
        <v>446</v>
      </c>
      <c r="J64" s="19">
        <f t="shared" si="17"/>
        <v>4.0014713930683031E-3</v>
      </c>
      <c r="K64" s="18">
        <f t="shared" si="14"/>
        <v>738</v>
      </c>
      <c r="L64" s="18">
        <v>0</v>
      </c>
      <c r="M64" s="18">
        <f t="shared" si="18"/>
        <v>738</v>
      </c>
    </row>
    <row r="65" spans="2:13" x14ac:dyDescent="0.2">
      <c r="B65" s="18" t="s">
        <v>248</v>
      </c>
      <c r="C65" s="18">
        <v>3148</v>
      </c>
      <c r="D65" s="18">
        <v>967</v>
      </c>
      <c r="E65" s="18">
        <f t="shared" si="13"/>
        <v>4115</v>
      </c>
      <c r="F65" s="19">
        <f t="shared" si="15"/>
        <v>8.7901055239885506E-2</v>
      </c>
      <c r="G65" s="18">
        <v>9623</v>
      </c>
      <c r="H65" s="18">
        <v>587</v>
      </c>
      <c r="I65" s="18">
        <f t="shared" si="16"/>
        <v>10210</v>
      </c>
      <c r="J65" s="19">
        <f t="shared" si="17"/>
        <v>9.1603190410823709E-2</v>
      </c>
      <c r="K65" s="18">
        <f t="shared" si="14"/>
        <v>14325</v>
      </c>
      <c r="L65" s="18">
        <v>0</v>
      </c>
      <c r="M65" s="18">
        <f t="shared" si="18"/>
        <v>14325</v>
      </c>
    </row>
    <row r="66" spans="2:13" x14ac:dyDescent="0.2">
      <c r="B66" s="18" t="s">
        <v>249</v>
      </c>
      <c r="C66" s="18">
        <v>851</v>
      </c>
      <c r="D66" s="18">
        <v>315</v>
      </c>
      <c r="E66" s="18">
        <f t="shared" si="13"/>
        <v>1166</v>
      </c>
      <c r="F66" s="19">
        <f t="shared" si="15"/>
        <v>2.4907079078908018E-2</v>
      </c>
      <c r="G66" s="18">
        <v>2138</v>
      </c>
      <c r="H66" s="18">
        <v>135</v>
      </c>
      <c r="I66" s="18">
        <f t="shared" si="16"/>
        <v>2273</v>
      </c>
      <c r="J66" s="19">
        <f t="shared" si="17"/>
        <v>2.0393149050323436E-2</v>
      </c>
      <c r="K66" s="18">
        <f t="shared" si="14"/>
        <v>3439</v>
      </c>
      <c r="L66" s="18">
        <v>0</v>
      </c>
      <c r="M66" s="18">
        <f t="shared" si="18"/>
        <v>3439</v>
      </c>
    </row>
    <row r="67" spans="2:13" x14ac:dyDescent="0.2">
      <c r="B67" s="18" t="s">
        <v>250</v>
      </c>
      <c r="C67" s="18">
        <v>590</v>
      </c>
      <c r="D67" s="18">
        <v>209</v>
      </c>
      <c r="E67" s="18">
        <f t="shared" si="13"/>
        <v>799</v>
      </c>
      <c r="F67" s="19">
        <f t="shared" si="15"/>
        <v>1.7067543897124792E-2</v>
      </c>
      <c r="G67" s="18">
        <v>1864</v>
      </c>
      <c r="H67" s="18">
        <v>96</v>
      </c>
      <c r="I67" s="18">
        <f t="shared" si="16"/>
        <v>1960</v>
      </c>
      <c r="J67" s="19">
        <f t="shared" si="17"/>
        <v>1.7584941548013169E-2</v>
      </c>
      <c r="K67" s="18">
        <f t="shared" si="14"/>
        <v>2759</v>
      </c>
      <c r="L67" s="18">
        <v>0</v>
      </c>
      <c r="M67" s="18">
        <f t="shared" si="18"/>
        <v>2759</v>
      </c>
    </row>
    <row r="68" spans="2:13" x14ac:dyDescent="0.2">
      <c r="B68" s="18" t="s">
        <v>251</v>
      </c>
      <c r="C68" s="18">
        <v>6638</v>
      </c>
      <c r="D68" s="18">
        <v>2562</v>
      </c>
      <c r="E68" s="18">
        <f t="shared" si="13"/>
        <v>9200</v>
      </c>
      <c r="F68" s="19">
        <f t="shared" si="15"/>
        <v>0.19652240782671851</v>
      </c>
      <c r="G68" s="18">
        <v>21294</v>
      </c>
      <c r="H68" s="18">
        <v>1549</v>
      </c>
      <c r="I68" s="18">
        <f t="shared" si="16"/>
        <v>22843</v>
      </c>
      <c r="J68" s="19">
        <f t="shared" si="17"/>
        <v>0.20494531621493106</v>
      </c>
      <c r="K68" s="18">
        <f t="shared" si="14"/>
        <v>32043</v>
      </c>
      <c r="L68" s="18">
        <v>0</v>
      </c>
      <c r="M68" s="18">
        <f t="shared" si="18"/>
        <v>32043</v>
      </c>
    </row>
    <row r="69" spans="2:13" x14ac:dyDescent="0.2">
      <c r="B69" s="18" t="s">
        <v>41</v>
      </c>
      <c r="C69" s="18">
        <v>904</v>
      </c>
      <c r="D69" s="18">
        <v>491</v>
      </c>
      <c r="E69" s="18">
        <f t="shared" si="13"/>
        <v>1395</v>
      </c>
      <c r="F69" s="19">
        <f t="shared" si="15"/>
        <v>2.9798778143290468E-2</v>
      </c>
      <c r="G69" s="18">
        <v>2526</v>
      </c>
      <c r="H69" s="18">
        <v>241</v>
      </c>
      <c r="I69" s="18">
        <f t="shared" si="16"/>
        <v>2767</v>
      </c>
      <c r="J69" s="19">
        <f t="shared" si="17"/>
        <v>2.4825272073139001E-2</v>
      </c>
      <c r="K69" s="18">
        <f t="shared" si="14"/>
        <v>4162</v>
      </c>
      <c r="L69" s="18">
        <v>0</v>
      </c>
      <c r="M69" s="18">
        <f t="shared" si="18"/>
        <v>4162</v>
      </c>
    </row>
    <row r="70" spans="2:13" x14ac:dyDescent="0.2">
      <c r="B70" s="18" t="s">
        <v>252</v>
      </c>
      <c r="C70" s="18">
        <v>316</v>
      </c>
      <c r="D70" s="18">
        <v>138</v>
      </c>
      <c r="E70" s="18">
        <f t="shared" si="13"/>
        <v>454</v>
      </c>
      <c r="F70" s="19">
        <f t="shared" si="15"/>
        <v>9.6979536036228484E-3</v>
      </c>
      <c r="G70" s="18">
        <v>911</v>
      </c>
      <c r="H70" s="18">
        <v>54</v>
      </c>
      <c r="I70" s="18">
        <f t="shared" si="16"/>
        <v>965</v>
      </c>
      <c r="J70" s="19">
        <f t="shared" si="17"/>
        <v>8.6578921397105664E-3</v>
      </c>
      <c r="K70" s="18">
        <f t="shared" si="14"/>
        <v>1419</v>
      </c>
      <c r="L70" s="18">
        <v>0</v>
      </c>
      <c r="M70" s="18">
        <f t="shared" si="18"/>
        <v>1419</v>
      </c>
    </row>
    <row r="71" spans="2:13" x14ac:dyDescent="0.2">
      <c r="B71" s="18" t="s">
        <v>253</v>
      </c>
      <c r="C71" s="18">
        <v>513</v>
      </c>
      <c r="D71" s="18">
        <v>177</v>
      </c>
      <c r="E71" s="18">
        <f t="shared" si="13"/>
        <v>690</v>
      </c>
      <c r="F71" s="19">
        <f t="shared" si="15"/>
        <v>1.4739180587003888E-2</v>
      </c>
      <c r="G71" s="18">
        <v>1432</v>
      </c>
      <c r="H71" s="18">
        <v>83</v>
      </c>
      <c r="I71" s="18">
        <f t="shared" si="16"/>
        <v>1515</v>
      </c>
      <c r="J71" s="19">
        <f t="shared" si="17"/>
        <v>1.3592442063897935E-2</v>
      </c>
      <c r="K71" s="18">
        <f t="shared" si="14"/>
        <v>2205</v>
      </c>
      <c r="L71" s="18">
        <v>0</v>
      </c>
      <c r="M71" s="18">
        <f t="shared" si="18"/>
        <v>2205</v>
      </c>
    </row>
    <row r="72" spans="2:13" x14ac:dyDescent="0.2">
      <c r="B72" s="18" t="s">
        <v>254</v>
      </c>
      <c r="C72" s="18">
        <v>3595</v>
      </c>
      <c r="D72" s="18">
        <v>1211</v>
      </c>
      <c r="E72" s="18">
        <f t="shared" si="13"/>
        <v>4806</v>
      </c>
      <c r="F72" s="19">
        <f t="shared" si="15"/>
        <v>0.10266159695817491</v>
      </c>
      <c r="G72" s="18">
        <v>14749</v>
      </c>
      <c r="H72" s="18">
        <v>992</v>
      </c>
      <c r="I72" s="18">
        <f t="shared" si="16"/>
        <v>15741</v>
      </c>
      <c r="J72" s="19">
        <f t="shared" si="17"/>
        <v>0.14122681883024252</v>
      </c>
      <c r="K72" s="18">
        <f t="shared" si="14"/>
        <v>20547</v>
      </c>
      <c r="L72" s="18">
        <v>2</v>
      </c>
      <c r="M72" s="18">
        <f t="shared" si="18"/>
        <v>20549</v>
      </c>
    </row>
    <row r="73" spans="2:13" x14ac:dyDescent="0.2">
      <c r="B73" s="18" t="s">
        <v>255</v>
      </c>
      <c r="C73" s="18">
        <v>617</v>
      </c>
      <c r="D73" s="18">
        <v>214</v>
      </c>
      <c r="E73" s="18">
        <f t="shared" si="13"/>
        <v>831</v>
      </c>
      <c r="F73" s="19">
        <f t="shared" si="15"/>
        <v>1.7751100098261204E-2</v>
      </c>
      <c r="G73" s="18">
        <v>1939</v>
      </c>
      <c r="H73" s="18">
        <v>113</v>
      </c>
      <c r="I73" s="18">
        <f t="shared" si="16"/>
        <v>2052</v>
      </c>
      <c r="J73" s="19">
        <f t="shared" si="17"/>
        <v>1.841035717169542E-2</v>
      </c>
      <c r="K73" s="18">
        <f t="shared" si="14"/>
        <v>2883</v>
      </c>
      <c r="L73" s="18">
        <v>0</v>
      </c>
      <c r="M73" s="18">
        <f t="shared" si="18"/>
        <v>2883</v>
      </c>
    </row>
    <row r="74" spans="2:13" x14ac:dyDescent="0.2">
      <c r="B74" s="18" t="s">
        <v>256</v>
      </c>
      <c r="C74" s="18">
        <v>512</v>
      </c>
      <c r="D74" s="18">
        <v>153</v>
      </c>
      <c r="E74" s="18">
        <f t="shared" si="13"/>
        <v>665</v>
      </c>
      <c r="F74" s="19">
        <f t="shared" si="15"/>
        <v>1.4205152304866065E-2</v>
      </c>
      <c r="G74" s="18">
        <v>1286</v>
      </c>
      <c r="H74" s="18">
        <v>78</v>
      </c>
      <c r="I74" s="18">
        <f t="shared" si="16"/>
        <v>1364</v>
      </c>
      <c r="J74" s="19">
        <f t="shared" si="17"/>
        <v>1.2237683811984677E-2</v>
      </c>
      <c r="K74" s="18">
        <f t="shared" si="14"/>
        <v>2029</v>
      </c>
      <c r="L74" s="18">
        <v>0</v>
      </c>
      <c r="M74" s="18">
        <f t="shared" si="18"/>
        <v>2029</v>
      </c>
    </row>
    <row r="75" spans="2:13" x14ac:dyDescent="0.2">
      <c r="B75" s="18" t="s">
        <v>257</v>
      </c>
      <c r="C75" s="18">
        <v>437</v>
      </c>
      <c r="D75" s="18">
        <v>190</v>
      </c>
      <c r="E75" s="18">
        <f t="shared" si="13"/>
        <v>627</v>
      </c>
      <c r="F75" s="19">
        <f t="shared" si="15"/>
        <v>1.3393429316016576E-2</v>
      </c>
      <c r="G75" s="18">
        <v>949</v>
      </c>
      <c r="H75" s="18">
        <v>78</v>
      </c>
      <c r="I75" s="18">
        <f t="shared" si="16"/>
        <v>1027</v>
      </c>
      <c r="J75" s="19">
        <f t="shared" si="17"/>
        <v>9.2141504948007793E-3</v>
      </c>
      <c r="K75" s="18">
        <f t="shared" si="14"/>
        <v>1654</v>
      </c>
      <c r="L75" s="18">
        <v>0</v>
      </c>
      <c r="M75" s="18">
        <f t="shared" si="18"/>
        <v>1654</v>
      </c>
    </row>
    <row r="76" spans="2:13" x14ac:dyDescent="0.2">
      <c r="B76" s="18" t="s">
        <v>258</v>
      </c>
      <c r="C76" s="18">
        <v>1431</v>
      </c>
      <c r="D76" s="18">
        <v>721</v>
      </c>
      <c r="E76" s="18">
        <f t="shared" si="13"/>
        <v>2152</v>
      </c>
      <c r="F76" s="19">
        <f t="shared" si="15"/>
        <v>4.5969154526423722E-2</v>
      </c>
      <c r="G76" s="18">
        <v>4192</v>
      </c>
      <c r="H76" s="18">
        <v>283</v>
      </c>
      <c r="I76" s="18">
        <f t="shared" si="16"/>
        <v>4475</v>
      </c>
      <c r="J76" s="19">
        <f t="shared" si="17"/>
        <v>4.0149292564979053E-2</v>
      </c>
      <c r="K76" s="18">
        <f t="shared" si="14"/>
        <v>6627</v>
      </c>
      <c r="L76" s="18">
        <v>0</v>
      </c>
      <c r="M76" s="18">
        <f t="shared" si="18"/>
        <v>6627</v>
      </c>
    </row>
    <row r="77" spans="2:13" x14ac:dyDescent="0.2">
      <c r="B77" s="18" t="s">
        <v>259</v>
      </c>
      <c r="C77" s="18">
        <v>1578</v>
      </c>
      <c r="D77" s="18">
        <v>480</v>
      </c>
      <c r="E77" s="18">
        <f t="shared" si="13"/>
        <v>2058</v>
      </c>
      <c r="F77" s="19">
        <f t="shared" si="15"/>
        <v>4.3961208185585507E-2</v>
      </c>
      <c r="G77" s="18">
        <v>4982</v>
      </c>
      <c r="H77" s="18">
        <v>231</v>
      </c>
      <c r="I77" s="18">
        <f t="shared" si="16"/>
        <v>5213</v>
      </c>
      <c r="J77" s="19">
        <f t="shared" si="17"/>
        <v>4.6770561372343193E-2</v>
      </c>
      <c r="K77" s="18">
        <f t="shared" si="14"/>
        <v>7271</v>
      </c>
      <c r="L77" s="18">
        <v>0</v>
      </c>
      <c r="M77" s="18">
        <f t="shared" si="18"/>
        <v>7271</v>
      </c>
    </row>
    <row r="78" spans="2:13" x14ac:dyDescent="0.2">
      <c r="B78" s="18" t="s">
        <v>260</v>
      </c>
      <c r="C78" s="18">
        <v>695</v>
      </c>
      <c r="D78" s="18">
        <v>280</v>
      </c>
      <c r="E78" s="18">
        <f t="shared" si="13"/>
        <v>975</v>
      </c>
      <c r="F78" s="19">
        <f t="shared" si="15"/>
        <v>2.082710300337506E-2</v>
      </c>
      <c r="G78" s="18">
        <v>2079</v>
      </c>
      <c r="H78" s="18">
        <v>131</v>
      </c>
      <c r="I78" s="18">
        <f t="shared" si="16"/>
        <v>2210</v>
      </c>
      <c r="J78" s="19">
        <f t="shared" si="17"/>
        <v>1.9827918786280155E-2</v>
      </c>
      <c r="K78" s="18">
        <f t="shared" si="14"/>
        <v>3185</v>
      </c>
      <c r="L78" s="18">
        <v>0</v>
      </c>
      <c r="M78" s="18">
        <f t="shared" si="18"/>
        <v>3185</v>
      </c>
    </row>
    <row r="79" spans="2:13" x14ac:dyDescent="0.2">
      <c r="B79" s="18" t="s">
        <v>261</v>
      </c>
      <c r="C79" s="18">
        <v>1672</v>
      </c>
      <c r="D79" s="18">
        <v>579</v>
      </c>
      <c r="E79" s="18">
        <f t="shared" si="13"/>
        <v>2251</v>
      </c>
      <c r="F79" s="19">
        <f t="shared" si="15"/>
        <v>4.8083906523689497E-2</v>
      </c>
      <c r="G79" s="18">
        <v>4730</v>
      </c>
      <c r="H79" s="18">
        <v>347</v>
      </c>
      <c r="I79" s="18">
        <f t="shared" si="16"/>
        <v>5077</v>
      </c>
      <c r="J79" s="19">
        <f t="shared" si="17"/>
        <v>4.5550381754725956E-2</v>
      </c>
      <c r="K79" s="18">
        <f t="shared" si="14"/>
        <v>7328</v>
      </c>
      <c r="L79" s="18">
        <v>0</v>
      </c>
      <c r="M79" s="18">
        <f t="shared" si="18"/>
        <v>7328</v>
      </c>
    </row>
    <row r="80" spans="2:13" x14ac:dyDescent="0.2">
      <c r="B80" s="20" t="s">
        <v>49</v>
      </c>
      <c r="C80" s="18">
        <f t="shared" ref="C80:H80" si="19">SUM(C50:C79)</f>
        <v>34382</v>
      </c>
      <c r="D80" s="18">
        <f t="shared" si="19"/>
        <v>12432</v>
      </c>
      <c r="E80" s="20">
        <f>C80+D80</f>
        <v>46814</v>
      </c>
      <c r="F80" s="46">
        <f t="shared" ref="F80" si="20">E80/$E$80</f>
        <v>1</v>
      </c>
      <c r="G80" s="18">
        <f t="shared" si="19"/>
        <v>104584</v>
      </c>
      <c r="H80" s="18">
        <f t="shared" si="19"/>
        <v>6875</v>
      </c>
      <c r="I80" s="20">
        <f t="shared" ref="I80" si="21">G80+H80</f>
        <v>111459</v>
      </c>
      <c r="J80" s="46">
        <f t="shared" ref="J80" si="22">I80/$I$80</f>
        <v>1</v>
      </c>
      <c r="K80" s="20">
        <f t="shared" ref="K80" si="23">E80+I80</f>
        <v>158273</v>
      </c>
      <c r="L80" s="18">
        <f t="shared" ref="L80" si="24">SUM(L50:L79)</f>
        <v>2</v>
      </c>
      <c r="M80" s="20">
        <f t="shared" si="18"/>
        <v>158275</v>
      </c>
    </row>
    <row r="81" spans="2:13" ht="24" x14ac:dyDescent="0.2">
      <c r="B81" s="32" t="s">
        <v>66</v>
      </c>
      <c r="C81" s="33">
        <f>+C80/M80</f>
        <v>0.21722950560732901</v>
      </c>
      <c r="D81" s="33">
        <f>+D80/M80</f>
        <v>7.8546833043752956E-2</v>
      </c>
      <c r="E81" s="34">
        <f>+E80/M80</f>
        <v>0.29577633865108199</v>
      </c>
      <c r="F81" s="34"/>
      <c r="G81" s="33">
        <f>+G80/M80</f>
        <v>0.66077396935713162</v>
      </c>
      <c r="H81" s="33">
        <f>+H80/M80</f>
        <v>4.3437055757384296E-2</v>
      </c>
      <c r="I81" s="34">
        <f>+I80/M80</f>
        <v>0.70421102511451583</v>
      </c>
      <c r="J81" s="34"/>
      <c r="K81" s="34">
        <f>+K80/M80</f>
        <v>0.99998736376559783</v>
      </c>
      <c r="L81" s="34">
        <f>+L80/M80</f>
        <v>1.2636234402148159E-5</v>
      </c>
      <c r="M81" s="34">
        <f>K81+L81</f>
        <v>1</v>
      </c>
    </row>
    <row r="82" spans="2:13" x14ac:dyDescent="0.2">
      <c r="B82" s="25" t="s">
        <v>129</v>
      </c>
    </row>
    <row r="83" spans="2:13" x14ac:dyDescent="0.2">
      <c r="B83" s="25" t="s">
        <v>130</v>
      </c>
    </row>
  </sheetData>
  <mergeCells count="12">
    <mergeCell ref="L48:M48"/>
    <mergeCell ref="B47:M47"/>
    <mergeCell ref="B6:K6"/>
    <mergeCell ref="B5:K5"/>
    <mergeCell ref="B44:K44"/>
    <mergeCell ref="B45:K45"/>
    <mergeCell ref="B8:M8"/>
    <mergeCell ref="L9:M9"/>
    <mergeCell ref="B48:B49"/>
    <mergeCell ref="C48:K48"/>
    <mergeCell ref="B9:B10"/>
    <mergeCell ref="C9:K9"/>
  </mergeCells>
  <hyperlinks>
    <hyperlink ref="M5" location="'Índice Pensiones Solidarias'!A1" display="Volver Sistema de Pensiones Solidadias" xr:uid="{00000000-0004-0000-0E00-000000000000}"/>
  </hyperlinks>
  <pageMargins left="0.74803149606299213" right="0.74803149606299213" top="0.98425196850393704" bottom="0.98425196850393704" header="0" footer="0"/>
  <pageSetup scale="83" fitToHeight="2" orientation="portrait" r:id="rId1"/>
  <headerFooter alignWithMargins="0"/>
  <rowBreaks count="1" manualBreakCount="1">
    <brk id="47" min="1" max="12"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P65"/>
  <sheetViews>
    <sheetView showGridLines="0" zoomScaleNormal="100" workbookViewId="0">
      <selection sqref="A1:XFD1048576"/>
    </sheetView>
  </sheetViews>
  <sheetFormatPr baseColWidth="10" defaultRowHeight="12" x14ac:dyDescent="0.2"/>
  <cols>
    <col min="1" max="1" width="6" style="26" customWidth="1"/>
    <col min="2" max="2" width="18.140625" style="26" customWidth="1"/>
    <col min="3" max="3" width="7.85546875" style="26" bestFit="1" customWidth="1"/>
    <col min="4" max="4" width="7.28515625" style="26" bestFit="1" customWidth="1"/>
    <col min="5" max="6" width="7.28515625" style="26" customWidth="1"/>
    <col min="7" max="8" width="7.28515625" style="26" bestFit="1" customWidth="1"/>
    <col min="9" max="11" width="7.28515625" style="26" customWidth="1"/>
    <col min="12" max="12" width="9.7109375" style="26" customWidth="1"/>
    <col min="13" max="251" width="11.42578125" style="26"/>
    <col min="252" max="252" width="18.140625" style="26" customWidth="1"/>
    <col min="253" max="253" width="7.85546875" style="26" bestFit="1" customWidth="1"/>
    <col min="254" max="254" width="7.28515625" style="26" bestFit="1" customWidth="1"/>
    <col min="255" max="256" width="7.28515625" style="26" customWidth="1"/>
    <col min="257" max="258" width="7.28515625" style="26" bestFit="1" customWidth="1"/>
    <col min="259" max="261" width="7.28515625" style="26" customWidth="1"/>
    <col min="262" max="267" width="0" style="26" hidden="1" customWidth="1"/>
    <col min="268" max="268" width="9.7109375" style="26" customWidth="1"/>
    <col min="269" max="507" width="11.42578125" style="26"/>
    <col min="508" max="508" width="18.140625" style="26" customWidth="1"/>
    <col min="509" max="509" width="7.85546875" style="26" bestFit="1" customWidth="1"/>
    <col min="510" max="510" width="7.28515625" style="26" bestFit="1" customWidth="1"/>
    <col min="511" max="512" width="7.28515625" style="26" customWidth="1"/>
    <col min="513" max="514" width="7.28515625" style="26" bestFit="1" customWidth="1"/>
    <col min="515" max="517" width="7.28515625" style="26" customWidth="1"/>
    <col min="518" max="523" width="0" style="26" hidden="1" customWidth="1"/>
    <col min="524" max="524" width="9.7109375" style="26" customWidth="1"/>
    <col min="525" max="763" width="11.42578125" style="26"/>
    <col min="764" max="764" width="18.140625" style="26" customWidth="1"/>
    <col min="765" max="765" width="7.85546875" style="26" bestFit="1" customWidth="1"/>
    <col min="766" max="766" width="7.28515625" style="26" bestFit="1" customWidth="1"/>
    <col min="767" max="768" width="7.28515625" style="26" customWidth="1"/>
    <col min="769" max="770" width="7.28515625" style="26" bestFit="1" customWidth="1"/>
    <col min="771" max="773" width="7.28515625" style="26" customWidth="1"/>
    <col min="774" max="779" width="0" style="26" hidden="1" customWidth="1"/>
    <col min="780" max="780" width="9.7109375" style="26" customWidth="1"/>
    <col min="781" max="1019" width="11.42578125" style="26"/>
    <col min="1020" max="1020" width="18.140625" style="26" customWidth="1"/>
    <col min="1021" max="1021" width="7.85546875" style="26" bestFit="1" customWidth="1"/>
    <col min="1022" max="1022" width="7.28515625" style="26" bestFit="1" customWidth="1"/>
    <col min="1023" max="1024" width="7.28515625" style="26" customWidth="1"/>
    <col min="1025" max="1026" width="7.28515625" style="26" bestFit="1" customWidth="1"/>
    <col min="1027" max="1029" width="7.28515625" style="26" customWidth="1"/>
    <col min="1030" max="1035" width="0" style="26" hidden="1" customWidth="1"/>
    <col min="1036" max="1036" width="9.7109375" style="26" customWidth="1"/>
    <col min="1037" max="1275" width="11.42578125" style="26"/>
    <col min="1276" max="1276" width="18.140625" style="26" customWidth="1"/>
    <col min="1277" max="1277" width="7.85546875" style="26" bestFit="1" customWidth="1"/>
    <col min="1278" max="1278" width="7.28515625" style="26" bestFit="1" customWidth="1"/>
    <col min="1279" max="1280" width="7.28515625" style="26" customWidth="1"/>
    <col min="1281" max="1282" width="7.28515625" style="26" bestFit="1" customWidth="1"/>
    <col min="1283" max="1285" width="7.28515625" style="26" customWidth="1"/>
    <col min="1286" max="1291" width="0" style="26" hidden="1" customWidth="1"/>
    <col min="1292" max="1292" width="9.7109375" style="26" customWidth="1"/>
    <col min="1293" max="1531" width="11.42578125" style="26"/>
    <col min="1532" max="1532" width="18.140625" style="26" customWidth="1"/>
    <col min="1533" max="1533" width="7.85546875" style="26" bestFit="1" customWidth="1"/>
    <col min="1534" max="1534" width="7.28515625" style="26" bestFit="1" customWidth="1"/>
    <col min="1535" max="1536" width="7.28515625" style="26" customWidth="1"/>
    <col min="1537" max="1538" width="7.28515625" style="26" bestFit="1" customWidth="1"/>
    <col min="1539" max="1541" width="7.28515625" style="26" customWidth="1"/>
    <col min="1542" max="1547" width="0" style="26" hidden="1" customWidth="1"/>
    <col min="1548" max="1548" width="9.7109375" style="26" customWidth="1"/>
    <col min="1549" max="1787" width="11.42578125" style="26"/>
    <col min="1788" max="1788" width="18.140625" style="26" customWidth="1"/>
    <col min="1789" max="1789" width="7.85546875" style="26" bestFit="1" customWidth="1"/>
    <col min="1790" max="1790" width="7.28515625" style="26" bestFit="1" customWidth="1"/>
    <col min="1791" max="1792" width="7.28515625" style="26" customWidth="1"/>
    <col min="1793" max="1794" width="7.28515625" style="26" bestFit="1" customWidth="1"/>
    <col min="1795" max="1797" width="7.28515625" style="26" customWidth="1"/>
    <col min="1798" max="1803" width="0" style="26" hidden="1" customWidth="1"/>
    <col min="1804" max="1804" width="9.7109375" style="26" customWidth="1"/>
    <col min="1805" max="2043" width="11.42578125" style="26"/>
    <col min="2044" max="2044" width="18.140625" style="26" customWidth="1"/>
    <col min="2045" max="2045" width="7.85546875" style="26" bestFit="1" customWidth="1"/>
    <col min="2046" max="2046" width="7.28515625" style="26" bestFit="1" customWidth="1"/>
    <col min="2047" max="2048" width="7.28515625" style="26" customWidth="1"/>
    <col min="2049" max="2050" width="7.28515625" style="26" bestFit="1" customWidth="1"/>
    <col min="2051" max="2053" width="7.28515625" style="26" customWidth="1"/>
    <col min="2054" max="2059" width="0" style="26" hidden="1" customWidth="1"/>
    <col min="2060" max="2060" width="9.7109375" style="26" customWidth="1"/>
    <col min="2061" max="2299" width="11.42578125" style="26"/>
    <col min="2300" max="2300" width="18.140625" style="26" customWidth="1"/>
    <col min="2301" max="2301" width="7.85546875" style="26" bestFit="1" customWidth="1"/>
    <col min="2302" max="2302" width="7.28515625" style="26" bestFit="1" customWidth="1"/>
    <col min="2303" max="2304" width="7.28515625" style="26" customWidth="1"/>
    <col min="2305" max="2306" width="7.28515625" style="26" bestFit="1" customWidth="1"/>
    <col min="2307" max="2309" width="7.28515625" style="26" customWidth="1"/>
    <col min="2310" max="2315" width="0" style="26" hidden="1" customWidth="1"/>
    <col min="2316" max="2316" width="9.7109375" style="26" customWidth="1"/>
    <col min="2317" max="2555" width="11.42578125" style="26"/>
    <col min="2556" max="2556" width="18.140625" style="26" customWidth="1"/>
    <col min="2557" max="2557" width="7.85546875" style="26" bestFit="1" customWidth="1"/>
    <col min="2558" max="2558" width="7.28515625" style="26" bestFit="1" customWidth="1"/>
    <col min="2559" max="2560" width="7.28515625" style="26" customWidth="1"/>
    <col min="2561" max="2562" width="7.28515625" style="26" bestFit="1" customWidth="1"/>
    <col min="2563" max="2565" width="7.28515625" style="26" customWidth="1"/>
    <col min="2566" max="2571" width="0" style="26" hidden="1" customWidth="1"/>
    <col min="2572" max="2572" width="9.7109375" style="26" customWidth="1"/>
    <col min="2573" max="2811" width="11.42578125" style="26"/>
    <col min="2812" max="2812" width="18.140625" style="26" customWidth="1"/>
    <col min="2813" max="2813" width="7.85546875" style="26" bestFit="1" customWidth="1"/>
    <col min="2814" max="2814" width="7.28515625" style="26" bestFit="1" customWidth="1"/>
    <col min="2815" max="2816" width="7.28515625" style="26" customWidth="1"/>
    <col min="2817" max="2818" width="7.28515625" style="26" bestFit="1" customWidth="1"/>
    <col min="2819" max="2821" width="7.28515625" style="26" customWidth="1"/>
    <col min="2822" max="2827" width="0" style="26" hidden="1" customWidth="1"/>
    <col min="2828" max="2828" width="9.7109375" style="26" customWidth="1"/>
    <col min="2829" max="3067" width="11.42578125" style="26"/>
    <col min="3068" max="3068" width="18.140625" style="26" customWidth="1"/>
    <col min="3069" max="3069" width="7.85546875" style="26" bestFit="1" customWidth="1"/>
    <col min="3070" max="3070" width="7.28515625" style="26" bestFit="1" customWidth="1"/>
    <col min="3071" max="3072" width="7.28515625" style="26" customWidth="1"/>
    <col min="3073" max="3074" width="7.28515625" style="26" bestFit="1" customWidth="1"/>
    <col min="3075" max="3077" width="7.28515625" style="26" customWidth="1"/>
    <col min="3078" max="3083" width="0" style="26" hidden="1" customWidth="1"/>
    <col min="3084" max="3084" width="9.7109375" style="26" customWidth="1"/>
    <col min="3085" max="3323" width="11.42578125" style="26"/>
    <col min="3324" max="3324" width="18.140625" style="26" customWidth="1"/>
    <col min="3325" max="3325" width="7.85546875" style="26" bestFit="1" customWidth="1"/>
    <col min="3326" max="3326" width="7.28515625" style="26" bestFit="1" customWidth="1"/>
    <col min="3327" max="3328" width="7.28515625" style="26" customWidth="1"/>
    <col min="3329" max="3330" width="7.28515625" style="26" bestFit="1" customWidth="1"/>
    <col min="3331" max="3333" width="7.28515625" style="26" customWidth="1"/>
    <col min="3334" max="3339" width="0" style="26" hidden="1" customWidth="1"/>
    <col min="3340" max="3340" width="9.7109375" style="26" customWidth="1"/>
    <col min="3341" max="3579" width="11.42578125" style="26"/>
    <col min="3580" max="3580" width="18.140625" style="26" customWidth="1"/>
    <col min="3581" max="3581" width="7.85546875" style="26" bestFit="1" customWidth="1"/>
    <col min="3582" max="3582" width="7.28515625" style="26" bestFit="1" customWidth="1"/>
    <col min="3583" max="3584" width="7.28515625" style="26" customWidth="1"/>
    <col min="3585" max="3586" width="7.28515625" style="26" bestFit="1" customWidth="1"/>
    <col min="3587" max="3589" width="7.28515625" style="26" customWidth="1"/>
    <col min="3590" max="3595" width="0" style="26" hidden="1" customWidth="1"/>
    <col min="3596" max="3596" width="9.7109375" style="26" customWidth="1"/>
    <col min="3597" max="3835" width="11.42578125" style="26"/>
    <col min="3836" max="3836" width="18.140625" style="26" customWidth="1"/>
    <col min="3837" max="3837" width="7.85546875" style="26" bestFit="1" customWidth="1"/>
    <col min="3838" max="3838" width="7.28515625" style="26" bestFit="1" customWidth="1"/>
    <col min="3839" max="3840" width="7.28515625" style="26" customWidth="1"/>
    <col min="3841" max="3842" width="7.28515625" style="26" bestFit="1" customWidth="1"/>
    <col min="3843" max="3845" width="7.28515625" style="26" customWidth="1"/>
    <col min="3846" max="3851" width="0" style="26" hidden="1" customWidth="1"/>
    <col min="3852" max="3852" width="9.7109375" style="26" customWidth="1"/>
    <col min="3853" max="4091" width="11.42578125" style="26"/>
    <col min="4092" max="4092" width="18.140625" style="26" customWidth="1"/>
    <col min="4093" max="4093" width="7.85546875" style="26" bestFit="1" customWidth="1"/>
    <col min="4094" max="4094" width="7.28515625" style="26" bestFit="1" customWidth="1"/>
    <col min="4095" max="4096" width="7.28515625" style="26" customWidth="1"/>
    <col min="4097" max="4098" width="7.28515625" style="26" bestFit="1" customWidth="1"/>
    <col min="4099" max="4101" width="7.28515625" style="26" customWidth="1"/>
    <col min="4102" max="4107" width="0" style="26" hidden="1" customWidth="1"/>
    <col min="4108" max="4108" width="9.7109375" style="26" customWidth="1"/>
    <col min="4109" max="4347" width="11.42578125" style="26"/>
    <col min="4348" max="4348" width="18.140625" style="26" customWidth="1"/>
    <col min="4349" max="4349" width="7.85546875" style="26" bestFit="1" customWidth="1"/>
    <col min="4350" max="4350" width="7.28515625" style="26" bestFit="1" customWidth="1"/>
    <col min="4351" max="4352" width="7.28515625" style="26" customWidth="1"/>
    <col min="4353" max="4354" width="7.28515625" style="26" bestFit="1" customWidth="1"/>
    <col min="4355" max="4357" width="7.28515625" style="26" customWidth="1"/>
    <col min="4358" max="4363" width="0" style="26" hidden="1" customWidth="1"/>
    <col min="4364" max="4364" width="9.7109375" style="26" customWidth="1"/>
    <col min="4365" max="4603" width="11.42578125" style="26"/>
    <col min="4604" max="4604" width="18.140625" style="26" customWidth="1"/>
    <col min="4605" max="4605" width="7.85546875" style="26" bestFit="1" customWidth="1"/>
    <col min="4606" max="4606" width="7.28515625" style="26" bestFit="1" customWidth="1"/>
    <col min="4607" max="4608" width="7.28515625" style="26" customWidth="1"/>
    <col min="4609" max="4610" width="7.28515625" style="26" bestFit="1" customWidth="1"/>
    <col min="4611" max="4613" width="7.28515625" style="26" customWidth="1"/>
    <col min="4614" max="4619" width="0" style="26" hidden="1" customWidth="1"/>
    <col min="4620" max="4620" width="9.7109375" style="26" customWidth="1"/>
    <col min="4621" max="4859" width="11.42578125" style="26"/>
    <col min="4860" max="4860" width="18.140625" style="26" customWidth="1"/>
    <col min="4861" max="4861" width="7.85546875" style="26" bestFit="1" customWidth="1"/>
    <col min="4862" max="4862" width="7.28515625" style="26" bestFit="1" customWidth="1"/>
    <col min="4863" max="4864" width="7.28515625" style="26" customWidth="1"/>
    <col min="4865" max="4866" width="7.28515625" style="26" bestFit="1" customWidth="1"/>
    <col min="4867" max="4869" width="7.28515625" style="26" customWidth="1"/>
    <col min="4870" max="4875" width="0" style="26" hidden="1" customWidth="1"/>
    <col min="4876" max="4876" width="9.7109375" style="26" customWidth="1"/>
    <col min="4877" max="5115" width="11.42578125" style="26"/>
    <col min="5116" max="5116" width="18.140625" style="26" customWidth="1"/>
    <col min="5117" max="5117" width="7.85546875" style="26" bestFit="1" customWidth="1"/>
    <col min="5118" max="5118" width="7.28515625" style="26" bestFit="1" customWidth="1"/>
    <col min="5119" max="5120" width="7.28515625" style="26" customWidth="1"/>
    <col min="5121" max="5122" width="7.28515625" style="26" bestFit="1" customWidth="1"/>
    <col min="5123" max="5125" width="7.28515625" style="26" customWidth="1"/>
    <col min="5126" max="5131" width="0" style="26" hidden="1" customWidth="1"/>
    <col min="5132" max="5132" width="9.7109375" style="26" customWidth="1"/>
    <col min="5133" max="5371" width="11.42578125" style="26"/>
    <col min="5372" max="5372" width="18.140625" style="26" customWidth="1"/>
    <col min="5373" max="5373" width="7.85546875" style="26" bestFit="1" customWidth="1"/>
    <col min="5374" max="5374" width="7.28515625" style="26" bestFit="1" customWidth="1"/>
    <col min="5375" max="5376" width="7.28515625" style="26" customWidth="1"/>
    <col min="5377" max="5378" width="7.28515625" style="26" bestFit="1" customWidth="1"/>
    <col min="5379" max="5381" width="7.28515625" style="26" customWidth="1"/>
    <col min="5382" max="5387" width="0" style="26" hidden="1" customWidth="1"/>
    <col min="5388" max="5388" width="9.7109375" style="26" customWidth="1"/>
    <col min="5389" max="5627" width="11.42578125" style="26"/>
    <col min="5628" max="5628" width="18.140625" style="26" customWidth="1"/>
    <col min="5629" max="5629" width="7.85546875" style="26" bestFit="1" customWidth="1"/>
    <col min="5630" max="5630" width="7.28515625" style="26" bestFit="1" customWidth="1"/>
    <col min="5631" max="5632" width="7.28515625" style="26" customWidth="1"/>
    <col min="5633" max="5634" width="7.28515625" style="26" bestFit="1" customWidth="1"/>
    <col min="5635" max="5637" width="7.28515625" style="26" customWidth="1"/>
    <col min="5638" max="5643" width="0" style="26" hidden="1" customWidth="1"/>
    <col min="5644" max="5644" width="9.7109375" style="26" customWidth="1"/>
    <col min="5645" max="5883" width="11.42578125" style="26"/>
    <col min="5884" max="5884" width="18.140625" style="26" customWidth="1"/>
    <col min="5885" max="5885" width="7.85546875" style="26" bestFit="1" customWidth="1"/>
    <col min="5886" max="5886" width="7.28515625" style="26" bestFit="1" customWidth="1"/>
    <col min="5887" max="5888" width="7.28515625" style="26" customWidth="1"/>
    <col min="5889" max="5890" width="7.28515625" style="26" bestFit="1" customWidth="1"/>
    <col min="5891" max="5893" width="7.28515625" style="26" customWidth="1"/>
    <col min="5894" max="5899" width="0" style="26" hidden="1" customWidth="1"/>
    <col min="5900" max="5900" width="9.7109375" style="26" customWidth="1"/>
    <col min="5901" max="6139" width="11.42578125" style="26"/>
    <col min="6140" max="6140" width="18.140625" style="26" customWidth="1"/>
    <col min="6141" max="6141" width="7.85546875" style="26" bestFit="1" customWidth="1"/>
    <col min="6142" max="6142" width="7.28515625" style="26" bestFit="1" customWidth="1"/>
    <col min="6143" max="6144" width="7.28515625" style="26" customWidth="1"/>
    <col min="6145" max="6146" width="7.28515625" style="26" bestFit="1" customWidth="1"/>
    <col min="6147" max="6149" width="7.28515625" style="26" customWidth="1"/>
    <col min="6150" max="6155" width="0" style="26" hidden="1" customWidth="1"/>
    <col min="6156" max="6156" width="9.7109375" style="26" customWidth="1"/>
    <col min="6157" max="6395" width="11.42578125" style="26"/>
    <col min="6396" max="6396" width="18.140625" style="26" customWidth="1"/>
    <col min="6397" max="6397" width="7.85546875" style="26" bestFit="1" customWidth="1"/>
    <col min="6398" max="6398" width="7.28515625" style="26" bestFit="1" customWidth="1"/>
    <col min="6399" max="6400" width="7.28515625" style="26" customWidth="1"/>
    <col min="6401" max="6402" width="7.28515625" style="26" bestFit="1" customWidth="1"/>
    <col min="6403" max="6405" width="7.28515625" style="26" customWidth="1"/>
    <col min="6406" max="6411" width="0" style="26" hidden="1" customWidth="1"/>
    <col min="6412" max="6412" width="9.7109375" style="26" customWidth="1"/>
    <col min="6413" max="6651" width="11.42578125" style="26"/>
    <col min="6652" max="6652" width="18.140625" style="26" customWidth="1"/>
    <col min="6653" max="6653" width="7.85546875" style="26" bestFit="1" customWidth="1"/>
    <col min="6654" max="6654" width="7.28515625" style="26" bestFit="1" customWidth="1"/>
    <col min="6655" max="6656" width="7.28515625" style="26" customWidth="1"/>
    <col min="6657" max="6658" width="7.28515625" style="26" bestFit="1" customWidth="1"/>
    <col min="6659" max="6661" width="7.28515625" style="26" customWidth="1"/>
    <col min="6662" max="6667" width="0" style="26" hidden="1" customWidth="1"/>
    <col min="6668" max="6668" width="9.7109375" style="26" customWidth="1"/>
    <col min="6669" max="6907" width="11.42578125" style="26"/>
    <col min="6908" max="6908" width="18.140625" style="26" customWidth="1"/>
    <col min="6909" max="6909" width="7.85546875" style="26" bestFit="1" customWidth="1"/>
    <col min="6910" max="6910" width="7.28515625" style="26" bestFit="1" customWidth="1"/>
    <col min="6911" max="6912" width="7.28515625" style="26" customWidth="1"/>
    <col min="6913" max="6914" width="7.28515625" style="26" bestFit="1" customWidth="1"/>
    <col min="6915" max="6917" width="7.28515625" style="26" customWidth="1"/>
    <col min="6918" max="6923" width="0" style="26" hidden="1" customWidth="1"/>
    <col min="6924" max="6924" width="9.7109375" style="26" customWidth="1"/>
    <col min="6925" max="7163" width="11.42578125" style="26"/>
    <col min="7164" max="7164" width="18.140625" style="26" customWidth="1"/>
    <col min="7165" max="7165" width="7.85546875" style="26" bestFit="1" customWidth="1"/>
    <col min="7166" max="7166" width="7.28515625" style="26" bestFit="1" customWidth="1"/>
    <col min="7167" max="7168" width="7.28515625" style="26" customWidth="1"/>
    <col min="7169" max="7170" width="7.28515625" style="26" bestFit="1" customWidth="1"/>
    <col min="7171" max="7173" width="7.28515625" style="26" customWidth="1"/>
    <col min="7174" max="7179" width="0" style="26" hidden="1" customWidth="1"/>
    <col min="7180" max="7180" width="9.7109375" style="26" customWidth="1"/>
    <col min="7181" max="7419" width="11.42578125" style="26"/>
    <col min="7420" max="7420" width="18.140625" style="26" customWidth="1"/>
    <col min="7421" max="7421" width="7.85546875" style="26" bestFit="1" customWidth="1"/>
    <col min="7422" max="7422" width="7.28515625" style="26" bestFit="1" customWidth="1"/>
    <col min="7423" max="7424" width="7.28515625" style="26" customWidth="1"/>
    <col min="7425" max="7426" width="7.28515625" style="26" bestFit="1" customWidth="1"/>
    <col min="7427" max="7429" width="7.28515625" style="26" customWidth="1"/>
    <col min="7430" max="7435" width="0" style="26" hidden="1" customWidth="1"/>
    <col min="7436" max="7436" width="9.7109375" style="26" customWidth="1"/>
    <col min="7437" max="7675" width="11.42578125" style="26"/>
    <col min="7676" max="7676" width="18.140625" style="26" customWidth="1"/>
    <col min="7677" max="7677" width="7.85546875" style="26" bestFit="1" customWidth="1"/>
    <col min="7678" max="7678" width="7.28515625" style="26" bestFit="1" customWidth="1"/>
    <col min="7679" max="7680" width="7.28515625" style="26" customWidth="1"/>
    <col min="7681" max="7682" width="7.28515625" style="26" bestFit="1" customWidth="1"/>
    <col min="7683" max="7685" width="7.28515625" style="26" customWidth="1"/>
    <col min="7686" max="7691" width="0" style="26" hidden="1" customWidth="1"/>
    <col min="7692" max="7692" width="9.7109375" style="26" customWidth="1"/>
    <col min="7693" max="7931" width="11.42578125" style="26"/>
    <col min="7932" max="7932" width="18.140625" style="26" customWidth="1"/>
    <col min="7933" max="7933" width="7.85546875" style="26" bestFit="1" customWidth="1"/>
    <col min="7934" max="7934" width="7.28515625" style="26" bestFit="1" customWidth="1"/>
    <col min="7935" max="7936" width="7.28515625" style="26" customWidth="1"/>
    <col min="7937" max="7938" width="7.28515625" style="26" bestFit="1" customWidth="1"/>
    <col min="7939" max="7941" width="7.28515625" style="26" customWidth="1"/>
    <col min="7942" max="7947" width="0" style="26" hidden="1" customWidth="1"/>
    <col min="7948" max="7948" width="9.7109375" style="26" customWidth="1"/>
    <col min="7949" max="8187" width="11.42578125" style="26"/>
    <col min="8188" max="8188" width="18.140625" style="26" customWidth="1"/>
    <col min="8189" max="8189" width="7.85546875" style="26" bestFit="1" customWidth="1"/>
    <col min="8190" max="8190" width="7.28515625" style="26" bestFit="1" customWidth="1"/>
    <col min="8191" max="8192" width="7.28515625" style="26" customWidth="1"/>
    <col min="8193" max="8194" width="7.28515625" style="26" bestFit="1" customWidth="1"/>
    <col min="8195" max="8197" width="7.28515625" style="26" customWidth="1"/>
    <col min="8198" max="8203" width="0" style="26" hidden="1" customWidth="1"/>
    <col min="8204" max="8204" width="9.7109375" style="26" customWidth="1"/>
    <col min="8205" max="8443" width="11.42578125" style="26"/>
    <col min="8444" max="8444" width="18.140625" style="26" customWidth="1"/>
    <col min="8445" max="8445" width="7.85546875" style="26" bestFit="1" customWidth="1"/>
    <col min="8446" max="8446" width="7.28515625" style="26" bestFit="1" customWidth="1"/>
    <col min="8447" max="8448" width="7.28515625" style="26" customWidth="1"/>
    <col min="8449" max="8450" width="7.28515625" style="26" bestFit="1" customWidth="1"/>
    <col min="8451" max="8453" width="7.28515625" style="26" customWidth="1"/>
    <col min="8454" max="8459" width="0" style="26" hidden="1" customWidth="1"/>
    <col min="8460" max="8460" width="9.7109375" style="26" customWidth="1"/>
    <col min="8461" max="8699" width="11.42578125" style="26"/>
    <col min="8700" max="8700" width="18.140625" style="26" customWidth="1"/>
    <col min="8701" max="8701" width="7.85546875" style="26" bestFit="1" customWidth="1"/>
    <col min="8702" max="8702" width="7.28515625" style="26" bestFit="1" customWidth="1"/>
    <col min="8703" max="8704" width="7.28515625" style="26" customWidth="1"/>
    <col min="8705" max="8706" width="7.28515625" style="26" bestFit="1" customWidth="1"/>
    <col min="8707" max="8709" width="7.28515625" style="26" customWidth="1"/>
    <col min="8710" max="8715" width="0" style="26" hidden="1" customWidth="1"/>
    <col min="8716" max="8716" width="9.7109375" style="26" customWidth="1"/>
    <col min="8717" max="8955" width="11.42578125" style="26"/>
    <col min="8956" max="8956" width="18.140625" style="26" customWidth="1"/>
    <col min="8957" max="8957" width="7.85546875" style="26" bestFit="1" customWidth="1"/>
    <col min="8958" max="8958" width="7.28515625" style="26" bestFit="1" customWidth="1"/>
    <col min="8959" max="8960" width="7.28515625" style="26" customWidth="1"/>
    <col min="8961" max="8962" width="7.28515625" style="26" bestFit="1" customWidth="1"/>
    <col min="8963" max="8965" width="7.28515625" style="26" customWidth="1"/>
    <col min="8966" max="8971" width="0" style="26" hidden="1" customWidth="1"/>
    <col min="8972" max="8972" width="9.7109375" style="26" customWidth="1"/>
    <col min="8973" max="9211" width="11.42578125" style="26"/>
    <col min="9212" max="9212" width="18.140625" style="26" customWidth="1"/>
    <col min="9213" max="9213" width="7.85546875" style="26" bestFit="1" customWidth="1"/>
    <col min="9214" max="9214" width="7.28515625" style="26" bestFit="1" customWidth="1"/>
    <col min="9215" max="9216" width="7.28515625" style="26" customWidth="1"/>
    <col min="9217" max="9218" width="7.28515625" style="26" bestFit="1" customWidth="1"/>
    <col min="9219" max="9221" width="7.28515625" style="26" customWidth="1"/>
    <col min="9222" max="9227" width="0" style="26" hidden="1" customWidth="1"/>
    <col min="9228" max="9228" width="9.7109375" style="26" customWidth="1"/>
    <col min="9229" max="9467" width="11.42578125" style="26"/>
    <col min="9468" max="9468" width="18.140625" style="26" customWidth="1"/>
    <col min="9469" max="9469" width="7.85546875" style="26" bestFit="1" customWidth="1"/>
    <col min="9470" max="9470" width="7.28515625" style="26" bestFit="1" customWidth="1"/>
    <col min="9471" max="9472" width="7.28515625" style="26" customWidth="1"/>
    <col min="9473" max="9474" width="7.28515625" style="26" bestFit="1" customWidth="1"/>
    <col min="9475" max="9477" width="7.28515625" style="26" customWidth="1"/>
    <col min="9478" max="9483" width="0" style="26" hidden="1" customWidth="1"/>
    <col min="9484" max="9484" width="9.7109375" style="26" customWidth="1"/>
    <col min="9485" max="9723" width="11.42578125" style="26"/>
    <col min="9724" max="9724" width="18.140625" style="26" customWidth="1"/>
    <col min="9725" max="9725" width="7.85546875" style="26" bestFit="1" customWidth="1"/>
    <col min="9726" max="9726" width="7.28515625" style="26" bestFit="1" customWidth="1"/>
    <col min="9727" max="9728" width="7.28515625" style="26" customWidth="1"/>
    <col min="9729" max="9730" width="7.28515625" style="26" bestFit="1" customWidth="1"/>
    <col min="9731" max="9733" width="7.28515625" style="26" customWidth="1"/>
    <col min="9734" max="9739" width="0" style="26" hidden="1" customWidth="1"/>
    <col min="9740" max="9740" width="9.7109375" style="26" customWidth="1"/>
    <col min="9741" max="9979" width="11.42578125" style="26"/>
    <col min="9980" max="9980" width="18.140625" style="26" customWidth="1"/>
    <col min="9981" max="9981" width="7.85546875" style="26" bestFit="1" customWidth="1"/>
    <col min="9982" max="9982" width="7.28515625" style="26" bestFit="1" customWidth="1"/>
    <col min="9983" max="9984" width="7.28515625" style="26" customWidth="1"/>
    <col min="9985" max="9986" width="7.28515625" style="26" bestFit="1" customWidth="1"/>
    <col min="9987" max="9989" width="7.28515625" style="26" customWidth="1"/>
    <col min="9990" max="9995" width="0" style="26" hidden="1" customWidth="1"/>
    <col min="9996" max="9996" width="9.7109375" style="26" customWidth="1"/>
    <col min="9997" max="10235" width="11.42578125" style="26"/>
    <col min="10236" max="10236" width="18.140625" style="26" customWidth="1"/>
    <col min="10237" max="10237" width="7.85546875" style="26" bestFit="1" customWidth="1"/>
    <col min="10238" max="10238" width="7.28515625" style="26" bestFit="1" customWidth="1"/>
    <col min="10239" max="10240" width="7.28515625" style="26" customWidth="1"/>
    <col min="10241" max="10242" width="7.28515625" style="26" bestFit="1" customWidth="1"/>
    <col min="10243" max="10245" width="7.28515625" style="26" customWidth="1"/>
    <col min="10246" max="10251" width="0" style="26" hidden="1" customWidth="1"/>
    <col min="10252" max="10252" width="9.7109375" style="26" customWidth="1"/>
    <col min="10253" max="10491" width="11.42578125" style="26"/>
    <col min="10492" max="10492" width="18.140625" style="26" customWidth="1"/>
    <col min="10493" max="10493" width="7.85546875" style="26" bestFit="1" customWidth="1"/>
    <col min="10494" max="10494" width="7.28515625" style="26" bestFit="1" customWidth="1"/>
    <col min="10495" max="10496" width="7.28515625" style="26" customWidth="1"/>
    <col min="10497" max="10498" width="7.28515625" style="26" bestFit="1" customWidth="1"/>
    <col min="10499" max="10501" width="7.28515625" style="26" customWidth="1"/>
    <col min="10502" max="10507" width="0" style="26" hidden="1" customWidth="1"/>
    <col min="10508" max="10508" width="9.7109375" style="26" customWidth="1"/>
    <col min="10509" max="10747" width="11.42578125" style="26"/>
    <col min="10748" max="10748" width="18.140625" style="26" customWidth="1"/>
    <col min="10749" max="10749" width="7.85546875" style="26" bestFit="1" customWidth="1"/>
    <col min="10750" max="10750" width="7.28515625" style="26" bestFit="1" customWidth="1"/>
    <col min="10751" max="10752" width="7.28515625" style="26" customWidth="1"/>
    <col min="10753" max="10754" width="7.28515625" style="26" bestFit="1" customWidth="1"/>
    <col min="10755" max="10757" width="7.28515625" style="26" customWidth="1"/>
    <col min="10758" max="10763" width="0" style="26" hidden="1" customWidth="1"/>
    <col min="10764" max="10764" width="9.7109375" style="26" customWidth="1"/>
    <col min="10765" max="11003" width="11.42578125" style="26"/>
    <col min="11004" max="11004" width="18.140625" style="26" customWidth="1"/>
    <col min="11005" max="11005" width="7.85546875" style="26" bestFit="1" customWidth="1"/>
    <col min="11006" max="11006" width="7.28515625" style="26" bestFit="1" customWidth="1"/>
    <col min="11007" max="11008" width="7.28515625" style="26" customWidth="1"/>
    <col min="11009" max="11010" width="7.28515625" style="26" bestFit="1" customWidth="1"/>
    <col min="11011" max="11013" width="7.28515625" style="26" customWidth="1"/>
    <col min="11014" max="11019" width="0" style="26" hidden="1" customWidth="1"/>
    <col min="11020" max="11020" width="9.7109375" style="26" customWidth="1"/>
    <col min="11021" max="11259" width="11.42578125" style="26"/>
    <col min="11260" max="11260" width="18.140625" style="26" customWidth="1"/>
    <col min="11261" max="11261" width="7.85546875" style="26" bestFit="1" customWidth="1"/>
    <col min="11262" max="11262" width="7.28515625" style="26" bestFit="1" customWidth="1"/>
    <col min="11263" max="11264" width="7.28515625" style="26" customWidth="1"/>
    <col min="11265" max="11266" width="7.28515625" style="26" bestFit="1" customWidth="1"/>
    <col min="11267" max="11269" width="7.28515625" style="26" customWidth="1"/>
    <col min="11270" max="11275" width="0" style="26" hidden="1" customWidth="1"/>
    <col min="11276" max="11276" width="9.7109375" style="26" customWidth="1"/>
    <col min="11277" max="11515" width="11.42578125" style="26"/>
    <col min="11516" max="11516" width="18.140625" style="26" customWidth="1"/>
    <col min="11517" max="11517" width="7.85546875" style="26" bestFit="1" customWidth="1"/>
    <col min="11518" max="11518" width="7.28515625" style="26" bestFit="1" customWidth="1"/>
    <col min="11519" max="11520" width="7.28515625" style="26" customWidth="1"/>
    <col min="11521" max="11522" width="7.28515625" style="26" bestFit="1" customWidth="1"/>
    <col min="11523" max="11525" width="7.28515625" style="26" customWidth="1"/>
    <col min="11526" max="11531" width="0" style="26" hidden="1" customWidth="1"/>
    <col min="11532" max="11532" width="9.7109375" style="26" customWidth="1"/>
    <col min="11533" max="11771" width="11.42578125" style="26"/>
    <col min="11772" max="11772" width="18.140625" style="26" customWidth="1"/>
    <col min="11773" max="11773" width="7.85546875" style="26" bestFit="1" customWidth="1"/>
    <col min="11774" max="11774" width="7.28515625" style="26" bestFit="1" customWidth="1"/>
    <col min="11775" max="11776" width="7.28515625" style="26" customWidth="1"/>
    <col min="11777" max="11778" width="7.28515625" style="26" bestFit="1" customWidth="1"/>
    <col min="11779" max="11781" width="7.28515625" style="26" customWidth="1"/>
    <col min="11782" max="11787" width="0" style="26" hidden="1" customWidth="1"/>
    <col min="11788" max="11788" width="9.7109375" style="26" customWidth="1"/>
    <col min="11789" max="12027" width="11.42578125" style="26"/>
    <col min="12028" max="12028" width="18.140625" style="26" customWidth="1"/>
    <col min="12029" max="12029" width="7.85546875" style="26" bestFit="1" customWidth="1"/>
    <col min="12030" max="12030" width="7.28515625" style="26" bestFit="1" customWidth="1"/>
    <col min="12031" max="12032" width="7.28515625" style="26" customWidth="1"/>
    <col min="12033" max="12034" width="7.28515625" style="26" bestFit="1" customWidth="1"/>
    <col min="12035" max="12037" width="7.28515625" style="26" customWidth="1"/>
    <col min="12038" max="12043" width="0" style="26" hidden="1" customWidth="1"/>
    <col min="12044" max="12044" width="9.7109375" style="26" customWidth="1"/>
    <col min="12045" max="12283" width="11.42578125" style="26"/>
    <col min="12284" max="12284" width="18.140625" style="26" customWidth="1"/>
    <col min="12285" max="12285" width="7.85546875" style="26" bestFit="1" customWidth="1"/>
    <col min="12286" max="12286" width="7.28515625" style="26" bestFit="1" customWidth="1"/>
    <col min="12287" max="12288" width="7.28515625" style="26" customWidth="1"/>
    <col min="12289" max="12290" width="7.28515625" style="26" bestFit="1" customWidth="1"/>
    <col min="12291" max="12293" width="7.28515625" style="26" customWidth="1"/>
    <col min="12294" max="12299" width="0" style="26" hidden="1" customWidth="1"/>
    <col min="12300" max="12300" width="9.7109375" style="26" customWidth="1"/>
    <col min="12301" max="12539" width="11.42578125" style="26"/>
    <col min="12540" max="12540" width="18.140625" style="26" customWidth="1"/>
    <col min="12541" max="12541" width="7.85546875" style="26" bestFit="1" customWidth="1"/>
    <col min="12542" max="12542" width="7.28515625" style="26" bestFit="1" customWidth="1"/>
    <col min="12543" max="12544" width="7.28515625" style="26" customWidth="1"/>
    <col min="12545" max="12546" width="7.28515625" style="26" bestFit="1" customWidth="1"/>
    <col min="12547" max="12549" width="7.28515625" style="26" customWidth="1"/>
    <col min="12550" max="12555" width="0" style="26" hidden="1" customWidth="1"/>
    <col min="12556" max="12556" width="9.7109375" style="26" customWidth="1"/>
    <col min="12557" max="12795" width="11.42578125" style="26"/>
    <col min="12796" max="12796" width="18.140625" style="26" customWidth="1"/>
    <col min="12797" max="12797" width="7.85546875" style="26" bestFit="1" customWidth="1"/>
    <col min="12798" max="12798" width="7.28515625" style="26" bestFit="1" customWidth="1"/>
    <col min="12799" max="12800" width="7.28515625" style="26" customWidth="1"/>
    <col min="12801" max="12802" width="7.28515625" style="26" bestFit="1" customWidth="1"/>
    <col min="12803" max="12805" width="7.28515625" style="26" customWidth="1"/>
    <col min="12806" max="12811" width="0" style="26" hidden="1" customWidth="1"/>
    <col min="12812" max="12812" width="9.7109375" style="26" customWidth="1"/>
    <col min="12813" max="13051" width="11.42578125" style="26"/>
    <col min="13052" max="13052" width="18.140625" style="26" customWidth="1"/>
    <col min="13053" max="13053" width="7.85546875" style="26" bestFit="1" customWidth="1"/>
    <col min="13054" max="13054" width="7.28515625" style="26" bestFit="1" customWidth="1"/>
    <col min="13055" max="13056" width="7.28515625" style="26" customWidth="1"/>
    <col min="13057" max="13058" width="7.28515625" style="26" bestFit="1" customWidth="1"/>
    <col min="13059" max="13061" width="7.28515625" style="26" customWidth="1"/>
    <col min="13062" max="13067" width="0" style="26" hidden="1" customWidth="1"/>
    <col min="13068" max="13068" width="9.7109375" style="26" customWidth="1"/>
    <col min="13069" max="13307" width="11.42578125" style="26"/>
    <col min="13308" max="13308" width="18.140625" style="26" customWidth="1"/>
    <col min="13309" max="13309" width="7.85546875" style="26" bestFit="1" customWidth="1"/>
    <col min="13310" max="13310" width="7.28515625" style="26" bestFit="1" customWidth="1"/>
    <col min="13311" max="13312" width="7.28515625" style="26" customWidth="1"/>
    <col min="13313" max="13314" width="7.28515625" style="26" bestFit="1" customWidth="1"/>
    <col min="13315" max="13317" width="7.28515625" style="26" customWidth="1"/>
    <col min="13318" max="13323" width="0" style="26" hidden="1" customWidth="1"/>
    <col min="13324" max="13324" width="9.7109375" style="26" customWidth="1"/>
    <col min="13325" max="13563" width="11.42578125" style="26"/>
    <col min="13564" max="13564" width="18.140625" style="26" customWidth="1"/>
    <col min="13565" max="13565" width="7.85546875" style="26" bestFit="1" customWidth="1"/>
    <col min="13566" max="13566" width="7.28515625" style="26" bestFit="1" customWidth="1"/>
    <col min="13567" max="13568" width="7.28515625" style="26" customWidth="1"/>
    <col min="13569" max="13570" width="7.28515625" style="26" bestFit="1" customWidth="1"/>
    <col min="13571" max="13573" width="7.28515625" style="26" customWidth="1"/>
    <col min="13574" max="13579" width="0" style="26" hidden="1" customWidth="1"/>
    <col min="13580" max="13580" width="9.7109375" style="26" customWidth="1"/>
    <col min="13581" max="13819" width="11.42578125" style="26"/>
    <col min="13820" max="13820" width="18.140625" style="26" customWidth="1"/>
    <col min="13821" max="13821" width="7.85546875" style="26" bestFit="1" customWidth="1"/>
    <col min="13822" max="13822" width="7.28515625" style="26" bestFit="1" customWidth="1"/>
    <col min="13823" max="13824" width="7.28515625" style="26" customWidth="1"/>
    <col min="13825" max="13826" width="7.28515625" style="26" bestFit="1" customWidth="1"/>
    <col min="13827" max="13829" width="7.28515625" style="26" customWidth="1"/>
    <col min="13830" max="13835" width="0" style="26" hidden="1" customWidth="1"/>
    <col min="13836" max="13836" width="9.7109375" style="26" customWidth="1"/>
    <col min="13837" max="14075" width="11.42578125" style="26"/>
    <col min="14076" max="14076" width="18.140625" style="26" customWidth="1"/>
    <col min="14077" max="14077" width="7.85546875" style="26" bestFit="1" customWidth="1"/>
    <col min="14078" max="14078" width="7.28515625" style="26" bestFit="1" customWidth="1"/>
    <col min="14079" max="14080" width="7.28515625" style="26" customWidth="1"/>
    <col min="14081" max="14082" width="7.28515625" style="26" bestFit="1" customWidth="1"/>
    <col min="14083" max="14085" width="7.28515625" style="26" customWidth="1"/>
    <col min="14086" max="14091" width="0" style="26" hidden="1" customWidth="1"/>
    <col min="14092" max="14092" width="9.7109375" style="26" customWidth="1"/>
    <col min="14093" max="14331" width="11.42578125" style="26"/>
    <col min="14332" max="14332" width="18.140625" style="26" customWidth="1"/>
    <col min="14333" max="14333" width="7.85546875" style="26" bestFit="1" customWidth="1"/>
    <col min="14334" max="14334" width="7.28515625" style="26" bestFit="1" customWidth="1"/>
    <col min="14335" max="14336" width="7.28515625" style="26" customWidth="1"/>
    <col min="14337" max="14338" width="7.28515625" style="26" bestFit="1" customWidth="1"/>
    <col min="14339" max="14341" width="7.28515625" style="26" customWidth="1"/>
    <col min="14342" max="14347" width="0" style="26" hidden="1" customWidth="1"/>
    <col min="14348" max="14348" width="9.7109375" style="26" customWidth="1"/>
    <col min="14349" max="14587" width="11.42578125" style="26"/>
    <col min="14588" max="14588" width="18.140625" style="26" customWidth="1"/>
    <col min="14589" max="14589" width="7.85546875" style="26" bestFit="1" customWidth="1"/>
    <col min="14590" max="14590" width="7.28515625" style="26" bestFit="1" customWidth="1"/>
    <col min="14591" max="14592" width="7.28515625" style="26" customWidth="1"/>
    <col min="14593" max="14594" width="7.28515625" style="26" bestFit="1" customWidth="1"/>
    <col min="14595" max="14597" width="7.28515625" style="26" customWidth="1"/>
    <col min="14598" max="14603" width="0" style="26" hidden="1" customWidth="1"/>
    <col min="14604" max="14604" width="9.7109375" style="26" customWidth="1"/>
    <col min="14605" max="14843" width="11.42578125" style="26"/>
    <col min="14844" max="14844" width="18.140625" style="26" customWidth="1"/>
    <col min="14845" max="14845" width="7.85546875" style="26" bestFit="1" customWidth="1"/>
    <col min="14846" max="14846" width="7.28515625" style="26" bestFit="1" customWidth="1"/>
    <col min="14847" max="14848" width="7.28515625" style="26" customWidth="1"/>
    <col min="14849" max="14850" width="7.28515625" style="26" bestFit="1" customWidth="1"/>
    <col min="14851" max="14853" width="7.28515625" style="26" customWidth="1"/>
    <col min="14854" max="14859" width="0" style="26" hidden="1" customWidth="1"/>
    <col min="14860" max="14860" width="9.7109375" style="26" customWidth="1"/>
    <col min="14861" max="15099" width="11.42578125" style="26"/>
    <col min="15100" max="15100" width="18.140625" style="26" customWidth="1"/>
    <col min="15101" max="15101" width="7.85546875" style="26" bestFit="1" customWidth="1"/>
    <col min="15102" max="15102" width="7.28515625" style="26" bestFit="1" customWidth="1"/>
    <col min="15103" max="15104" width="7.28515625" style="26" customWidth="1"/>
    <col min="15105" max="15106" width="7.28515625" style="26" bestFit="1" customWidth="1"/>
    <col min="15107" max="15109" width="7.28515625" style="26" customWidth="1"/>
    <col min="15110" max="15115" width="0" style="26" hidden="1" customWidth="1"/>
    <col min="15116" max="15116" width="9.7109375" style="26" customWidth="1"/>
    <col min="15117" max="15355" width="11.42578125" style="26"/>
    <col min="15356" max="15356" width="18.140625" style="26" customWidth="1"/>
    <col min="15357" max="15357" width="7.85546875" style="26" bestFit="1" customWidth="1"/>
    <col min="15358" max="15358" width="7.28515625" style="26" bestFit="1" customWidth="1"/>
    <col min="15359" max="15360" width="7.28515625" style="26" customWidth="1"/>
    <col min="15361" max="15362" width="7.28515625" style="26" bestFit="1" customWidth="1"/>
    <col min="15363" max="15365" width="7.28515625" style="26" customWidth="1"/>
    <col min="15366" max="15371" width="0" style="26" hidden="1" customWidth="1"/>
    <col min="15372" max="15372" width="9.7109375" style="26" customWidth="1"/>
    <col min="15373" max="15611" width="11.42578125" style="26"/>
    <col min="15612" max="15612" width="18.140625" style="26" customWidth="1"/>
    <col min="15613" max="15613" width="7.85546875" style="26" bestFit="1" customWidth="1"/>
    <col min="15614" max="15614" width="7.28515625" style="26" bestFit="1" customWidth="1"/>
    <col min="15615" max="15616" width="7.28515625" style="26" customWidth="1"/>
    <col min="15617" max="15618" width="7.28515625" style="26" bestFit="1" customWidth="1"/>
    <col min="15619" max="15621" width="7.28515625" style="26" customWidth="1"/>
    <col min="15622" max="15627" width="0" style="26" hidden="1" customWidth="1"/>
    <col min="15628" max="15628" width="9.7109375" style="26" customWidth="1"/>
    <col min="15629" max="15867" width="11.42578125" style="26"/>
    <col min="15868" max="15868" width="18.140625" style="26" customWidth="1"/>
    <col min="15869" max="15869" width="7.85546875" style="26" bestFit="1" customWidth="1"/>
    <col min="15870" max="15870" width="7.28515625" style="26" bestFit="1" customWidth="1"/>
    <col min="15871" max="15872" width="7.28515625" style="26" customWidth="1"/>
    <col min="15873" max="15874" width="7.28515625" style="26" bestFit="1" customWidth="1"/>
    <col min="15875" max="15877" width="7.28515625" style="26" customWidth="1"/>
    <col min="15878" max="15883" width="0" style="26" hidden="1" customWidth="1"/>
    <col min="15884" max="15884" width="9.7109375" style="26" customWidth="1"/>
    <col min="15885" max="16123" width="11.42578125" style="26"/>
    <col min="16124" max="16124" width="18.140625" style="26" customWidth="1"/>
    <col min="16125" max="16125" width="7.85546875" style="26" bestFit="1" customWidth="1"/>
    <col min="16126" max="16126" width="7.28515625" style="26" bestFit="1" customWidth="1"/>
    <col min="16127" max="16128" width="7.28515625" style="26" customWidth="1"/>
    <col min="16129" max="16130" width="7.28515625" style="26" bestFit="1" customWidth="1"/>
    <col min="16131" max="16133" width="7.28515625" style="26" customWidth="1"/>
    <col min="16134" max="16139" width="0" style="26" hidden="1" customWidth="1"/>
    <col min="16140" max="16140" width="9.7109375" style="26" customWidth="1"/>
    <col min="16141" max="16384" width="11.42578125" style="26"/>
  </cols>
  <sheetData>
    <row r="1" spans="1:16" s="27" customFormat="1" x14ac:dyDescent="0.2"/>
    <row r="2" spans="1:16" s="27" customFormat="1" x14ac:dyDescent="0.2">
      <c r="A2" s="47" t="s">
        <v>101</v>
      </c>
    </row>
    <row r="3" spans="1:16" s="27" customFormat="1" ht="15" x14ac:dyDescent="0.25">
      <c r="A3" s="47" t="s">
        <v>102</v>
      </c>
      <c r="J3" s="95"/>
    </row>
    <row r="4" spans="1:16" s="27" customFormat="1" x14ac:dyDescent="0.2"/>
    <row r="5" spans="1:16" s="27" customFormat="1" ht="12.75" x14ac:dyDescent="0.2">
      <c r="B5" s="369" t="s">
        <v>573</v>
      </c>
      <c r="C5" s="369"/>
      <c r="D5" s="369"/>
      <c r="E5" s="369"/>
      <c r="F5" s="369"/>
      <c r="G5" s="369"/>
      <c r="H5" s="369"/>
      <c r="I5" s="369"/>
      <c r="J5" s="369"/>
      <c r="K5" s="369"/>
      <c r="M5" s="122" t="s">
        <v>566</v>
      </c>
      <c r="O5" s="96"/>
    </row>
    <row r="6" spans="1:16" s="27" customFormat="1" ht="12.75" x14ac:dyDescent="0.2">
      <c r="B6" s="385" t="str">
        <f>'Solicitudes Regiones'!$B$6:$R$6</f>
        <v>Acumuladas de julio de 2008 a diciembre de 2021</v>
      </c>
      <c r="C6" s="385"/>
      <c r="D6" s="385"/>
      <c r="E6" s="385"/>
      <c r="F6" s="385"/>
      <c r="G6" s="385"/>
      <c r="H6" s="385"/>
      <c r="I6" s="385"/>
      <c r="J6" s="385"/>
      <c r="K6" s="385"/>
      <c r="L6" s="56"/>
    </row>
    <row r="7" spans="1:16" s="30" customFormat="1" x14ac:dyDescent="0.2">
      <c r="B7" s="28"/>
      <c r="C7" s="29"/>
      <c r="D7" s="29"/>
      <c r="E7" s="29"/>
      <c r="F7" s="29"/>
      <c r="G7" s="29"/>
      <c r="H7" s="29"/>
      <c r="I7" s="29"/>
      <c r="J7" s="29"/>
      <c r="K7" s="29"/>
      <c r="L7" s="29"/>
    </row>
    <row r="8" spans="1:16" ht="15" customHeight="1" x14ac:dyDescent="0.2">
      <c r="B8" s="399" t="s">
        <v>55</v>
      </c>
      <c r="C8" s="399"/>
      <c r="D8" s="399"/>
      <c r="E8" s="399"/>
      <c r="F8" s="399"/>
      <c r="G8" s="399"/>
      <c r="H8" s="399"/>
      <c r="I8" s="399"/>
      <c r="J8" s="399"/>
      <c r="K8" s="399"/>
      <c r="L8" s="399"/>
      <c r="M8" s="399"/>
    </row>
    <row r="9" spans="1:16" ht="20.25" customHeight="1" x14ac:dyDescent="0.2">
      <c r="B9" s="399" t="s">
        <v>56</v>
      </c>
      <c r="C9" s="397" t="s">
        <v>2</v>
      </c>
      <c r="D9" s="400"/>
      <c r="E9" s="400"/>
      <c r="F9" s="400"/>
      <c r="G9" s="400"/>
      <c r="H9" s="400"/>
      <c r="I9" s="400"/>
      <c r="J9" s="400"/>
      <c r="K9" s="398"/>
      <c r="L9" s="397"/>
      <c r="M9" s="398"/>
    </row>
    <row r="10" spans="1:16" ht="24" x14ac:dyDescent="0.2">
      <c r="B10" s="399"/>
      <c r="C10" s="23" t="s">
        <v>57</v>
      </c>
      <c r="D10" s="23" t="s">
        <v>58</v>
      </c>
      <c r="E10" s="23" t="s">
        <v>59</v>
      </c>
      <c r="F10" s="23" t="s">
        <v>60</v>
      </c>
      <c r="G10" s="23" t="s">
        <v>8</v>
      </c>
      <c r="H10" s="23" t="s">
        <v>61</v>
      </c>
      <c r="I10" s="23" t="s">
        <v>62</v>
      </c>
      <c r="J10" s="23" t="s">
        <v>63</v>
      </c>
      <c r="K10" s="261" t="s">
        <v>31</v>
      </c>
      <c r="L10" s="261" t="s">
        <v>584</v>
      </c>
      <c r="M10" s="261" t="s">
        <v>587</v>
      </c>
    </row>
    <row r="11" spans="1:16" ht="12" customHeight="1" x14ac:dyDescent="0.2">
      <c r="B11" s="18" t="s">
        <v>290</v>
      </c>
      <c r="C11" s="18">
        <v>6413</v>
      </c>
      <c r="D11" s="18">
        <v>6695</v>
      </c>
      <c r="E11" s="18">
        <f>C11+D11</f>
        <v>13108</v>
      </c>
      <c r="F11" s="19">
        <f t="shared" ref="F11:F32" si="0">E11/$E$32</f>
        <v>0.29927623918354301</v>
      </c>
      <c r="G11" s="18">
        <v>21695</v>
      </c>
      <c r="H11" s="18">
        <v>2414</v>
      </c>
      <c r="I11" s="18">
        <f>G11+H11</f>
        <v>24109</v>
      </c>
      <c r="J11" s="19">
        <f t="shared" ref="J11:J32" si="1">I11/$I$32</f>
        <v>0.39517120424855351</v>
      </c>
      <c r="K11" s="18">
        <f t="shared" ref="K11:K32" si="2">E11+I11</f>
        <v>37217</v>
      </c>
      <c r="L11" s="18">
        <v>19</v>
      </c>
      <c r="M11" s="18">
        <f>K11+L11</f>
        <v>37236</v>
      </c>
      <c r="P11" s="31"/>
    </row>
    <row r="12" spans="1:16" x14ac:dyDescent="0.2">
      <c r="B12" s="18" t="s">
        <v>291</v>
      </c>
      <c r="C12" s="18">
        <v>905</v>
      </c>
      <c r="D12" s="18">
        <v>1041</v>
      </c>
      <c r="E12" s="18">
        <f t="shared" ref="E12:E32" si="3">C12+D12</f>
        <v>1946</v>
      </c>
      <c r="F12" s="19">
        <f t="shared" si="0"/>
        <v>4.4430238133290716E-2</v>
      </c>
      <c r="G12" s="18">
        <v>2791</v>
      </c>
      <c r="H12" s="18">
        <v>240</v>
      </c>
      <c r="I12" s="18">
        <f t="shared" ref="I12:I32" si="4">G12+H12</f>
        <v>3031</v>
      </c>
      <c r="J12" s="19">
        <f t="shared" si="1"/>
        <v>4.9681194577849169E-2</v>
      </c>
      <c r="K12" s="18">
        <f t="shared" si="2"/>
        <v>4977</v>
      </c>
      <c r="L12" s="18">
        <v>2</v>
      </c>
      <c r="M12" s="18">
        <f t="shared" ref="M12:M32" si="5">K12+L12</f>
        <v>4979</v>
      </c>
      <c r="P12" s="31"/>
    </row>
    <row r="13" spans="1:16" x14ac:dyDescent="0.2">
      <c r="B13" s="18" t="s">
        <v>269</v>
      </c>
      <c r="C13" s="18">
        <v>768</v>
      </c>
      <c r="D13" s="18">
        <v>834</v>
      </c>
      <c r="E13" s="18">
        <f t="shared" si="3"/>
        <v>1602</v>
      </c>
      <c r="F13" s="19">
        <f t="shared" si="0"/>
        <v>3.6576177538299962E-2</v>
      </c>
      <c r="G13" s="18">
        <v>2250</v>
      </c>
      <c r="H13" s="18">
        <v>292</v>
      </c>
      <c r="I13" s="18">
        <f t="shared" si="4"/>
        <v>2542</v>
      </c>
      <c r="J13" s="19">
        <f t="shared" si="1"/>
        <v>4.1665983707321871E-2</v>
      </c>
      <c r="K13" s="18">
        <f t="shared" si="2"/>
        <v>4144</v>
      </c>
      <c r="L13" s="18">
        <v>1</v>
      </c>
      <c r="M13" s="18">
        <f t="shared" si="5"/>
        <v>4145</v>
      </c>
      <c r="P13" s="31"/>
    </row>
    <row r="14" spans="1:16" x14ac:dyDescent="0.2">
      <c r="B14" s="18" t="s">
        <v>294</v>
      </c>
      <c r="C14" s="18">
        <v>769</v>
      </c>
      <c r="D14" s="18">
        <v>1160</v>
      </c>
      <c r="E14" s="18">
        <f t="shared" si="3"/>
        <v>1929</v>
      </c>
      <c r="F14" s="19">
        <f t="shared" si="0"/>
        <v>4.4042101417840589E-2</v>
      </c>
      <c r="G14" s="18">
        <v>1068</v>
      </c>
      <c r="H14" s="18">
        <v>187</v>
      </c>
      <c r="I14" s="18">
        <f t="shared" si="4"/>
        <v>1255</v>
      </c>
      <c r="J14" s="19">
        <f t="shared" si="1"/>
        <v>2.0570735465259223E-2</v>
      </c>
      <c r="K14" s="18">
        <f t="shared" si="2"/>
        <v>3184</v>
      </c>
      <c r="L14" s="18">
        <v>0</v>
      </c>
      <c r="M14" s="18">
        <f t="shared" si="5"/>
        <v>3184</v>
      </c>
      <c r="P14" s="31"/>
    </row>
    <row r="15" spans="1:16" x14ac:dyDescent="0.2">
      <c r="B15" s="18" t="s">
        <v>270</v>
      </c>
      <c r="C15" s="18">
        <v>361</v>
      </c>
      <c r="D15" s="18">
        <v>646</v>
      </c>
      <c r="E15" s="18">
        <f t="shared" si="3"/>
        <v>1007</v>
      </c>
      <c r="F15" s="19">
        <f t="shared" si="0"/>
        <v>2.2991392497545605E-2</v>
      </c>
      <c r="G15" s="18">
        <v>815</v>
      </c>
      <c r="H15" s="18">
        <v>120</v>
      </c>
      <c r="I15" s="18">
        <f t="shared" si="4"/>
        <v>935</v>
      </c>
      <c r="J15" s="19">
        <f t="shared" si="1"/>
        <v>1.5325607697225E-2</v>
      </c>
      <c r="K15" s="18">
        <f t="shared" si="2"/>
        <v>1942</v>
      </c>
      <c r="L15" s="18">
        <v>0</v>
      </c>
      <c r="M15" s="18">
        <f t="shared" si="5"/>
        <v>1942</v>
      </c>
      <c r="P15" s="31"/>
    </row>
    <row r="16" spans="1:16" x14ac:dyDescent="0.2">
      <c r="B16" s="18" t="s">
        <v>297</v>
      </c>
      <c r="C16" s="18">
        <v>576</v>
      </c>
      <c r="D16" s="18">
        <v>741</v>
      </c>
      <c r="E16" s="18">
        <f t="shared" si="3"/>
        <v>1317</v>
      </c>
      <c r="F16" s="19">
        <f t="shared" si="0"/>
        <v>3.0069179661636112E-2</v>
      </c>
      <c r="G16" s="18">
        <v>1124</v>
      </c>
      <c r="H16" s="18">
        <v>145</v>
      </c>
      <c r="I16" s="18">
        <f t="shared" si="4"/>
        <v>1269</v>
      </c>
      <c r="J16" s="19">
        <f t="shared" si="1"/>
        <v>2.0800209805110721E-2</v>
      </c>
      <c r="K16" s="18">
        <f t="shared" si="2"/>
        <v>2586</v>
      </c>
      <c r="L16" s="18">
        <v>3</v>
      </c>
      <c r="M16" s="18">
        <f t="shared" si="5"/>
        <v>2589</v>
      </c>
      <c r="P16" s="31"/>
    </row>
    <row r="17" spans="2:16" x14ac:dyDescent="0.2">
      <c r="B17" s="18" t="s">
        <v>298</v>
      </c>
      <c r="C17" s="18">
        <v>1011</v>
      </c>
      <c r="D17" s="18">
        <v>832</v>
      </c>
      <c r="E17" s="18">
        <f t="shared" si="3"/>
        <v>1843</v>
      </c>
      <c r="F17" s="19">
        <f t="shared" si="0"/>
        <v>4.2078586269092902E-2</v>
      </c>
      <c r="G17" s="18">
        <v>2203</v>
      </c>
      <c r="H17" s="18">
        <v>157</v>
      </c>
      <c r="I17" s="18">
        <f t="shared" si="4"/>
        <v>2360</v>
      </c>
      <c r="J17" s="19">
        <f t="shared" si="1"/>
        <v>3.8682817289252408E-2</v>
      </c>
      <c r="K17" s="18">
        <f t="shared" si="2"/>
        <v>4203</v>
      </c>
      <c r="L17" s="18">
        <v>0</v>
      </c>
      <c r="M17" s="18">
        <f t="shared" si="5"/>
        <v>4203</v>
      </c>
      <c r="P17" s="31"/>
    </row>
    <row r="18" spans="2:16" x14ac:dyDescent="0.2">
      <c r="B18" s="18" t="s">
        <v>301</v>
      </c>
      <c r="C18" s="18">
        <v>923</v>
      </c>
      <c r="D18" s="18">
        <v>1441</v>
      </c>
      <c r="E18" s="18">
        <f t="shared" si="3"/>
        <v>2364</v>
      </c>
      <c r="F18" s="19">
        <f t="shared" si="0"/>
        <v>5.3973835019064359E-2</v>
      </c>
      <c r="G18" s="18">
        <v>1571</v>
      </c>
      <c r="H18" s="18">
        <v>294</v>
      </c>
      <c r="I18" s="18">
        <f t="shared" si="4"/>
        <v>1865</v>
      </c>
      <c r="J18" s="19">
        <f t="shared" si="1"/>
        <v>3.0569260273074463E-2</v>
      </c>
      <c r="K18" s="18">
        <f t="shared" si="2"/>
        <v>4229</v>
      </c>
      <c r="L18" s="18">
        <v>0</v>
      </c>
      <c r="M18" s="18">
        <f t="shared" si="5"/>
        <v>4229</v>
      </c>
      <c r="P18" s="31"/>
    </row>
    <row r="19" spans="2:16" x14ac:dyDescent="0.2">
      <c r="B19" s="18" t="s">
        <v>303</v>
      </c>
      <c r="C19" s="18">
        <v>732</v>
      </c>
      <c r="D19" s="18">
        <v>842</v>
      </c>
      <c r="E19" s="18">
        <f t="shared" si="3"/>
        <v>1574</v>
      </c>
      <c r="F19" s="19">
        <f t="shared" si="0"/>
        <v>3.593689353638211E-2</v>
      </c>
      <c r="G19" s="18">
        <v>2208</v>
      </c>
      <c r="H19" s="18">
        <v>171</v>
      </c>
      <c r="I19" s="18">
        <f t="shared" si="4"/>
        <v>2379</v>
      </c>
      <c r="J19" s="19">
        <f t="shared" si="1"/>
        <v>3.8994246750479439E-2</v>
      </c>
      <c r="K19" s="18">
        <f t="shared" si="2"/>
        <v>3953</v>
      </c>
      <c r="L19" s="18">
        <v>2</v>
      </c>
      <c r="M19" s="18">
        <f t="shared" si="5"/>
        <v>3955</v>
      </c>
      <c r="P19" s="31"/>
    </row>
    <row r="20" spans="2:16" x14ac:dyDescent="0.2">
      <c r="B20" s="18" t="s">
        <v>299</v>
      </c>
      <c r="C20" s="18">
        <v>513</v>
      </c>
      <c r="D20" s="18">
        <v>646</v>
      </c>
      <c r="E20" s="18">
        <f t="shared" si="3"/>
        <v>1159</v>
      </c>
      <c r="F20" s="19">
        <f t="shared" si="0"/>
        <v>2.6461791365099661E-2</v>
      </c>
      <c r="G20" s="18">
        <v>1609</v>
      </c>
      <c r="H20" s="18">
        <v>135</v>
      </c>
      <c r="I20" s="18">
        <f t="shared" si="4"/>
        <v>1744</v>
      </c>
      <c r="J20" s="19">
        <f t="shared" si="1"/>
        <v>2.8585946335786525E-2</v>
      </c>
      <c r="K20" s="18">
        <f t="shared" si="2"/>
        <v>2903</v>
      </c>
      <c r="L20" s="18">
        <v>1</v>
      </c>
      <c r="M20" s="18">
        <f t="shared" si="5"/>
        <v>2904</v>
      </c>
      <c r="P20" s="31"/>
    </row>
    <row r="21" spans="2:16" x14ac:dyDescent="0.2">
      <c r="B21" s="18" t="s">
        <v>311</v>
      </c>
      <c r="C21" s="18">
        <v>356</v>
      </c>
      <c r="D21" s="18">
        <v>345</v>
      </c>
      <c r="E21" s="18">
        <f t="shared" si="3"/>
        <v>701</v>
      </c>
      <c r="F21" s="19">
        <f t="shared" si="0"/>
        <v>1.6004931619443365E-2</v>
      </c>
      <c r="G21" s="18">
        <v>478</v>
      </c>
      <c r="H21" s="18">
        <v>51</v>
      </c>
      <c r="I21" s="18">
        <f t="shared" si="4"/>
        <v>529</v>
      </c>
      <c r="J21" s="19">
        <f t="shared" si="1"/>
        <v>8.6708518415315773E-3</v>
      </c>
      <c r="K21" s="18">
        <f t="shared" si="2"/>
        <v>1230</v>
      </c>
      <c r="L21" s="18">
        <v>0</v>
      </c>
      <c r="M21" s="18">
        <f t="shared" si="5"/>
        <v>1230</v>
      </c>
      <c r="P21" s="31"/>
    </row>
    <row r="22" spans="2:16" x14ac:dyDescent="0.2">
      <c r="B22" s="18" t="s">
        <v>292</v>
      </c>
      <c r="C22" s="18">
        <v>803</v>
      </c>
      <c r="D22" s="18">
        <v>903</v>
      </c>
      <c r="E22" s="18">
        <f t="shared" si="3"/>
        <v>1706</v>
      </c>
      <c r="F22" s="19">
        <f t="shared" si="0"/>
        <v>3.8950660973994841E-2</v>
      </c>
      <c r="G22" s="18">
        <v>2291</v>
      </c>
      <c r="H22" s="18">
        <v>173</v>
      </c>
      <c r="I22" s="18">
        <f t="shared" si="4"/>
        <v>2464</v>
      </c>
      <c r="J22" s="19">
        <f t="shared" si="1"/>
        <v>4.0387483813863527E-2</v>
      </c>
      <c r="K22" s="18">
        <f t="shared" si="2"/>
        <v>4170</v>
      </c>
      <c r="L22" s="18">
        <v>2</v>
      </c>
      <c r="M22" s="18">
        <f t="shared" si="5"/>
        <v>4172</v>
      </c>
      <c r="P22" s="31"/>
    </row>
    <row r="23" spans="2:16" x14ac:dyDescent="0.2">
      <c r="B23" s="18" t="s">
        <v>295</v>
      </c>
      <c r="C23" s="18">
        <v>338</v>
      </c>
      <c r="D23" s="18">
        <v>642</v>
      </c>
      <c r="E23" s="18">
        <f t="shared" si="3"/>
        <v>980</v>
      </c>
      <c r="F23" s="19">
        <f t="shared" si="0"/>
        <v>2.2374940067124819E-2</v>
      </c>
      <c r="G23" s="18">
        <v>594</v>
      </c>
      <c r="H23" s="18">
        <v>115</v>
      </c>
      <c r="I23" s="18">
        <f t="shared" si="4"/>
        <v>709</v>
      </c>
      <c r="J23" s="19">
        <f t="shared" si="1"/>
        <v>1.1621236211050828E-2</v>
      </c>
      <c r="K23" s="18">
        <f t="shared" si="2"/>
        <v>1689</v>
      </c>
      <c r="L23" s="18">
        <v>0</v>
      </c>
      <c r="M23" s="18">
        <f t="shared" si="5"/>
        <v>1689</v>
      </c>
      <c r="P23" s="31"/>
    </row>
    <row r="24" spans="2:16" x14ac:dyDescent="0.2">
      <c r="B24" s="18" t="s">
        <v>312</v>
      </c>
      <c r="C24" s="18">
        <v>273</v>
      </c>
      <c r="D24" s="18">
        <v>331</v>
      </c>
      <c r="E24" s="18">
        <f t="shared" si="3"/>
        <v>604</v>
      </c>
      <c r="F24" s="19">
        <f t="shared" si="0"/>
        <v>1.379026918422795E-2</v>
      </c>
      <c r="G24" s="18">
        <v>637</v>
      </c>
      <c r="H24" s="18">
        <v>98</v>
      </c>
      <c r="I24" s="18">
        <f t="shared" si="4"/>
        <v>735</v>
      </c>
      <c r="J24" s="19">
        <f t="shared" si="1"/>
        <v>1.2047402842203609E-2</v>
      </c>
      <c r="K24" s="18">
        <f t="shared" si="2"/>
        <v>1339</v>
      </c>
      <c r="L24" s="18">
        <v>0</v>
      </c>
      <c r="M24" s="18">
        <f t="shared" si="5"/>
        <v>1339</v>
      </c>
      <c r="P24" s="31"/>
    </row>
    <row r="25" spans="2:16" x14ac:dyDescent="0.2">
      <c r="B25" s="18" t="s">
        <v>271</v>
      </c>
      <c r="C25" s="18">
        <v>306</v>
      </c>
      <c r="D25" s="18">
        <v>364</v>
      </c>
      <c r="E25" s="18">
        <f t="shared" si="3"/>
        <v>670</v>
      </c>
      <c r="F25" s="19">
        <f t="shared" si="0"/>
        <v>1.5297152903034315E-2</v>
      </c>
      <c r="G25" s="18">
        <v>878</v>
      </c>
      <c r="H25" s="18">
        <v>68</v>
      </c>
      <c r="I25" s="18">
        <f t="shared" si="4"/>
        <v>946</v>
      </c>
      <c r="J25" s="19">
        <f t="shared" si="1"/>
        <v>1.5505908964251176E-2</v>
      </c>
      <c r="K25" s="18">
        <f t="shared" si="2"/>
        <v>1616</v>
      </c>
      <c r="L25" s="18">
        <v>0</v>
      </c>
      <c r="M25" s="18">
        <f t="shared" si="5"/>
        <v>1616</v>
      </c>
      <c r="P25" s="31"/>
    </row>
    <row r="26" spans="2:16" x14ac:dyDescent="0.2">
      <c r="B26" s="18" t="s">
        <v>302</v>
      </c>
      <c r="C26" s="18">
        <v>282</v>
      </c>
      <c r="D26" s="18">
        <v>349</v>
      </c>
      <c r="E26" s="18">
        <f t="shared" si="3"/>
        <v>631</v>
      </c>
      <c r="F26" s="19">
        <f t="shared" si="0"/>
        <v>1.4406721614648735E-2</v>
      </c>
      <c r="G26" s="18">
        <v>636</v>
      </c>
      <c r="H26" s="18">
        <v>78</v>
      </c>
      <c r="I26" s="18">
        <f t="shared" si="4"/>
        <v>714</v>
      </c>
      <c r="J26" s="19">
        <f t="shared" si="1"/>
        <v>1.1703191332426364E-2</v>
      </c>
      <c r="K26" s="18">
        <f t="shared" si="2"/>
        <v>1345</v>
      </c>
      <c r="L26" s="18">
        <v>0</v>
      </c>
      <c r="M26" s="18">
        <f t="shared" si="5"/>
        <v>1345</v>
      </c>
      <c r="P26" s="31"/>
    </row>
    <row r="27" spans="2:16" x14ac:dyDescent="0.2">
      <c r="B27" s="18" t="s">
        <v>300</v>
      </c>
      <c r="C27" s="18">
        <v>2191</v>
      </c>
      <c r="D27" s="18">
        <v>2663</v>
      </c>
      <c r="E27" s="18">
        <f t="shared" si="3"/>
        <v>4854</v>
      </c>
      <c r="F27" s="19">
        <f t="shared" si="0"/>
        <v>0.11082444804675906</v>
      </c>
      <c r="G27" s="18">
        <v>6826</v>
      </c>
      <c r="H27" s="18">
        <v>780</v>
      </c>
      <c r="I27" s="18">
        <f t="shared" si="4"/>
        <v>7606</v>
      </c>
      <c r="J27" s="19">
        <f t="shared" si="1"/>
        <v>0.12467013063646347</v>
      </c>
      <c r="K27" s="18">
        <f t="shared" si="2"/>
        <v>12460</v>
      </c>
      <c r="L27" s="18">
        <v>2</v>
      </c>
      <c r="M27" s="18">
        <f t="shared" si="5"/>
        <v>12462</v>
      </c>
      <c r="P27" s="31"/>
    </row>
    <row r="28" spans="2:16" x14ac:dyDescent="0.2">
      <c r="B28" s="18" t="s">
        <v>293</v>
      </c>
      <c r="C28" s="18">
        <v>972</v>
      </c>
      <c r="D28" s="18">
        <v>1664</v>
      </c>
      <c r="E28" s="18">
        <f t="shared" si="3"/>
        <v>2636</v>
      </c>
      <c r="F28" s="19">
        <f t="shared" si="0"/>
        <v>6.0184022466266356E-2</v>
      </c>
      <c r="G28" s="18">
        <v>2140</v>
      </c>
      <c r="H28" s="18">
        <v>309</v>
      </c>
      <c r="I28" s="18">
        <f t="shared" si="4"/>
        <v>2449</v>
      </c>
      <c r="J28" s="19">
        <f t="shared" si="1"/>
        <v>4.0141618449736925E-2</v>
      </c>
      <c r="K28" s="18">
        <f t="shared" si="2"/>
        <v>5085</v>
      </c>
      <c r="L28" s="18">
        <v>0</v>
      </c>
      <c r="M28" s="18">
        <f t="shared" si="5"/>
        <v>5085</v>
      </c>
      <c r="P28" s="31"/>
    </row>
    <row r="29" spans="2:16" x14ac:dyDescent="0.2">
      <c r="B29" s="18" t="s">
        <v>296</v>
      </c>
      <c r="C29" s="18">
        <v>714</v>
      </c>
      <c r="D29" s="18">
        <v>885</v>
      </c>
      <c r="E29" s="18">
        <f t="shared" si="3"/>
        <v>1599</v>
      </c>
      <c r="F29" s="19">
        <f t="shared" si="0"/>
        <v>3.6507682823808764E-2</v>
      </c>
      <c r="G29" s="18">
        <v>1389</v>
      </c>
      <c r="H29" s="18">
        <v>148</v>
      </c>
      <c r="I29" s="18">
        <f t="shared" si="4"/>
        <v>1537</v>
      </c>
      <c r="J29" s="19">
        <f t="shared" si="1"/>
        <v>2.5193004310839383E-2</v>
      </c>
      <c r="K29" s="18">
        <f t="shared" si="2"/>
        <v>3136</v>
      </c>
      <c r="L29" s="18">
        <v>0</v>
      </c>
      <c r="M29" s="18">
        <f t="shared" si="5"/>
        <v>3136</v>
      </c>
      <c r="P29" s="31"/>
    </row>
    <row r="30" spans="2:16" x14ac:dyDescent="0.2">
      <c r="B30" s="18" t="s">
        <v>313</v>
      </c>
      <c r="C30" s="18">
        <v>187</v>
      </c>
      <c r="D30" s="18">
        <v>212</v>
      </c>
      <c r="E30" s="18">
        <f t="shared" si="3"/>
        <v>399</v>
      </c>
      <c r="F30" s="19">
        <f t="shared" si="0"/>
        <v>9.1097970273293916E-3</v>
      </c>
      <c r="G30" s="18">
        <v>500</v>
      </c>
      <c r="H30" s="18">
        <v>41</v>
      </c>
      <c r="I30" s="18">
        <f t="shared" si="4"/>
        <v>541</v>
      </c>
      <c r="J30" s="19">
        <f t="shared" si="1"/>
        <v>8.8675441328328608E-3</v>
      </c>
      <c r="K30" s="18">
        <f t="shared" si="2"/>
        <v>940</v>
      </c>
      <c r="L30" s="18">
        <v>0</v>
      </c>
      <c r="M30" s="18">
        <f t="shared" si="5"/>
        <v>940</v>
      </c>
      <c r="P30" s="31"/>
    </row>
    <row r="31" spans="2:16" x14ac:dyDescent="0.2">
      <c r="B31" s="18" t="s">
        <v>272</v>
      </c>
      <c r="C31" s="18">
        <v>471</v>
      </c>
      <c r="D31" s="18">
        <v>699</v>
      </c>
      <c r="E31" s="18">
        <f t="shared" si="3"/>
        <v>1170</v>
      </c>
      <c r="F31" s="19">
        <f t="shared" si="0"/>
        <v>2.6712938651567389E-2</v>
      </c>
      <c r="G31" s="18">
        <v>1119</v>
      </c>
      <c r="H31" s="18">
        <v>171</v>
      </c>
      <c r="I31" s="18">
        <f t="shared" si="4"/>
        <v>1290</v>
      </c>
      <c r="J31" s="19">
        <f t="shared" si="1"/>
        <v>2.1144421314887966E-2</v>
      </c>
      <c r="K31" s="18">
        <f t="shared" si="2"/>
        <v>2460</v>
      </c>
      <c r="L31" s="18">
        <v>0</v>
      </c>
      <c r="M31" s="18">
        <f t="shared" si="5"/>
        <v>2460</v>
      </c>
      <c r="P31" s="31"/>
    </row>
    <row r="32" spans="2:16" x14ac:dyDescent="0.2">
      <c r="B32" s="20" t="s">
        <v>49</v>
      </c>
      <c r="C32" s="18">
        <f>SUM(C11:C31)</f>
        <v>19864</v>
      </c>
      <c r="D32" s="18">
        <f>SUM(D11:D31)</f>
        <v>23935</v>
      </c>
      <c r="E32" s="20">
        <f t="shared" si="3"/>
        <v>43799</v>
      </c>
      <c r="F32" s="19">
        <f t="shared" si="0"/>
        <v>1</v>
      </c>
      <c r="G32" s="18">
        <f>SUM(G11:G31)</f>
        <v>54822</v>
      </c>
      <c r="H32" s="18">
        <f>SUM(H11:H31)</f>
        <v>6187</v>
      </c>
      <c r="I32" s="20">
        <f t="shared" si="4"/>
        <v>61009</v>
      </c>
      <c r="J32" s="19">
        <f t="shared" si="1"/>
        <v>1</v>
      </c>
      <c r="K32" s="20">
        <f t="shared" si="2"/>
        <v>104808</v>
      </c>
      <c r="L32" s="18">
        <f>SUM(L11:L31)</f>
        <v>32</v>
      </c>
      <c r="M32" s="20">
        <f t="shared" si="5"/>
        <v>104840</v>
      </c>
      <c r="P32" s="31"/>
    </row>
    <row r="33" spans="2:13" ht="25.5" customHeight="1" x14ac:dyDescent="0.2">
      <c r="B33" s="32" t="s">
        <v>64</v>
      </c>
      <c r="C33" s="33">
        <f>+C32/M32</f>
        <v>0.18946966806562382</v>
      </c>
      <c r="D33" s="33">
        <f>+D32/M32</f>
        <v>0.22830026707363602</v>
      </c>
      <c r="E33" s="34">
        <f>+E32/M32</f>
        <v>0.41776993513925981</v>
      </c>
      <c r="F33" s="34"/>
      <c r="G33" s="33">
        <f>+G32/M32</f>
        <v>0.522911102632583</v>
      </c>
      <c r="H33" s="33">
        <f>+H32/M32</f>
        <v>5.9013735215566576E-2</v>
      </c>
      <c r="I33" s="34">
        <f>+I32/M32</f>
        <v>0.58192483784814952</v>
      </c>
      <c r="J33" s="34"/>
      <c r="K33" s="34">
        <f>+K32/M32</f>
        <v>0.99969477298740939</v>
      </c>
      <c r="L33" s="34">
        <f>+L32/M32</f>
        <v>3.0522701259061424E-4</v>
      </c>
      <c r="M33" s="34">
        <f>K33+L33</f>
        <v>1</v>
      </c>
    </row>
    <row r="34" spans="2:13" x14ac:dyDescent="0.2">
      <c r="B34" s="25"/>
      <c r="C34" s="38"/>
      <c r="D34" s="38"/>
      <c r="E34" s="38"/>
      <c r="F34" s="38"/>
      <c r="G34" s="38"/>
      <c r="H34" s="38"/>
      <c r="I34" s="38"/>
      <c r="J34" s="38"/>
      <c r="K34" s="38"/>
    </row>
    <row r="35" spans="2:13" ht="12.75" x14ac:dyDescent="0.2">
      <c r="B35" s="369" t="s">
        <v>574</v>
      </c>
      <c r="C35" s="369"/>
      <c r="D35" s="369"/>
      <c r="E35" s="369"/>
      <c r="F35" s="369"/>
      <c r="G35" s="369"/>
      <c r="H35" s="369"/>
      <c r="I35" s="369"/>
      <c r="J35" s="369"/>
      <c r="K35" s="369"/>
    </row>
    <row r="36" spans="2:13" ht="12.75" x14ac:dyDescent="0.2">
      <c r="B36" s="385" t="str">
        <f>'Solicitudes Regiones'!$B$6:$R$6</f>
        <v>Acumuladas de julio de 2008 a diciembre de 2021</v>
      </c>
      <c r="C36" s="385"/>
      <c r="D36" s="385"/>
      <c r="E36" s="385"/>
      <c r="F36" s="385"/>
      <c r="G36" s="385"/>
      <c r="H36" s="385"/>
      <c r="I36" s="385"/>
      <c r="J36" s="385"/>
      <c r="K36" s="385"/>
    </row>
    <row r="38" spans="2:13" ht="15" customHeight="1" x14ac:dyDescent="0.2">
      <c r="B38" s="399" t="s">
        <v>65</v>
      </c>
      <c r="C38" s="399"/>
      <c r="D38" s="399"/>
      <c r="E38" s="399"/>
      <c r="F38" s="399"/>
      <c r="G38" s="399"/>
      <c r="H38" s="399"/>
      <c r="I38" s="399"/>
      <c r="J38" s="399"/>
      <c r="K38" s="399"/>
      <c r="L38" s="399"/>
      <c r="M38" s="399"/>
    </row>
    <row r="39" spans="2:13" ht="21" customHeight="1" x14ac:dyDescent="0.2">
      <c r="B39" s="399" t="s">
        <v>56</v>
      </c>
      <c r="C39" s="397" t="s">
        <v>2</v>
      </c>
      <c r="D39" s="400"/>
      <c r="E39" s="400"/>
      <c r="F39" s="400"/>
      <c r="G39" s="400"/>
      <c r="H39" s="400"/>
      <c r="I39" s="400"/>
      <c r="J39" s="400"/>
      <c r="K39" s="398"/>
      <c r="L39" s="397"/>
      <c r="M39" s="398"/>
    </row>
    <row r="40" spans="2:13" ht="24" x14ac:dyDescent="0.2">
      <c r="B40" s="399"/>
      <c r="C40" s="23" t="s">
        <v>57</v>
      </c>
      <c r="D40" s="23" t="s">
        <v>58</v>
      </c>
      <c r="E40" s="23" t="s">
        <v>59</v>
      </c>
      <c r="F40" s="23" t="s">
        <v>60</v>
      </c>
      <c r="G40" s="23" t="s">
        <v>8</v>
      </c>
      <c r="H40" s="23" t="s">
        <v>61</v>
      </c>
      <c r="I40" s="23" t="s">
        <v>62</v>
      </c>
      <c r="J40" s="23" t="s">
        <v>63</v>
      </c>
      <c r="K40" s="126" t="s">
        <v>31</v>
      </c>
      <c r="L40" s="261" t="s">
        <v>584</v>
      </c>
      <c r="M40" s="261" t="s">
        <v>587</v>
      </c>
    </row>
    <row r="41" spans="2:13" x14ac:dyDescent="0.2">
      <c r="B41" s="18" t="s">
        <v>290</v>
      </c>
      <c r="C41" s="18">
        <v>5639</v>
      </c>
      <c r="D41" s="18">
        <v>3310</v>
      </c>
      <c r="E41" s="18">
        <f t="shared" ref="E41:E61" si="6">C41+D41</f>
        <v>8949</v>
      </c>
      <c r="F41" s="19">
        <f t="shared" ref="F41:F62" si="7">E41/$E$62</f>
        <v>0.31274900398406374</v>
      </c>
      <c r="G41" s="18">
        <v>18380</v>
      </c>
      <c r="H41" s="18">
        <v>2099</v>
      </c>
      <c r="I41" s="18">
        <f>G41+H41</f>
        <v>20479</v>
      </c>
      <c r="J41" s="19">
        <f t="shared" ref="J41:J62" si="8">I41/$I$62</f>
        <v>0.38262055564897335</v>
      </c>
      <c r="K41" s="18">
        <f t="shared" ref="K41:K62" si="9">E41+I41</f>
        <v>29428</v>
      </c>
      <c r="L41" s="18">
        <v>0</v>
      </c>
      <c r="M41" s="18">
        <f>K41+L41</f>
        <v>29428</v>
      </c>
    </row>
    <row r="42" spans="2:13" x14ac:dyDescent="0.2">
      <c r="B42" s="18" t="s">
        <v>291</v>
      </c>
      <c r="C42" s="18">
        <v>810</v>
      </c>
      <c r="D42" s="18">
        <v>455</v>
      </c>
      <c r="E42" s="18">
        <f t="shared" si="6"/>
        <v>1265</v>
      </c>
      <c r="F42" s="19">
        <f t="shared" si="7"/>
        <v>4.420912839868596E-2</v>
      </c>
      <c r="G42" s="18">
        <v>2388</v>
      </c>
      <c r="H42" s="18">
        <v>191</v>
      </c>
      <c r="I42" s="18">
        <f t="shared" ref="I42:I62" si="10">G42+H42</f>
        <v>2579</v>
      </c>
      <c r="J42" s="19">
        <f t="shared" si="8"/>
        <v>4.8184892476131759E-2</v>
      </c>
      <c r="K42" s="18">
        <f t="shared" si="9"/>
        <v>3844</v>
      </c>
      <c r="L42" s="18">
        <v>0</v>
      </c>
      <c r="M42" s="18">
        <f t="shared" ref="M42:M62" si="11">K42+L42</f>
        <v>3844</v>
      </c>
    </row>
    <row r="43" spans="2:13" x14ac:dyDescent="0.2">
      <c r="B43" s="18" t="s">
        <v>269</v>
      </c>
      <c r="C43" s="18">
        <v>675</v>
      </c>
      <c r="D43" s="18">
        <v>410</v>
      </c>
      <c r="E43" s="18">
        <f t="shared" si="6"/>
        <v>1085</v>
      </c>
      <c r="F43" s="19">
        <f t="shared" si="7"/>
        <v>3.7918501432865029E-2</v>
      </c>
      <c r="G43" s="18">
        <v>1974</v>
      </c>
      <c r="H43" s="18">
        <v>262</v>
      </c>
      <c r="I43" s="18">
        <f t="shared" si="10"/>
        <v>2236</v>
      </c>
      <c r="J43" s="19">
        <f t="shared" si="8"/>
        <v>4.1776432561702444E-2</v>
      </c>
      <c r="K43" s="18">
        <f t="shared" si="9"/>
        <v>3321</v>
      </c>
      <c r="L43" s="18">
        <v>0</v>
      </c>
      <c r="M43" s="18">
        <f t="shared" si="11"/>
        <v>3321</v>
      </c>
    </row>
    <row r="44" spans="2:13" x14ac:dyDescent="0.2">
      <c r="B44" s="18" t="s">
        <v>294</v>
      </c>
      <c r="C44" s="18">
        <v>740</v>
      </c>
      <c r="D44" s="18">
        <v>456</v>
      </c>
      <c r="E44" s="18">
        <f t="shared" si="6"/>
        <v>1196</v>
      </c>
      <c r="F44" s="19">
        <f t="shared" si="7"/>
        <v>4.1797721395121272E-2</v>
      </c>
      <c r="G44" s="18">
        <v>1006</v>
      </c>
      <c r="H44" s="18">
        <v>168</v>
      </c>
      <c r="I44" s="18">
        <f t="shared" si="10"/>
        <v>1174</v>
      </c>
      <c r="J44" s="19">
        <f t="shared" si="8"/>
        <v>2.1934495450553967E-2</v>
      </c>
      <c r="K44" s="18">
        <f t="shared" si="9"/>
        <v>2370</v>
      </c>
      <c r="L44" s="18">
        <v>0</v>
      </c>
      <c r="M44" s="18">
        <f t="shared" si="11"/>
        <v>2370</v>
      </c>
    </row>
    <row r="45" spans="2:13" x14ac:dyDescent="0.2">
      <c r="B45" s="18" t="s">
        <v>270</v>
      </c>
      <c r="C45" s="18">
        <v>323</v>
      </c>
      <c r="D45" s="18">
        <v>253</v>
      </c>
      <c r="E45" s="18">
        <f t="shared" si="6"/>
        <v>576</v>
      </c>
      <c r="F45" s="19">
        <f t="shared" si="7"/>
        <v>2.0130006290626966E-2</v>
      </c>
      <c r="G45" s="18">
        <v>739</v>
      </c>
      <c r="H45" s="18">
        <v>108</v>
      </c>
      <c r="I45" s="18">
        <f t="shared" si="10"/>
        <v>847</v>
      </c>
      <c r="J45" s="19">
        <f t="shared" si="8"/>
        <v>1.5824972441754011E-2</v>
      </c>
      <c r="K45" s="18">
        <f t="shared" si="9"/>
        <v>1423</v>
      </c>
      <c r="L45" s="18">
        <v>0</v>
      </c>
      <c r="M45" s="18">
        <f t="shared" si="11"/>
        <v>1423</v>
      </c>
    </row>
    <row r="46" spans="2:13" x14ac:dyDescent="0.2">
      <c r="B46" s="18" t="s">
        <v>297</v>
      </c>
      <c r="C46" s="18">
        <v>529</v>
      </c>
      <c r="D46" s="18">
        <v>301</v>
      </c>
      <c r="E46" s="18">
        <f t="shared" si="6"/>
        <v>830</v>
      </c>
      <c r="F46" s="19">
        <f t="shared" si="7"/>
        <v>2.9006779897952053E-2</v>
      </c>
      <c r="G46" s="18">
        <v>1014</v>
      </c>
      <c r="H46" s="18">
        <v>120</v>
      </c>
      <c r="I46" s="18">
        <f t="shared" si="10"/>
        <v>1134</v>
      </c>
      <c r="J46" s="19">
        <f t="shared" si="8"/>
        <v>2.1187153186480578E-2</v>
      </c>
      <c r="K46" s="18">
        <f t="shared" si="9"/>
        <v>1964</v>
      </c>
      <c r="L46" s="18">
        <v>0</v>
      </c>
      <c r="M46" s="18">
        <f t="shared" si="11"/>
        <v>1964</v>
      </c>
    </row>
    <row r="47" spans="2:13" x14ac:dyDescent="0.2">
      <c r="B47" s="18" t="s">
        <v>298</v>
      </c>
      <c r="C47" s="18">
        <v>933</v>
      </c>
      <c r="D47" s="18">
        <v>354</v>
      </c>
      <c r="E47" s="18">
        <f t="shared" si="6"/>
        <v>1287</v>
      </c>
      <c r="F47" s="19">
        <f t="shared" si="7"/>
        <v>4.4977982805619626E-2</v>
      </c>
      <c r="G47" s="18">
        <v>1963</v>
      </c>
      <c r="H47" s="18">
        <v>126</v>
      </c>
      <c r="I47" s="18">
        <f t="shared" si="10"/>
        <v>2089</v>
      </c>
      <c r="J47" s="19">
        <f t="shared" si="8"/>
        <v>3.9029949741232743E-2</v>
      </c>
      <c r="K47" s="18">
        <f t="shared" si="9"/>
        <v>3376</v>
      </c>
      <c r="L47" s="18">
        <v>0</v>
      </c>
      <c r="M47" s="18">
        <f t="shared" si="11"/>
        <v>3376</v>
      </c>
    </row>
    <row r="48" spans="2:13" x14ac:dyDescent="0.2">
      <c r="B48" s="18" t="s">
        <v>301</v>
      </c>
      <c r="C48" s="18">
        <v>876</v>
      </c>
      <c r="D48" s="18">
        <v>582</v>
      </c>
      <c r="E48" s="18">
        <f t="shared" si="6"/>
        <v>1458</v>
      </c>
      <c r="F48" s="19">
        <f t="shared" si="7"/>
        <v>5.0954078423149508E-2</v>
      </c>
      <c r="G48" s="18">
        <v>1450</v>
      </c>
      <c r="H48" s="18">
        <v>260</v>
      </c>
      <c r="I48" s="18">
        <f t="shared" si="10"/>
        <v>1710</v>
      </c>
      <c r="J48" s="19">
        <f t="shared" si="8"/>
        <v>3.1948881789137379E-2</v>
      </c>
      <c r="K48" s="18">
        <f t="shared" si="9"/>
        <v>3168</v>
      </c>
      <c r="L48" s="18">
        <v>0</v>
      </c>
      <c r="M48" s="18">
        <f t="shared" si="11"/>
        <v>3168</v>
      </c>
    </row>
    <row r="49" spans="2:13" x14ac:dyDescent="0.2">
      <c r="B49" s="18" t="s">
        <v>303</v>
      </c>
      <c r="C49" s="18">
        <v>686</v>
      </c>
      <c r="D49" s="18">
        <v>320</v>
      </c>
      <c r="E49" s="18">
        <f t="shared" si="6"/>
        <v>1006</v>
      </c>
      <c r="F49" s="19">
        <f t="shared" si="7"/>
        <v>3.5157615153421404E-2</v>
      </c>
      <c r="G49" s="18">
        <v>2026</v>
      </c>
      <c r="H49" s="18">
        <v>133</v>
      </c>
      <c r="I49" s="18">
        <f t="shared" si="10"/>
        <v>2159</v>
      </c>
      <c r="J49" s="19">
        <f t="shared" si="8"/>
        <v>4.0337798703361169E-2</v>
      </c>
      <c r="K49" s="18">
        <f t="shared" si="9"/>
        <v>3165</v>
      </c>
      <c r="L49" s="18">
        <v>0</v>
      </c>
      <c r="M49" s="18">
        <f t="shared" si="11"/>
        <v>3165</v>
      </c>
    </row>
    <row r="50" spans="2:13" x14ac:dyDescent="0.2">
      <c r="B50" s="18" t="s">
        <v>299</v>
      </c>
      <c r="C50" s="18">
        <v>480</v>
      </c>
      <c r="D50" s="18">
        <v>291</v>
      </c>
      <c r="E50" s="18">
        <f t="shared" si="6"/>
        <v>771</v>
      </c>
      <c r="F50" s="19">
        <f t="shared" si="7"/>
        <v>2.6944852170266303E-2</v>
      </c>
      <c r="G50" s="18">
        <v>1462</v>
      </c>
      <c r="H50" s="18">
        <v>119</v>
      </c>
      <c r="I50" s="18">
        <f t="shared" si="10"/>
        <v>1581</v>
      </c>
      <c r="J50" s="19">
        <f t="shared" si="8"/>
        <v>2.9538702987500699E-2</v>
      </c>
      <c r="K50" s="18">
        <f t="shared" si="9"/>
        <v>2352</v>
      </c>
      <c r="L50" s="18">
        <v>0</v>
      </c>
      <c r="M50" s="18">
        <f t="shared" si="11"/>
        <v>2352</v>
      </c>
    </row>
    <row r="51" spans="2:13" x14ac:dyDescent="0.2">
      <c r="B51" s="18" t="s">
        <v>311</v>
      </c>
      <c r="C51" s="18">
        <v>343</v>
      </c>
      <c r="D51" s="18">
        <v>141</v>
      </c>
      <c r="E51" s="18">
        <f t="shared" si="6"/>
        <v>484</v>
      </c>
      <c r="F51" s="19">
        <f t="shared" si="7"/>
        <v>1.6914796952540716E-2</v>
      </c>
      <c r="G51" s="18">
        <v>443</v>
      </c>
      <c r="H51" s="18">
        <v>48</v>
      </c>
      <c r="I51" s="18">
        <f t="shared" si="10"/>
        <v>491</v>
      </c>
      <c r="J51" s="19">
        <f t="shared" si="8"/>
        <v>9.1736262915008502E-3</v>
      </c>
      <c r="K51" s="18">
        <f t="shared" si="9"/>
        <v>975</v>
      </c>
      <c r="L51" s="18">
        <v>0</v>
      </c>
      <c r="M51" s="18">
        <f t="shared" si="11"/>
        <v>975</v>
      </c>
    </row>
    <row r="52" spans="2:13" x14ac:dyDescent="0.2">
      <c r="B52" s="18" t="s">
        <v>292</v>
      </c>
      <c r="C52" s="18">
        <v>762</v>
      </c>
      <c r="D52" s="18">
        <v>405</v>
      </c>
      <c r="E52" s="18">
        <f t="shared" si="6"/>
        <v>1167</v>
      </c>
      <c r="F52" s="19">
        <f t="shared" si="7"/>
        <v>4.0784231495072341E-2</v>
      </c>
      <c r="G52" s="18">
        <v>2081</v>
      </c>
      <c r="H52" s="18">
        <v>151</v>
      </c>
      <c r="I52" s="18">
        <f t="shared" si="10"/>
        <v>2232</v>
      </c>
      <c r="J52" s="19">
        <f t="shared" si="8"/>
        <v>4.1701698335295107E-2</v>
      </c>
      <c r="K52" s="18">
        <f t="shared" si="9"/>
        <v>3399</v>
      </c>
      <c r="L52" s="18">
        <v>0</v>
      </c>
      <c r="M52" s="18">
        <f t="shared" si="11"/>
        <v>3399</v>
      </c>
    </row>
    <row r="53" spans="2:13" x14ac:dyDescent="0.2">
      <c r="B53" s="18" t="s">
        <v>295</v>
      </c>
      <c r="C53" s="18">
        <v>316</v>
      </c>
      <c r="D53" s="18">
        <v>242</v>
      </c>
      <c r="E53" s="18">
        <f t="shared" si="6"/>
        <v>558</v>
      </c>
      <c r="F53" s="19">
        <f t="shared" si="7"/>
        <v>1.9500943594044872E-2</v>
      </c>
      <c r="G53" s="18">
        <v>544</v>
      </c>
      <c r="H53" s="18">
        <v>100</v>
      </c>
      <c r="I53" s="18">
        <f t="shared" si="10"/>
        <v>644</v>
      </c>
      <c r="J53" s="19">
        <f t="shared" si="8"/>
        <v>1.2032210451581564E-2</v>
      </c>
      <c r="K53" s="18">
        <f t="shared" si="9"/>
        <v>1202</v>
      </c>
      <c r="L53" s="18">
        <v>0</v>
      </c>
      <c r="M53" s="18">
        <f t="shared" si="11"/>
        <v>1202</v>
      </c>
    </row>
    <row r="54" spans="2:13" x14ac:dyDescent="0.2">
      <c r="B54" s="18" t="s">
        <v>312</v>
      </c>
      <c r="C54" s="18">
        <v>264</v>
      </c>
      <c r="D54" s="18">
        <v>156</v>
      </c>
      <c r="E54" s="18">
        <f t="shared" si="6"/>
        <v>420</v>
      </c>
      <c r="F54" s="19">
        <f t="shared" si="7"/>
        <v>1.4678129586915495E-2</v>
      </c>
      <c r="G54" s="18">
        <v>588</v>
      </c>
      <c r="H54" s="18">
        <v>87</v>
      </c>
      <c r="I54" s="18">
        <f t="shared" si="10"/>
        <v>675</v>
      </c>
      <c r="J54" s="19">
        <f t="shared" si="8"/>
        <v>1.2611400706238439E-2</v>
      </c>
      <c r="K54" s="18">
        <f t="shared" si="9"/>
        <v>1095</v>
      </c>
      <c r="L54" s="18">
        <v>0</v>
      </c>
      <c r="M54" s="18">
        <f t="shared" si="11"/>
        <v>1095</v>
      </c>
    </row>
    <row r="55" spans="2:13" x14ac:dyDescent="0.2">
      <c r="B55" s="18" t="s">
        <v>271</v>
      </c>
      <c r="C55" s="18">
        <v>291</v>
      </c>
      <c r="D55" s="18">
        <v>163</v>
      </c>
      <c r="E55" s="18">
        <f t="shared" si="6"/>
        <v>454</v>
      </c>
      <c r="F55" s="19">
        <f t="shared" si="7"/>
        <v>1.5866359124903893E-2</v>
      </c>
      <c r="G55" s="18">
        <v>800</v>
      </c>
      <c r="H55" s="18">
        <v>56</v>
      </c>
      <c r="I55" s="18">
        <f t="shared" si="10"/>
        <v>856</v>
      </c>
      <c r="J55" s="19">
        <f t="shared" si="8"/>
        <v>1.5993124451170525E-2</v>
      </c>
      <c r="K55" s="18">
        <f t="shared" si="9"/>
        <v>1310</v>
      </c>
      <c r="L55" s="18">
        <v>0</v>
      </c>
      <c r="M55" s="18">
        <f t="shared" si="11"/>
        <v>1310</v>
      </c>
    </row>
    <row r="56" spans="2:13" x14ac:dyDescent="0.2">
      <c r="B56" s="18" t="s">
        <v>302</v>
      </c>
      <c r="C56" s="18">
        <v>277</v>
      </c>
      <c r="D56" s="18">
        <v>160</v>
      </c>
      <c r="E56" s="18">
        <f t="shared" si="6"/>
        <v>437</v>
      </c>
      <c r="F56" s="19">
        <f t="shared" si="7"/>
        <v>1.5272244355909695E-2</v>
      </c>
      <c r="G56" s="18">
        <v>607</v>
      </c>
      <c r="H56" s="18">
        <v>64</v>
      </c>
      <c r="I56" s="18">
        <f t="shared" si="10"/>
        <v>671</v>
      </c>
      <c r="J56" s="19">
        <f t="shared" si="8"/>
        <v>1.25366664798311E-2</v>
      </c>
      <c r="K56" s="18">
        <f t="shared" si="9"/>
        <v>1108</v>
      </c>
      <c r="L56" s="18">
        <v>0</v>
      </c>
      <c r="M56" s="18">
        <f t="shared" si="11"/>
        <v>1108</v>
      </c>
    </row>
    <row r="57" spans="2:13" x14ac:dyDescent="0.2">
      <c r="B57" s="18" t="s">
        <v>300</v>
      </c>
      <c r="C57" s="18">
        <v>1996</v>
      </c>
      <c r="D57" s="18">
        <v>1160</v>
      </c>
      <c r="E57" s="18">
        <f t="shared" si="6"/>
        <v>3156</v>
      </c>
      <c r="F57" s="19">
        <f t="shared" si="7"/>
        <v>0.11029565946739359</v>
      </c>
      <c r="G57" s="18">
        <v>6036</v>
      </c>
      <c r="H57" s="18">
        <v>701</v>
      </c>
      <c r="I57" s="18">
        <f t="shared" si="10"/>
        <v>6737</v>
      </c>
      <c r="J57" s="19">
        <f t="shared" si="8"/>
        <v>0.12587112082656055</v>
      </c>
      <c r="K57" s="18">
        <f t="shared" si="9"/>
        <v>9893</v>
      </c>
      <c r="L57" s="18">
        <v>0</v>
      </c>
      <c r="M57" s="18">
        <f t="shared" si="11"/>
        <v>9893</v>
      </c>
    </row>
    <row r="58" spans="2:13" x14ac:dyDescent="0.2">
      <c r="B58" s="18" t="s">
        <v>293</v>
      </c>
      <c r="C58" s="18">
        <v>887</v>
      </c>
      <c r="D58" s="18">
        <v>642</v>
      </c>
      <c r="E58" s="18">
        <f t="shared" si="6"/>
        <v>1529</v>
      </c>
      <c r="F58" s="19">
        <f t="shared" si="7"/>
        <v>5.3435381281889981E-2</v>
      </c>
      <c r="G58" s="18">
        <v>1912</v>
      </c>
      <c r="H58" s="18">
        <v>280</v>
      </c>
      <c r="I58" s="18">
        <f t="shared" si="10"/>
        <v>2192</v>
      </c>
      <c r="J58" s="19">
        <f t="shared" si="8"/>
        <v>4.095435607122172E-2</v>
      </c>
      <c r="K58" s="18">
        <f t="shared" si="9"/>
        <v>3721</v>
      </c>
      <c r="L58" s="18">
        <v>0</v>
      </c>
      <c r="M58" s="18">
        <f t="shared" si="11"/>
        <v>3721</v>
      </c>
    </row>
    <row r="59" spans="2:13" x14ac:dyDescent="0.2">
      <c r="B59" s="18" t="s">
        <v>296</v>
      </c>
      <c r="C59" s="18">
        <v>644</v>
      </c>
      <c r="D59" s="18">
        <v>369</v>
      </c>
      <c r="E59" s="18">
        <f t="shared" si="6"/>
        <v>1013</v>
      </c>
      <c r="F59" s="19">
        <f t="shared" si="7"/>
        <v>3.5402250646536661E-2</v>
      </c>
      <c r="G59" s="18">
        <v>1224</v>
      </c>
      <c r="H59" s="18">
        <v>133</v>
      </c>
      <c r="I59" s="18">
        <f t="shared" si="10"/>
        <v>1357</v>
      </c>
      <c r="J59" s="19">
        <f t="shared" si="8"/>
        <v>2.535358630868972E-2</v>
      </c>
      <c r="K59" s="18">
        <f t="shared" si="9"/>
        <v>2370</v>
      </c>
      <c r="L59" s="18">
        <v>0</v>
      </c>
      <c r="M59" s="18">
        <f t="shared" si="11"/>
        <v>2370</v>
      </c>
    </row>
    <row r="60" spans="2:13" x14ac:dyDescent="0.2">
      <c r="B60" s="18" t="s">
        <v>313</v>
      </c>
      <c r="C60" s="18">
        <v>173</v>
      </c>
      <c r="D60" s="18">
        <v>93</v>
      </c>
      <c r="E60" s="18">
        <f t="shared" si="6"/>
        <v>266</v>
      </c>
      <c r="F60" s="19">
        <f t="shared" si="7"/>
        <v>9.2961487383798145E-3</v>
      </c>
      <c r="G60" s="18">
        <v>454</v>
      </c>
      <c r="H60" s="18">
        <v>39</v>
      </c>
      <c r="I60" s="18">
        <f t="shared" si="10"/>
        <v>493</v>
      </c>
      <c r="J60" s="19">
        <f t="shared" si="8"/>
        <v>9.2109934047045188E-3</v>
      </c>
      <c r="K60" s="18">
        <f t="shared" si="9"/>
        <v>759</v>
      </c>
      <c r="L60" s="18">
        <v>0</v>
      </c>
      <c r="M60" s="18">
        <f t="shared" si="11"/>
        <v>759</v>
      </c>
    </row>
    <row r="61" spans="2:13" x14ac:dyDescent="0.2">
      <c r="B61" s="18" t="s">
        <v>272</v>
      </c>
      <c r="C61" s="18">
        <v>447</v>
      </c>
      <c r="D61" s="18">
        <v>260</v>
      </c>
      <c r="E61" s="18">
        <f t="shared" si="6"/>
        <v>707</v>
      </c>
      <c r="F61" s="19">
        <f t="shared" si="7"/>
        <v>2.4708184804641084E-2</v>
      </c>
      <c r="G61" s="18">
        <v>1045</v>
      </c>
      <c r="H61" s="18">
        <v>142</v>
      </c>
      <c r="I61" s="18">
        <f t="shared" si="10"/>
        <v>1187</v>
      </c>
      <c r="J61" s="19">
        <f t="shared" si="8"/>
        <v>2.2177381686377819E-2</v>
      </c>
      <c r="K61" s="18">
        <f t="shared" si="9"/>
        <v>1894</v>
      </c>
      <c r="L61" s="18">
        <v>0</v>
      </c>
      <c r="M61" s="18">
        <f t="shared" si="11"/>
        <v>1894</v>
      </c>
    </row>
    <row r="62" spans="2:13" x14ac:dyDescent="0.2">
      <c r="B62" s="20" t="s">
        <v>49</v>
      </c>
      <c r="C62" s="18">
        <f>SUM(C41:C61)</f>
        <v>18091</v>
      </c>
      <c r="D62" s="18">
        <f>SUM(D41:D61)</f>
        <v>10523</v>
      </c>
      <c r="E62" s="20">
        <f>C62+D62</f>
        <v>28614</v>
      </c>
      <c r="F62" s="46">
        <f t="shared" si="7"/>
        <v>1</v>
      </c>
      <c r="G62" s="18">
        <f>SUM(G41:G61)</f>
        <v>48136</v>
      </c>
      <c r="H62" s="18">
        <f>SUM(H41:H61)</f>
        <v>5387</v>
      </c>
      <c r="I62" s="20">
        <f t="shared" si="10"/>
        <v>53523</v>
      </c>
      <c r="J62" s="46">
        <f t="shared" si="8"/>
        <v>1</v>
      </c>
      <c r="K62" s="20">
        <f t="shared" si="9"/>
        <v>82137</v>
      </c>
      <c r="L62" s="18">
        <f>SUM(L41:L61)</f>
        <v>0</v>
      </c>
      <c r="M62" s="20">
        <f t="shared" si="11"/>
        <v>82137</v>
      </c>
    </row>
    <row r="63" spans="2:13" ht="24" x14ac:dyDescent="0.2">
      <c r="B63" s="32" t="s">
        <v>66</v>
      </c>
      <c r="C63" s="33">
        <f>+C62/M62</f>
        <v>0.22025396593496233</v>
      </c>
      <c r="D63" s="33">
        <f>+D62/M62</f>
        <v>0.12811522212888224</v>
      </c>
      <c r="E63" s="34">
        <f>+E62/M62</f>
        <v>0.34836918806384454</v>
      </c>
      <c r="F63" s="34"/>
      <c r="G63" s="33">
        <f>+G62/M62</f>
        <v>0.58604526583634664</v>
      </c>
      <c r="H63" s="33">
        <f>+H62/M62</f>
        <v>6.558554609980885E-2</v>
      </c>
      <c r="I63" s="34">
        <f>+I62/M62</f>
        <v>0.65163081193615546</v>
      </c>
      <c r="J63" s="34"/>
      <c r="K63" s="34">
        <f>+K62/M62</f>
        <v>1</v>
      </c>
      <c r="L63" s="34">
        <f>+L62/M62</f>
        <v>0</v>
      </c>
      <c r="M63" s="34">
        <f>K63+L63</f>
        <v>1</v>
      </c>
    </row>
    <row r="64" spans="2:13" x14ac:dyDescent="0.2">
      <c r="B64" s="25" t="s">
        <v>129</v>
      </c>
    </row>
    <row r="65" spans="2:2" x14ac:dyDescent="0.2">
      <c r="B65" s="25" t="s">
        <v>130</v>
      </c>
    </row>
  </sheetData>
  <mergeCells count="12">
    <mergeCell ref="B36:K36"/>
    <mergeCell ref="B39:B40"/>
    <mergeCell ref="C39:K39"/>
    <mergeCell ref="B5:K5"/>
    <mergeCell ref="B6:K6"/>
    <mergeCell ref="B9:B10"/>
    <mergeCell ref="C9:K9"/>
    <mergeCell ref="B35:K35"/>
    <mergeCell ref="B8:M8"/>
    <mergeCell ref="L9:M9"/>
    <mergeCell ref="L39:M39"/>
    <mergeCell ref="B38:M38"/>
  </mergeCells>
  <hyperlinks>
    <hyperlink ref="M5" location="'Índice Pensiones Solidarias'!A1" display="Volver Sistema de Pensiones Solidadias" xr:uid="{00000000-0004-0000-0F00-000000000000}"/>
  </hyperlinks>
  <pageMargins left="0.74803149606299213" right="0.74803149606299213" top="0.98425196850393704" bottom="0.98425196850393704" header="0" footer="0"/>
  <pageSetup scale="83" fitToHeight="2" orientation="portrait" r:id="rId1"/>
  <headerFooter alignWithMargins="0"/>
  <rowBreaks count="1" manualBreakCount="1">
    <brk id="38" min="1" max="12"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26">
    <pageSetUpPr fitToPage="1"/>
  </sheetPr>
  <dimension ref="A1:P89"/>
  <sheetViews>
    <sheetView showGridLines="0" topLeftCell="A10" zoomScaleNormal="100" workbookViewId="0">
      <selection activeCell="F15" sqref="F15"/>
    </sheetView>
  </sheetViews>
  <sheetFormatPr baseColWidth="10" defaultRowHeight="12" x14ac:dyDescent="0.2"/>
  <cols>
    <col min="1" max="1" width="6" style="26" customWidth="1"/>
    <col min="2" max="2" width="18.140625" style="26" customWidth="1"/>
    <col min="3" max="3" width="9.7109375" style="26" bestFit="1" customWidth="1"/>
    <col min="4" max="4" width="9.140625" style="26" bestFit="1" customWidth="1"/>
    <col min="5" max="6" width="9.140625" style="26" customWidth="1"/>
    <col min="7" max="7" width="9.7109375" style="26" bestFit="1" customWidth="1"/>
    <col min="8" max="8" width="8.42578125" style="26" bestFit="1" customWidth="1"/>
    <col min="9" max="11" width="11" style="26" customWidth="1"/>
    <col min="12" max="12" width="9.140625" style="26" customWidth="1"/>
    <col min="13" max="251" width="11.42578125" style="26"/>
    <col min="252" max="252" width="18.140625" style="26" customWidth="1"/>
    <col min="253" max="253" width="9.7109375" style="26" bestFit="1" customWidth="1"/>
    <col min="254" max="254" width="9.140625" style="26" bestFit="1" customWidth="1"/>
    <col min="255" max="256" width="9.140625" style="26" customWidth="1"/>
    <col min="257" max="257" width="9.7109375" style="26" bestFit="1" customWidth="1"/>
    <col min="258" max="258" width="8.42578125" style="26" bestFit="1" customWidth="1"/>
    <col min="259" max="261" width="11" style="26" customWidth="1"/>
    <col min="262" max="267" width="0" style="26" hidden="1" customWidth="1"/>
    <col min="268" max="268" width="9.140625" style="26" customWidth="1"/>
    <col min="269" max="507" width="11.42578125" style="26"/>
    <col min="508" max="508" width="18.140625" style="26" customWidth="1"/>
    <col min="509" max="509" width="9.7109375" style="26" bestFit="1" customWidth="1"/>
    <col min="510" max="510" width="9.140625" style="26" bestFit="1" customWidth="1"/>
    <col min="511" max="512" width="9.140625" style="26" customWidth="1"/>
    <col min="513" max="513" width="9.7109375" style="26" bestFit="1" customWidth="1"/>
    <col min="514" max="514" width="8.42578125" style="26" bestFit="1" customWidth="1"/>
    <col min="515" max="517" width="11" style="26" customWidth="1"/>
    <col min="518" max="523" width="0" style="26" hidden="1" customWidth="1"/>
    <col min="524" max="524" width="9.140625" style="26" customWidth="1"/>
    <col min="525" max="763" width="11.42578125" style="26"/>
    <col min="764" max="764" width="18.140625" style="26" customWidth="1"/>
    <col min="765" max="765" width="9.7109375" style="26" bestFit="1" customWidth="1"/>
    <col min="766" max="766" width="9.140625" style="26" bestFit="1" customWidth="1"/>
    <col min="767" max="768" width="9.140625" style="26" customWidth="1"/>
    <col min="769" max="769" width="9.7109375" style="26" bestFit="1" customWidth="1"/>
    <col min="770" max="770" width="8.42578125" style="26" bestFit="1" customWidth="1"/>
    <col min="771" max="773" width="11" style="26" customWidth="1"/>
    <col min="774" max="779" width="0" style="26" hidden="1" customWidth="1"/>
    <col min="780" max="780" width="9.140625" style="26" customWidth="1"/>
    <col min="781" max="1019" width="11.42578125" style="26"/>
    <col min="1020" max="1020" width="18.140625" style="26" customWidth="1"/>
    <col min="1021" max="1021" width="9.7109375" style="26" bestFit="1" customWidth="1"/>
    <col min="1022" max="1022" width="9.140625" style="26" bestFit="1" customWidth="1"/>
    <col min="1023" max="1024" width="9.140625" style="26" customWidth="1"/>
    <col min="1025" max="1025" width="9.7109375" style="26" bestFit="1" customWidth="1"/>
    <col min="1026" max="1026" width="8.42578125" style="26" bestFit="1" customWidth="1"/>
    <col min="1027" max="1029" width="11" style="26" customWidth="1"/>
    <col min="1030" max="1035" width="0" style="26" hidden="1" customWidth="1"/>
    <col min="1036" max="1036" width="9.140625" style="26" customWidth="1"/>
    <col min="1037" max="1275" width="11.42578125" style="26"/>
    <col min="1276" max="1276" width="18.140625" style="26" customWidth="1"/>
    <col min="1277" max="1277" width="9.7109375" style="26" bestFit="1" customWidth="1"/>
    <col min="1278" max="1278" width="9.140625" style="26" bestFit="1" customWidth="1"/>
    <col min="1279" max="1280" width="9.140625" style="26" customWidth="1"/>
    <col min="1281" max="1281" width="9.7109375" style="26" bestFit="1" customWidth="1"/>
    <col min="1282" max="1282" width="8.42578125" style="26" bestFit="1" customWidth="1"/>
    <col min="1283" max="1285" width="11" style="26" customWidth="1"/>
    <col min="1286" max="1291" width="0" style="26" hidden="1" customWidth="1"/>
    <col min="1292" max="1292" width="9.140625" style="26" customWidth="1"/>
    <col min="1293" max="1531" width="11.42578125" style="26"/>
    <col min="1532" max="1532" width="18.140625" style="26" customWidth="1"/>
    <col min="1533" max="1533" width="9.7109375" style="26" bestFit="1" customWidth="1"/>
    <col min="1534" max="1534" width="9.140625" style="26" bestFit="1" customWidth="1"/>
    <col min="1535" max="1536" width="9.140625" style="26" customWidth="1"/>
    <col min="1537" max="1537" width="9.7109375" style="26" bestFit="1" customWidth="1"/>
    <col min="1538" max="1538" width="8.42578125" style="26" bestFit="1" customWidth="1"/>
    <col min="1539" max="1541" width="11" style="26" customWidth="1"/>
    <col min="1542" max="1547" width="0" style="26" hidden="1" customWidth="1"/>
    <col min="1548" max="1548" width="9.140625" style="26" customWidth="1"/>
    <col min="1549" max="1787" width="11.42578125" style="26"/>
    <col min="1788" max="1788" width="18.140625" style="26" customWidth="1"/>
    <col min="1789" max="1789" width="9.7109375" style="26" bestFit="1" customWidth="1"/>
    <col min="1790" max="1790" width="9.140625" style="26" bestFit="1" customWidth="1"/>
    <col min="1791" max="1792" width="9.140625" style="26" customWidth="1"/>
    <col min="1793" max="1793" width="9.7109375" style="26" bestFit="1" customWidth="1"/>
    <col min="1794" max="1794" width="8.42578125" style="26" bestFit="1" customWidth="1"/>
    <col min="1795" max="1797" width="11" style="26" customWidth="1"/>
    <col min="1798" max="1803" width="0" style="26" hidden="1" customWidth="1"/>
    <col min="1804" max="1804" width="9.140625" style="26" customWidth="1"/>
    <col min="1805" max="2043" width="11.42578125" style="26"/>
    <col min="2044" max="2044" width="18.140625" style="26" customWidth="1"/>
    <col min="2045" max="2045" width="9.7109375" style="26" bestFit="1" customWidth="1"/>
    <col min="2046" max="2046" width="9.140625" style="26" bestFit="1" customWidth="1"/>
    <col min="2047" max="2048" width="9.140625" style="26" customWidth="1"/>
    <col min="2049" max="2049" width="9.7109375" style="26" bestFit="1" customWidth="1"/>
    <col min="2050" max="2050" width="8.42578125" style="26" bestFit="1" customWidth="1"/>
    <col min="2051" max="2053" width="11" style="26" customWidth="1"/>
    <col min="2054" max="2059" width="0" style="26" hidden="1" customWidth="1"/>
    <col min="2060" max="2060" width="9.140625" style="26" customWidth="1"/>
    <col min="2061" max="2299" width="11.42578125" style="26"/>
    <col min="2300" max="2300" width="18.140625" style="26" customWidth="1"/>
    <col min="2301" max="2301" width="9.7109375" style="26" bestFit="1" customWidth="1"/>
    <col min="2302" max="2302" width="9.140625" style="26" bestFit="1" customWidth="1"/>
    <col min="2303" max="2304" width="9.140625" style="26" customWidth="1"/>
    <col min="2305" max="2305" width="9.7109375" style="26" bestFit="1" customWidth="1"/>
    <col min="2306" max="2306" width="8.42578125" style="26" bestFit="1" customWidth="1"/>
    <col min="2307" max="2309" width="11" style="26" customWidth="1"/>
    <col min="2310" max="2315" width="0" style="26" hidden="1" customWidth="1"/>
    <col min="2316" max="2316" width="9.140625" style="26" customWidth="1"/>
    <col min="2317" max="2555" width="11.42578125" style="26"/>
    <col min="2556" max="2556" width="18.140625" style="26" customWidth="1"/>
    <col min="2557" max="2557" width="9.7109375" style="26" bestFit="1" customWidth="1"/>
    <col min="2558" max="2558" width="9.140625" style="26" bestFit="1" customWidth="1"/>
    <col min="2559" max="2560" width="9.140625" style="26" customWidth="1"/>
    <col min="2561" max="2561" width="9.7109375" style="26" bestFit="1" customWidth="1"/>
    <col min="2562" max="2562" width="8.42578125" style="26" bestFit="1" customWidth="1"/>
    <col min="2563" max="2565" width="11" style="26" customWidth="1"/>
    <col min="2566" max="2571" width="0" style="26" hidden="1" customWidth="1"/>
    <col min="2572" max="2572" width="9.140625" style="26" customWidth="1"/>
    <col min="2573" max="2811" width="11.42578125" style="26"/>
    <col min="2812" max="2812" width="18.140625" style="26" customWidth="1"/>
    <col min="2813" max="2813" width="9.7109375" style="26" bestFit="1" customWidth="1"/>
    <col min="2814" max="2814" width="9.140625" style="26" bestFit="1" customWidth="1"/>
    <col min="2815" max="2816" width="9.140625" style="26" customWidth="1"/>
    <col min="2817" max="2817" width="9.7109375" style="26" bestFit="1" customWidth="1"/>
    <col min="2818" max="2818" width="8.42578125" style="26" bestFit="1" customWidth="1"/>
    <col min="2819" max="2821" width="11" style="26" customWidth="1"/>
    <col min="2822" max="2827" width="0" style="26" hidden="1" customWidth="1"/>
    <col min="2828" max="2828" width="9.140625" style="26" customWidth="1"/>
    <col min="2829" max="3067" width="11.42578125" style="26"/>
    <col min="3068" max="3068" width="18.140625" style="26" customWidth="1"/>
    <col min="3069" max="3069" width="9.7109375" style="26" bestFit="1" customWidth="1"/>
    <col min="3070" max="3070" width="9.140625" style="26" bestFit="1" customWidth="1"/>
    <col min="3071" max="3072" width="9.140625" style="26" customWidth="1"/>
    <col min="3073" max="3073" width="9.7109375" style="26" bestFit="1" customWidth="1"/>
    <col min="3074" max="3074" width="8.42578125" style="26" bestFit="1" customWidth="1"/>
    <col min="3075" max="3077" width="11" style="26" customWidth="1"/>
    <col min="3078" max="3083" width="0" style="26" hidden="1" customWidth="1"/>
    <col min="3084" max="3084" width="9.140625" style="26" customWidth="1"/>
    <col min="3085" max="3323" width="11.42578125" style="26"/>
    <col min="3324" max="3324" width="18.140625" style="26" customWidth="1"/>
    <col min="3325" max="3325" width="9.7109375" style="26" bestFit="1" customWidth="1"/>
    <col min="3326" max="3326" width="9.140625" style="26" bestFit="1" customWidth="1"/>
    <col min="3327" max="3328" width="9.140625" style="26" customWidth="1"/>
    <col min="3329" max="3329" width="9.7109375" style="26" bestFit="1" customWidth="1"/>
    <col min="3330" max="3330" width="8.42578125" style="26" bestFit="1" customWidth="1"/>
    <col min="3331" max="3333" width="11" style="26" customWidth="1"/>
    <col min="3334" max="3339" width="0" style="26" hidden="1" customWidth="1"/>
    <col min="3340" max="3340" width="9.140625" style="26" customWidth="1"/>
    <col min="3341" max="3579" width="11.42578125" style="26"/>
    <col min="3580" max="3580" width="18.140625" style="26" customWidth="1"/>
    <col min="3581" max="3581" width="9.7109375" style="26" bestFit="1" customWidth="1"/>
    <col min="3582" max="3582" width="9.140625" style="26" bestFit="1" customWidth="1"/>
    <col min="3583" max="3584" width="9.140625" style="26" customWidth="1"/>
    <col min="3585" max="3585" width="9.7109375" style="26" bestFit="1" customWidth="1"/>
    <col min="3586" max="3586" width="8.42578125" style="26" bestFit="1" customWidth="1"/>
    <col min="3587" max="3589" width="11" style="26" customWidth="1"/>
    <col min="3590" max="3595" width="0" style="26" hidden="1" customWidth="1"/>
    <col min="3596" max="3596" width="9.140625" style="26" customWidth="1"/>
    <col min="3597" max="3835" width="11.42578125" style="26"/>
    <col min="3836" max="3836" width="18.140625" style="26" customWidth="1"/>
    <col min="3837" max="3837" width="9.7109375" style="26" bestFit="1" customWidth="1"/>
    <col min="3838" max="3838" width="9.140625" style="26" bestFit="1" customWidth="1"/>
    <col min="3839" max="3840" width="9.140625" style="26" customWidth="1"/>
    <col min="3841" max="3841" width="9.7109375" style="26" bestFit="1" customWidth="1"/>
    <col min="3842" max="3842" width="8.42578125" style="26" bestFit="1" customWidth="1"/>
    <col min="3843" max="3845" width="11" style="26" customWidth="1"/>
    <col min="3846" max="3851" width="0" style="26" hidden="1" customWidth="1"/>
    <col min="3852" max="3852" width="9.140625" style="26" customWidth="1"/>
    <col min="3853" max="4091" width="11.42578125" style="26"/>
    <col min="4092" max="4092" width="18.140625" style="26" customWidth="1"/>
    <col min="4093" max="4093" width="9.7109375" style="26" bestFit="1" customWidth="1"/>
    <col min="4094" max="4094" width="9.140625" style="26" bestFit="1" customWidth="1"/>
    <col min="4095" max="4096" width="9.140625" style="26" customWidth="1"/>
    <col min="4097" max="4097" width="9.7109375" style="26" bestFit="1" customWidth="1"/>
    <col min="4098" max="4098" width="8.42578125" style="26" bestFit="1" customWidth="1"/>
    <col min="4099" max="4101" width="11" style="26" customWidth="1"/>
    <col min="4102" max="4107" width="0" style="26" hidden="1" customWidth="1"/>
    <col min="4108" max="4108" width="9.140625" style="26" customWidth="1"/>
    <col min="4109" max="4347" width="11.42578125" style="26"/>
    <col min="4348" max="4348" width="18.140625" style="26" customWidth="1"/>
    <col min="4349" max="4349" width="9.7109375" style="26" bestFit="1" customWidth="1"/>
    <col min="4350" max="4350" width="9.140625" style="26" bestFit="1" customWidth="1"/>
    <col min="4351" max="4352" width="9.140625" style="26" customWidth="1"/>
    <col min="4353" max="4353" width="9.7109375" style="26" bestFit="1" customWidth="1"/>
    <col min="4354" max="4354" width="8.42578125" style="26" bestFit="1" customWidth="1"/>
    <col min="4355" max="4357" width="11" style="26" customWidth="1"/>
    <col min="4358" max="4363" width="0" style="26" hidden="1" customWidth="1"/>
    <col min="4364" max="4364" width="9.140625" style="26" customWidth="1"/>
    <col min="4365" max="4603" width="11.42578125" style="26"/>
    <col min="4604" max="4604" width="18.140625" style="26" customWidth="1"/>
    <col min="4605" max="4605" width="9.7109375" style="26" bestFit="1" customWidth="1"/>
    <col min="4606" max="4606" width="9.140625" style="26" bestFit="1" customWidth="1"/>
    <col min="4607" max="4608" width="9.140625" style="26" customWidth="1"/>
    <col min="4609" max="4609" width="9.7109375" style="26" bestFit="1" customWidth="1"/>
    <col min="4610" max="4610" width="8.42578125" style="26" bestFit="1" customWidth="1"/>
    <col min="4611" max="4613" width="11" style="26" customWidth="1"/>
    <col min="4614" max="4619" width="0" style="26" hidden="1" customWidth="1"/>
    <col min="4620" max="4620" width="9.140625" style="26" customWidth="1"/>
    <col min="4621" max="4859" width="11.42578125" style="26"/>
    <col min="4860" max="4860" width="18.140625" style="26" customWidth="1"/>
    <col min="4861" max="4861" width="9.7109375" style="26" bestFit="1" customWidth="1"/>
    <col min="4862" max="4862" width="9.140625" style="26" bestFit="1" customWidth="1"/>
    <col min="4863" max="4864" width="9.140625" style="26" customWidth="1"/>
    <col min="4865" max="4865" width="9.7109375" style="26" bestFit="1" customWidth="1"/>
    <col min="4866" max="4866" width="8.42578125" style="26" bestFit="1" customWidth="1"/>
    <col min="4867" max="4869" width="11" style="26" customWidth="1"/>
    <col min="4870" max="4875" width="0" style="26" hidden="1" customWidth="1"/>
    <col min="4876" max="4876" width="9.140625" style="26" customWidth="1"/>
    <col min="4877" max="5115" width="11.42578125" style="26"/>
    <col min="5116" max="5116" width="18.140625" style="26" customWidth="1"/>
    <col min="5117" max="5117" width="9.7109375" style="26" bestFit="1" customWidth="1"/>
    <col min="5118" max="5118" width="9.140625" style="26" bestFit="1" customWidth="1"/>
    <col min="5119" max="5120" width="9.140625" style="26" customWidth="1"/>
    <col min="5121" max="5121" width="9.7109375" style="26" bestFit="1" customWidth="1"/>
    <col min="5122" max="5122" width="8.42578125" style="26" bestFit="1" customWidth="1"/>
    <col min="5123" max="5125" width="11" style="26" customWidth="1"/>
    <col min="5126" max="5131" width="0" style="26" hidden="1" customWidth="1"/>
    <col min="5132" max="5132" width="9.140625" style="26" customWidth="1"/>
    <col min="5133" max="5371" width="11.42578125" style="26"/>
    <col min="5372" max="5372" width="18.140625" style="26" customWidth="1"/>
    <col min="5373" max="5373" width="9.7109375" style="26" bestFit="1" customWidth="1"/>
    <col min="5374" max="5374" width="9.140625" style="26" bestFit="1" customWidth="1"/>
    <col min="5375" max="5376" width="9.140625" style="26" customWidth="1"/>
    <col min="5377" max="5377" width="9.7109375" style="26" bestFit="1" customWidth="1"/>
    <col min="5378" max="5378" width="8.42578125" style="26" bestFit="1" customWidth="1"/>
    <col min="5379" max="5381" width="11" style="26" customWidth="1"/>
    <col min="5382" max="5387" width="0" style="26" hidden="1" customWidth="1"/>
    <col min="5388" max="5388" width="9.140625" style="26" customWidth="1"/>
    <col min="5389" max="5627" width="11.42578125" style="26"/>
    <col min="5628" max="5628" width="18.140625" style="26" customWidth="1"/>
    <col min="5629" max="5629" width="9.7109375" style="26" bestFit="1" customWidth="1"/>
    <col min="5630" max="5630" width="9.140625" style="26" bestFit="1" customWidth="1"/>
    <col min="5631" max="5632" width="9.140625" style="26" customWidth="1"/>
    <col min="5633" max="5633" width="9.7109375" style="26" bestFit="1" customWidth="1"/>
    <col min="5634" max="5634" width="8.42578125" style="26" bestFit="1" customWidth="1"/>
    <col min="5635" max="5637" width="11" style="26" customWidth="1"/>
    <col min="5638" max="5643" width="0" style="26" hidden="1" customWidth="1"/>
    <col min="5644" max="5644" width="9.140625" style="26" customWidth="1"/>
    <col min="5645" max="5883" width="11.42578125" style="26"/>
    <col min="5884" max="5884" width="18.140625" style="26" customWidth="1"/>
    <col min="5885" max="5885" width="9.7109375" style="26" bestFit="1" customWidth="1"/>
    <col min="5886" max="5886" width="9.140625" style="26" bestFit="1" customWidth="1"/>
    <col min="5887" max="5888" width="9.140625" style="26" customWidth="1"/>
    <col min="5889" max="5889" width="9.7109375" style="26" bestFit="1" customWidth="1"/>
    <col min="5890" max="5890" width="8.42578125" style="26" bestFit="1" customWidth="1"/>
    <col min="5891" max="5893" width="11" style="26" customWidth="1"/>
    <col min="5894" max="5899" width="0" style="26" hidden="1" customWidth="1"/>
    <col min="5900" max="5900" width="9.140625" style="26" customWidth="1"/>
    <col min="5901" max="6139" width="11.42578125" style="26"/>
    <col min="6140" max="6140" width="18.140625" style="26" customWidth="1"/>
    <col min="6141" max="6141" width="9.7109375" style="26" bestFit="1" customWidth="1"/>
    <col min="6142" max="6142" width="9.140625" style="26" bestFit="1" customWidth="1"/>
    <col min="6143" max="6144" width="9.140625" style="26" customWidth="1"/>
    <col min="6145" max="6145" width="9.7109375" style="26" bestFit="1" customWidth="1"/>
    <col min="6146" max="6146" width="8.42578125" style="26" bestFit="1" customWidth="1"/>
    <col min="6147" max="6149" width="11" style="26" customWidth="1"/>
    <col min="6150" max="6155" width="0" style="26" hidden="1" customWidth="1"/>
    <col min="6156" max="6156" width="9.140625" style="26" customWidth="1"/>
    <col min="6157" max="6395" width="11.42578125" style="26"/>
    <col min="6396" max="6396" width="18.140625" style="26" customWidth="1"/>
    <col min="6397" max="6397" width="9.7109375" style="26" bestFit="1" customWidth="1"/>
    <col min="6398" max="6398" width="9.140625" style="26" bestFit="1" customWidth="1"/>
    <col min="6399" max="6400" width="9.140625" style="26" customWidth="1"/>
    <col min="6401" max="6401" width="9.7109375" style="26" bestFit="1" customWidth="1"/>
    <col min="6402" max="6402" width="8.42578125" style="26" bestFit="1" customWidth="1"/>
    <col min="6403" max="6405" width="11" style="26" customWidth="1"/>
    <col min="6406" max="6411" width="0" style="26" hidden="1" customWidth="1"/>
    <col min="6412" max="6412" width="9.140625" style="26" customWidth="1"/>
    <col min="6413" max="6651" width="11.42578125" style="26"/>
    <col min="6652" max="6652" width="18.140625" style="26" customWidth="1"/>
    <col min="6653" max="6653" width="9.7109375" style="26" bestFit="1" customWidth="1"/>
    <col min="6654" max="6654" width="9.140625" style="26" bestFit="1" customWidth="1"/>
    <col min="6655" max="6656" width="9.140625" style="26" customWidth="1"/>
    <col min="6657" max="6657" width="9.7109375" style="26" bestFit="1" customWidth="1"/>
    <col min="6658" max="6658" width="8.42578125" style="26" bestFit="1" customWidth="1"/>
    <col min="6659" max="6661" width="11" style="26" customWidth="1"/>
    <col min="6662" max="6667" width="0" style="26" hidden="1" customWidth="1"/>
    <col min="6668" max="6668" width="9.140625" style="26" customWidth="1"/>
    <col min="6669" max="6907" width="11.42578125" style="26"/>
    <col min="6908" max="6908" width="18.140625" style="26" customWidth="1"/>
    <col min="6909" max="6909" width="9.7109375" style="26" bestFit="1" customWidth="1"/>
    <col min="6910" max="6910" width="9.140625" style="26" bestFit="1" customWidth="1"/>
    <col min="6911" max="6912" width="9.140625" style="26" customWidth="1"/>
    <col min="6913" max="6913" width="9.7109375" style="26" bestFit="1" customWidth="1"/>
    <col min="6914" max="6914" width="8.42578125" style="26" bestFit="1" customWidth="1"/>
    <col min="6915" max="6917" width="11" style="26" customWidth="1"/>
    <col min="6918" max="6923" width="0" style="26" hidden="1" customWidth="1"/>
    <col min="6924" max="6924" width="9.140625" style="26" customWidth="1"/>
    <col min="6925" max="7163" width="11.42578125" style="26"/>
    <col min="7164" max="7164" width="18.140625" style="26" customWidth="1"/>
    <col min="7165" max="7165" width="9.7109375" style="26" bestFit="1" customWidth="1"/>
    <col min="7166" max="7166" width="9.140625" style="26" bestFit="1" customWidth="1"/>
    <col min="7167" max="7168" width="9.140625" style="26" customWidth="1"/>
    <col min="7169" max="7169" width="9.7109375" style="26" bestFit="1" customWidth="1"/>
    <col min="7170" max="7170" width="8.42578125" style="26" bestFit="1" customWidth="1"/>
    <col min="7171" max="7173" width="11" style="26" customWidth="1"/>
    <col min="7174" max="7179" width="0" style="26" hidden="1" customWidth="1"/>
    <col min="7180" max="7180" width="9.140625" style="26" customWidth="1"/>
    <col min="7181" max="7419" width="11.42578125" style="26"/>
    <col min="7420" max="7420" width="18.140625" style="26" customWidth="1"/>
    <col min="7421" max="7421" width="9.7109375" style="26" bestFit="1" customWidth="1"/>
    <col min="7422" max="7422" width="9.140625" style="26" bestFit="1" customWidth="1"/>
    <col min="7423" max="7424" width="9.140625" style="26" customWidth="1"/>
    <col min="7425" max="7425" width="9.7109375" style="26" bestFit="1" customWidth="1"/>
    <col min="7426" max="7426" width="8.42578125" style="26" bestFit="1" customWidth="1"/>
    <col min="7427" max="7429" width="11" style="26" customWidth="1"/>
    <col min="7430" max="7435" width="0" style="26" hidden="1" customWidth="1"/>
    <col min="7436" max="7436" width="9.140625" style="26" customWidth="1"/>
    <col min="7437" max="7675" width="11.42578125" style="26"/>
    <col min="7676" max="7676" width="18.140625" style="26" customWidth="1"/>
    <col min="7677" max="7677" width="9.7109375" style="26" bestFit="1" customWidth="1"/>
    <col min="7678" max="7678" width="9.140625" style="26" bestFit="1" customWidth="1"/>
    <col min="7679" max="7680" width="9.140625" style="26" customWidth="1"/>
    <col min="7681" max="7681" width="9.7109375" style="26" bestFit="1" customWidth="1"/>
    <col min="7682" max="7682" width="8.42578125" style="26" bestFit="1" customWidth="1"/>
    <col min="7683" max="7685" width="11" style="26" customWidth="1"/>
    <col min="7686" max="7691" width="0" style="26" hidden="1" customWidth="1"/>
    <col min="7692" max="7692" width="9.140625" style="26" customWidth="1"/>
    <col min="7693" max="7931" width="11.42578125" style="26"/>
    <col min="7932" max="7932" width="18.140625" style="26" customWidth="1"/>
    <col min="7933" max="7933" width="9.7109375" style="26" bestFit="1" customWidth="1"/>
    <col min="7934" max="7934" width="9.140625" style="26" bestFit="1" customWidth="1"/>
    <col min="7935" max="7936" width="9.140625" style="26" customWidth="1"/>
    <col min="7937" max="7937" width="9.7109375" style="26" bestFit="1" customWidth="1"/>
    <col min="7938" max="7938" width="8.42578125" style="26" bestFit="1" customWidth="1"/>
    <col min="7939" max="7941" width="11" style="26" customWidth="1"/>
    <col min="7942" max="7947" width="0" style="26" hidden="1" customWidth="1"/>
    <col min="7948" max="7948" width="9.140625" style="26" customWidth="1"/>
    <col min="7949" max="8187" width="11.42578125" style="26"/>
    <col min="8188" max="8188" width="18.140625" style="26" customWidth="1"/>
    <col min="8189" max="8189" width="9.7109375" style="26" bestFit="1" customWidth="1"/>
    <col min="8190" max="8190" width="9.140625" style="26" bestFit="1" customWidth="1"/>
    <col min="8191" max="8192" width="9.140625" style="26" customWidth="1"/>
    <col min="8193" max="8193" width="9.7109375" style="26" bestFit="1" customWidth="1"/>
    <col min="8194" max="8194" width="8.42578125" style="26" bestFit="1" customWidth="1"/>
    <col min="8195" max="8197" width="11" style="26" customWidth="1"/>
    <col min="8198" max="8203" width="0" style="26" hidden="1" customWidth="1"/>
    <col min="8204" max="8204" width="9.140625" style="26" customWidth="1"/>
    <col min="8205" max="8443" width="11.42578125" style="26"/>
    <col min="8444" max="8444" width="18.140625" style="26" customWidth="1"/>
    <col min="8445" max="8445" width="9.7109375" style="26" bestFit="1" customWidth="1"/>
    <col min="8446" max="8446" width="9.140625" style="26" bestFit="1" customWidth="1"/>
    <col min="8447" max="8448" width="9.140625" style="26" customWidth="1"/>
    <col min="8449" max="8449" width="9.7109375" style="26" bestFit="1" customWidth="1"/>
    <col min="8450" max="8450" width="8.42578125" style="26" bestFit="1" customWidth="1"/>
    <col min="8451" max="8453" width="11" style="26" customWidth="1"/>
    <col min="8454" max="8459" width="0" style="26" hidden="1" customWidth="1"/>
    <col min="8460" max="8460" width="9.140625" style="26" customWidth="1"/>
    <col min="8461" max="8699" width="11.42578125" style="26"/>
    <col min="8700" max="8700" width="18.140625" style="26" customWidth="1"/>
    <col min="8701" max="8701" width="9.7109375" style="26" bestFit="1" customWidth="1"/>
    <col min="8702" max="8702" width="9.140625" style="26" bestFit="1" customWidth="1"/>
    <col min="8703" max="8704" width="9.140625" style="26" customWidth="1"/>
    <col min="8705" max="8705" width="9.7109375" style="26" bestFit="1" customWidth="1"/>
    <col min="8706" max="8706" width="8.42578125" style="26" bestFit="1" customWidth="1"/>
    <col min="8707" max="8709" width="11" style="26" customWidth="1"/>
    <col min="8710" max="8715" width="0" style="26" hidden="1" customWidth="1"/>
    <col min="8716" max="8716" width="9.140625" style="26" customWidth="1"/>
    <col min="8717" max="8955" width="11.42578125" style="26"/>
    <col min="8956" max="8956" width="18.140625" style="26" customWidth="1"/>
    <col min="8957" max="8957" width="9.7109375" style="26" bestFit="1" customWidth="1"/>
    <col min="8958" max="8958" width="9.140625" style="26" bestFit="1" customWidth="1"/>
    <col min="8959" max="8960" width="9.140625" style="26" customWidth="1"/>
    <col min="8961" max="8961" width="9.7109375" style="26" bestFit="1" customWidth="1"/>
    <col min="8962" max="8962" width="8.42578125" style="26" bestFit="1" customWidth="1"/>
    <col min="8963" max="8965" width="11" style="26" customWidth="1"/>
    <col min="8966" max="8971" width="0" style="26" hidden="1" customWidth="1"/>
    <col min="8972" max="8972" width="9.140625" style="26" customWidth="1"/>
    <col min="8973" max="9211" width="11.42578125" style="26"/>
    <col min="9212" max="9212" width="18.140625" style="26" customWidth="1"/>
    <col min="9213" max="9213" width="9.7109375" style="26" bestFit="1" customWidth="1"/>
    <col min="9214" max="9214" width="9.140625" style="26" bestFit="1" customWidth="1"/>
    <col min="9215" max="9216" width="9.140625" style="26" customWidth="1"/>
    <col min="9217" max="9217" width="9.7109375" style="26" bestFit="1" customWidth="1"/>
    <col min="9218" max="9218" width="8.42578125" style="26" bestFit="1" customWidth="1"/>
    <col min="9219" max="9221" width="11" style="26" customWidth="1"/>
    <col min="9222" max="9227" width="0" style="26" hidden="1" customWidth="1"/>
    <col min="9228" max="9228" width="9.140625" style="26" customWidth="1"/>
    <col min="9229" max="9467" width="11.42578125" style="26"/>
    <col min="9468" max="9468" width="18.140625" style="26" customWidth="1"/>
    <col min="9469" max="9469" width="9.7109375" style="26" bestFit="1" customWidth="1"/>
    <col min="9470" max="9470" width="9.140625" style="26" bestFit="1" customWidth="1"/>
    <col min="9471" max="9472" width="9.140625" style="26" customWidth="1"/>
    <col min="9473" max="9473" width="9.7109375" style="26" bestFit="1" customWidth="1"/>
    <col min="9474" max="9474" width="8.42578125" style="26" bestFit="1" customWidth="1"/>
    <col min="9475" max="9477" width="11" style="26" customWidth="1"/>
    <col min="9478" max="9483" width="0" style="26" hidden="1" customWidth="1"/>
    <col min="9484" max="9484" width="9.140625" style="26" customWidth="1"/>
    <col min="9485" max="9723" width="11.42578125" style="26"/>
    <col min="9724" max="9724" width="18.140625" style="26" customWidth="1"/>
    <col min="9725" max="9725" width="9.7109375" style="26" bestFit="1" customWidth="1"/>
    <col min="9726" max="9726" width="9.140625" style="26" bestFit="1" customWidth="1"/>
    <col min="9727" max="9728" width="9.140625" style="26" customWidth="1"/>
    <col min="9729" max="9729" width="9.7109375" style="26" bestFit="1" customWidth="1"/>
    <col min="9730" max="9730" width="8.42578125" style="26" bestFit="1" customWidth="1"/>
    <col min="9731" max="9733" width="11" style="26" customWidth="1"/>
    <col min="9734" max="9739" width="0" style="26" hidden="1" customWidth="1"/>
    <col min="9740" max="9740" width="9.140625" style="26" customWidth="1"/>
    <col min="9741" max="9979" width="11.42578125" style="26"/>
    <col min="9980" max="9980" width="18.140625" style="26" customWidth="1"/>
    <col min="9981" max="9981" width="9.7109375" style="26" bestFit="1" customWidth="1"/>
    <col min="9982" max="9982" width="9.140625" style="26" bestFit="1" customWidth="1"/>
    <col min="9983" max="9984" width="9.140625" style="26" customWidth="1"/>
    <col min="9985" max="9985" width="9.7109375" style="26" bestFit="1" customWidth="1"/>
    <col min="9986" max="9986" width="8.42578125" style="26" bestFit="1" customWidth="1"/>
    <col min="9987" max="9989" width="11" style="26" customWidth="1"/>
    <col min="9990" max="9995" width="0" style="26" hidden="1" customWidth="1"/>
    <col min="9996" max="9996" width="9.140625" style="26" customWidth="1"/>
    <col min="9997" max="10235" width="11.42578125" style="26"/>
    <col min="10236" max="10236" width="18.140625" style="26" customWidth="1"/>
    <col min="10237" max="10237" width="9.7109375" style="26" bestFit="1" customWidth="1"/>
    <col min="10238" max="10238" width="9.140625" style="26" bestFit="1" customWidth="1"/>
    <col min="10239" max="10240" width="9.140625" style="26" customWidth="1"/>
    <col min="10241" max="10241" width="9.7109375" style="26" bestFit="1" customWidth="1"/>
    <col min="10242" max="10242" width="8.42578125" style="26" bestFit="1" customWidth="1"/>
    <col min="10243" max="10245" width="11" style="26" customWidth="1"/>
    <col min="10246" max="10251" width="0" style="26" hidden="1" customWidth="1"/>
    <col min="10252" max="10252" width="9.140625" style="26" customWidth="1"/>
    <col min="10253" max="10491" width="11.42578125" style="26"/>
    <col min="10492" max="10492" width="18.140625" style="26" customWidth="1"/>
    <col min="10493" max="10493" width="9.7109375" style="26" bestFit="1" customWidth="1"/>
    <col min="10494" max="10494" width="9.140625" style="26" bestFit="1" customWidth="1"/>
    <col min="10495" max="10496" width="9.140625" style="26" customWidth="1"/>
    <col min="10497" max="10497" width="9.7109375" style="26" bestFit="1" customWidth="1"/>
    <col min="10498" max="10498" width="8.42578125" style="26" bestFit="1" customWidth="1"/>
    <col min="10499" max="10501" width="11" style="26" customWidth="1"/>
    <col min="10502" max="10507" width="0" style="26" hidden="1" customWidth="1"/>
    <col min="10508" max="10508" width="9.140625" style="26" customWidth="1"/>
    <col min="10509" max="10747" width="11.42578125" style="26"/>
    <col min="10748" max="10748" width="18.140625" style="26" customWidth="1"/>
    <col min="10749" max="10749" width="9.7109375" style="26" bestFit="1" customWidth="1"/>
    <col min="10750" max="10750" width="9.140625" style="26" bestFit="1" customWidth="1"/>
    <col min="10751" max="10752" width="9.140625" style="26" customWidth="1"/>
    <col min="10753" max="10753" width="9.7109375" style="26" bestFit="1" customWidth="1"/>
    <col min="10754" max="10754" width="8.42578125" style="26" bestFit="1" customWidth="1"/>
    <col min="10755" max="10757" width="11" style="26" customWidth="1"/>
    <col min="10758" max="10763" width="0" style="26" hidden="1" customWidth="1"/>
    <col min="10764" max="10764" width="9.140625" style="26" customWidth="1"/>
    <col min="10765" max="11003" width="11.42578125" style="26"/>
    <col min="11004" max="11004" width="18.140625" style="26" customWidth="1"/>
    <col min="11005" max="11005" width="9.7109375" style="26" bestFit="1" customWidth="1"/>
    <col min="11006" max="11006" width="9.140625" style="26" bestFit="1" customWidth="1"/>
    <col min="11007" max="11008" width="9.140625" style="26" customWidth="1"/>
    <col min="11009" max="11009" width="9.7109375" style="26" bestFit="1" customWidth="1"/>
    <col min="11010" max="11010" width="8.42578125" style="26" bestFit="1" customWidth="1"/>
    <col min="11011" max="11013" width="11" style="26" customWidth="1"/>
    <col min="11014" max="11019" width="0" style="26" hidden="1" customWidth="1"/>
    <col min="11020" max="11020" width="9.140625" style="26" customWidth="1"/>
    <col min="11021" max="11259" width="11.42578125" style="26"/>
    <col min="11260" max="11260" width="18.140625" style="26" customWidth="1"/>
    <col min="11261" max="11261" width="9.7109375" style="26" bestFit="1" customWidth="1"/>
    <col min="11262" max="11262" width="9.140625" style="26" bestFit="1" customWidth="1"/>
    <col min="11263" max="11264" width="9.140625" style="26" customWidth="1"/>
    <col min="11265" max="11265" width="9.7109375" style="26" bestFit="1" customWidth="1"/>
    <col min="11266" max="11266" width="8.42578125" style="26" bestFit="1" customWidth="1"/>
    <col min="11267" max="11269" width="11" style="26" customWidth="1"/>
    <col min="11270" max="11275" width="0" style="26" hidden="1" customWidth="1"/>
    <col min="11276" max="11276" width="9.140625" style="26" customWidth="1"/>
    <col min="11277" max="11515" width="11.42578125" style="26"/>
    <col min="11516" max="11516" width="18.140625" style="26" customWidth="1"/>
    <col min="11517" max="11517" width="9.7109375" style="26" bestFit="1" customWidth="1"/>
    <col min="11518" max="11518" width="9.140625" style="26" bestFit="1" customWidth="1"/>
    <col min="11519" max="11520" width="9.140625" style="26" customWidth="1"/>
    <col min="11521" max="11521" width="9.7109375" style="26" bestFit="1" customWidth="1"/>
    <col min="11522" max="11522" width="8.42578125" style="26" bestFit="1" customWidth="1"/>
    <col min="11523" max="11525" width="11" style="26" customWidth="1"/>
    <col min="11526" max="11531" width="0" style="26" hidden="1" customWidth="1"/>
    <col min="11532" max="11532" width="9.140625" style="26" customWidth="1"/>
    <col min="11533" max="11771" width="11.42578125" style="26"/>
    <col min="11772" max="11772" width="18.140625" style="26" customWidth="1"/>
    <col min="11773" max="11773" width="9.7109375" style="26" bestFit="1" customWidth="1"/>
    <col min="11774" max="11774" width="9.140625" style="26" bestFit="1" customWidth="1"/>
    <col min="11775" max="11776" width="9.140625" style="26" customWidth="1"/>
    <col min="11777" max="11777" width="9.7109375" style="26" bestFit="1" customWidth="1"/>
    <col min="11778" max="11778" width="8.42578125" style="26" bestFit="1" customWidth="1"/>
    <col min="11779" max="11781" width="11" style="26" customWidth="1"/>
    <col min="11782" max="11787" width="0" style="26" hidden="1" customWidth="1"/>
    <col min="11788" max="11788" width="9.140625" style="26" customWidth="1"/>
    <col min="11789" max="12027" width="11.42578125" style="26"/>
    <col min="12028" max="12028" width="18.140625" style="26" customWidth="1"/>
    <col min="12029" max="12029" width="9.7109375" style="26" bestFit="1" customWidth="1"/>
    <col min="12030" max="12030" width="9.140625" style="26" bestFit="1" customWidth="1"/>
    <col min="12031" max="12032" width="9.140625" style="26" customWidth="1"/>
    <col min="12033" max="12033" width="9.7109375" style="26" bestFit="1" customWidth="1"/>
    <col min="12034" max="12034" width="8.42578125" style="26" bestFit="1" customWidth="1"/>
    <col min="12035" max="12037" width="11" style="26" customWidth="1"/>
    <col min="12038" max="12043" width="0" style="26" hidden="1" customWidth="1"/>
    <col min="12044" max="12044" width="9.140625" style="26" customWidth="1"/>
    <col min="12045" max="12283" width="11.42578125" style="26"/>
    <col min="12284" max="12284" width="18.140625" style="26" customWidth="1"/>
    <col min="12285" max="12285" width="9.7109375" style="26" bestFit="1" customWidth="1"/>
    <col min="12286" max="12286" width="9.140625" style="26" bestFit="1" customWidth="1"/>
    <col min="12287" max="12288" width="9.140625" style="26" customWidth="1"/>
    <col min="12289" max="12289" width="9.7109375" style="26" bestFit="1" customWidth="1"/>
    <col min="12290" max="12290" width="8.42578125" style="26" bestFit="1" customWidth="1"/>
    <col min="12291" max="12293" width="11" style="26" customWidth="1"/>
    <col min="12294" max="12299" width="0" style="26" hidden="1" customWidth="1"/>
    <col min="12300" max="12300" width="9.140625" style="26" customWidth="1"/>
    <col min="12301" max="12539" width="11.42578125" style="26"/>
    <col min="12540" max="12540" width="18.140625" style="26" customWidth="1"/>
    <col min="12541" max="12541" width="9.7109375" style="26" bestFit="1" customWidth="1"/>
    <col min="12542" max="12542" width="9.140625" style="26" bestFit="1" customWidth="1"/>
    <col min="12543" max="12544" width="9.140625" style="26" customWidth="1"/>
    <col min="12545" max="12545" width="9.7109375" style="26" bestFit="1" customWidth="1"/>
    <col min="12546" max="12546" width="8.42578125" style="26" bestFit="1" customWidth="1"/>
    <col min="12547" max="12549" width="11" style="26" customWidth="1"/>
    <col min="12550" max="12555" width="0" style="26" hidden="1" customWidth="1"/>
    <col min="12556" max="12556" width="9.140625" style="26" customWidth="1"/>
    <col min="12557" max="12795" width="11.42578125" style="26"/>
    <col min="12796" max="12796" width="18.140625" style="26" customWidth="1"/>
    <col min="12797" max="12797" width="9.7109375" style="26" bestFit="1" customWidth="1"/>
    <col min="12798" max="12798" width="9.140625" style="26" bestFit="1" customWidth="1"/>
    <col min="12799" max="12800" width="9.140625" style="26" customWidth="1"/>
    <col min="12801" max="12801" width="9.7109375" style="26" bestFit="1" customWidth="1"/>
    <col min="12802" max="12802" width="8.42578125" style="26" bestFit="1" customWidth="1"/>
    <col min="12803" max="12805" width="11" style="26" customWidth="1"/>
    <col min="12806" max="12811" width="0" style="26" hidden="1" customWidth="1"/>
    <col min="12812" max="12812" width="9.140625" style="26" customWidth="1"/>
    <col min="12813" max="13051" width="11.42578125" style="26"/>
    <col min="13052" max="13052" width="18.140625" style="26" customWidth="1"/>
    <col min="13053" max="13053" width="9.7109375" style="26" bestFit="1" customWidth="1"/>
    <col min="13054" max="13054" width="9.140625" style="26" bestFit="1" customWidth="1"/>
    <col min="13055" max="13056" width="9.140625" style="26" customWidth="1"/>
    <col min="13057" max="13057" width="9.7109375" style="26" bestFit="1" customWidth="1"/>
    <col min="13058" max="13058" width="8.42578125" style="26" bestFit="1" customWidth="1"/>
    <col min="13059" max="13061" width="11" style="26" customWidth="1"/>
    <col min="13062" max="13067" width="0" style="26" hidden="1" customWidth="1"/>
    <col min="13068" max="13068" width="9.140625" style="26" customWidth="1"/>
    <col min="13069" max="13307" width="11.42578125" style="26"/>
    <col min="13308" max="13308" width="18.140625" style="26" customWidth="1"/>
    <col min="13309" max="13309" width="9.7109375" style="26" bestFit="1" customWidth="1"/>
    <col min="13310" max="13310" width="9.140625" style="26" bestFit="1" customWidth="1"/>
    <col min="13311" max="13312" width="9.140625" style="26" customWidth="1"/>
    <col min="13313" max="13313" width="9.7109375" style="26" bestFit="1" customWidth="1"/>
    <col min="13314" max="13314" width="8.42578125" style="26" bestFit="1" customWidth="1"/>
    <col min="13315" max="13317" width="11" style="26" customWidth="1"/>
    <col min="13318" max="13323" width="0" style="26" hidden="1" customWidth="1"/>
    <col min="13324" max="13324" width="9.140625" style="26" customWidth="1"/>
    <col min="13325" max="13563" width="11.42578125" style="26"/>
    <col min="13564" max="13564" width="18.140625" style="26" customWidth="1"/>
    <col min="13565" max="13565" width="9.7109375" style="26" bestFit="1" customWidth="1"/>
    <col min="13566" max="13566" width="9.140625" style="26" bestFit="1" customWidth="1"/>
    <col min="13567" max="13568" width="9.140625" style="26" customWidth="1"/>
    <col min="13569" max="13569" width="9.7109375" style="26" bestFit="1" customWidth="1"/>
    <col min="13570" max="13570" width="8.42578125" style="26" bestFit="1" customWidth="1"/>
    <col min="13571" max="13573" width="11" style="26" customWidth="1"/>
    <col min="13574" max="13579" width="0" style="26" hidden="1" customWidth="1"/>
    <col min="13580" max="13580" width="9.140625" style="26" customWidth="1"/>
    <col min="13581" max="13819" width="11.42578125" style="26"/>
    <col min="13820" max="13820" width="18.140625" style="26" customWidth="1"/>
    <col min="13821" max="13821" width="9.7109375" style="26" bestFit="1" customWidth="1"/>
    <col min="13822" max="13822" width="9.140625" style="26" bestFit="1" customWidth="1"/>
    <col min="13823" max="13824" width="9.140625" style="26" customWidth="1"/>
    <col min="13825" max="13825" width="9.7109375" style="26" bestFit="1" customWidth="1"/>
    <col min="13826" max="13826" width="8.42578125" style="26" bestFit="1" customWidth="1"/>
    <col min="13827" max="13829" width="11" style="26" customWidth="1"/>
    <col min="13830" max="13835" width="0" style="26" hidden="1" customWidth="1"/>
    <col min="13836" max="13836" width="9.140625" style="26" customWidth="1"/>
    <col min="13837" max="14075" width="11.42578125" style="26"/>
    <col min="14076" max="14076" width="18.140625" style="26" customWidth="1"/>
    <col min="14077" max="14077" width="9.7109375" style="26" bestFit="1" customWidth="1"/>
    <col min="14078" max="14078" width="9.140625" style="26" bestFit="1" customWidth="1"/>
    <col min="14079" max="14080" width="9.140625" style="26" customWidth="1"/>
    <col min="14081" max="14081" width="9.7109375" style="26" bestFit="1" customWidth="1"/>
    <col min="14082" max="14082" width="8.42578125" style="26" bestFit="1" customWidth="1"/>
    <col min="14083" max="14085" width="11" style="26" customWidth="1"/>
    <col min="14086" max="14091" width="0" style="26" hidden="1" customWidth="1"/>
    <col min="14092" max="14092" width="9.140625" style="26" customWidth="1"/>
    <col min="14093" max="14331" width="11.42578125" style="26"/>
    <col min="14332" max="14332" width="18.140625" style="26" customWidth="1"/>
    <col min="14333" max="14333" width="9.7109375" style="26" bestFit="1" customWidth="1"/>
    <col min="14334" max="14334" width="9.140625" style="26" bestFit="1" customWidth="1"/>
    <col min="14335" max="14336" width="9.140625" style="26" customWidth="1"/>
    <col min="14337" max="14337" width="9.7109375" style="26" bestFit="1" customWidth="1"/>
    <col min="14338" max="14338" width="8.42578125" style="26" bestFit="1" customWidth="1"/>
    <col min="14339" max="14341" width="11" style="26" customWidth="1"/>
    <col min="14342" max="14347" width="0" style="26" hidden="1" customWidth="1"/>
    <col min="14348" max="14348" width="9.140625" style="26" customWidth="1"/>
    <col min="14349" max="14587" width="11.42578125" style="26"/>
    <col min="14588" max="14588" width="18.140625" style="26" customWidth="1"/>
    <col min="14589" max="14589" width="9.7109375" style="26" bestFit="1" customWidth="1"/>
    <col min="14590" max="14590" width="9.140625" style="26" bestFit="1" customWidth="1"/>
    <col min="14591" max="14592" width="9.140625" style="26" customWidth="1"/>
    <col min="14593" max="14593" width="9.7109375" style="26" bestFit="1" customWidth="1"/>
    <col min="14594" max="14594" width="8.42578125" style="26" bestFit="1" customWidth="1"/>
    <col min="14595" max="14597" width="11" style="26" customWidth="1"/>
    <col min="14598" max="14603" width="0" style="26" hidden="1" customWidth="1"/>
    <col min="14604" max="14604" width="9.140625" style="26" customWidth="1"/>
    <col min="14605" max="14843" width="11.42578125" style="26"/>
    <col min="14844" max="14844" width="18.140625" style="26" customWidth="1"/>
    <col min="14845" max="14845" width="9.7109375" style="26" bestFit="1" customWidth="1"/>
    <col min="14846" max="14846" width="9.140625" style="26" bestFit="1" customWidth="1"/>
    <col min="14847" max="14848" width="9.140625" style="26" customWidth="1"/>
    <col min="14849" max="14849" width="9.7109375" style="26" bestFit="1" customWidth="1"/>
    <col min="14850" max="14850" width="8.42578125" style="26" bestFit="1" customWidth="1"/>
    <col min="14851" max="14853" width="11" style="26" customWidth="1"/>
    <col min="14854" max="14859" width="0" style="26" hidden="1" customWidth="1"/>
    <col min="14860" max="14860" width="9.140625" style="26" customWidth="1"/>
    <col min="14861" max="15099" width="11.42578125" style="26"/>
    <col min="15100" max="15100" width="18.140625" style="26" customWidth="1"/>
    <col min="15101" max="15101" width="9.7109375" style="26" bestFit="1" customWidth="1"/>
    <col min="15102" max="15102" width="9.140625" style="26" bestFit="1" customWidth="1"/>
    <col min="15103" max="15104" width="9.140625" style="26" customWidth="1"/>
    <col min="15105" max="15105" width="9.7109375" style="26" bestFit="1" customWidth="1"/>
    <col min="15106" max="15106" width="8.42578125" style="26" bestFit="1" customWidth="1"/>
    <col min="15107" max="15109" width="11" style="26" customWidth="1"/>
    <col min="15110" max="15115" width="0" style="26" hidden="1" customWidth="1"/>
    <col min="15116" max="15116" width="9.140625" style="26" customWidth="1"/>
    <col min="15117" max="15355" width="11.42578125" style="26"/>
    <col min="15356" max="15356" width="18.140625" style="26" customWidth="1"/>
    <col min="15357" max="15357" width="9.7109375" style="26" bestFit="1" customWidth="1"/>
    <col min="15358" max="15358" width="9.140625" style="26" bestFit="1" customWidth="1"/>
    <col min="15359" max="15360" width="9.140625" style="26" customWidth="1"/>
    <col min="15361" max="15361" width="9.7109375" style="26" bestFit="1" customWidth="1"/>
    <col min="15362" max="15362" width="8.42578125" style="26" bestFit="1" customWidth="1"/>
    <col min="15363" max="15365" width="11" style="26" customWidth="1"/>
    <col min="15366" max="15371" width="0" style="26" hidden="1" customWidth="1"/>
    <col min="15372" max="15372" width="9.140625" style="26" customWidth="1"/>
    <col min="15373" max="15611" width="11.42578125" style="26"/>
    <col min="15612" max="15612" width="18.140625" style="26" customWidth="1"/>
    <col min="15613" max="15613" width="9.7109375" style="26" bestFit="1" customWidth="1"/>
    <col min="15614" max="15614" width="9.140625" style="26" bestFit="1" customWidth="1"/>
    <col min="15615" max="15616" width="9.140625" style="26" customWidth="1"/>
    <col min="15617" max="15617" width="9.7109375" style="26" bestFit="1" customWidth="1"/>
    <col min="15618" max="15618" width="8.42578125" style="26" bestFit="1" customWidth="1"/>
    <col min="15619" max="15621" width="11" style="26" customWidth="1"/>
    <col min="15622" max="15627" width="0" style="26" hidden="1" customWidth="1"/>
    <col min="15628" max="15628" width="9.140625" style="26" customWidth="1"/>
    <col min="15629" max="15867" width="11.42578125" style="26"/>
    <col min="15868" max="15868" width="18.140625" style="26" customWidth="1"/>
    <col min="15869" max="15869" width="9.7109375" style="26" bestFit="1" customWidth="1"/>
    <col min="15870" max="15870" width="9.140625" style="26" bestFit="1" customWidth="1"/>
    <col min="15871" max="15872" width="9.140625" style="26" customWidth="1"/>
    <col min="15873" max="15873" width="9.7109375" style="26" bestFit="1" customWidth="1"/>
    <col min="15874" max="15874" width="8.42578125" style="26" bestFit="1" customWidth="1"/>
    <col min="15875" max="15877" width="11" style="26" customWidth="1"/>
    <col min="15878" max="15883" width="0" style="26" hidden="1" customWidth="1"/>
    <col min="15884" max="15884" width="9.140625" style="26" customWidth="1"/>
    <col min="15885" max="16123" width="11.42578125" style="26"/>
    <col min="16124" max="16124" width="18.140625" style="26" customWidth="1"/>
    <col min="16125" max="16125" width="9.7109375" style="26" bestFit="1" customWidth="1"/>
    <col min="16126" max="16126" width="9.140625" style="26" bestFit="1" customWidth="1"/>
    <col min="16127" max="16128" width="9.140625" style="26" customWidth="1"/>
    <col min="16129" max="16129" width="9.7109375" style="26" bestFit="1" customWidth="1"/>
    <col min="16130" max="16130" width="8.42578125" style="26" bestFit="1" customWidth="1"/>
    <col min="16131" max="16133" width="11" style="26" customWidth="1"/>
    <col min="16134" max="16139" width="0" style="26" hidden="1" customWidth="1"/>
    <col min="16140" max="16140" width="9.140625" style="26" customWidth="1"/>
    <col min="16141" max="16384" width="11.42578125" style="26"/>
  </cols>
  <sheetData>
    <row r="1" spans="1:16" s="27" customFormat="1" x14ac:dyDescent="0.2">
      <c r="B1" s="39"/>
      <c r="C1" s="39"/>
      <c r="D1" s="39"/>
      <c r="E1" s="39"/>
      <c r="F1" s="39"/>
      <c r="G1" s="39"/>
      <c r="H1" s="39"/>
      <c r="I1" s="39"/>
      <c r="J1" s="39"/>
      <c r="K1" s="39"/>
      <c r="L1" s="39"/>
    </row>
    <row r="2" spans="1:16" s="27" customFormat="1" x14ac:dyDescent="0.2">
      <c r="A2" s="47" t="s">
        <v>101</v>
      </c>
      <c r="B2" s="39"/>
      <c r="C2" s="39"/>
      <c r="D2" s="39"/>
      <c r="E2" s="39"/>
      <c r="F2" s="39"/>
      <c r="G2" s="39"/>
      <c r="H2" s="39"/>
      <c r="I2" s="39"/>
      <c r="K2" s="39"/>
      <c r="L2" s="39"/>
    </row>
    <row r="3" spans="1:16" s="27" customFormat="1" ht="15" x14ac:dyDescent="0.25">
      <c r="A3" s="47" t="s">
        <v>102</v>
      </c>
      <c r="B3" s="39"/>
      <c r="C3" s="39"/>
      <c r="D3" s="39"/>
      <c r="E3" s="39"/>
      <c r="F3" s="39"/>
      <c r="G3" s="39"/>
      <c r="H3" s="39"/>
      <c r="I3" s="39"/>
      <c r="J3" s="95"/>
      <c r="K3" s="39"/>
      <c r="L3" s="39"/>
    </row>
    <row r="4" spans="1:16" s="27" customFormat="1" x14ac:dyDescent="0.2">
      <c r="B4" s="39"/>
      <c r="C4" s="39"/>
      <c r="D4" s="39"/>
      <c r="E4" s="39"/>
      <c r="F4" s="39"/>
      <c r="G4" s="39"/>
      <c r="H4" s="39"/>
      <c r="I4" s="39"/>
      <c r="J4" s="39"/>
      <c r="K4" s="39"/>
      <c r="L4" s="39"/>
    </row>
    <row r="5" spans="1:16" s="27" customFormat="1" ht="12.75" x14ac:dyDescent="0.2">
      <c r="B5" s="369" t="s">
        <v>120</v>
      </c>
      <c r="C5" s="369"/>
      <c r="D5" s="369"/>
      <c r="E5" s="369"/>
      <c r="F5" s="369"/>
      <c r="G5" s="369"/>
      <c r="H5" s="369"/>
      <c r="I5" s="369"/>
      <c r="J5" s="369"/>
      <c r="K5" s="369"/>
      <c r="M5" s="122" t="s">
        <v>566</v>
      </c>
      <c r="O5" s="96"/>
    </row>
    <row r="6" spans="1:16" s="27" customFormat="1" ht="12.75" x14ac:dyDescent="0.2">
      <c r="B6" s="385" t="str">
        <f>'Solicitudes Regiones'!$B$6:$R$6</f>
        <v>Acumuladas de julio de 2008 a diciembre de 2021</v>
      </c>
      <c r="C6" s="385"/>
      <c r="D6" s="385"/>
      <c r="E6" s="385"/>
      <c r="F6" s="385"/>
      <c r="G6" s="385"/>
      <c r="H6" s="385"/>
      <c r="I6" s="385"/>
      <c r="J6" s="385"/>
      <c r="K6" s="385"/>
      <c r="L6" s="56"/>
    </row>
    <row r="7" spans="1:16" x14ac:dyDescent="0.2">
      <c r="B7" s="28"/>
    </row>
    <row r="8" spans="1:16" ht="15" customHeight="1" x14ac:dyDescent="0.2">
      <c r="B8" s="399" t="s">
        <v>55</v>
      </c>
      <c r="C8" s="399"/>
      <c r="D8" s="399"/>
      <c r="E8" s="399"/>
      <c r="F8" s="399"/>
      <c r="G8" s="399"/>
      <c r="H8" s="399"/>
      <c r="I8" s="399"/>
      <c r="J8" s="399"/>
      <c r="K8" s="399"/>
      <c r="L8" s="399"/>
      <c r="M8" s="399"/>
    </row>
    <row r="9" spans="1:16" ht="20.25" customHeight="1" x14ac:dyDescent="0.2">
      <c r="B9" s="399" t="s">
        <v>56</v>
      </c>
      <c r="C9" s="397" t="s">
        <v>2</v>
      </c>
      <c r="D9" s="400"/>
      <c r="E9" s="400"/>
      <c r="F9" s="400"/>
      <c r="G9" s="400"/>
      <c r="H9" s="400"/>
      <c r="I9" s="400"/>
      <c r="J9" s="400"/>
      <c r="K9" s="398"/>
      <c r="L9" s="397"/>
      <c r="M9" s="398"/>
    </row>
    <row r="10" spans="1:16" ht="24" x14ac:dyDescent="0.2">
      <c r="B10" s="399"/>
      <c r="C10" s="23" t="s">
        <v>57</v>
      </c>
      <c r="D10" s="23" t="s">
        <v>58</v>
      </c>
      <c r="E10" s="23" t="s">
        <v>59</v>
      </c>
      <c r="F10" s="23" t="s">
        <v>60</v>
      </c>
      <c r="G10" s="23" t="s">
        <v>8</v>
      </c>
      <c r="H10" s="23" t="s">
        <v>61</v>
      </c>
      <c r="I10" s="23" t="s">
        <v>62</v>
      </c>
      <c r="J10" s="23" t="s">
        <v>63</v>
      </c>
      <c r="K10" s="261" t="s">
        <v>31</v>
      </c>
      <c r="L10" s="261" t="s">
        <v>584</v>
      </c>
      <c r="M10" s="261" t="s">
        <v>587</v>
      </c>
    </row>
    <row r="11" spans="1:16" ht="15.75" customHeight="1" x14ac:dyDescent="0.2">
      <c r="B11" s="18" t="s">
        <v>262</v>
      </c>
      <c r="C11" s="18">
        <v>2367</v>
      </c>
      <c r="D11" s="18">
        <v>1429</v>
      </c>
      <c r="E11" s="18">
        <f>C11+D11</f>
        <v>3796</v>
      </c>
      <c r="F11" s="19">
        <f t="shared" ref="F11:F43" si="0">E11/$E$44</f>
        <v>4.185502899861071E-2</v>
      </c>
      <c r="G11" s="18">
        <v>8975</v>
      </c>
      <c r="H11" s="18">
        <v>500</v>
      </c>
      <c r="I11" s="18">
        <f>G11+H11</f>
        <v>9475</v>
      </c>
      <c r="J11" s="19">
        <f t="shared" ref="J11:J43" si="1">I11/$I$44</f>
        <v>5.3762220620861445E-2</v>
      </c>
      <c r="K11" s="18">
        <f t="shared" ref="K11:K43" si="2">E11+I11</f>
        <v>13271</v>
      </c>
      <c r="L11" s="18">
        <v>3</v>
      </c>
      <c r="M11" s="18">
        <f>K11+L11</f>
        <v>13274</v>
      </c>
      <c r="P11" s="31"/>
    </row>
    <row r="12" spans="1:16" x14ac:dyDescent="0.2">
      <c r="B12" s="18" t="s">
        <v>263</v>
      </c>
      <c r="C12" s="18">
        <v>2008</v>
      </c>
      <c r="D12" s="18">
        <v>1251</v>
      </c>
      <c r="E12" s="18">
        <f t="shared" ref="E12:E43" si="3">C12+D12</f>
        <v>3259</v>
      </c>
      <c r="F12" s="19">
        <f t="shared" si="0"/>
        <v>3.5934019891062256E-2</v>
      </c>
      <c r="G12" s="18">
        <v>6658</v>
      </c>
      <c r="H12" s="18">
        <v>323</v>
      </c>
      <c r="I12" s="18">
        <f t="shared" ref="I12:I43" si="4">G12+H12</f>
        <v>6981</v>
      </c>
      <c r="J12" s="19">
        <f t="shared" si="1"/>
        <v>3.9610982813111741E-2</v>
      </c>
      <c r="K12" s="18">
        <f t="shared" si="2"/>
        <v>10240</v>
      </c>
      <c r="L12" s="18">
        <v>0</v>
      </c>
      <c r="M12" s="18">
        <f t="shared" ref="M12:M44" si="5">K12+L12</f>
        <v>10240</v>
      </c>
      <c r="P12" s="31"/>
    </row>
    <row r="13" spans="1:16" x14ac:dyDescent="0.2">
      <c r="B13" s="18" t="s">
        <v>264</v>
      </c>
      <c r="C13" s="18">
        <v>2643</v>
      </c>
      <c r="D13" s="18">
        <v>1508</v>
      </c>
      <c r="E13" s="18">
        <f t="shared" si="3"/>
        <v>4151</v>
      </c>
      <c r="F13" s="19">
        <f t="shared" si="0"/>
        <v>4.576929014047236E-2</v>
      </c>
      <c r="G13" s="18">
        <v>10449</v>
      </c>
      <c r="H13" s="18">
        <v>519</v>
      </c>
      <c r="I13" s="18">
        <f t="shared" si="4"/>
        <v>10968</v>
      </c>
      <c r="J13" s="19">
        <f t="shared" si="1"/>
        <v>6.2233671321330696E-2</v>
      </c>
      <c r="K13" s="18">
        <f t="shared" si="2"/>
        <v>15119</v>
      </c>
      <c r="L13" s="18">
        <v>6</v>
      </c>
      <c r="M13" s="18">
        <f t="shared" si="5"/>
        <v>15125</v>
      </c>
      <c r="P13" s="31"/>
    </row>
    <row r="14" spans="1:16" x14ac:dyDescent="0.2">
      <c r="B14" s="18" t="s">
        <v>265</v>
      </c>
      <c r="C14" s="18">
        <v>6613</v>
      </c>
      <c r="D14" s="18">
        <v>4793</v>
      </c>
      <c r="E14" s="18">
        <f t="shared" si="3"/>
        <v>11406</v>
      </c>
      <c r="F14" s="19">
        <f t="shared" si="0"/>
        <v>0.12576355657485611</v>
      </c>
      <c r="G14" s="18">
        <v>20204</v>
      </c>
      <c r="H14" s="18">
        <v>1779</v>
      </c>
      <c r="I14" s="18">
        <f t="shared" si="4"/>
        <v>21983</v>
      </c>
      <c r="J14" s="19">
        <f t="shared" si="1"/>
        <v>0.12473402595339284</v>
      </c>
      <c r="K14" s="18">
        <f t="shared" si="2"/>
        <v>33389</v>
      </c>
      <c r="L14" s="18">
        <v>15</v>
      </c>
      <c r="M14" s="18">
        <f t="shared" si="5"/>
        <v>33404</v>
      </c>
      <c r="P14" s="31"/>
    </row>
    <row r="15" spans="1:16" x14ac:dyDescent="0.2">
      <c r="B15" s="18" t="s">
        <v>266</v>
      </c>
      <c r="C15" s="18">
        <v>1217</v>
      </c>
      <c r="D15" s="18">
        <v>1069</v>
      </c>
      <c r="E15" s="18">
        <f t="shared" si="3"/>
        <v>2286</v>
      </c>
      <c r="F15" s="19">
        <f t="shared" si="0"/>
        <v>2.5205636536044282E-2</v>
      </c>
      <c r="G15" s="18">
        <v>2698</v>
      </c>
      <c r="H15" s="18">
        <v>252</v>
      </c>
      <c r="I15" s="18">
        <f t="shared" si="4"/>
        <v>2950</v>
      </c>
      <c r="J15" s="19">
        <f t="shared" si="1"/>
        <v>1.6738633333144196E-2</v>
      </c>
      <c r="K15" s="18">
        <f t="shared" si="2"/>
        <v>5236</v>
      </c>
      <c r="L15" s="18">
        <v>1</v>
      </c>
      <c r="M15" s="18">
        <f t="shared" si="5"/>
        <v>5237</v>
      </c>
      <c r="P15" s="31"/>
    </row>
    <row r="16" spans="1:16" x14ac:dyDescent="0.2">
      <c r="B16" s="18" t="s">
        <v>267</v>
      </c>
      <c r="C16" s="18">
        <v>651</v>
      </c>
      <c r="D16" s="18">
        <v>522</v>
      </c>
      <c r="E16" s="18">
        <f t="shared" si="3"/>
        <v>1173</v>
      </c>
      <c r="F16" s="19">
        <f t="shared" si="0"/>
        <v>1.2933600899728758E-2</v>
      </c>
      <c r="G16" s="18">
        <v>1461</v>
      </c>
      <c r="H16" s="18">
        <v>133</v>
      </c>
      <c r="I16" s="18">
        <f t="shared" si="4"/>
        <v>1594</v>
      </c>
      <c r="J16" s="19">
        <f t="shared" si="1"/>
        <v>9.0445361128921528E-3</v>
      </c>
      <c r="K16" s="18">
        <f t="shared" si="2"/>
        <v>2767</v>
      </c>
      <c r="L16" s="18">
        <v>0</v>
      </c>
      <c r="M16" s="18">
        <f t="shared" si="5"/>
        <v>2767</v>
      </c>
      <c r="P16" s="31"/>
    </row>
    <row r="17" spans="2:16" x14ac:dyDescent="0.2">
      <c r="B17" s="18" t="s">
        <v>268</v>
      </c>
      <c r="C17" s="18">
        <v>158</v>
      </c>
      <c r="D17" s="18">
        <v>298</v>
      </c>
      <c r="E17" s="18">
        <f t="shared" si="3"/>
        <v>456</v>
      </c>
      <c r="F17" s="19">
        <f t="shared" si="0"/>
        <v>5.0278960019405914E-3</v>
      </c>
      <c r="G17" s="18">
        <v>272</v>
      </c>
      <c r="H17" s="18">
        <v>89</v>
      </c>
      <c r="I17" s="18">
        <f t="shared" si="4"/>
        <v>361</v>
      </c>
      <c r="J17" s="19">
        <f t="shared" si="1"/>
        <v>2.0483547909373066E-3</v>
      </c>
      <c r="K17" s="18">
        <f t="shared" si="2"/>
        <v>817</v>
      </c>
      <c r="L17" s="18">
        <v>0</v>
      </c>
      <c r="M17" s="18">
        <f t="shared" si="5"/>
        <v>817</v>
      </c>
      <c r="P17" s="31"/>
    </row>
    <row r="18" spans="2:16" x14ac:dyDescent="0.2">
      <c r="B18" s="18" t="s">
        <v>273</v>
      </c>
      <c r="C18" s="18">
        <v>3765</v>
      </c>
      <c r="D18" s="18">
        <v>2555</v>
      </c>
      <c r="E18" s="18">
        <f t="shared" si="3"/>
        <v>6320</v>
      </c>
      <c r="F18" s="19">
        <f t="shared" si="0"/>
        <v>6.9684874412860823E-2</v>
      </c>
      <c r="G18" s="18">
        <v>11902</v>
      </c>
      <c r="H18" s="18">
        <v>684</v>
      </c>
      <c r="I18" s="18">
        <f t="shared" si="4"/>
        <v>12586</v>
      </c>
      <c r="J18" s="19">
        <f t="shared" si="1"/>
        <v>7.1414386146085709E-2</v>
      </c>
      <c r="K18" s="18">
        <f t="shared" si="2"/>
        <v>18906</v>
      </c>
      <c r="L18" s="18">
        <v>5</v>
      </c>
      <c r="M18" s="18">
        <f t="shared" si="5"/>
        <v>18911</v>
      </c>
      <c r="P18" s="31"/>
    </row>
    <row r="19" spans="2:16" x14ac:dyDescent="0.2">
      <c r="B19" s="18" t="s">
        <v>274</v>
      </c>
      <c r="C19" s="18">
        <v>853</v>
      </c>
      <c r="D19" s="18">
        <v>754</v>
      </c>
      <c r="E19" s="18">
        <f t="shared" si="3"/>
        <v>1607</v>
      </c>
      <c r="F19" s="19">
        <f t="shared" si="0"/>
        <v>1.7718922971751164E-2</v>
      </c>
      <c r="G19" s="18">
        <v>2242</v>
      </c>
      <c r="H19" s="18">
        <v>181</v>
      </c>
      <c r="I19" s="18">
        <f t="shared" si="4"/>
        <v>2423</v>
      </c>
      <c r="J19" s="19">
        <f t="shared" si="1"/>
        <v>1.3748375785155385E-2</v>
      </c>
      <c r="K19" s="18">
        <f t="shared" si="2"/>
        <v>4030</v>
      </c>
      <c r="L19" s="18">
        <v>0</v>
      </c>
      <c r="M19" s="18">
        <f t="shared" si="5"/>
        <v>4030</v>
      </c>
      <c r="P19" s="31"/>
    </row>
    <row r="20" spans="2:16" x14ac:dyDescent="0.2">
      <c r="B20" s="18" t="s">
        <v>275</v>
      </c>
      <c r="C20" s="18">
        <v>1476</v>
      </c>
      <c r="D20" s="18">
        <v>1281</v>
      </c>
      <c r="E20" s="18">
        <f t="shared" si="3"/>
        <v>2757</v>
      </c>
      <c r="F20" s="19">
        <f t="shared" si="0"/>
        <v>3.0398923853838182E-2</v>
      </c>
      <c r="G20" s="18">
        <v>5678</v>
      </c>
      <c r="H20" s="18">
        <v>342</v>
      </c>
      <c r="I20" s="18">
        <f t="shared" si="4"/>
        <v>6020</v>
      </c>
      <c r="J20" s="19">
        <f t="shared" si="1"/>
        <v>3.4158160225602731E-2</v>
      </c>
      <c r="K20" s="18">
        <f t="shared" si="2"/>
        <v>8777</v>
      </c>
      <c r="L20" s="18">
        <v>6</v>
      </c>
      <c r="M20" s="18">
        <f t="shared" si="5"/>
        <v>8783</v>
      </c>
      <c r="P20" s="31"/>
    </row>
    <row r="21" spans="2:16" x14ac:dyDescent="0.2">
      <c r="B21" s="18" t="s">
        <v>276</v>
      </c>
      <c r="C21" s="18">
        <v>748</v>
      </c>
      <c r="D21" s="18">
        <v>597</v>
      </c>
      <c r="E21" s="18">
        <f t="shared" si="3"/>
        <v>1345</v>
      </c>
      <c r="F21" s="19">
        <f t="shared" si="0"/>
        <v>1.4830087988180035E-2</v>
      </c>
      <c r="G21" s="18">
        <v>1430</v>
      </c>
      <c r="H21" s="18">
        <v>103</v>
      </c>
      <c r="I21" s="18">
        <f t="shared" si="4"/>
        <v>1533</v>
      </c>
      <c r="J21" s="19">
        <f t="shared" si="1"/>
        <v>8.6984152202406965E-3</v>
      </c>
      <c r="K21" s="18">
        <f t="shared" si="2"/>
        <v>2878</v>
      </c>
      <c r="L21" s="18">
        <v>0</v>
      </c>
      <c r="M21" s="18">
        <f t="shared" si="5"/>
        <v>2878</v>
      </c>
      <c r="P21" s="31"/>
    </row>
    <row r="22" spans="2:16" x14ac:dyDescent="0.2">
      <c r="B22" s="18" t="s">
        <v>277</v>
      </c>
      <c r="C22" s="18">
        <v>4738</v>
      </c>
      <c r="D22" s="18">
        <v>3211</v>
      </c>
      <c r="E22" s="18">
        <f t="shared" si="3"/>
        <v>7949</v>
      </c>
      <c r="F22" s="19">
        <f t="shared" si="0"/>
        <v>8.764637131453018E-2</v>
      </c>
      <c r="G22" s="18">
        <v>16592</v>
      </c>
      <c r="H22" s="18">
        <v>1088</v>
      </c>
      <c r="I22" s="18">
        <f t="shared" si="4"/>
        <v>17680</v>
      </c>
      <c r="J22" s="19">
        <f t="shared" si="1"/>
        <v>0.10031831773897945</v>
      </c>
      <c r="K22" s="18">
        <f t="shared" si="2"/>
        <v>25629</v>
      </c>
      <c r="L22" s="18">
        <v>10</v>
      </c>
      <c r="M22" s="18">
        <f t="shared" si="5"/>
        <v>25639</v>
      </c>
      <c r="P22" s="31"/>
    </row>
    <row r="23" spans="2:16" x14ac:dyDescent="0.2">
      <c r="B23" s="18" t="s">
        <v>278</v>
      </c>
      <c r="C23" s="18">
        <v>1041</v>
      </c>
      <c r="D23" s="18">
        <v>974</v>
      </c>
      <c r="E23" s="18">
        <f t="shared" si="3"/>
        <v>2015</v>
      </c>
      <c r="F23" s="19">
        <f t="shared" si="0"/>
        <v>2.2217566762961168E-2</v>
      </c>
      <c r="G23" s="18">
        <v>2593</v>
      </c>
      <c r="H23" s="18">
        <v>160</v>
      </c>
      <c r="I23" s="18">
        <f t="shared" si="4"/>
        <v>2753</v>
      </c>
      <c r="J23" s="19">
        <f t="shared" si="1"/>
        <v>1.5620833073269821E-2</v>
      </c>
      <c r="K23" s="18">
        <f t="shared" si="2"/>
        <v>4768</v>
      </c>
      <c r="L23" s="18">
        <v>1</v>
      </c>
      <c r="M23" s="18">
        <f t="shared" si="5"/>
        <v>4769</v>
      </c>
      <c r="P23" s="31"/>
    </row>
    <row r="24" spans="2:16" x14ac:dyDescent="0.2">
      <c r="B24" s="18" t="s">
        <v>279</v>
      </c>
      <c r="C24" s="18">
        <v>325</v>
      </c>
      <c r="D24" s="18">
        <v>376</v>
      </c>
      <c r="E24" s="18">
        <f t="shared" si="3"/>
        <v>701</v>
      </c>
      <c r="F24" s="19">
        <f t="shared" si="0"/>
        <v>7.7292874942113043E-3</v>
      </c>
      <c r="G24" s="18">
        <v>658</v>
      </c>
      <c r="H24" s="18">
        <v>63</v>
      </c>
      <c r="I24" s="18">
        <f t="shared" si="4"/>
        <v>721</v>
      </c>
      <c r="J24" s="19">
        <f t="shared" si="1"/>
        <v>4.0910354688803276E-3</v>
      </c>
      <c r="K24" s="18">
        <f t="shared" si="2"/>
        <v>1422</v>
      </c>
      <c r="L24" s="18">
        <v>0</v>
      </c>
      <c r="M24" s="18">
        <f t="shared" si="5"/>
        <v>1422</v>
      </c>
      <c r="P24" s="31"/>
    </row>
    <row r="25" spans="2:16" x14ac:dyDescent="0.2">
      <c r="B25" s="18" t="s">
        <v>280</v>
      </c>
      <c r="C25" s="18">
        <v>744</v>
      </c>
      <c r="D25" s="18">
        <v>641</v>
      </c>
      <c r="E25" s="18">
        <f t="shared" si="3"/>
        <v>1385</v>
      </c>
      <c r="F25" s="19">
        <f t="shared" si="0"/>
        <v>1.5271131497122191E-2</v>
      </c>
      <c r="G25" s="18">
        <v>1998</v>
      </c>
      <c r="H25" s="18">
        <v>152</v>
      </c>
      <c r="I25" s="18">
        <f t="shared" si="4"/>
        <v>2150</v>
      </c>
      <c r="J25" s="19">
        <f t="shared" si="1"/>
        <v>1.2199342937715262E-2</v>
      </c>
      <c r="K25" s="18">
        <f t="shared" si="2"/>
        <v>3535</v>
      </c>
      <c r="L25" s="18">
        <v>1</v>
      </c>
      <c r="M25" s="18">
        <f t="shared" si="5"/>
        <v>3536</v>
      </c>
      <c r="P25" s="31"/>
    </row>
    <row r="26" spans="2:16" x14ac:dyDescent="0.2">
      <c r="B26" s="18" t="s">
        <v>281</v>
      </c>
      <c r="C26" s="18">
        <v>491</v>
      </c>
      <c r="D26" s="18">
        <v>464</v>
      </c>
      <c r="E26" s="18">
        <f t="shared" si="3"/>
        <v>955</v>
      </c>
      <c r="F26" s="19">
        <f t="shared" si="0"/>
        <v>1.0529913775994002E-2</v>
      </c>
      <c r="G26" s="18">
        <v>534</v>
      </c>
      <c r="H26" s="18">
        <v>62</v>
      </c>
      <c r="I26" s="18">
        <f t="shared" si="4"/>
        <v>596</v>
      </c>
      <c r="J26" s="19">
        <f t="shared" si="1"/>
        <v>3.3817713445945564E-3</v>
      </c>
      <c r="K26" s="18">
        <f t="shared" si="2"/>
        <v>1551</v>
      </c>
      <c r="L26" s="18">
        <v>0</v>
      </c>
      <c r="M26" s="18">
        <f t="shared" si="5"/>
        <v>1551</v>
      </c>
      <c r="P26" s="31"/>
    </row>
    <row r="27" spans="2:16" x14ac:dyDescent="0.2">
      <c r="B27" s="18" t="s">
        <v>282</v>
      </c>
      <c r="C27" s="18">
        <v>195</v>
      </c>
      <c r="D27" s="18">
        <v>144</v>
      </c>
      <c r="E27" s="18">
        <f t="shared" si="3"/>
        <v>339</v>
      </c>
      <c r="F27" s="19">
        <f t="shared" si="0"/>
        <v>3.7378437382847816E-3</v>
      </c>
      <c r="G27" s="18">
        <v>491</v>
      </c>
      <c r="H27" s="18">
        <v>34</v>
      </c>
      <c r="I27" s="18">
        <f t="shared" si="4"/>
        <v>525</v>
      </c>
      <c r="J27" s="19">
        <f t="shared" si="1"/>
        <v>2.9789093220002382E-3</v>
      </c>
      <c r="K27" s="18">
        <f t="shared" si="2"/>
        <v>864</v>
      </c>
      <c r="L27" s="18">
        <v>0</v>
      </c>
      <c r="M27" s="18">
        <f t="shared" si="5"/>
        <v>864</v>
      </c>
      <c r="P27" s="31"/>
    </row>
    <row r="28" spans="2:16" x14ac:dyDescent="0.2">
      <c r="B28" s="18" t="s">
        <v>283</v>
      </c>
      <c r="C28" s="18">
        <v>1067</v>
      </c>
      <c r="D28" s="18">
        <v>1190</v>
      </c>
      <c r="E28" s="18">
        <f t="shared" si="3"/>
        <v>2257</v>
      </c>
      <c r="F28" s="19">
        <f t="shared" si="0"/>
        <v>2.4885879992061218E-2</v>
      </c>
      <c r="G28" s="18">
        <v>3190</v>
      </c>
      <c r="H28" s="18">
        <v>238</v>
      </c>
      <c r="I28" s="18">
        <f t="shared" si="4"/>
        <v>3428</v>
      </c>
      <c r="J28" s="19">
        <f t="shared" si="1"/>
        <v>1.9450859344412985E-2</v>
      </c>
      <c r="K28" s="18">
        <f t="shared" si="2"/>
        <v>5685</v>
      </c>
      <c r="L28" s="18">
        <v>2</v>
      </c>
      <c r="M28" s="18">
        <f t="shared" si="5"/>
        <v>5687</v>
      </c>
      <c r="P28" s="31"/>
    </row>
    <row r="29" spans="2:16" x14ac:dyDescent="0.2">
      <c r="B29" s="18" t="s">
        <v>284</v>
      </c>
      <c r="C29" s="18">
        <v>1218</v>
      </c>
      <c r="D29" s="18">
        <v>1220</v>
      </c>
      <c r="E29" s="18">
        <f t="shared" si="3"/>
        <v>2438</v>
      </c>
      <c r="F29" s="19">
        <f t="shared" si="0"/>
        <v>2.6881601870024478E-2</v>
      </c>
      <c r="G29" s="18">
        <v>3575</v>
      </c>
      <c r="H29" s="18">
        <v>346</v>
      </c>
      <c r="I29" s="18">
        <f t="shared" si="4"/>
        <v>3921</v>
      </c>
      <c r="J29" s="19">
        <f t="shared" si="1"/>
        <v>2.2248197050596066E-2</v>
      </c>
      <c r="K29" s="18">
        <f t="shared" si="2"/>
        <v>6359</v>
      </c>
      <c r="L29" s="18">
        <v>1</v>
      </c>
      <c r="M29" s="18">
        <f t="shared" si="5"/>
        <v>6360</v>
      </c>
      <c r="P29" s="31"/>
    </row>
    <row r="30" spans="2:16" x14ac:dyDescent="0.2">
      <c r="B30" s="18" t="s">
        <v>285</v>
      </c>
      <c r="C30" s="18">
        <v>350</v>
      </c>
      <c r="D30" s="18">
        <v>376</v>
      </c>
      <c r="E30" s="18">
        <f t="shared" si="3"/>
        <v>726</v>
      </c>
      <c r="F30" s="19">
        <f t="shared" si="0"/>
        <v>8.0049396873001517E-3</v>
      </c>
      <c r="G30" s="18">
        <v>1069</v>
      </c>
      <c r="H30" s="18">
        <v>148</v>
      </c>
      <c r="I30" s="18">
        <f t="shared" si="4"/>
        <v>1217</v>
      </c>
      <c r="J30" s="19">
        <f t="shared" si="1"/>
        <v>6.9053955140462664E-3</v>
      </c>
      <c r="K30" s="18">
        <f t="shared" si="2"/>
        <v>1943</v>
      </c>
      <c r="L30" s="18">
        <v>0</v>
      </c>
      <c r="M30" s="18">
        <f t="shared" si="5"/>
        <v>1943</v>
      </c>
      <c r="P30" s="31"/>
    </row>
    <row r="31" spans="2:16" x14ac:dyDescent="0.2">
      <c r="B31" s="18" t="s">
        <v>286</v>
      </c>
      <c r="C31" s="18">
        <v>254</v>
      </c>
      <c r="D31" s="18">
        <v>153</v>
      </c>
      <c r="E31" s="18">
        <f t="shared" si="3"/>
        <v>407</v>
      </c>
      <c r="F31" s="19">
        <f t="shared" si="0"/>
        <v>4.487617703486449E-3</v>
      </c>
      <c r="G31" s="18">
        <v>513</v>
      </c>
      <c r="H31" s="18">
        <v>38</v>
      </c>
      <c r="I31" s="18">
        <f t="shared" si="4"/>
        <v>551</v>
      </c>
      <c r="J31" s="19">
        <f t="shared" si="1"/>
        <v>3.1264362598516786E-3</v>
      </c>
      <c r="K31" s="18">
        <f t="shared" si="2"/>
        <v>958</v>
      </c>
      <c r="L31" s="18">
        <v>0</v>
      </c>
      <c r="M31" s="18">
        <f t="shared" si="5"/>
        <v>958</v>
      </c>
      <c r="P31" s="31"/>
    </row>
    <row r="32" spans="2:16" x14ac:dyDescent="0.2">
      <c r="B32" s="18" t="s">
        <v>287</v>
      </c>
      <c r="C32" s="18">
        <v>166</v>
      </c>
      <c r="D32" s="18">
        <v>158</v>
      </c>
      <c r="E32" s="18">
        <f t="shared" si="3"/>
        <v>324</v>
      </c>
      <c r="F32" s="19">
        <f t="shared" si="0"/>
        <v>3.5724524224314729E-3</v>
      </c>
      <c r="G32" s="18">
        <v>435</v>
      </c>
      <c r="H32" s="18">
        <v>36</v>
      </c>
      <c r="I32" s="18">
        <f t="shared" si="4"/>
        <v>471</v>
      </c>
      <c r="J32" s="19">
        <f t="shared" si="1"/>
        <v>2.6725072203087853E-3</v>
      </c>
      <c r="K32" s="18">
        <f t="shared" si="2"/>
        <v>795</v>
      </c>
      <c r="L32" s="18">
        <v>0</v>
      </c>
      <c r="M32" s="18">
        <f t="shared" si="5"/>
        <v>795</v>
      </c>
      <c r="P32" s="31"/>
    </row>
    <row r="33" spans="2:16" x14ac:dyDescent="0.2">
      <c r="B33" s="18" t="s">
        <v>288</v>
      </c>
      <c r="C33" s="18">
        <v>591</v>
      </c>
      <c r="D33" s="18">
        <v>527</v>
      </c>
      <c r="E33" s="18">
        <f t="shared" si="3"/>
        <v>1118</v>
      </c>
      <c r="F33" s="19">
        <f t="shared" si="0"/>
        <v>1.2327166074933293E-2</v>
      </c>
      <c r="G33" s="18">
        <v>1799</v>
      </c>
      <c r="H33" s="18">
        <v>155</v>
      </c>
      <c r="I33" s="18">
        <f t="shared" si="4"/>
        <v>1954</v>
      </c>
      <c r="J33" s="19">
        <f t="shared" si="1"/>
        <v>1.1087216790835172E-2</v>
      </c>
      <c r="K33" s="18">
        <f t="shared" si="2"/>
        <v>3072</v>
      </c>
      <c r="L33" s="18">
        <v>0</v>
      </c>
      <c r="M33" s="18">
        <f t="shared" si="5"/>
        <v>3072</v>
      </c>
      <c r="P33" s="31"/>
    </row>
    <row r="34" spans="2:16" x14ac:dyDescent="0.2">
      <c r="B34" s="18" t="s">
        <v>289</v>
      </c>
      <c r="C34" s="18">
        <v>1111</v>
      </c>
      <c r="D34" s="18">
        <v>1317</v>
      </c>
      <c r="E34" s="18">
        <f t="shared" si="3"/>
        <v>2428</v>
      </c>
      <c r="F34" s="19">
        <f t="shared" si="0"/>
        <v>2.6771340992788939E-2</v>
      </c>
      <c r="G34" s="18">
        <v>2940</v>
      </c>
      <c r="H34" s="18">
        <v>264</v>
      </c>
      <c r="I34" s="18">
        <f t="shared" si="4"/>
        <v>3204</v>
      </c>
      <c r="J34" s="19">
        <f t="shared" si="1"/>
        <v>1.8179858033692882E-2</v>
      </c>
      <c r="K34" s="18">
        <f t="shared" si="2"/>
        <v>5632</v>
      </c>
      <c r="L34" s="18">
        <v>0</v>
      </c>
      <c r="M34" s="18">
        <f t="shared" si="5"/>
        <v>5632</v>
      </c>
      <c r="P34" s="31"/>
    </row>
    <row r="35" spans="2:16" x14ac:dyDescent="0.2">
      <c r="B35" s="18" t="s">
        <v>304</v>
      </c>
      <c r="C35" s="18">
        <v>6197</v>
      </c>
      <c r="D35" s="18">
        <v>3290</v>
      </c>
      <c r="E35" s="18">
        <f t="shared" si="3"/>
        <v>9487</v>
      </c>
      <c r="F35" s="19">
        <f t="shared" si="0"/>
        <v>0.10460449423335612</v>
      </c>
      <c r="G35" s="18">
        <v>23929</v>
      </c>
      <c r="H35" s="18">
        <v>1310</v>
      </c>
      <c r="I35" s="18">
        <f t="shared" si="4"/>
        <v>25239</v>
      </c>
      <c r="J35" s="19">
        <f t="shared" si="1"/>
        <v>0.1432089378627886</v>
      </c>
      <c r="K35" s="18">
        <f t="shared" si="2"/>
        <v>34726</v>
      </c>
      <c r="L35" s="18">
        <v>22</v>
      </c>
      <c r="M35" s="18">
        <f t="shared" si="5"/>
        <v>34748</v>
      </c>
      <c r="P35" s="31"/>
    </row>
    <row r="36" spans="2:16" x14ac:dyDescent="0.2">
      <c r="B36" s="18" t="s">
        <v>305</v>
      </c>
      <c r="C36" s="18">
        <v>1981</v>
      </c>
      <c r="D36" s="18">
        <v>1270</v>
      </c>
      <c r="E36" s="18">
        <f t="shared" si="3"/>
        <v>3251</v>
      </c>
      <c r="F36" s="19">
        <f t="shared" si="0"/>
        <v>3.5845811189273824E-2</v>
      </c>
      <c r="G36" s="18">
        <v>7769</v>
      </c>
      <c r="H36" s="18">
        <v>389</v>
      </c>
      <c r="I36" s="18">
        <f t="shared" si="4"/>
        <v>8158</v>
      </c>
      <c r="J36" s="19">
        <f t="shared" si="1"/>
        <v>4.6289413807386562E-2</v>
      </c>
      <c r="K36" s="18">
        <f t="shared" si="2"/>
        <v>11409</v>
      </c>
      <c r="L36" s="18">
        <v>1</v>
      </c>
      <c r="M36" s="18">
        <f t="shared" si="5"/>
        <v>11410</v>
      </c>
      <c r="P36" s="31"/>
    </row>
    <row r="37" spans="2:16" x14ac:dyDescent="0.2">
      <c r="B37" s="18" t="s">
        <v>306</v>
      </c>
      <c r="C37" s="18">
        <v>2493</v>
      </c>
      <c r="D37" s="18">
        <v>1703</v>
      </c>
      <c r="E37" s="18">
        <f t="shared" si="3"/>
        <v>4196</v>
      </c>
      <c r="F37" s="19">
        <f t="shared" si="0"/>
        <v>4.6265464088032282E-2</v>
      </c>
      <c r="G37" s="18">
        <v>8799</v>
      </c>
      <c r="H37" s="18">
        <v>560</v>
      </c>
      <c r="I37" s="18">
        <f t="shared" si="4"/>
        <v>9359</v>
      </c>
      <c r="J37" s="19">
        <f t="shared" si="1"/>
        <v>5.3104023513524251E-2</v>
      </c>
      <c r="K37" s="18">
        <f t="shared" si="2"/>
        <v>13555</v>
      </c>
      <c r="L37" s="18">
        <v>10</v>
      </c>
      <c r="M37" s="18">
        <f t="shared" si="5"/>
        <v>13565</v>
      </c>
      <c r="P37" s="31"/>
    </row>
    <row r="38" spans="2:16" x14ac:dyDescent="0.2">
      <c r="B38" s="18" t="s">
        <v>307</v>
      </c>
      <c r="C38" s="18">
        <v>542</v>
      </c>
      <c r="D38" s="18">
        <v>401</v>
      </c>
      <c r="E38" s="18">
        <f t="shared" si="3"/>
        <v>943</v>
      </c>
      <c r="F38" s="19">
        <f t="shared" si="0"/>
        <v>1.0397600723311355E-2</v>
      </c>
      <c r="G38" s="18">
        <v>1285</v>
      </c>
      <c r="H38" s="18">
        <v>81</v>
      </c>
      <c r="I38" s="18">
        <f t="shared" si="4"/>
        <v>1366</v>
      </c>
      <c r="J38" s="19">
        <f t="shared" si="1"/>
        <v>7.7508383501949055E-3</v>
      </c>
      <c r="K38" s="18">
        <f t="shared" si="2"/>
        <v>2309</v>
      </c>
      <c r="L38" s="18">
        <v>0</v>
      </c>
      <c r="M38" s="18">
        <f t="shared" si="5"/>
        <v>2309</v>
      </c>
      <c r="P38" s="31"/>
    </row>
    <row r="39" spans="2:16" x14ac:dyDescent="0.2">
      <c r="B39" s="18" t="s">
        <v>308</v>
      </c>
      <c r="C39" s="18">
        <v>1456</v>
      </c>
      <c r="D39" s="18">
        <v>1383</v>
      </c>
      <c r="E39" s="18">
        <f t="shared" si="3"/>
        <v>2839</v>
      </c>
      <c r="F39" s="19">
        <f t="shared" si="0"/>
        <v>3.1303063047169601E-2</v>
      </c>
      <c r="G39" s="18">
        <v>3512</v>
      </c>
      <c r="H39" s="18">
        <v>235</v>
      </c>
      <c r="I39" s="18">
        <f t="shared" si="4"/>
        <v>3747</v>
      </c>
      <c r="J39" s="19">
        <f t="shared" si="1"/>
        <v>2.1260901389590272E-2</v>
      </c>
      <c r="K39" s="18">
        <f t="shared" si="2"/>
        <v>6586</v>
      </c>
      <c r="L39" s="18">
        <v>0</v>
      </c>
      <c r="M39" s="18">
        <f t="shared" si="5"/>
        <v>6586</v>
      </c>
      <c r="P39" s="31"/>
    </row>
    <row r="40" spans="2:16" x14ac:dyDescent="0.2">
      <c r="B40" s="18" t="s">
        <v>309</v>
      </c>
      <c r="C40" s="18">
        <v>1545</v>
      </c>
      <c r="D40" s="18">
        <v>1233</v>
      </c>
      <c r="E40" s="18">
        <f t="shared" si="3"/>
        <v>2778</v>
      </c>
      <c r="F40" s="19">
        <f t="shared" si="0"/>
        <v>3.0630471696032814E-2</v>
      </c>
      <c r="G40" s="18">
        <v>3552</v>
      </c>
      <c r="H40" s="18">
        <v>228</v>
      </c>
      <c r="I40" s="18">
        <f t="shared" si="4"/>
        <v>3780</v>
      </c>
      <c r="J40" s="19">
        <f t="shared" si="1"/>
        <v>2.1448147118401716E-2</v>
      </c>
      <c r="K40" s="18">
        <f t="shared" si="2"/>
        <v>6558</v>
      </c>
      <c r="L40" s="18">
        <v>1</v>
      </c>
      <c r="M40" s="18">
        <f t="shared" si="5"/>
        <v>6559</v>
      </c>
      <c r="P40" s="31"/>
    </row>
    <row r="41" spans="2:16" x14ac:dyDescent="0.2">
      <c r="B41" s="18" t="s">
        <v>310</v>
      </c>
      <c r="C41" s="18">
        <v>1346</v>
      </c>
      <c r="D41" s="18">
        <v>1279</v>
      </c>
      <c r="E41" s="18">
        <f t="shared" si="3"/>
        <v>2625</v>
      </c>
      <c r="F41" s="19">
        <f t="shared" si="0"/>
        <v>2.8943480274329064E-2</v>
      </c>
      <c r="G41" s="18">
        <v>3940</v>
      </c>
      <c r="H41" s="18">
        <v>181</v>
      </c>
      <c r="I41" s="18">
        <f t="shared" si="4"/>
        <v>4121</v>
      </c>
      <c r="J41" s="19">
        <f t="shared" si="1"/>
        <v>2.3383019649453298E-2</v>
      </c>
      <c r="K41" s="18">
        <f t="shared" si="2"/>
        <v>6746</v>
      </c>
      <c r="L41" s="18">
        <v>0</v>
      </c>
      <c r="M41" s="18">
        <f t="shared" si="5"/>
        <v>6746</v>
      </c>
      <c r="P41" s="31"/>
    </row>
    <row r="42" spans="2:16" x14ac:dyDescent="0.2">
      <c r="B42" s="18" t="s">
        <v>314</v>
      </c>
      <c r="C42" s="18">
        <v>1097</v>
      </c>
      <c r="D42" s="18">
        <v>954</v>
      </c>
      <c r="E42" s="18">
        <f t="shared" si="3"/>
        <v>2051</v>
      </c>
      <c r="F42" s="19">
        <f t="shared" si="0"/>
        <v>2.2614505921009109E-2</v>
      </c>
      <c r="G42" s="18">
        <v>2939</v>
      </c>
      <c r="H42" s="18">
        <v>307</v>
      </c>
      <c r="I42" s="18">
        <f t="shared" si="4"/>
        <v>3246</v>
      </c>
      <c r="J42" s="19">
        <f t="shared" si="1"/>
        <v>1.8418170779452903E-2</v>
      </c>
      <c r="K42" s="18">
        <f t="shared" si="2"/>
        <v>5297</v>
      </c>
      <c r="L42" s="18">
        <v>4</v>
      </c>
      <c r="M42" s="18">
        <f t="shared" si="5"/>
        <v>5301</v>
      </c>
      <c r="P42" s="31"/>
    </row>
    <row r="43" spans="2:16" x14ac:dyDescent="0.2">
      <c r="B43" s="18" t="s">
        <v>315</v>
      </c>
      <c r="C43" s="18">
        <v>513</v>
      </c>
      <c r="D43" s="18">
        <v>413</v>
      </c>
      <c r="E43" s="18">
        <f t="shared" si="3"/>
        <v>926</v>
      </c>
      <c r="F43" s="19">
        <f t="shared" si="0"/>
        <v>1.0210157232010937E-2</v>
      </c>
      <c r="G43" s="18">
        <v>1086</v>
      </c>
      <c r="H43" s="18">
        <v>92</v>
      </c>
      <c r="I43" s="18">
        <f t="shared" si="4"/>
        <v>1178</v>
      </c>
      <c r="J43" s="19">
        <f t="shared" si="1"/>
        <v>6.684105107269106E-3</v>
      </c>
      <c r="K43" s="18">
        <f t="shared" si="2"/>
        <v>2104</v>
      </c>
      <c r="L43" s="18">
        <v>0</v>
      </c>
      <c r="M43" s="18">
        <f t="shared" si="5"/>
        <v>2104</v>
      </c>
      <c r="P43" s="31"/>
    </row>
    <row r="44" spans="2:16" x14ac:dyDescent="0.2">
      <c r="B44" s="20" t="s">
        <v>49</v>
      </c>
      <c r="C44" s="18">
        <f>SUM(C11:C43)</f>
        <v>51960</v>
      </c>
      <c r="D44" s="18">
        <f>SUM(D11:D43)</f>
        <v>38734</v>
      </c>
      <c r="E44" s="20">
        <f t="shared" ref="E44" si="6">C44+D44</f>
        <v>90694</v>
      </c>
      <c r="F44" s="19">
        <f t="shared" ref="F44" si="7">E44/$E$44</f>
        <v>1</v>
      </c>
      <c r="G44" s="18">
        <f>SUM(G11:G43)</f>
        <v>165167</v>
      </c>
      <c r="H44" s="18">
        <f>SUM(H11:H43)</f>
        <v>11072</v>
      </c>
      <c r="I44" s="20">
        <f t="shared" ref="I44" si="8">G44+H44</f>
        <v>176239</v>
      </c>
      <c r="J44" s="18">
        <f t="shared" ref="J44" si="9">I44/$I$44</f>
        <v>1</v>
      </c>
      <c r="K44" s="20">
        <f t="shared" ref="K44" si="10">E44+I44</f>
        <v>266933</v>
      </c>
      <c r="L44" s="18">
        <f>SUM(L11:L43)</f>
        <v>89</v>
      </c>
      <c r="M44" s="20">
        <f t="shared" si="5"/>
        <v>267022</v>
      </c>
      <c r="P44" s="31"/>
    </row>
    <row r="45" spans="2:16" ht="25.5" customHeight="1" x14ac:dyDescent="0.2">
      <c r="B45" s="49" t="s">
        <v>64</v>
      </c>
      <c r="C45" s="33">
        <f>+C44/M44</f>
        <v>0.19459070788174757</v>
      </c>
      <c r="D45" s="33">
        <f>+D44/M44</f>
        <v>0.14505920860453445</v>
      </c>
      <c r="E45" s="34">
        <f>+E44/M44</f>
        <v>0.33964991648628201</v>
      </c>
      <c r="F45" s="34"/>
      <c r="G45" s="33">
        <f>+G44/M44</f>
        <v>0.61855202942079679</v>
      </c>
      <c r="H45" s="33">
        <f>+H44/M44</f>
        <v>4.1464748222992863E-2</v>
      </c>
      <c r="I45" s="34">
        <f>+I44/M44</f>
        <v>0.66001677764378963</v>
      </c>
      <c r="J45" s="34"/>
      <c r="K45" s="34">
        <f>+K44/M44</f>
        <v>0.9996666941300717</v>
      </c>
      <c r="L45" s="34">
        <f>+L44/M44</f>
        <v>3.3330586992832051E-4</v>
      </c>
      <c r="M45" s="34">
        <f>K45+L45</f>
        <v>1</v>
      </c>
    </row>
    <row r="46" spans="2:16" x14ac:dyDescent="0.2">
      <c r="B46" s="25"/>
      <c r="C46" s="38"/>
      <c r="D46" s="38"/>
      <c r="E46" s="38"/>
      <c r="F46" s="38"/>
      <c r="G46" s="38"/>
      <c r="H46" s="38"/>
      <c r="I46" s="38"/>
      <c r="J46" s="38"/>
      <c r="K46" s="38"/>
    </row>
    <row r="47" spans="2:16" ht="12.75" x14ac:dyDescent="0.2">
      <c r="B47" s="369" t="s">
        <v>121</v>
      </c>
      <c r="C47" s="369"/>
      <c r="D47" s="369"/>
      <c r="E47" s="369"/>
      <c r="F47" s="369"/>
      <c r="G47" s="369"/>
      <c r="H47" s="369"/>
      <c r="I47" s="369"/>
      <c r="J47" s="369"/>
      <c r="K47" s="369"/>
    </row>
    <row r="48" spans="2:16" ht="12.75" x14ac:dyDescent="0.2">
      <c r="B48" s="385" t="str">
        <f>'Solicitudes Regiones'!$B$6:$R$6</f>
        <v>Acumuladas de julio de 2008 a diciembre de 2021</v>
      </c>
      <c r="C48" s="385"/>
      <c r="D48" s="385"/>
      <c r="E48" s="385"/>
      <c r="F48" s="385"/>
      <c r="G48" s="385"/>
      <c r="H48" s="385"/>
      <c r="I48" s="385"/>
      <c r="J48" s="385"/>
      <c r="K48" s="385"/>
    </row>
    <row r="49" spans="2:13" x14ac:dyDescent="0.2">
      <c r="B49" s="25"/>
      <c r="C49" s="38"/>
      <c r="D49" s="38"/>
      <c r="E49" s="38"/>
      <c r="F49" s="38"/>
      <c r="G49" s="38"/>
      <c r="H49" s="38"/>
      <c r="I49" s="38"/>
      <c r="J49" s="38"/>
      <c r="K49" s="38"/>
    </row>
    <row r="50" spans="2:13" ht="15" customHeight="1" x14ac:dyDescent="0.2">
      <c r="B50" s="399" t="s">
        <v>65</v>
      </c>
      <c r="C50" s="399"/>
      <c r="D50" s="399"/>
      <c r="E50" s="399"/>
      <c r="F50" s="399"/>
      <c r="G50" s="399"/>
      <c r="H50" s="399"/>
      <c r="I50" s="399"/>
      <c r="J50" s="399"/>
      <c r="K50" s="399"/>
      <c r="L50" s="399"/>
      <c r="M50" s="399"/>
    </row>
    <row r="51" spans="2:13" ht="15.75" customHeight="1" x14ac:dyDescent="0.2">
      <c r="B51" s="403" t="s">
        <v>56</v>
      </c>
      <c r="C51" s="397" t="s">
        <v>2</v>
      </c>
      <c r="D51" s="400"/>
      <c r="E51" s="400"/>
      <c r="F51" s="400"/>
      <c r="G51" s="400"/>
      <c r="H51" s="400"/>
      <c r="I51" s="400"/>
      <c r="J51" s="400"/>
      <c r="K51" s="398"/>
      <c r="L51" s="397"/>
      <c r="M51" s="398"/>
    </row>
    <row r="52" spans="2:13" ht="24" x14ac:dyDescent="0.2">
      <c r="B52" s="402"/>
      <c r="C52" s="23" t="s">
        <v>57</v>
      </c>
      <c r="D52" s="23" t="s">
        <v>58</v>
      </c>
      <c r="E52" s="23" t="s">
        <v>59</v>
      </c>
      <c r="F52" s="23" t="s">
        <v>60</v>
      </c>
      <c r="G52" s="23" t="s">
        <v>8</v>
      </c>
      <c r="H52" s="23" t="s">
        <v>61</v>
      </c>
      <c r="I52" s="23" t="s">
        <v>62</v>
      </c>
      <c r="J52" s="23" t="s">
        <v>63</v>
      </c>
      <c r="K52" s="70" t="s">
        <v>31</v>
      </c>
      <c r="L52" s="261" t="s">
        <v>584</v>
      </c>
      <c r="M52" s="261" t="s">
        <v>587</v>
      </c>
    </row>
    <row r="53" spans="2:13" x14ac:dyDescent="0.2">
      <c r="B53" s="18" t="s">
        <v>262</v>
      </c>
      <c r="C53" s="18">
        <v>2059</v>
      </c>
      <c r="D53" s="18">
        <v>750</v>
      </c>
      <c r="E53" s="18">
        <f>C53+D53</f>
        <v>2809</v>
      </c>
      <c r="F53" s="19">
        <f t="shared" ref="F53:F85" si="11">E53/$E$86</f>
        <v>4.3298651252408477E-2</v>
      </c>
      <c r="G53" s="18">
        <v>7580</v>
      </c>
      <c r="H53" s="18">
        <v>405</v>
      </c>
      <c r="I53" s="18">
        <f>G53+H53</f>
        <v>7985</v>
      </c>
      <c r="J53" s="19">
        <f t="shared" ref="J53:J85" si="12">I53/$I$86</f>
        <v>5.3515897270923811E-2</v>
      </c>
      <c r="K53" s="18">
        <f t="shared" ref="K53:K85" si="13">E53+I53</f>
        <v>10794</v>
      </c>
      <c r="L53" s="18">
        <v>0</v>
      </c>
      <c r="M53" s="18">
        <f>K53+L53</f>
        <v>10794</v>
      </c>
    </row>
    <row r="54" spans="2:13" x14ac:dyDescent="0.2">
      <c r="B54" s="18" t="s">
        <v>263</v>
      </c>
      <c r="C54" s="18">
        <v>1594</v>
      </c>
      <c r="D54" s="18">
        <v>539</v>
      </c>
      <c r="E54" s="18">
        <f t="shared" ref="E54:E85" si="14">C54+D54</f>
        <v>2133</v>
      </c>
      <c r="F54" s="19">
        <f t="shared" si="11"/>
        <v>3.2878612716763005E-2</v>
      </c>
      <c r="G54" s="18">
        <v>5598</v>
      </c>
      <c r="H54" s="18">
        <v>257</v>
      </c>
      <c r="I54" s="18">
        <f t="shared" ref="I54:I85" si="15">G54+H54</f>
        <v>5855</v>
      </c>
      <c r="J54" s="19">
        <f t="shared" si="12"/>
        <v>3.9240523296337995E-2</v>
      </c>
      <c r="K54" s="18">
        <f t="shared" si="13"/>
        <v>7988</v>
      </c>
      <c r="L54" s="18">
        <v>0</v>
      </c>
      <c r="M54" s="18">
        <f t="shared" ref="M54:M85" si="16">K54+L54</f>
        <v>7988</v>
      </c>
    </row>
    <row r="55" spans="2:13" x14ac:dyDescent="0.2">
      <c r="B55" s="18" t="s">
        <v>264</v>
      </c>
      <c r="C55" s="18">
        <v>2317</v>
      </c>
      <c r="D55" s="18">
        <v>850</v>
      </c>
      <c r="E55" s="18">
        <f t="shared" si="14"/>
        <v>3167</v>
      </c>
      <c r="F55" s="19">
        <f t="shared" si="11"/>
        <v>4.8816955684007707E-2</v>
      </c>
      <c r="G55" s="18">
        <v>8899</v>
      </c>
      <c r="H55" s="18">
        <v>398</v>
      </c>
      <c r="I55" s="18">
        <f t="shared" si="15"/>
        <v>9297</v>
      </c>
      <c r="J55" s="19">
        <f t="shared" si="12"/>
        <v>6.2308991474987939E-2</v>
      </c>
      <c r="K55" s="18">
        <f t="shared" si="13"/>
        <v>12464</v>
      </c>
      <c r="L55" s="18">
        <v>0</v>
      </c>
      <c r="M55" s="18">
        <f t="shared" si="16"/>
        <v>12464</v>
      </c>
    </row>
    <row r="56" spans="2:13" x14ac:dyDescent="0.2">
      <c r="B56" s="18" t="s">
        <v>265</v>
      </c>
      <c r="C56" s="18">
        <v>5973</v>
      </c>
      <c r="D56" s="18">
        <v>2932</v>
      </c>
      <c r="E56" s="18">
        <f t="shared" si="14"/>
        <v>8905</v>
      </c>
      <c r="F56" s="19">
        <f t="shared" si="11"/>
        <v>0.13726396917148362</v>
      </c>
      <c r="G56" s="18">
        <v>17307</v>
      </c>
      <c r="H56" s="18">
        <v>1606</v>
      </c>
      <c r="I56" s="18">
        <f t="shared" si="15"/>
        <v>18913</v>
      </c>
      <c r="J56" s="19">
        <f t="shared" si="12"/>
        <v>0.12675593801940915</v>
      </c>
      <c r="K56" s="18">
        <f t="shared" si="13"/>
        <v>27818</v>
      </c>
      <c r="L56" s="18">
        <v>0</v>
      </c>
      <c r="M56" s="18">
        <f t="shared" si="16"/>
        <v>27818</v>
      </c>
    </row>
    <row r="57" spans="2:13" x14ac:dyDescent="0.2">
      <c r="B57" s="18" t="s">
        <v>266</v>
      </c>
      <c r="C57" s="18">
        <v>1061</v>
      </c>
      <c r="D57" s="18">
        <v>574</v>
      </c>
      <c r="E57" s="18">
        <f t="shared" si="14"/>
        <v>1635</v>
      </c>
      <c r="F57" s="19">
        <f t="shared" si="11"/>
        <v>2.5202312138728325E-2</v>
      </c>
      <c r="G57" s="18">
        <v>2300</v>
      </c>
      <c r="H57" s="18">
        <v>221</v>
      </c>
      <c r="I57" s="18">
        <f t="shared" si="15"/>
        <v>2521</v>
      </c>
      <c r="J57" s="19">
        <f t="shared" si="12"/>
        <v>1.6895876896681143E-2</v>
      </c>
      <c r="K57" s="18">
        <f t="shared" si="13"/>
        <v>4156</v>
      </c>
      <c r="L57" s="18">
        <v>0</v>
      </c>
      <c r="M57" s="18">
        <f t="shared" si="16"/>
        <v>4156</v>
      </c>
    </row>
    <row r="58" spans="2:13" x14ac:dyDescent="0.2">
      <c r="B58" s="18" t="s">
        <v>267</v>
      </c>
      <c r="C58" s="18">
        <v>600</v>
      </c>
      <c r="D58" s="18">
        <v>272</v>
      </c>
      <c r="E58" s="18">
        <f t="shared" si="14"/>
        <v>872</v>
      </c>
      <c r="F58" s="19">
        <f t="shared" si="11"/>
        <v>1.3441233140655106E-2</v>
      </c>
      <c r="G58" s="18">
        <v>1350</v>
      </c>
      <c r="H58" s="18">
        <v>109</v>
      </c>
      <c r="I58" s="18">
        <f t="shared" si="15"/>
        <v>1459</v>
      </c>
      <c r="J58" s="19">
        <f t="shared" si="12"/>
        <v>9.778296069915822E-3</v>
      </c>
      <c r="K58" s="18">
        <f t="shared" si="13"/>
        <v>2331</v>
      </c>
      <c r="L58" s="18">
        <v>0</v>
      </c>
      <c r="M58" s="18">
        <f t="shared" si="16"/>
        <v>2331</v>
      </c>
    </row>
    <row r="59" spans="2:13" x14ac:dyDescent="0.2">
      <c r="B59" s="18" t="s">
        <v>268</v>
      </c>
      <c r="C59" s="18">
        <v>155</v>
      </c>
      <c r="D59" s="18">
        <v>187</v>
      </c>
      <c r="E59" s="18">
        <f t="shared" si="14"/>
        <v>342</v>
      </c>
      <c r="F59" s="19">
        <f t="shared" si="11"/>
        <v>5.271676300578035E-3</v>
      </c>
      <c r="G59" s="18">
        <v>265</v>
      </c>
      <c r="H59" s="18">
        <v>80</v>
      </c>
      <c r="I59" s="18">
        <f t="shared" si="15"/>
        <v>345</v>
      </c>
      <c r="J59" s="19">
        <f t="shared" si="12"/>
        <v>2.3122084606723502E-3</v>
      </c>
      <c r="K59" s="18">
        <f t="shared" si="13"/>
        <v>687</v>
      </c>
      <c r="L59" s="18">
        <v>0</v>
      </c>
      <c r="M59" s="18">
        <f t="shared" si="16"/>
        <v>687</v>
      </c>
    </row>
    <row r="60" spans="2:13" x14ac:dyDescent="0.2">
      <c r="B60" s="18" t="s">
        <v>273</v>
      </c>
      <c r="C60" s="18">
        <v>3177</v>
      </c>
      <c r="D60" s="18">
        <v>1226</v>
      </c>
      <c r="E60" s="18">
        <f t="shared" si="14"/>
        <v>4403</v>
      </c>
      <c r="F60" s="19">
        <f t="shared" si="11"/>
        <v>6.7868978805394997E-2</v>
      </c>
      <c r="G60" s="18">
        <v>10008</v>
      </c>
      <c r="H60" s="18">
        <v>581</v>
      </c>
      <c r="I60" s="18">
        <f t="shared" si="15"/>
        <v>10589</v>
      </c>
      <c r="J60" s="19">
        <f t="shared" si="12"/>
        <v>7.0968044608868158E-2</v>
      </c>
      <c r="K60" s="18">
        <f t="shared" si="13"/>
        <v>14992</v>
      </c>
      <c r="L60" s="18">
        <v>0</v>
      </c>
      <c r="M60" s="18">
        <f t="shared" si="16"/>
        <v>14992</v>
      </c>
    </row>
    <row r="61" spans="2:13" x14ac:dyDescent="0.2">
      <c r="B61" s="18" t="s">
        <v>274</v>
      </c>
      <c r="C61" s="18">
        <v>798</v>
      </c>
      <c r="D61" s="18">
        <v>333</v>
      </c>
      <c r="E61" s="18">
        <f t="shared" si="14"/>
        <v>1131</v>
      </c>
      <c r="F61" s="19">
        <f t="shared" si="11"/>
        <v>1.7433526011560695E-2</v>
      </c>
      <c r="G61" s="18">
        <v>1978</v>
      </c>
      <c r="H61" s="18">
        <v>156</v>
      </c>
      <c r="I61" s="18">
        <f t="shared" si="15"/>
        <v>2134</v>
      </c>
      <c r="J61" s="19">
        <f t="shared" si="12"/>
        <v>1.4302182188622593E-2</v>
      </c>
      <c r="K61" s="18">
        <f t="shared" si="13"/>
        <v>3265</v>
      </c>
      <c r="L61" s="18">
        <v>0</v>
      </c>
      <c r="M61" s="18">
        <f t="shared" si="16"/>
        <v>3265</v>
      </c>
    </row>
    <row r="62" spans="2:13" x14ac:dyDescent="0.2">
      <c r="B62" s="18" t="s">
        <v>275</v>
      </c>
      <c r="C62" s="18">
        <v>1316</v>
      </c>
      <c r="D62" s="18">
        <v>512</v>
      </c>
      <c r="E62" s="18">
        <f t="shared" si="14"/>
        <v>1828</v>
      </c>
      <c r="F62" s="19">
        <f t="shared" si="11"/>
        <v>2.8177263969171484E-2</v>
      </c>
      <c r="G62" s="18">
        <v>4875</v>
      </c>
      <c r="H62" s="18">
        <v>260</v>
      </c>
      <c r="I62" s="18">
        <f t="shared" si="15"/>
        <v>5135</v>
      </c>
      <c r="J62" s="19">
        <f t="shared" si="12"/>
        <v>3.4415044769717441E-2</v>
      </c>
      <c r="K62" s="18">
        <f t="shared" si="13"/>
        <v>6963</v>
      </c>
      <c r="L62" s="18">
        <v>0</v>
      </c>
      <c r="M62" s="18">
        <f t="shared" si="16"/>
        <v>6963</v>
      </c>
    </row>
    <row r="63" spans="2:13" x14ac:dyDescent="0.2">
      <c r="B63" s="18" t="s">
        <v>276</v>
      </c>
      <c r="C63" s="18">
        <v>692</v>
      </c>
      <c r="D63" s="18">
        <v>212</v>
      </c>
      <c r="E63" s="18">
        <f t="shared" si="14"/>
        <v>904</v>
      </c>
      <c r="F63" s="19">
        <f t="shared" si="11"/>
        <v>1.3934489402697495E-2</v>
      </c>
      <c r="G63" s="18">
        <v>1262</v>
      </c>
      <c r="H63" s="18">
        <v>88</v>
      </c>
      <c r="I63" s="18">
        <f t="shared" si="15"/>
        <v>1350</v>
      </c>
      <c r="J63" s="19">
        <f t="shared" si="12"/>
        <v>9.0477722374135428E-3</v>
      </c>
      <c r="K63" s="18">
        <f t="shared" si="13"/>
        <v>2254</v>
      </c>
      <c r="L63" s="18">
        <v>0</v>
      </c>
      <c r="M63" s="18">
        <f t="shared" si="16"/>
        <v>2254</v>
      </c>
    </row>
    <row r="64" spans="2:13" x14ac:dyDescent="0.2">
      <c r="B64" s="18" t="s">
        <v>277</v>
      </c>
      <c r="C64" s="18">
        <v>4006</v>
      </c>
      <c r="D64" s="18">
        <v>1607</v>
      </c>
      <c r="E64" s="18">
        <f t="shared" si="14"/>
        <v>5613</v>
      </c>
      <c r="F64" s="19">
        <f t="shared" si="11"/>
        <v>8.6520231213872839E-2</v>
      </c>
      <c r="G64" s="18">
        <v>13274</v>
      </c>
      <c r="H64" s="18">
        <v>862</v>
      </c>
      <c r="I64" s="18">
        <f t="shared" si="15"/>
        <v>14136</v>
      </c>
      <c r="J64" s="19">
        <f t="shared" si="12"/>
        <v>9.474022840598359E-2</v>
      </c>
      <c r="K64" s="18">
        <f t="shared" si="13"/>
        <v>19749</v>
      </c>
      <c r="L64" s="18">
        <v>1</v>
      </c>
      <c r="M64" s="18">
        <f t="shared" si="16"/>
        <v>19750</v>
      </c>
    </row>
    <row r="65" spans="2:13" x14ac:dyDescent="0.2">
      <c r="B65" s="18" t="s">
        <v>278</v>
      </c>
      <c r="C65" s="18">
        <v>873</v>
      </c>
      <c r="D65" s="18">
        <v>399</v>
      </c>
      <c r="E65" s="18">
        <f t="shared" si="14"/>
        <v>1272</v>
      </c>
      <c r="F65" s="19">
        <f t="shared" si="11"/>
        <v>1.960693641618497E-2</v>
      </c>
      <c r="G65" s="18">
        <v>2174</v>
      </c>
      <c r="H65" s="18">
        <v>130</v>
      </c>
      <c r="I65" s="18">
        <f t="shared" si="15"/>
        <v>2304</v>
      </c>
      <c r="J65" s="19">
        <f t="shared" si="12"/>
        <v>1.5441531285185781E-2</v>
      </c>
      <c r="K65" s="18">
        <f t="shared" si="13"/>
        <v>3576</v>
      </c>
      <c r="L65" s="18">
        <v>0</v>
      </c>
      <c r="M65" s="18">
        <f t="shared" si="16"/>
        <v>3576</v>
      </c>
    </row>
    <row r="66" spans="2:13" x14ac:dyDescent="0.2">
      <c r="B66" s="18" t="s">
        <v>279</v>
      </c>
      <c r="C66" s="18">
        <v>277</v>
      </c>
      <c r="D66" s="18">
        <v>111</v>
      </c>
      <c r="E66" s="18">
        <f t="shared" si="14"/>
        <v>388</v>
      </c>
      <c r="F66" s="19">
        <f t="shared" si="11"/>
        <v>5.980732177263969E-3</v>
      </c>
      <c r="G66" s="18">
        <v>578</v>
      </c>
      <c r="H66" s="18">
        <v>47</v>
      </c>
      <c r="I66" s="18">
        <f t="shared" si="15"/>
        <v>625</v>
      </c>
      <c r="J66" s="19">
        <f t="shared" si="12"/>
        <v>4.1887834432470109E-3</v>
      </c>
      <c r="K66" s="18">
        <f t="shared" si="13"/>
        <v>1013</v>
      </c>
      <c r="L66" s="18">
        <v>0</v>
      </c>
      <c r="M66" s="18">
        <f t="shared" si="16"/>
        <v>1013</v>
      </c>
    </row>
    <row r="67" spans="2:13" x14ac:dyDescent="0.2">
      <c r="B67" s="18" t="s">
        <v>280</v>
      </c>
      <c r="C67" s="18">
        <v>643</v>
      </c>
      <c r="D67" s="18">
        <v>268</v>
      </c>
      <c r="E67" s="18">
        <f t="shared" si="14"/>
        <v>911</v>
      </c>
      <c r="F67" s="19">
        <f t="shared" si="11"/>
        <v>1.4042389210019268E-2</v>
      </c>
      <c r="G67" s="18">
        <v>1778</v>
      </c>
      <c r="H67" s="18">
        <v>123</v>
      </c>
      <c r="I67" s="18">
        <f t="shared" si="15"/>
        <v>1901</v>
      </c>
      <c r="J67" s="19">
        <f t="shared" si="12"/>
        <v>1.2740603720980109E-2</v>
      </c>
      <c r="K67" s="18">
        <f t="shared" si="13"/>
        <v>2812</v>
      </c>
      <c r="L67" s="18">
        <v>0</v>
      </c>
      <c r="M67" s="18">
        <f t="shared" si="16"/>
        <v>2812</v>
      </c>
    </row>
    <row r="68" spans="2:13" x14ac:dyDescent="0.2">
      <c r="B68" s="18" t="s">
        <v>281</v>
      </c>
      <c r="C68" s="18">
        <v>473</v>
      </c>
      <c r="D68" s="18">
        <v>191</v>
      </c>
      <c r="E68" s="18">
        <f t="shared" si="14"/>
        <v>664</v>
      </c>
      <c r="F68" s="19">
        <f t="shared" si="11"/>
        <v>1.0235067437379576E-2</v>
      </c>
      <c r="G68" s="18">
        <v>485</v>
      </c>
      <c r="H68" s="18">
        <v>53</v>
      </c>
      <c r="I68" s="18">
        <f t="shared" si="15"/>
        <v>538</v>
      </c>
      <c r="J68" s="19">
        <f t="shared" si="12"/>
        <v>3.605704787947027E-3</v>
      </c>
      <c r="K68" s="18">
        <f t="shared" si="13"/>
        <v>1202</v>
      </c>
      <c r="L68" s="18">
        <v>0</v>
      </c>
      <c r="M68" s="18">
        <f t="shared" si="16"/>
        <v>1202</v>
      </c>
    </row>
    <row r="69" spans="2:13" x14ac:dyDescent="0.2">
      <c r="B69" s="18" t="s">
        <v>282</v>
      </c>
      <c r="C69" s="18">
        <v>181</v>
      </c>
      <c r="D69" s="18">
        <v>74</v>
      </c>
      <c r="E69" s="18">
        <f t="shared" si="14"/>
        <v>255</v>
      </c>
      <c r="F69" s="19">
        <f t="shared" si="11"/>
        <v>3.9306358381502888E-3</v>
      </c>
      <c r="G69" s="18">
        <v>438</v>
      </c>
      <c r="H69" s="18">
        <v>32</v>
      </c>
      <c r="I69" s="18">
        <f t="shared" si="15"/>
        <v>470</v>
      </c>
      <c r="J69" s="19">
        <f t="shared" si="12"/>
        <v>3.1499651493217522E-3</v>
      </c>
      <c r="K69" s="18">
        <f t="shared" si="13"/>
        <v>725</v>
      </c>
      <c r="L69" s="18">
        <v>0</v>
      </c>
      <c r="M69" s="18">
        <f t="shared" si="16"/>
        <v>725</v>
      </c>
    </row>
    <row r="70" spans="2:13" x14ac:dyDescent="0.2">
      <c r="B70" s="18" t="s">
        <v>283</v>
      </c>
      <c r="C70" s="18">
        <v>989</v>
      </c>
      <c r="D70" s="18">
        <v>589</v>
      </c>
      <c r="E70" s="18">
        <f t="shared" si="14"/>
        <v>1578</v>
      </c>
      <c r="F70" s="19">
        <f t="shared" si="11"/>
        <v>2.4323699421965318E-2</v>
      </c>
      <c r="G70" s="18">
        <v>2886</v>
      </c>
      <c r="H70" s="18">
        <v>213</v>
      </c>
      <c r="I70" s="18">
        <f t="shared" si="15"/>
        <v>3099</v>
      </c>
      <c r="J70" s="19">
        <f t="shared" si="12"/>
        <v>2.0769663824995978E-2</v>
      </c>
      <c r="K70" s="18">
        <f t="shared" si="13"/>
        <v>4677</v>
      </c>
      <c r="L70" s="18">
        <v>0</v>
      </c>
      <c r="M70" s="18">
        <f t="shared" si="16"/>
        <v>4677</v>
      </c>
    </row>
    <row r="71" spans="2:13" x14ac:dyDescent="0.2">
      <c r="B71" s="18" t="s">
        <v>284</v>
      </c>
      <c r="C71" s="18">
        <v>1086</v>
      </c>
      <c r="D71" s="18">
        <v>628</v>
      </c>
      <c r="E71" s="18">
        <f t="shared" si="14"/>
        <v>1714</v>
      </c>
      <c r="F71" s="19">
        <f t="shared" si="11"/>
        <v>2.6420038535645472E-2</v>
      </c>
      <c r="G71" s="18">
        <v>3168</v>
      </c>
      <c r="H71" s="18">
        <v>303</v>
      </c>
      <c r="I71" s="18">
        <f t="shared" si="15"/>
        <v>3471</v>
      </c>
      <c r="J71" s="19">
        <f t="shared" si="12"/>
        <v>2.3262827730416599E-2</v>
      </c>
      <c r="K71" s="18">
        <f t="shared" si="13"/>
        <v>5185</v>
      </c>
      <c r="L71" s="18">
        <v>0</v>
      </c>
      <c r="M71" s="18">
        <f t="shared" si="16"/>
        <v>5185</v>
      </c>
    </row>
    <row r="72" spans="2:13" x14ac:dyDescent="0.2">
      <c r="B72" s="18" t="s">
        <v>285</v>
      </c>
      <c r="C72" s="18">
        <v>331</v>
      </c>
      <c r="D72" s="18">
        <v>208</v>
      </c>
      <c r="E72" s="18">
        <f t="shared" si="14"/>
        <v>539</v>
      </c>
      <c r="F72" s="19">
        <f t="shared" si="11"/>
        <v>8.3082851637764927E-3</v>
      </c>
      <c r="G72" s="18">
        <v>974</v>
      </c>
      <c r="H72" s="18">
        <v>134</v>
      </c>
      <c r="I72" s="18">
        <f t="shared" si="15"/>
        <v>1108</v>
      </c>
      <c r="J72" s="19">
        <f t="shared" si="12"/>
        <v>7.4258752881883007E-3</v>
      </c>
      <c r="K72" s="18">
        <f t="shared" si="13"/>
        <v>1647</v>
      </c>
      <c r="L72" s="18">
        <v>0</v>
      </c>
      <c r="M72" s="18">
        <f t="shared" si="16"/>
        <v>1647</v>
      </c>
    </row>
    <row r="73" spans="2:13" x14ac:dyDescent="0.2">
      <c r="B73" s="18" t="s">
        <v>286</v>
      </c>
      <c r="C73" s="18">
        <v>240</v>
      </c>
      <c r="D73" s="18">
        <v>90</v>
      </c>
      <c r="E73" s="18">
        <f t="shared" si="14"/>
        <v>330</v>
      </c>
      <c r="F73" s="19">
        <f t="shared" si="11"/>
        <v>5.0867052023121388E-3</v>
      </c>
      <c r="G73" s="18">
        <v>485</v>
      </c>
      <c r="H73" s="18">
        <v>34</v>
      </c>
      <c r="I73" s="18">
        <f t="shared" si="15"/>
        <v>519</v>
      </c>
      <c r="J73" s="19">
        <f t="shared" si="12"/>
        <v>3.4783657712723179E-3</v>
      </c>
      <c r="K73" s="18">
        <f t="shared" si="13"/>
        <v>849</v>
      </c>
      <c r="L73" s="18">
        <v>0</v>
      </c>
      <c r="M73" s="18">
        <f t="shared" si="16"/>
        <v>849</v>
      </c>
    </row>
    <row r="74" spans="2:13" x14ac:dyDescent="0.2">
      <c r="B74" s="18" t="s">
        <v>287</v>
      </c>
      <c r="C74" s="18">
        <v>157</v>
      </c>
      <c r="D74" s="18">
        <v>82</v>
      </c>
      <c r="E74" s="18">
        <f t="shared" si="14"/>
        <v>239</v>
      </c>
      <c r="F74" s="19">
        <f t="shared" si="11"/>
        <v>3.6840077071290944E-3</v>
      </c>
      <c r="G74" s="18">
        <v>382</v>
      </c>
      <c r="H74" s="18">
        <v>29</v>
      </c>
      <c r="I74" s="18">
        <f t="shared" si="15"/>
        <v>411</v>
      </c>
      <c r="J74" s="19">
        <f t="shared" si="12"/>
        <v>2.7545439922792344E-3</v>
      </c>
      <c r="K74" s="18">
        <f t="shared" si="13"/>
        <v>650</v>
      </c>
      <c r="L74" s="18">
        <v>0</v>
      </c>
      <c r="M74" s="18">
        <f t="shared" si="16"/>
        <v>650</v>
      </c>
    </row>
    <row r="75" spans="2:13" x14ac:dyDescent="0.2">
      <c r="B75" s="18" t="s">
        <v>288</v>
      </c>
      <c r="C75" s="18">
        <v>542</v>
      </c>
      <c r="D75" s="18">
        <v>275</v>
      </c>
      <c r="E75" s="18">
        <f t="shared" si="14"/>
        <v>817</v>
      </c>
      <c r="F75" s="19">
        <f t="shared" si="11"/>
        <v>1.2593448940269749E-2</v>
      </c>
      <c r="G75" s="18">
        <v>1630</v>
      </c>
      <c r="H75" s="18">
        <v>138</v>
      </c>
      <c r="I75" s="18">
        <f t="shared" si="15"/>
        <v>1768</v>
      </c>
      <c r="J75" s="19">
        <f t="shared" si="12"/>
        <v>1.1849230604257145E-2</v>
      </c>
      <c r="K75" s="18">
        <f t="shared" si="13"/>
        <v>2585</v>
      </c>
      <c r="L75" s="18">
        <v>0</v>
      </c>
      <c r="M75" s="18">
        <f t="shared" si="16"/>
        <v>2585</v>
      </c>
    </row>
    <row r="76" spans="2:13" x14ac:dyDescent="0.2">
      <c r="B76" s="18" t="s">
        <v>289</v>
      </c>
      <c r="C76" s="18">
        <v>1040</v>
      </c>
      <c r="D76" s="18">
        <v>622</v>
      </c>
      <c r="E76" s="18">
        <f t="shared" si="14"/>
        <v>1662</v>
      </c>
      <c r="F76" s="19">
        <f t="shared" si="11"/>
        <v>2.5618497109826589E-2</v>
      </c>
      <c r="G76" s="18">
        <v>2592</v>
      </c>
      <c r="H76" s="18">
        <v>223</v>
      </c>
      <c r="I76" s="18">
        <f t="shared" si="15"/>
        <v>2815</v>
      </c>
      <c r="J76" s="19">
        <f t="shared" si="12"/>
        <v>1.8866280628384538E-2</v>
      </c>
      <c r="K76" s="18">
        <f t="shared" si="13"/>
        <v>4477</v>
      </c>
      <c r="L76" s="18">
        <v>0</v>
      </c>
      <c r="M76" s="18">
        <f t="shared" si="16"/>
        <v>4477</v>
      </c>
    </row>
    <row r="77" spans="2:13" x14ac:dyDescent="0.2">
      <c r="B77" s="18" t="s">
        <v>304</v>
      </c>
      <c r="C77" s="18">
        <v>5317</v>
      </c>
      <c r="D77" s="18">
        <v>1795</v>
      </c>
      <c r="E77" s="18">
        <f t="shared" si="14"/>
        <v>7112</v>
      </c>
      <c r="F77" s="19">
        <f t="shared" si="11"/>
        <v>0.109626204238921</v>
      </c>
      <c r="G77" s="18">
        <v>19652</v>
      </c>
      <c r="H77" s="18">
        <v>1045</v>
      </c>
      <c r="I77" s="18">
        <f t="shared" si="15"/>
        <v>20697</v>
      </c>
      <c r="J77" s="19">
        <f t="shared" si="12"/>
        <v>0.13871240147981342</v>
      </c>
      <c r="K77" s="18">
        <f t="shared" si="13"/>
        <v>27809</v>
      </c>
      <c r="L77" s="18">
        <v>0</v>
      </c>
      <c r="M77" s="18">
        <f t="shared" si="16"/>
        <v>27809</v>
      </c>
    </row>
    <row r="78" spans="2:13" x14ac:dyDescent="0.2">
      <c r="B78" s="18" t="s">
        <v>305</v>
      </c>
      <c r="C78" s="18">
        <v>1768</v>
      </c>
      <c r="D78" s="18">
        <v>613</v>
      </c>
      <c r="E78" s="18">
        <f t="shared" si="14"/>
        <v>2381</v>
      </c>
      <c r="F78" s="19">
        <f t="shared" si="11"/>
        <v>3.6701348747591525E-2</v>
      </c>
      <c r="G78" s="18">
        <v>6642</v>
      </c>
      <c r="H78" s="18">
        <v>336</v>
      </c>
      <c r="I78" s="18">
        <f t="shared" si="15"/>
        <v>6978</v>
      </c>
      <c r="J78" s="19">
        <f t="shared" si="12"/>
        <v>4.676692938716423E-2</v>
      </c>
      <c r="K78" s="18">
        <f t="shared" si="13"/>
        <v>9359</v>
      </c>
      <c r="L78" s="18">
        <v>0</v>
      </c>
      <c r="M78" s="18">
        <f t="shared" si="16"/>
        <v>9359</v>
      </c>
    </row>
    <row r="79" spans="2:13" x14ac:dyDescent="0.2">
      <c r="B79" s="18" t="s">
        <v>306</v>
      </c>
      <c r="C79" s="18">
        <v>2149</v>
      </c>
      <c r="D79" s="18">
        <v>932</v>
      </c>
      <c r="E79" s="18">
        <f t="shared" si="14"/>
        <v>3081</v>
      </c>
      <c r="F79" s="19">
        <f t="shared" si="11"/>
        <v>4.7491329479768786E-2</v>
      </c>
      <c r="G79" s="18">
        <v>7310</v>
      </c>
      <c r="H79" s="18">
        <v>486</v>
      </c>
      <c r="I79" s="18">
        <f t="shared" si="15"/>
        <v>7796</v>
      </c>
      <c r="J79" s="19">
        <f t="shared" si="12"/>
        <v>5.2249209157685918E-2</v>
      </c>
      <c r="K79" s="18">
        <f t="shared" si="13"/>
        <v>10877</v>
      </c>
      <c r="L79" s="18">
        <v>2</v>
      </c>
      <c r="M79" s="18">
        <f t="shared" si="16"/>
        <v>10879</v>
      </c>
    </row>
    <row r="80" spans="2:13" x14ac:dyDescent="0.2">
      <c r="B80" s="18" t="s">
        <v>307</v>
      </c>
      <c r="C80" s="18">
        <v>519</v>
      </c>
      <c r="D80" s="18">
        <v>178</v>
      </c>
      <c r="E80" s="18">
        <f t="shared" si="14"/>
        <v>697</v>
      </c>
      <c r="F80" s="19">
        <f t="shared" si="11"/>
        <v>1.0743737957610791E-2</v>
      </c>
      <c r="G80" s="18">
        <v>1192</v>
      </c>
      <c r="H80" s="18">
        <v>71</v>
      </c>
      <c r="I80" s="18">
        <f t="shared" si="15"/>
        <v>1263</v>
      </c>
      <c r="J80" s="19">
        <f t="shared" si="12"/>
        <v>8.4646935821135593E-3</v>
      </c>
      <c r="K80" s="18">
        <f t="shared" si="13"/>
        <v>1960</v>
      </c>
      <c r="L80" s="18">
        <v>0</v>
      </c>
      <c r="M80" s="18">
        <f t="shared" si="16"/>
        <v>1960</v>
      </c>
    </row>
    <row r="81" spans="2:13" x14ac:dyDescent="0.2">
      <c r="B81" s="18" t="s">
        <v>308</v>
      </c>
      <c r="C81" s="18">
        <v>1276</v>
      </c>
      <c r="D81" s="18">
        <v>521</v>
      </c>
      <c r="E81" s="18">
        <f t="shared" si="14"/>
        <v>1797</v>
      </c>
      <c r="F81" s="19">
        <f t="shared" si="11"/>
        <v>2.7699421965317918E-2</v>
      </c>
      <c r="G81" s="18">
        <v>3039</v>
      </c>
      <c r="H81" s="18">
        <v>180</v>
      </c>
      <c r="I81" s="18">
        <f t="shared" si="15"/>
        <v>3219</v>
      </c>
      <c r="J81" s="19">
        <f t="shared" si="12"/>
        <v>2.1573910246099406E-2</v>
      </c>
      <c r="K81" s="18">
        <f t="shared" si="13"/>
        <v>5016</v>
      </c>
      <c r="L81" s="18">
        <v>0</v>
      </c>
      <c r="M81" s="18">
        <f t="shared" si="16"/>
        <v>5016</v>
      </c>
    </row>
    <row r="82" spans="2:13" x14ac:dyDescent="0.2">
      <c r="B82" s="18" t="s">
        <v>309</v>
      </c>
      <c r="C82" s="18">
        <v>1439</v>
      </c>
      <c r="D82" s="18">
        <v>482</v>
      </c>
      <c r="E82" s="18">
        <f t="shared" si="14"/>
        <v>1921</v>
      </c>
      <c r="F82" s="19">
        <f t="shared" si="11"/>
        <v>2.9610789980732178E-2</v>
      </c>
      <c r="G82" s="18">
        <v>3091</v>
      </c>
      <c r="H82" s="18">
        <v>197</v>
      </c>
      <c r="I82" s="18">
        <f t="shared" si="15"/>
        <v>3288</v>
      </c>
      <c r="J82" s="19">
        <f t="shared" si="12"/>
        <v>2.2036351938233875E-2</v>
      </c>
      <c r="K82" s="18">
        <f t="shared" si="13"/>
        <v>5209</v>
      </c>
      <c r="L82" s="18">
        <v>0</v>
      </c>
      <c r="M82" s="18">
        <f t="shared" si="16"/>
        <v>5209</v>
      </c>
    </row>
    <row r="83" spans="2:13" x14ac:dyDescent="0.2">
      <c r="B83" s="18" t="s">
        <v>310</v>
      </c>
      <c r="C83" s="18">
        <v>1091</v>
      </c>
      <c r="D83" s="18">
        <v>471</v>
      </c>
      <c r="E83" s="18">
        <f t="shared" si="14"/>
        <v>1562</v>
      </c>
      <c r="F83" s="19">
        <f t="shared" si="11"/>
        <v>2.4077071290944125E-2</v>
      </c>
      <c r="G83" s="18">
        <v>3257</v>
      </c>
      <c r="H83" s="18">
        <v>140</v>
      </c>
      <c r="I83" s="18">
        <f t="shared" si="15"/>
        <v>3397</v>
      </c>
      <c r="J83" s="19">
        <f t="shared" si="12"/>
        <v>2.2766875770736154E-2</v>
      </c>
      <c r="K83" s="18">
        <f t="shared" si="13"/>
        <v>4959</v>
      </c>
      <c r="L83" s="18">
        <v>0</v>
      </c>
      <c r="M83" s="18">
        <f t="shared" si="16"/>
        <v>4959</v>
      </c>
    </row>
    <row r="84" spans="2:13" x14ac:dyDescent="0.2">
      <c r="B84" s="18" t="s">
        <v>314</v>
      </c>
      <c r="C84" s="18">
        <v>981</v>
      </c>
      <c r="D84" s="18">
        <v>515</v>
      </c>
      <c r="E84" s="18">
        <f t="shared" si="14"/>
        <v>1496</v>
      </c>
      <c r="F84" s="19">
        <f t="shared" si="11"/>
        <v>2.3059730250481695E-2</v>
      </c>
      <c r="G84" s="18">
        <v>2503</v>
      </c>
      <c r="H84" s="18">
        <v>262</v>
      </c>
      <c r="I84" s="18">
        <f t="shared" si="15"/>
        <v>2765</v>
      </c>
      <c r="J84" s="19">
        <f t="shared" si="12"/>
        <v>1.8531177952924777E-2</v>
      </c>
      <c r="K84" s="18">
        <f t="shared" si="13"/>
        <v>4261</v>
      </c>
      <c r="L84" s="18">
        <v>0</v>
      </c>
      <c r="M84" s="18">
        <f t="shared" si="16"/>
        <v>4261</v>
      </c>
    </row>
    <row r="85" spans="2:13" x14ac:dyDescent="0.2">
      <c r="B85" s="18" t="s">
        <v>315</v>
      </c>
      <c r="C85" s="18">
        <v>487</v>
      </c>
      <c r="D85" s="18">
        <v>230</v>
      </c>
      <c r="E85" s="18">
        <f t="shared" si="14"/>
        <v>717</v>
      </c>
      <c r="F85" s="19">
        <f t="shared" si="11"/>
        <v>1.1052023121387283E-2</v>
      </c>
      <c r="G85" s="18">
        <v>977</v>
      </c>
      <c r="H85" s="18">
        <v>80</v>
      </c>
      <c r="I85" s="18">
        <f t="shared" si="15"/>
        <v>1057</v>
      </c>
      <c r="J85" s="19">
        <f t="shared" si="12"/>
        <v>7.0840705592193449E-3</v>
      </c>
      <c r="K85" s="18">
        <f t="shared" si="13"/>
        <v>1774</v>
      </c>
      <c r="L85" s="18">
        <v>0</v>
      </c>
      <c r="M85" s="18">
        <f t="shared" si="16"/>
        <v>1774</v>
      </c>
    </row>
    <row r="86" spans="2:13" x14ac:dyDescent="0.2">
      <c r="B86" s="20" t="s">
        <v>49</v>
      </c>
      <c r="C86" s="18">
        <f>SUM(C53:C85)</f>
        <v>45607</v>
      </c>
      <c r="D86" s="18">
        <f>SUM(D53:D85)</f>
        <v>19268</v>
      </c>
      <c r="E86" s="20">
        <f t="shared" ref="E86" si="17">C86+D86</f>
        <v>64875</v>
      </c>
      <c r="F86" s="22">
        <f t="shared" ref="F86" si="18">E86/$E$86</f>
        <v>1</v>
      </c>
      <c r="G86" s="18">
        <f>SUM(G53:G85)</f>
        <v>139929</v>
      </c>
      <c r="H86" s="18">
        <f>SUM(H53:H85)</f>
        <v>9279</v>
      </c>
      <c r="I86" s="20">
        <f>G86+H86</f>
        <v>149208</v>
      </c>
      <c r="J86" s="46">
        <f t="shared" ref="J86" si="19">I86/$I$86</f>
        <v>1</v>
      </c>
      <c r="K86" s="20">
        <f t="shared" ref="K86" si="20">E86+I86</f>
        <v>214083</v>
      </c>
      <c r="L86" s="18">
        <f>SUM(L53:L85)</f>
        <v>3</v>
      </c>
      <c r="M86" s="20">
        <f>K86+L86</f>
        <v>214086</v>
      </c>
    </row>
    <row r="87" spans="2:13" ht="24" x14ac:dyDescent="0.2">
      <c r="B87" s="49" t="s">
        <v>66</v>
      </c>
      <c r="C87" s="33">
        <f>+C86/M86</f>
        <v>0.21303121175602327</v>
      </c>
      <c r="D87" s="33">
        <f>+D86/M86</f>
        <v>9.0001214465214918E-2</v>
      </c>
      <c r="E87" s="34">
        <f>+E86/M86</f>
        <v>0.30303242622123822</v>
      </c>
      <c r="F87" s="34"/>
      <c r="G87" s="33">
        <f>+G86/M86</f>
        <v>0.65361116560634513</v>
      </c>
      <c r="H87" s="33">
        <f>+H86/M86</f>
        <v>4.3342395112244615E-2</v>
      </c>
      <c r="I87" s="34">
        <f>+I86/M86</f>
        <v>0.69695356071858972</v>
      </c>
      <c r="J87" s="34"/>
      <c r="K87" s="34">
        <f>+K86/M86</f>
        <v>0.99998598693982788</v>
      </c>
      <c r="L87" s="34">
        <f>+L86/M86</f>
        <v>1.401306017208038E-5</v>
      </c>
      <c r="M87" s="34">
        <f>K87+L87</f>
        <v>1</v>
      </c>
    </row>
    <row r="88" spans="2:13" x14ac:dyDescent="0.2">
      <c r="B88" s="25" t="s">
        <v>129</v>
      </c>
    </row>
    <row r="89" spans="2:13" x14ac:dyDescent="0.2">
      <c r="B89" s="25" t="s">
        <v>130</v>
      </c>
    </row>
  </sheetData>
  <mergeCells count="12">
    <mergeCell ref="L51:M51"/>
    <mergeCell ref="B50:M50"/>
    <mergeCell ref="B6:K6"/>
    <mergeCell ref="B5:K5"/>
    <mergeCell ref="B48:K48"/>
    <mergeCell ref="B47:K47"/>
    <mergeCell ref="B8:M8"/>
    <mergeCell ref="L9:M9"/>
    <mergeCell ref="B51:B52"/>
    <mergeCell ref="C51:K51"/>
    <mergeCell ref="B9:B10"/>
    <mergeCell ref="C9:K9"/>
  </mergeCells>
  <hyperlinks>
    <hyperlink ref="M5" location="'Índice Pensiones Solidarias'!A1" display="Volver Sistema de Pensiones Solidadias" xr:uid="{00000000-0004-0000-1000-000000000000}"/>
  </hyperlinks>
  <pageMargins left="0.74803149606299213" right="0.74803149606299213" top="0.98425196850393704" bottom="0.98425196850393704" header="0" footer="0"/>
  <pageSetup scale="72" fitToHeight="2"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27"/>
  <dimension ref="A1:P87"/>
  <sheetViews>
    <sheetView showGridLines="0" zoomScaleNormal="100" workbookViewId="0">
      <selection sqref="A1:XFD1048576"/>
    </sheetView>
  </sheetViews>
  <sheetFormatPr baseColWidth="10" defaultRowHeight="12" x14ac:dyDescent="0.2"/>
  <cols>
    <col min="1" max="1" width="6" style="26" customWidth="1"/>
    <col min="2" max="2" width="18.140625" style="26" customWidth="1"/>
    <col min="3" max="3" width="7.85546875" style="26" customWidth="1"/>
    <col min="4" max="4" width="7" style="26" customWidth="1"/>
    <col min="5" max="6" width="8.42578125" style="26" customWidth="1"/>
    <col min="7" max="7" width="8" style="26" customWidth="1"/>
    <col min="8" max="8" width="6.85546875" style="26" customWidth="1"/>
    <col min="9" max="11" width="8.28515625" style="26" customWidth="1"/>
    <col min="12" max="12" width="7.85546875" style="26" customWidth="1"/>
    <col min="13" max="251" width="11.42578125" style="26"/>
    <col min="252" max="252" width="18.140625" style="26" customWidth="1"/>
    <col min="253" max="253" width="7.85546875" style="26" customWidth="1"/>
    <col min="254" max="254" width="7" style="26" customWidth="1"/>
    <col min="255" max="256" width="8.42578125" style="26" customWidth="1"/>
    <col min="257" max="257" width="8" style="26" customWidth="1"/>
    <col min="258" max="258" width="6.85546875" style="26" customWidth="1"/>
    <col min="259" max="261" width="8.28515625" style="26" customWidth="1"/>
    <col min="262" max="267" width="0" style="26" hidden="1" customWidth="1"/>
    <col min="268" max="268" width="7.85546875" style="26" customWidth="1"/>
    <col min="269" max="507" width="11.42578125" style="26"/>
    <col min="508" max="508" width="18.140625" style="26" customWidth="1"/>
    <col min="509" max="509" width="7.85546875" style="26" customWidth="1"/>
    <col min="510" max="510" width="7" style="26" customWidth="1"/>
    <col min="511" max="512" width="8.42578125" style="26" customWidth="1"/>
    <col min="513" max="513" width="8" style="26" customWidth="1"/>
    <col min="514" max="514" width="6.85546875" style="26" customWidth="1"/>
    <col min="515" max="517" width="8.28515625" style="26" customWidth="1"/>
    <col min="518" max="523" width="0" style="26" hidden="1" customWidth="1"/>
    <col min="524" max="524" width="7.85546875" style="26" customWidth="1"/>
    <col min="525" max="763" width="11.42578125" style="26"/>
    <col min="764" max="764" width="18.140625" style="26" customWidth="1"/>
    <col min="765" max="765" width="7.85546875" style="26" customWidth="1"/>
    <col min="766" max="766" width="7" style="26" customWidth="1"/>
    <col min="767" max="768" width="8.42578125" style="26" customWidth="1"/>
    <col min="769" max="769" width="8" style="26" customWidth="1"/>
    <col min="770" max="770" width="6.85546875" style="26" customWidth="1"/>
    <col min="771" max="773" width="8.28515625" style="26" customWidth="1"/>
    <col min="774" max="779" width="0" style="26" hidden="1" customWidth="1"/>
    <col min="780" max="780" width="7.85546875" style="26" customWidth="1"/>
    <col min="781" max="1019" width="11.42578125" style="26"/>
    <col min="1020" max="1020" width="18.140625" style="26" customWidth="1"/>
    <col min="1021" max="1021" width="7.85546875" style="26" customWidth="1"/>
    <col min="1022" max="1022" width="7" style="26" customWidth="1"/>
    <col min="1023" max="1024" width="8.42578125" style="26" customWidth="1"/>
    <col min="1025" max="1025" width="8" style="26" customWidth="1"/>
    <col min="1026" max="1026" width="6.85546875" style="26" customWidth="1"/>
    <col min="1027" max="1029" width="8.28515625" style="26" customWidth="1"/>
    <col min="1030" max="1035" width="0" style="26" hidden="1" customWidth="1"/>
    <col min="1036" max="1036" width="7.85546875" style="26" customWidth="1"/>
    <col min="1037" max="1275" width="11.42578125" style="26"/>
    <col min="1276" max="1276" width="18.140625" style="26" customWidth="1"/>
    <col min="1277" max="1277" width="7.85546875" style="26" customWidth="1"/>
    <col min="1278" max="1278" width="7" style="26" customWidth="1"/>
    <col min="1279" max="1280" width="8.42578125" style="26" customWidth="1"/>
    <col min="1281" max="1281" width="8" style="26" customWidth="1"/>
    <col min="1282" max="1282" width="6.85546875" style="26" customWidth="1"/>
    <col min="1283" max="1285" width="8.28515625" style="26" customWidth="1"/>
    <col min="1286" max="1291" width="0" style="26" hidden="1" customWidth="1"/>
    <col min="1292" max="1292" width="7.85546875" style="26" customWidth="1"/>
    <col min="1293" max="1531" width="11.42578125" style="26"/>
    <col min="1532" max="1532" width="18.140625" style="26" customWidth="1"/>
    <col min="1533" max="1533" width="7.85546875" style="26" customWidth="1"/>
    <col min="1534" max="1534" width="7" style="26" customWidth="1"/>
    <col min="1535" max="1536" width="8.42578125" style="26" customWidth="1"/>
    <col min="1537" max="1537" width="8" style="26" customWidth="1"/>
    <col min="1538" max="1538" width="6.85546875" style="26" customWidth="1"/>
    <col min="1539" max="1541" width="8.28515625" style="26" customWidth="1"/>
    <col min="1542" max="1547" width="0" style="26" hidden="1" customWidth="1"/>
    <col min="1548" max="1548" width="7.85546875" style="26" customWidth="1"/>
    <col min="1549" max="1787" width="11.42578125" style="26"/>
    <col min="1788" max="1788" width="18.140625" style="26" customWidth="1"/>
    <col min="1789" max="1789" width="7.85546875" style="26" customWidth="1"/>
    <col min="1790" max="1790" width="7" style="26" customWidth="1"/>
    <col min="1791" max="1792" width="8.42578125" style="26" customWidth="1"/>
    <col min="1793" max="1793" width="8" style="26" customWidth="1"/>
    <col min="1794" max="1794" width="6.85546875" style="26" customWidth="1"/>
    <col min="1795" max="1797" width="8.28515625" style="26" customWidth="1"/>
    <col min="1798" max="1803" width="0" style="26" hidden="1" customWidth="1"/>
    <col min="1804" max="1804" width="7.85546875" style="26" customWidth="1"/>
    <col min="1805" max="2043" width="11.42578125" style="26"/>
    <col min="2044" max="2044" width="18.140625" style="26" customWidth="1"/>
    <col min="2045" max="2045" width="7.85546875" style="26" customWidth="1"/>
    <col min="2046" max="2046" width="7" style="26" customWidth="1"/>
    <col min="2047" max="2048" width="8.42578125" style="26" customWidth="1"/>
    <col min="2049" max="2049" width="8" style="26" customWidth="1"/>
    <col min="2050" max="2050" width="6.85546875" style="26" customWidth="1"/>
    <col min="2051" max="2053" width="8.28515625" style="26" customWidth="1"/>
    <col min="2054" max="2059" width="0" style="26" hidden="1" customWidth="1"/>
    <col min="2060" max="2060" width="7.85546875" style="26" customWidth="1"/>
    <col min="2061" max="2299" width="11.42578125" style="26"/>
    <col min="2300" max="2300" width="18.140625" style="26" customWidth="1"/>
    <col min="2301" max="2301" width="7.85546875" style="26" customWidth="1"/>
    <col min="2302" max="2302" width="7" style="26" customWidth="1"/>
    <col min="2303" max="2304" width="8.42578125" style="26" customWidth="1"/>
    <col min="2305" max="2305" width="8" style="26" customWidth="1"/>
    <col min="2306" max="2306" width="6.85546875" style="26" customWidth="1"/>
    <col min="2307" max="2309" width="8.28515625" style="26" customWidth="1"/>
    <col min="2310" max="2315" width="0" style="26" hidden="1" customWidth="1"/>
    <col min="2316" max="2316" width="7.85546875" style="26" customWidth="1"/>
    <col min="2317" max="2555" width="11.42578125" style="26"/>
    <col min="2556" max="2556" width="18.140625" style="26" customWidth="1"/>
    <col min="2557" max="2557" width="7.85546875" style="26" customWidth="1"/>
    <col min="2558" max="2558" width="7" style="26" customWidth="1"/>
    <col min="2559" max="2560" width="8.42578125" style="26" customWidth="1"/>
    <col min="2561" max="2561" width="8" style="26" customWidth="1"/>
    <col min="2562" max="2562" width="6.85546875" style="26" customWidth="1"/>
    <col min="2563" max="2565" width="8.28515625" style="26" customWidth="1"/>
    <col min="2566" max="2571" width="0" style="26" hidden="1" customWidth="1"/>
    <col min="2572" max="2572" width="7.85546875" style="26" customWidth="1"/>
    <col min="2573" max="2811" width="11.42578125" style="26"/>
    <col min="2812" max="2812" width="18.140625" style="26" customWidth="1"/>
    <col min="2813" max="2813" width="7.85546875" style="26" customWidth="1"/>
    <col min="2814" max="2814" width="7" style="26" customWidth="1"/>
    <col min="2815" max="2816" width="8.42578125" style="26" customWidth="1"/>
    <col min="2817" max="2817" width="8" style="26" customWidth="1"/>
    <col min="2818" max="2818" width="6.85546875" style="26" customWidth="1"/>
    <col min="2819" max="2821" width="8.28515625" style="26" customWidth="1"/>
    <col min="2822" max="2827" width="0" style="26" hidden="1" customWidth="1"/>
    <col min="2828" max="2828" width="7.85546875" style="26" customWidth="1"/>
    <col min="2829" max="3067" width="11.42578125" style="26"/>
    <col min="3068" max="3068" width="18.140625" style="26" customWidth="1"/>
    <col min="3069" max="3069" width="7.85546875" style="26" customWidth="1"/>
    <col min="3070" max="3070" width="7" style="26" customWidth="1"/>
    <col min="3071" max="3072" width="8.42578125" style="26" customWidth="1"/>
    <col min="3073" max="3073" width="8" style="26" customWidth="1"/>
    <col min="3074" max="3074" width="6.85546875" style="26" customWidth="1"/>
    <col min="3075" max="3077" width="8.28515625" style="26" customWidth="1"/>
    <col min="3078" max="3083" width="0" style="26" hidden="1" customWidth="1"/>
    <col min="3084" max="3084" width="7.85546875" style="26" customWidth="1"/>
    <col min="3085" max="3323" width="11.42578125" style="26"/>
    <col min="3324" max="3324" width="18.140625" style="26" customWidth="1"/>
    <col min="3325" max="3325" width="7.85546875" style="26" customWidth="1"/>
    <col min="3326" max="3326" width="7" style="26" customWidth="1"/>
    <col min="3327" max="3328" width="8.42578125" style="26" customWidth="1"/>
    <col min="3329" max="3329" width="8" style="26" customWidth="1"/>
    <col min="3330" max="3330" width="6.85546875" style="26" customWidth="1"/>
    <col min="3331" max="3333" width="8.28515625" style="26" customWidth="1"/>
    <col min="3334" max="3339" width="0" style="26" hidden="1" customWidth="1"/>
    <col min="3340" max="3340" width="7.85546875" style="26" customWidth="1"/>
    <col min="3341" max="3579" width="11.42578125" style="26"/>
    <col min="3580" max="3580" width="18.140625" style="26" customWidth="1"/>
    <col min="3581" max="3581" width="7.85546875" style="26" customWidth="1"/>
    <col min="3582" max="3582" width="7" style="26" customWidth="1"/>
    <col min="3583" max="3584" width="8.42578125" style="26" customWidth="1"/>
    <col min="3585" max="3585" width="8" style="26" customWidth="1"/>
    <col min="3586" max="3586" width="6.85546875" style="26" customWidth="1"/>
    <col min="3587" max="3589" width="8.28515625" style="26" customWidth="1"/>
    <col min="3590" max="3595" width="0" style="26" hidden="1" customWidth="1"/>
    <col min="3596" max="3596" width="7.85546875" style="26" customWidth="1"/>
    <col min="3597" max="3835" width="11.42578125" style="26"/>
    <col min="3836" max="3836" width="18.140625" style="26" customWidth="1"/>
    <col min="3837" max="3837" width="7.85546875" style="26" customWidth="1"/>
    <col min="3838" max="3838" width="7" style="26" customWidth="1"/>
    <col min="3839" max="3840" width="8.42578125" style="26" customWidth="1"/>
    <col min="3841" max="3841" width="8" style="26" customWidth="1"/>
    <col min="3842" max="3842" width="6.85546875" style="26" customWidth="1"/>
    <col min="3843" max="3845" width="8.28515625" style="26" customWidth="1"/>
    <col min="3846" max="3851" width="0" style="26" hidden="1" customWidth="1"/>
    <col min="3852" max="3852" width="7.85546875" style="26" customWidth="1"/>
    <col min="3853" max="4091" width="11.42578125" style="26"/>
    <col min="4092" max="4092" width="18.140625" style="26" customWidth="1"/>
    <col min="4093" max="4093" width="7.85546875" style="26" customWidth="1"/>
    <col min="4094" max="4094" width="7" style="26" customWidth="1"/>
    <col min="4095" max="4096" width="8.42578125" style="26" customWidth="1"/>
    <col min="4097" max="4097" width="8" style="26" customWidth="1"/>
    <col min="4098" max="4098" width="6.85546875" style="26" customWidth="1"/>
    <col min="4099" max="4101" width="8.28515625" style="26" customWidth="1"/>
    <col min="4102" max="4107" width="0" style="26" hidden="1" customWidth="1"/>
    <col min="4108" max="4108" width="7.85546875" style="26" customWidth="1"/>
    <col min="4109" max="4347" width="11.42578125" style="26"/>
    <col min="4348" max="4348" width="18.140625" style="26" customWidth="1"/>
    <col min="4349" max="4349" width="7.85546875" style="26" customWidth="1"/>
    <col min="4350" max="4350" width="7" style="26" customWidth="1"/>
    <col min="4351" max="4352" width="8.42578125" style="26" customWidth="1"/>
    <col min="4353" max="4353" width="8" style="26" customWidth="1"/>
    <col min="4354" max="4354" width="6.85546875" style="26" customWidth="1"/>
    <col min="4355" max="4357" width="8.28515625" style="26" customWidth="1"/>
    <col min="4358" max="4363" width="0" style="26" hidden="1" customWidth="1"/>
    <col min="4364" max="4364" width="7.85546875" style="26" customWidth="1"/>
    <col min="4365" max="4603" width="11.42578125" style="26"/>
    <col min="4604" max="4604" width="18.140625" style="26" customWidth="1"/>
    <col min="4605" max="4605" width="7.85546875" style="26" customWidth="1"/>
    <col min="4606" max="4606" width="7" style="26" customWidth="1"/>
    <col min="4607" max="4608" width="8.42578125" style="26" customWidth="1"/>
    <col min="4609" max="4609" width="8" style="26" customWidth="1"/>
    <col min="4610" max="4610" width="6.85546875" style="26" customWidth="1"/>
    <col min="4611" max="4613" width="8.28515625" style="26" customWidth="1"/>
    <col min="4614" max="4619" width="0" style="26" hidden="1" customWidth="1"/>
    <col min="4620" max="4620" width="7.85546875" style="26" customWidth="1"/>
    <col min="4621" max="4859" width="11.42578125" style="26"/>
    <col min="4860" max="4860" width="18.140625" style="26" customWidth="1"/>
    <col min="4861" max="4861" width="7.85546875" style="26" customWidth="1"/>
    <col min="4862" max="4862" width="7" style="26" customWidth="1"/>
    <col min="4863" max="4864" width="8.42578125" style="26" customWidth="1"/>
    <col min="4865" max="4865" width="8" style="26" customWidth="1"/>
    <col min="4866" max="4866" width="6.85546875" style="26" customWidth="1"/>
    <col min="4867" max="4869" width="8.28515625" style="26" customWidth="1"/>
    <col min="4870" max="4875" width="0" style="26" hidden="1" customWidth="1"/>
    <col min="4876" max="4876" width="7.85546875" style="26" customWidth="1"/>
    <col min="4877" max="5115" width="11.42578125" style="26"/>
    <col min="5116" max="5116" width="18.140625" style="26" customWidth="1"/>
    <col min="5117" max="5117" width="7.85546875" style="26" customWidth="1"/>
    <col min="5118" max="5118" width="7" style="26" customWidth="1"/>
    <col min="5119" max="5120" width="8.42578125" style="26" customWidth="1"/>
    <col min="5121" max="5121" width="8" style="26" customWidth="1"/>
    <col min="5122" max="5122" width="6.85546875" style="26" customWidth="1"/>
    <col min="5123" max="5125" width="8.28515625" style="26" customWidth="1"/>
    <col min="5126" max="5131" width="0" style="26" hidden="1" customWidth="1"/>
    <col min="5132" max="5132" width="7.85546875" style="26" customWidth="1"/>
    <col min="5133" max="5371" width="11.42578125" style="26"/>
    <col min="5372" max="5372" width="18.140625" style="26" customWidth="1"/>
    <col min="5373" max="5373" width="7.85546875" style="26" customWidth="1"/>
    <col min="5374" max="5374" width="7" style="26" customWidth="1"/>
    <col min="5375" max="5376" width="8.42578125" style="26" customWidth="1"/>
    <col min="5377" max="5377" width="8" style="26" customWidth="1"/>
    <col min="5378" max="5378" width="6.85546875" style="26" customWidth="1"/>
    <col min="5379" max="5381" width="8.28515625" style="26" customWidth="1"/>
    <col min="5382" max="5387" width="0" style="26" hidden="1" customWidth="1"/>
    <col min="5388" max="5388" width="7.85546875" style="26" customWidth="1"/>
    <col min="5389" max="5627" width="11.42578125" style="26"/>
    <col min="5628" max="5628" width="18.140625" style="26" customWidth="1"/>
    <col min="5629" max="5629" width="7.85546875" style="26" customWidth="1"/>
    <col min="5630" max="5630" width="7" style="26" customWidth="1"/>
    <col min="5631" max="5632" width="8.42578125" style="26" customWidth="1"/>
    <col min="5633" max="5633" width="8" style="26" customWidth="1"/>
    <col min="5634" max="5634" width="6.85546875" style="26" customWidth="1"/>
    <col min="5635" max="5637" width="8.28515625" style="26" customWidth="1"/>
    <col min="5638" max="5643" width="0" style="26" hidden="1" customWidth="1"/>
    <col min="5644" max="5644" width="7.85546875" style="26" customWidth="1"/>
    <col min="5645" max="5883" width="11.42578125" style="26"/>
    <col min="5884" max="5884" width="18.140625" style="26" customWidth="1"/>
    <col min="5885" max="5885" width="7.85546875" style="26" customWidth="1"/>
    <col min="5886" max="5886" width="7" style="26" customWidth="1"/>
    <col min="5887" max="5888" width="8.42578125" style="26" customWidth="1"/>
    <col min="5889" max="5889" width="8" style="26" customWidth="1"/>
    <col min="5890" max="5890" width="6.85546875" style="26" customWidth="1"/>
    <col min="5891" max="5893" width="8.28515625" style="26" customWidth="1"/>
    <col min="5894" max="5899" width="0" style="26" hidden="1" customWidth="1"/>
    <col min="5900" max="5900" width="7.85546875" style="26" customWidth="1"/>
    <col min="5901" max="6139" width="11.42578125" style="26"/>
    <col min="6140" max="6140" width="18.140625" style="26" customWidth="1"/>
    <col min="6141" max="6141" width="7.85546875" style="26" customWidth="1"/>
    <col min="6142" max="6142" width="7" style="26" customWidth="1"/>
    <col min="6143" max="6144" width="8.42578125" style="26" customWidth="1"/>
    <col min="6145" max="6145" width="8" style="26" customWidth="1"/>
    <col min="6146" max="6146" width="6.85546875" style="26" customWidth="1"/>
    <col min="6147" max="6149" width="8.28515625" style="26" customWidth="1"/>
    <col min="6150" max="6155" width="0" style="26" hidden="1" customWidth="1"/>
    <col min="6156" max="6156" width="7.85546875" style="26" customWidth="1"/>
    <col min="6157" max="6395" width="11.42578125" style="26"/>
    <col min="6396" max="6396" width="18.140625" style="26" customWidth="1"/>
    <col min="6397" max="6397" width="7.85546875" style="26" customWidth="1"/>
    <col min="6398" max="6398" width="7" style="26" customWidth="1"/>
    <col min="6399" max="6400" width="8.42578125" style="26" customWidth="1"/>
    <col min="6401" max="6401" width="8" style="26" customWidth="1"/>
    <col min="6402" max="6402" width="6.85546875" style="26" customWidth="1"/>
    <col min="6403" max="6405" width="8.28515625" style="26" customWidth="1"/>
    <col min="6406" max="6411" width="0" style="26" hidden="1" customWidth="1"/>
    <col min="6412" max="6412" width="7.85546875" style="26" customWidth="1"/>
    <col min="6413" max="6651" width="11.42578125" style="26"/>
    <col min="6652" max="6652" width="18.140625" style="26" customWidth="1"/>
    <col min="6653" max="6653" width="7.85546875" style="26" customWidth="1"/>
    <col min="6654" max="6654" width="7" style="26" customWidth="1"/>
    <col min="6655" max="6656" width="8.42578125" style="26" customWidth="1"/>
    <col min="6657" max="6657" width="8" style="26" customWidth="1"/>
    <col min="6658" max="6658" width="6.85546875" style="26" customWidth="1"/>
    <col min="6659" max="6661" width="8.28515625" style="26" customWidth="1"/>
    <col min="6662" max="6667" width="0" style="26" hidden="1" customWidth="1"/>
    <col min="6668" max="6668" width="7.85546875" style="26" customWidth="1"/>
    <col min="6669" max="6907" width="11.42578125" style="26"/>
    <col min="6908" max="6908" width="18.140625" style="26" customWidth="1"/>
    <col min="6909" max="6909" width="7.85546875" style="26" customWidth="1"/>
    <col min="6910" max="6910" width="7" style="26" customWidth="1"/>
    <col min="6911" max="6912" width="8.42578125" style="26" customWidth="1"/>
    <col min="6913" max="6913" width="8" style="26" customWidth="1"/>
    <col min="6914" max="6914" width="6.85546875" style="26" customWidth="1"/>
    <col min="6915" max="6917" width="8.28515625" style="26" customWidth="1"/>
    <col min="6918" max="6923" width="0" style="26" hidden="1" customWidth="1"/>
    <col min="6924" max="6924" width="7.85546875" style="26" customWidth="1"/>
    <col min="6925" max="7163" width="11.42578125" style="26"/>
    <col min="7164" max="7164" width="18.140625" style="26" customWidth="1"/>
    <col min="7165" max="7165" width="7.85546875" style="26" customWidth="1"/>
    <col min="7166" max="7166" width="7" style="26" customWidth="1"/>
    <col min="7167" max="7168" width="8.42578125" style="26" customWidth="1"/>
    <col min="7169" max="7169" width="8" style="26" customWidth="1"/>
    <col min="7170" max="7170" width="6.85546875" style="26" customWidth="1"/>
    <col min="7171" max="7173" width="8.28515625" style="26" customWidth="1"/>
    <col min="7174" max="7179" width="0" style="26" hidden="1" customWidth="1"/>
    <col min="7180" max="7180" width="7.85546875" style="26" customWidth="1"/>
    <col min="7181" max="7419" width="11.42578125" style="26"/>
    <col min="7420" max="7420" width="18.140625" style="26" customWidth="1"/>
    <col min="7421" max="7421" width="7.85546875" style="26" customWidth="1"/>
    <col min="7422" max="7422" width="7" style="26" customWidth="1"/>
    <col min="7423" max="7424" width="8.42578125" style="26" customWidth="1"/>
    <col min="7425" max="7425" width="8" style="26" customWidth="1"/>
    <col min="7426" max="7426" width="6.85546875" style="26" customWidth="1"/>
    <col min="7427" max="7429" width="8.28515625" style="26" customWidth="1"/>
    <col min="7430" max="7435" width="0" style="26" hidden="1" customWidth="1"/>
    <col min="7436" max="7436" width="7.85546875" style="26" customWidth="1"/>
    <col min="7437" max="7675" width="11.42578125" style="26"/>
    <col min="7676" max="7676" width="18.140625" style="26" customWidth="1"/>
    <col min="7677" max="7677" width="7.85546875" style="26" customWidth="1"/>
    <col min="7678" max="7678" width="7" style="26" customWidth="1"/>
    <col min="7679" max="7680" width="8.42578125" style="26" customWidth="1"/>
    <col min="7681" max="7681" width="8" style="26" customWidth="1"/>
    <col min="7682" max="7682" width="6.85546875" style="26" customWidth="1"/>
    <col min="7683" max="7685" width="8.28515625" style="26" customWidth="1"/>
    <col min="7686" max="7691" width="0" style="26" hidden="1" customWidth="1"/>
    <col min="7692" max="7692" width="7.85546875" style="26" customWidth="1"/>
    <col min="7693" max="7931" width="11.42578125" style="26"/>
    <col min="7932" max="7932" width="18.140625" style="26" customWidth="1"/>
    <col min="7933" max="7933" width="7.85546875" style="26" customWidth="1"/>
    <col min="7934" max="7934" width="7" style="26" customWidth="1"/>
    <col min="7935" max="7936" width="8.42578125" style="26" customWidth="1"/>
    <col min="7937" max="7937" width="8" style="26" customWidth="1"/>
    <col min="7938" max="7938" width="6.85546875" style="26" customWidth="1"/>
    <col min="7939" max="7941" width="8.28515625" style="26" customWidth="1"/>
    <col min="7942" max="7947" width="0" style="26" hidden="1" customWidth="1"/>
    <col min="7948" max="7948" width="7.85546875" style="26" customWidth="1"/>
    <col min="7949" max="8187" width="11.42578125" style="26"/>
    <col min="8188" max="8188" width="18.140625" style="26" customWidth="1"/>
    <col min="8189" max="8189" width="7.85546875" style="26" customWidth="1"/>
    <col min="8190" max="8190" width="7" style="26" customWidth="1"/>
    <col min="8191" max="8192" width="8.42578125" style="26" customWidth="1"/>
    <col min="8193" max="8193" width="8" style="26" customWidth="1"/>
    <col min="8194" max="8194" width="6.85546875" style="26" customWidth="1"/>
    <col min="8195" max="8197" width="8.28515625" style="26" customWidth="1"/>
    <col min="8198" max="8203" width="0" style="26" hidden="1" customWidth="1"/>
    <col min="8204" max="8204" width="7.85546875" style="26" customWidth="1"/>
    <col min="8205" max="8443" width="11.42578125" style="26"/>
    <col min="8444" max="8444" width="18.140625" style="26" customWidth="1"/>
    <col min="8445" max="8445" width="7.85546875" style="26" customWidth="1"/>
    <col min="8446" max="8446" width="7" style="26" customWidth="1"/>
    <col min="8447" max="8448" width="8.42578125" style="26" customWidth="1"/>
    <col min="8449" max="8449" width="8" style="26" customWidth="1"/>
    <col min="8450" max="8450" width="6.85546875" style="26" customWidth="1"/>
    <col min="8451" max="8453" width="8.28515625" style="26" customWidth="1"/>
    <col min="8454" max="8459" width="0" style="26" hidden="1" customWidth="1"/>
    <col min="8460" max="8460" width="7.85546875" style="26" customWidth="1"/>
    <col min="8461" max="8699" width="11.42578125" style="26"/>
    <col min="8700" max="8700" width="18.140625" style="26" customWidth="1"/>
    <col min="8701" max="8701" width="7.85546875" style="26" customWidth="1"/>
    <col min="8702" max="8702" width="7" style="26" customWidth="1"/>
    <col min="8703" max="8704" width="8.42578125" style="26" customWidth="1"/>
    <col min="8705" max="8705" width="8" style="26" customWidth="1"/>
    <col min="8706" max="8706" width="6.85546875" style="26" customWidth="1"/>
    <col min="8707" max="8709" width="8.28515625" style="26" customWidth="1"/>
    <col min="8710" max="8715" width="0" style="26" hidden="1" customWidth="1"/>
    <col min="8716" max="8716" width="7.85546875" style="26" customWidth="1"/>
    <col min="8717" max="8955" width="11.42578125" style="26"/>
    <col min="8956" max="8956" width="18.140625" style="26" customWidth="1"/>
    <col min="8957" max="8957" width="7.85546875" style="26" customWidth="1"/>
    <col min="8958" max="8958" width="7" style="26" customWidth="1"/>
    <col min="8959" max="8960" width="8.42578125" style="26" customWidth="1"/>
    <col min="8961" max="8961" width="8" style="26" customWidth="1"/>
    <col min="8962" max="8962" width="6.85546875" style="26" customWidth="1"/>
    <col min="8963" max="8965" width="8.28515625" style="26" customWidth="1"/>
    <col min="8966" max="8971" width="0" style="26" hidden="1" customWidth="1"/>
    <col min="8972" max="8972" width="7.85546875" style="26" customWidth="1"/>
    <col min="8973" max="9211" width="11.42578125" style="26"/>
    <col min="9212" max="9212" width="18.140625" style="26" customWidth="1"/>
    <col min="9213" max="9213" width="7.85546875" style="26" customWidth="1"/>
    <col min="9214" max="9214" width="7" style="26" customWidth="1"/>
    <col min="9215" max="9216" width="8.42578125" style="26" customWidth="1"/>
    <col min="9217" max="9217" width="8" style="26" customWidth="1"/>
    <col min="9218" max="9218" width="6.85546875" style="26" customWidth="1"/>
    <col min="9219" max="9221" width="8.28515625" style="26" customWidth="1"/>
    <col min="9222" max="9227" width="0" style="26" hidden="1" customWidth="1"/>
    <col min="9228" max="9228" width="7.85546875" style="26" customWidth="1"/>
    <col min="9229" max="9467" width="11.42578125" style="26"/>
    <col min="9468" max="9468" width="18.140625" style="26" customWidth="1"/>
    <col min="9469" max="9469" width="7.85546875" style="26" customWidth="1"/>
    <col min="9470" max="9470" width="7" style="26" customWidth="1"/>
    <col min="9471" max="9472" width="8.42578125" style="26" customWidth="1"/>
    <col min="9473" max="9473" width="8" style="26" customWidth="1"/>
    <col min="9474" max="9474" width="6.85546875" style="26" customWidth="1"/>
    <col min="9475" max="9477" width="8.28515625" style="26" customWidth="1"/>
    <col min="9478" max="9483" width="0" style="26" hidden="1" customWidth="1"/>
    <col min="9484" max="9484" width="7.85546875" style="26" customWidth="1"/>
    <col min="9485" max="9723" width="11.42578125" style="26"/>
    <col min="9724" max="9724" width="18.140625" style="26" customWidth="1"/>
    <col min="9725" max="9725" width="7.85546875" style="26" customWidth="1"/>
    <col min="9726" max="9726" width="7" style="26" customWidth="1"/>
    <col min="9727" max="9728" width="8.42578125" style="26" customWidth="1"/>
    <col min="9729" max="9729" width="8" style="26" customWidth="1"/>
    <col min="9730" max="9730" width="6.85546875" style="26" customWidth="1"/>
    <col min="9731" max="9733" width="8.28515625" style="26" customWidth="1"/>
    <col min="9734" max="9739" width="0" style="26" hidden="1" customWidth="1"/>
    <col min="9740" max="9740" width="7.85546875" style="26" customWidth="1"/>
    <col min="9741" max="9979" width="11.42578125" style="26"/>
    <col min="9980" max="9980" width="18.140625" style="26" customWidth="1"/>
    <col min="9981" max="9981" width="7.85546875" style="26" customWidth="1"/>
    <col min="9982" max="9982" width="7" style="26" customWidth="1"/>
    <col min="9983" max="9984" width="8.42578125" style="26" customWidth="1"/>
    <col min="9985" max="9985" width="8" style="26" customWidth="1"/>
    <col min="9986" max="9986" width="6.85546875" style="26" customWidth="1"/>
    <col min="9987" max="9989" width="8.28515625" style="26" customWidth="1"/>
    <col min="9990" max="9995" width="0" style="26" hidden="1" customWidth="1"/>
    <col min="9996" max="9996" width="7.85546875" style="26" customWidth="1"/>
    <col min="9997" max="10235" width="11.42578125" style="26"/>
    <col min="10236" max="10236" width="18.140625" style="26" customWidth="1"/>
    <col min="10237" max="10237" width="7.85546875" style="26" customWidth="1"/>
    <col min="10238" max="10238" width="7" style="26" customWidth="1"/>
    <col min="10239" max="10240" width="8.42578125" style="26" customWidth="1"/>
    <col min="10241" max="10241" width="8" style="26" customWidth="1"/>
    <col min="10242" max="10242" width="6.85546875" style="26" customWidth="1"/>
    <col min="10243" max="10245" width="8.28515625" style="26" customWidth="1"/>
    <col min="10246" max="10251" width="0" style="26" hidden="1" customWidth="1"/>
    <col min="10252" max="10252" width="7.85546875" style="26" customWidth="1"/>
    <col min="10253" max="10491" width="11.42578125" style="26"/>
    <col min="10492" max="10492" width="18.140625" style="26" customWidth="1"/>
    <col min="10493" max="10493" width="7.85546875" style="26" customWidth="1"/>
    <col min="10494" max="10494" width="7" style="26" customWidth="1"/>
    <col min="10495" max="10496" width="8.42578125" style="26" customWidth="1"/>
    <col min="10497" max="10497" width="8" style="26" customWidth="1"/>
    <col min="10498" max="10498" width="6.85546875" style="26" customWidth="1"/>
    <col min="10499" max="10501" width="8.28515625" style="26" customWidth="1"/>
    <col min="10502" max="10507" width="0" style="26" hidden="1" customWidth="1"/>
    <col min="10508" max="10508" width="7.85546875" style="26" customWidth="1"/>
    <col min="10509" max="10747" width="11.42578125" style="26"/>
    <col min="10748" max="10748" width="18.140625" style="26" customWidth="1"/>
    <col min="10749" max="10749" width="7.85546875" style="26" customWidth="1"/>
    <col min="10750" max="10750" width="7" style="26" customWidth="1"/>
    <col min="10751" max="10752" width="8.42578125" style="26" customWidth="1"/>
    <col min="10753" max="10753" width="8" style="26" customWidth="1"/>
    <col min="10754" max="10754" width="6.85546875" style="26" customWidth="1"/>
    <col min="10755" max="10757" width="8.28515625" style="26" customWidth="1"/>
    <col min="10758" max="10763" width="0" style="26" hidden="1" customWidth="1"/>
    <col min="10764" max="10764" width="7.85546875" style="26" customWidth="1"/>
    <col min="10765" max="11003" width="11.42578125" style="26"/>
    <col min="11004" max="11004" width="18.140625" style="26" customWidth="1"/>
    <col min="11005" max="11005" width="7.85546875" style="26" customWidth="1"/>
    <col min="11006" max="11006" width="7" style="26" customWidth="1"/>
    <col min="11007" max="11008" width="8.42578125" style="26" customWidth="1"/>
    <col min="11009" max="11009" width="8" style="26" customWidth="1"/>
    <col min="11010" max="11010" width="6.85546875" style="26" customWidth="1"/>
    <col min="11011" max="11013" width="8.28515625" style="26" customWidth="1"/>
    <col min="11014" max="11019" width="0" style="26" hidden="1" customWidth="1"/>
    <col min="11020" max="11020" width="7.85546875" style="26" customWidth="1"/>
    <col min="11021" max="11259" width="11.42578125" style="26"/>
    <col min="11260" max="11260" width="18.140625" style="26" customWidth="1"/>
    <col min="11261" max="11261" width="7.85546875" style="26" customWidth="1"/>
    <col min="11262" max="11262" width="7" style="26" customWidth="1"/>
    <col min="11263" max="11264" width="8.42578125" style="26" customWidth="1"/>
    <col min="11265" max="11265" width="8" style="26" customWidth="1"/>
    <col min="11266" max="11266" width="6.85546875" style="26" customWidth="1"/>
    <col min="11267" max="11269" width="8.28515625" style="26" customWidth="1"/>
    <col min="11270" max="11275" width="0" style="26" hidden="1" customWidth="1"/>
    <col min="11276" max="11276" width="7.85546875" style="26" customWidth="1"/>
    <col min="11277" max="11515" width="11.42578125" style="26"/>
    <col min="11516" max="11516" width="18.140625" style="26" customWidth="1"/>
    <col min="11517" max="11517" width="7.85546875" style="26" customWidth="1"/>
    <col min="11518" max="11518" width="7" style="26" customWidth="1"/>
    <col min="11519" max="11520" width="8.42578125" style="26" customWidth="1"/>
    <col min="11521" max="11521" width="8" style="26" customWidth="1"/>
    <col min="11522" max="11522" width="6.85546875" style="26" customWidth="1"/>
    <col min="11523" max="11525" width="8.28515625" style="26" customWidth="1"/>
    <col min="11526" max="11531" width="0" style="26" hidden="1" customWidth="1"/>
    <col min="11532" max="11532" width="7.85546875" style="26" customWidth="1"/>
    <col min="11533" max="11771" width="11.42578125" style="26"/>
    <col min="11772" max="11772" width="18.140625" style="26" customWidth="1"/>
    <col min="11773" max="11773" width="7.85546875" style="26" customWidth="1"/>
    <col min="11774" max="11774" width="7" style="26" customWidth="1"/>
    <col min="11775" max="11776" width="8.42578125" style="26" customWidth="1"/>
    <col min="11777" max="11777" width="8" style="26" customWidth="1"/>
    <col min="11778" max="11778" width="6.85546875" style="26" customWidth="1"/>
    <col min="11779" max="11781" width="8.28515625" style="26" customWidth="1"/>
    <col min="11782" max="11787" width="0" style="26" hidden="1" customWidth="1"/>
    <col min="11788" max="11788" width="7.85546875" style="26" customWidth="1"/>
    <col min="11789" max="12027" width="11.42578125" style="26"/>
    <col min="12028" max="12028" width="18.140625" style="26" customWidth="1"/>
    <col min="12029" max="12029" width="7.85546875" style="26" customWidth="1"/>
    <col min="12030" max="12030" width="7" style="26" customWidth="1"/>
    <col min="12031" max="12032" width="8.42578125" style="26" customWidth="1"/>
    <col min="12033" max="12033" width="8" style="26" customWidth="1"/>
    <col min="12034" max="12034" width="6.85546875" style="26" customWidth="1"/>
    <col min="12035" max="12037" width="8.28515625" style="26" customWidth="1"/>
    <col min="12038" max="12043" width="0" style="26" hidden="1" customWidth="1"/>
    <col min="12044" max="12044" width="7.85546875" style="26" customWidth="1"/>
    <col min="12045" max="12283" width="11.42578125" style="26"/>
    <col min="12284" max="12284" width="18.140625" style="26" customWidth="1"/>
    <col min="12285" max="12285" width="7.85546875" style="26" customWidth="1"/>
    <col min="12286" max="12286" width="7" style="26" customWidth="1"/>
    <col min="12287" max="12288" width="8.42578125" style="26" customWidth="1"/>
    <col min="12289" max="12289" width="8" style="26" customWidth="1"/>
    <col min="12290" max="12290" width="6.85546875" style="26" customWidth="1"/>
    <col min="12291" max="12293" width="8.28515625" style="26" customWidth="1"/>
    <col min="12294" max="12299" width="0" style="26" hidden="1" customWidth="1"/>
    <col min="12300" max="12300" width="7.85546875" style="26" customWidth="1"/>
    <col min="12301" max="12539" width="11.42578125" style="26"/>
    <col min="12540" max="12540" width="18.140625" style="26" customWidth="1"/>
    <col min="12541" max="12541" width="7.85546875" style="26" customWidth="1"/>
    <col min="12542" max="12542" width="7" style="26" customWidth="1"/>
    <col min="12543" max="12544" width="8.42578125" style="26" customWidth="1"/>
    <col min="12545" max="12545" width="8" style="26" customWidth="1"/>
    <col min="12546" max="12546" width="6.85546875" style="26" customWidth="1"/>
    <col min="12547" max="12549" width="8.28515625" style="26" customWidth="1"/>
    <col min="12550" max="12555" width="0" style="26" hidden="1" customWidth="1"/>
    <col min="12556" max="12556" width="7.85546875" style="26" customWidth="1"/>
    <col min="12557" max="12795" width="11.42578125" style="26"/>
    <col min="12796" max="12796" width="18.140625" style="26" customWidth="1"/>
    <col min="12797" max="12797" width="7.85546875" style="26" customWidth="1"/>
    <col min="12798" max="12798" width="7" style="26" customWidth="1"/>
    <col min="12799" max="12800" width="8.42578125" style="26" customWidth="1"/>
    <col min="12801" max="12801" width="8" style="26" customWidth="1"/>
    <col min="12802" max="12802" width="6.85546875" style="26" customWidth="1"/>
    <col min="12803" max="12805" width="8.28515625" style="26" customWidth="1"/>
    <col min="12806" max="12811" width="0" style="26" hidden="1" customWidth="1"/>
    <col min="12812" max="12812" width="7.85546875" style="26" customWidth="1"/>
    <col min="12813" max="13051" width="11.42578125" style="26"/>
    <col min="13052" max="13052" width="18.140625" style="26" customWidth="1"/>
    <col min="13053" max="13053" width="7.85546875" style="26" customWidth="1"/>
    <col min="13054" max="13054" width="7" style="26" customWidth="1"/>
    <col min="13055" max="13056" width="8.42578125" style="26" customWidth="1"/>
    <col min="13057" max="13057" width="8" style="26" customWidth="1"/>
    <col min="13058" max="13058" width="6.85546875" style="26" customWidth="1"/>
    <col min="13059" max="13061" width="8.28515625" style="26" customWidth="1"/>
    <col min="13062" max="13067" width="0" style="26" hidden="1" customWidth="1"/>
    <col min="13068" max="13068" width="7.85546875" style="26" customWidth="1"/>
    <col min="13069" max="13307" width="11.42578125" style="26"/>
    <col min="13308" max="13308" width="18.140625" style="26" customWidth="1"/>
    <col min="13309" max="13309" width="7.85546875" style="26" customWidth="1"/>
    <col min="13310" max="13310" width="7" style="26" customWidth="1"/>
    <col min="13311" max="13312" width="8.42578125" style="26" customWidth="1"/>
    <col min="13313" max="13313" width="8" style="26" customWidth="1"/>
    <col min="13314" max="13314" width="6.85546875" style="26" customWidth="1"/>
    <col min="13315" max="13317" width="8.28515625" style="26" customWidth="1"/>
    <col min="13318" max="13323" width="0" style="26" hidden="1" customWidth="1"/>
    <col min="13324" max="13324" width="7.85546875" style="26" customWidth="1"/>
    <col min="13325" max="13563" width="11.42578125" style="26"/>
    <col min="13564" max="13564" width="18.140625" style="26" customWidth="1"/>
    <col min="13565" max="13565" width="7.85546875" style="26" customWidth="1"/>
    <col min="13566" max="13566" width="7" style="26" customWidth="1"/>
    <col min="13567" max="13568" width="8.42578125" style="26" customWidth="1"/>
    <col min="13569" max="13569" width="8" style="26" customWidth="1"/>
    <col min="13570" max="13570" width="6.85546875" style="26" customWidth="1"/>
    <col min="13571" max="13573" width="8.28515625" style="26" customWidth="1"/>
    <col min="13574" max="13579" width="0" style="26" hidden="1" customWidth="1"/>
    <col min="13580" max="13580" width="7.85546875" style="26" customWidth="1"/>
    <col min="13581" max="13819" width="11.42578125" style="26"/>
    <col min="13820" max="13820" width="18.140625" style="26" customWidth="1"/>
    <col min="13821" max="13821" width="7.85546875" style="26" customWidth="1"/>
    <col min="13822" max="13822" width="7" style="26" customWidth="1"/>
    <col min="13823" max="13824" width="8.42578125" style="26" customWidth="1"/>
    <col min="13825" max="13825" width="8" style="26" customWidth="1"/>
    <col min="13826" max="13826" width="6.85546875" style="26" customWidth="1"/>
    <col min="13827" max="13829" width="8.28515625" style="26" customWidth="1"/>
    <col min="13830" max="13835" width="0" style="26" hidden="1" customWidth="1"/>
    <col min="13836" max="13836" width="7.85546875" style="26" customWidth="1"/>
    <col min="13837" max="14075" width="11.42578125" style="26"/>
    <col min="14076" max="14076" width="18.140625" style="26" customWidth="1"/>
    <col min="14077" max="14077" width="7.85546875" style="26" customWidth="1"/>
    <col min="14078" max="14078" width="7" style="26" customWidth="1"/>
    <col min="14079" max="14080" width="8.42578125" style="26" customWidth="1"/>
    <col min="14081" max="14081" width="8" style="26" customWidth="1"/>
    <col min="14082" max="14082" width="6.85546875" style="26" customWidth="1"/>
    <col min="14083" max="14085" width="8.28515625" style="26" customWidth="1"/>
    <col min="14086" max="14091" width="0" style="26" hidden="1" customWidth="1"/>
    <col min="14092" max="14092" width="7.85546875" style="26" customWidth="1"/>
    <col min="14093" max="14331" width="11.42578125" style="26"/>
    <col min="14332" max="14332" width="18.140625" style="26" customWidth="1"/>
    <col min="14333" max="14333" width="7.85546875" style="26" customWidth="1"/>
    <col min="14334" max="14334" width="7" style="26" customWidth="1"/>
    <col min="14335" max="14336" width="8.42578125" style="26" customWidth="1"/>
    <col min="14337" max="14337" width="8" style="26" customWidth="1"/>
    <col min="14338" max="14338" width="6.85546875" style="26" customWidth="1"/>
    <col min="14339" max="14341" width="8.28515625" style="26" customWidth="1"/>
    <col min="14342" max="14347" width="0" style="26" hidden="1" customWidth="1"/>
    <col min="14348" max="14348" width="7.85546875" style="26" customWidth="1"/>
    <col min="14349" max="14587" width="11.42578125" style="26"/>
    <col min="14588" max="14588" width="18.140625" style="26" customWidth="1"/>
    <col min="14589" max="14589" width="7.85546875" style="26" customWidth="1"/>
    <col min="14590" max="14590" width="7" style="26" customWidth="1"/>
    <col min="14591" max="14592" width="8.42578125" style="26" customWidth="1"/>
    <col min="14593" max="14593" width="8" style="26" customWidth="1"/>
    <col min="14594" max="14594" width="6.85546875" style="26" customWidth="1"/>
    <col min="14595" max="14597" width="8.28515625" style="26" customWidth="1"/>
    <col min="14598" max="14603" width="0" style="26" hidden="1" customWidth="1"/>
    <col min="14604" max="14604" width="7.85546875" style="26" customWidth="1"/>
    <col min="14605" max="14843" width="11.42578125" style="26"/>
    <col min="14844" max="14844" width="18.140625" style="26" customWidth="1"/>
    <col min="14845" max="14845" width="7.85546875" style="26" customWidth="1"/>
    <col min="14846" max="14846" width="7" style="26" customWidth="1"/>
    <col min="14847" max="14848" width="8.42578125" style="26" customWidth="1"/>
    <col min="14849" max="14849" width="8" style="26" customWidth="1"/>
    <col min="14850" max="14850" width="6.85546875" style="26" customWidth="1"/>
    <col min="14851" max="14853" width="8.28515625" style="26" customWidth="1"/>
    <col min="14854" max="14859" width="0" style="26" hidden="1" customWidth="1"/>
    <col min="14860" max="14860" width="7.85546875" style="26" customWidth="1"/>
    <col min="14861" max="15099" width="11.42578125" style="26"/>
    <col min="15100" max="15100" width="18.140625" style="26" customWidth="1"/>
    <col min="15101" max="15101" width="7.85546875" style="26" customWidth="1"/>
    <col min="15102" max="15102" width="7" style="26" customWidth="1"/>
    <col min="15103" max="15104" width="8.42578125" style="26" customWidth="1"/>
    <col min="15105" max="15105" width="8" style="26" customWidth="1"/>
    <col min="15106" max="15106" width="6.85546875" style="26" customWidth="1"/>
    <col min="15107" max="15109" width="8.28515625" style="26" customWidth="1"/>
    <col min="15110" max="15115" width="0" style="26" hidden="1" customWidth="1"/>
    <col min="15116" max="15116" width="7.85546875" style="26" customWidth="1"/>
    <col min="15117" max="15355" width="11.42578125" style="26"/>
    <col min="15356" max="15356" width="18.140625" style="26" customWidth="1"/>
    <col min="15357" max="15357" width="7.85546875" style="26" customWidth="1"/>
    <col min="15358" max="15358" width="7" style="26" customWidth="1"/>
    <col min="15359" max="15360" width="8.42578125" style="26" customWidth="1"/>
    <col min="15361" max="15361" width="8" style="26" customWidth="1"/>
    <col min="15362" max="15362" width="6.85546875" style="26" customWidth="1"/>
    <col min="15363" max="15365" width="8.28515625" style="26" customWidth="1"/>
    <col min="15366" max="15371" width="0" style="26" hidden="1" customWidth="1"/>
    <col min="15372" max="15372" width="7.85546875" style="26" customWidth="1"/>
    <col min="15373" max="15611" width="11.42578125" style="26"/>
    <col min="15612" max="15612" width="18.140625" style="26" customWidth="1"/>
    <col min="15613" max="15613" width="7.85546875" style="26" customWidth="1"/>
    <col min="15614" max="15614" width="7" style="26" customWidth="1"/>
    <col min="15615" max="15616" width="8.42578125" style="26" customWidth="1"/>
    <col min="15617" max="15617" width="8" style="26" customWidth="1"/>
    <col min="15618" max="15618" width="6.85546875" style="26" customWidth="1"/>
    <col min="15619" max="15621" width="8.28515625" style="26" customWidth="1"/>
    <col min="15622" max="15627" width="0" style="26" hidden="1" customWidth="1"/>
    <col min="15628" max="15628" width="7.85546875" style="26" customWidth="1"/>
    <col min="15629" max="15867" width="11.42578125" style="26"/>
    <col min="15868" max="15868" width="18.140625" style="26" customWidth="1"/>
    <col min="15869" max="15869" width="7.85546875" style="26" customWidth="1"/>
    <col min="15870" max="15870" width="7" style="26" customWidth="1"/>
    <col min="15871" max="15872" width="8.42578125" style="26" customWidth="1"/>
    <col min="15873" max="15873" width="8" style="26" customWidth="1"/>
    <col min="15874" max="15874" width="6.85546875" style="26" customWidth="1"/>
    <col min="15875" max="15877" width="8.28515625" style="26" customWidth="1"/>
    <col min="15878" max="15883" width="0" style="26" hidden="1" customWidth="1"/>
    <col min="15884" max="15884" width="7.85546875" style="26" customWidth="1"/>
    <col min="15885" max="16123" width="11.42578125" style="26"/>
    <col min="16124" max="16124" width="18.140625" style="26" customWidth="1"/>
    <col min="16125" max="16125" width="7.85546875" style="26" customWidth="1"/>
    <col min="16126" max="16126" width="7" style="26" customWidth="1"/>
    <col min="16127" max="16128" width="8.42578125" style="26" customWidth="1"/>
    <col min="16129" max="16129" width="8" style="26" customWidth="1"/>
    <col min="16130" max="16130" width="6.85546875" style="26" customWidth="1"/>
    <col min="16131" max="16133" width="8.28515625" style="26" customWidth="1"/>
    <col min="16134" max="16139" width="0" style="26" hidden="1" customWidth="1"/>
    <col min="16140" max="16140" width="7.85546875" style="26" customWidth="1"/>
    <col min="16141" max="16384" width="11.42578125" style="26"/>
  </cols>
  <sheetData>
    <row r="1" spans="1:16" s="27" customFormat="1" x14ac:dyDescent="0.2">
      <c r="B1" s="39"/>
      <c r="C1" s="39"/>
      <c r="D1" s="39"/>
      <c r="E1" s="39"/>
      <c r="F1" s="39"/>
      <c r="G1" s="39"/>
      <c r="H1" s="39"/>
      <c r="I1" s="39"/>
      <c r="J1" s="39"/>
      <c r="K1" s="39"/>
      <c r="L1" s="39"/>
    </row>
    <row r="2" spans="1:16" s="27" customFormat="1" x14ac:dyDescent="0.2">
      <c r="A2" s="47" t="s">
        <v>101</v>
      </c>
      <c r="B2" s="39"/>
      <c r="C2" s="39"/>
      <c r="D2" s="39"/>
      <c r="E2" s="39"/>
      <c r="F2" s="39"/>
      <c r="G2" s="39"/>
      <c r="H2" s="39"/>
      <c r="I2" s="39"/>
      <c r="K2" s="39"/>
      <c r="L2" s="39"/>
    </row>
    <row r="3" spans="1:16" s="27" customFormat="1" ht="15" x14ac:dyDescent="0.25">
      <c r="A3" s="47" t="s">
        <v>102</v>
      </c>
      <c r="B3" s="39"/>
      <c r="C3" s="39"/>
      <c r="D3" s="39"/>
      <c r="E3" s="39"/>
      <c r="F3" s="39"/>
      <c r="G3" s="39"/>
      <c r="H3" s="39"/>
      <c r="I3" s="39"/>
      <c r="J3" s="95"/>
      <c r="K3" s="39"/>
      <c r="L3" s="39"/>
    </row>
    <row r="4" spans="1:16" s="27" customFormat="1" x14ac:dyDescent="0.2">
      <c r="B4" s="39"/>
      <c r="C4" s="39"/>
      <c r="D4" s="39"/>
      <c r="E4" s="39"/>
      <c r="F4" s="39"/>
      <c r="G4" s="39"/>
      <c r="H4" s="39"/>
      <c r="I4" s="39"/>
      <c r="J4" s="39"/>
      <c r="K4" s="39"/>
      <c r="L4" s="39"/>
    </row>
    <row r="5" spans="1:16" s="27" customFormat="1" ht="12.75" x14ac:dyDescent="0.2">
      <c r="B5" s="369" t="s">
        <v>90</v>
      </c>
      <c r="C5" s="369"/>
      <c r="D5" s="369"/>
      <c r="E5" s="369"/>
      <c r="F5" s="369"/>
      <c r="G5" s="369"/>
      <c r="H5" s="369"/>
      <c r="I5" s="369"/>
      <c r="J5" s="369"/>
      <c r="K5" s="369"/>
      <c r="M5" s="122" t="s">
        <v>566</v>
      </c>
      <c r="O5" s="96"/>
    </row>
    <row r="6" spans="1:16" s="27" customFormat="1" ht="12.75" x14ac:dyDescent="0.2">
      <c r="B6" s="385" t="str">
        <f>'Solicitudes Regiones'!$B$6:$R$6</f>
        <v>Acumuladas de julio de 2008 a diciembre de 2021</v>
      </c>
      <c r="C6" s="385"/>
      <c r="D6" s="385"/>
      <c r="E6" s="385"/>
      <c r="F6" s="385"/>
      <c r="G6" s="385"/>
      <c r="H6" s="385"/>
      <c r="I6" s="385"/>
      <c r="J6" s="385"/>
      <c r="K6" s="385"/>
      <c r="L6" s="56"/>
    </row>
    <row r="7" spans="1:16" x14ac:dyDescent="0.2">
      <c r="B7" s="28"/>
      <c r="C7" s="29"/>
      <c r="D7" s="29"/>
      <c r="E7" s="29"/>
      <c r="F7" s="29"/>
      <c r="G7" s="29"/>
      <c r="H7" s="29"/>
      <c r="I7" s="29"/>
      <c r="J7" s="29"/>
      <c r="K7" s="29"/>
      <c r="L7" s="29"/>
    </row>
    <row r="8" spans="1:16" ht="15" customHeight="1" x14ac:dyDescent="0.2">
      <c r="B8" s="399" t="s">
        <v>55</v>
      </c>
      <c r="C8" s="399"/>
      <c r="D8" s="399"/>
      <c r="E8" s="399"/>
      <c r="F8" s="399"/>
      <c r="G8" s="399"/>
      <c r="H8" s="399"/>
      <c r="I8" s="399"/>
      <c r="J8" s="399"/>
      <c r="K8" s="399"/>
      <c r="L8" s="399"/>
      <c r="M8" s="399"/>
    </row>
    <row r="9" spans="1:16" ht="21" customHeight="1" x14ac:dyDescent="0.2">
      <c r="B9" s="399" t="s">
        <v>56</v>
      </c>
      <c r="C9" s="397" t="s">
        <v>2</v>
      </c>
      <c r="D9" s="400"/>
      <c r="E9" s="400"/>
      <c r="F9" s="400"/>
      <c r="G9" s="400"/>
      <c r="H9" s="400"/>
      <c r="I9" s="400"/>
      <c r="J9" s="400"/>
      <c r="K9" s="398"/>
      <c r="L9" s="397"/>
      <c r="M9" s="398"/>
    </row>
    <row r="10" spans="1:16" ht="24" x14ac:dyDescent="0.2">
      <c r="B10" s="399"/>
      <c r="C10" s="23" t="s">
        <v>57</v>
      </c>
      <c r="D10" s="23" t="s">
        <v>58</v>
      </c>
      <c r="E10" s="23" t="s">
        <v>59</v>
      </c>
      <c r="F10" s="23" t="s">
        <v>60</v>
      </c>
      <c r="G10" s="23" t="s">
        <v>8</v>
      </c>
      <c r="H10" s="23" t="s">
        <v>61</v>
      </c>
      <c r="I10" s="23" t="s">
        <v>62</v>
      </c>
      <c r="J10" s="23" t="s">
        <v>63</v>
      </c>
      <c r="K10" s="261" t="s">
        <v>31</v>
      </c>
      <c r="L10" s="261" t="s">
        <v>584</v>
      </c>
      <c r="M10" s="261" t="s">
        <v>587</v>
      </c>
    </row>
    <row r="11" spans="1:16" x14ac:dyDescent="0.2">
      <c r="B11" s="20" t="s">
        <v>316</v>
      </c>
      <c r="C11" s="18">
        <v>1785</v>
      </c>
      <c r="D11" s="18">
        <v>1379</v>
      </c>
      <c r="E11" s="18">
        <f>C11+D11</f>
        <v>3164</v>
      </c>
      <c r="F11" s="19">
        <f>E11/$E$43</f>
        <v>4.634335681748275E-2</v>
      </c>
      <c r="G11" s="18">
        <v>2061</v>
      </c>
      <c r="H11" s="18">
        <v>193</v>
      </c>
      <c r="I11" s="18">
        <f>G11+H11</f>
        <v>2254</v>
      </c>
      <c r="J11" s="19">
        <f>I11/$I$43</f>
        <v>2.2484239087064081E-2</v>
      </c>
      <c r="K11" s="18">
        <f t="shared" ref="K11:K42" si="0">E11+I11</f>
        <v>5418</v>
      </c>
      <c r="L11" s="18">
        <v>0</v>
      </c>
      <c r="M11" s="18">
        <f>K11+L11</f>
        <v>5418</v>
      </c>
      <c r="P11" s="31"/>
    </row>
    <row r="12" spans="1:16" x14ac:dyDescent="0.2">
      <c r="B12" s="20" t="s">
        <v>317</v>
      </c>
      <c r="C12" s="18">
        <v>644</v>
      </c>
      <c r="D12" s="18">
        <v>251</v>
      </c>
      <c r="E12" s="18">
        <f t="shared" ref="E12:E42" si="1">C12+D12</f>
        <v>895</v>
      </c>
      <c r="F12" s="19">
        <f t="shared" ref="F12:F42" si="2">E12/$E$43</f>
        <v>1.3109135382947871E-2</v>
      </c>
      <c r="G12" s="18">
        <v>466</v>
      </c>
      <c r="H12" s="18">
        <v>35</v>
      </c>
      <c r="I12" s="18">
        <f t="shared" ref="I12:I42" si="3">G12+H12</f>
        <v>501</v>
      </c>
      <c r="J12" s="19">
        <f t="shared" ref="J12:J42" si="4">I12/$I$43</f>
        <v>4.9976059372755562E-3</v>
      </c>
      <c r="K12" s="18">
        <f t="shared" si="0"/>
        <v>1396</v>
      </c>
      <c r="L12" s="18">
        <v>0</v>
      </c>
      <c r="M12" s="18">
        <f t="shared" ref="M12:M43" si="5">K12+L12</f>
        <v>1396</v>
      </c>
      <c r="P12" s="31"/>
    </row>
    <row r="13" spans="1:16" x14ac:dyDescent="0.2">
      <c r="B13" s="20" t="s">
        <v>318</v>
      </c>
      <c r="C13" s="18">
        <v>1363</v>
      </c>
      <c r="D13" s="18">
        <v>786</v>
      </c>
      <c r="E13" s="18">
        <f t="shared" si="1"/>
        <v>2149</v>
      </c>
      <c r="F13" s="19">
        <f t="shared" si="2"/>
        <v>3.1476571997715058E-2</v>
      </c>
      <c r="G13" s="18">
        <v>2857</v>
      </c>
      <c r="H13" s="18">
        <v>210</v>
      </c>
      <c r="I13" s="18">
        <f t="shared" si="3"/>
        <v>3067</v>
      </c>
      <c r="J13" s="19">
        <f t="shared" si="4"/>
        <v>3.0594126566116032E-2</v>
      </c>
      <c r="K13" s="18">
        <f t="shared" si="0"/>
        <v>5216</v>
      </c>
      <c r="L13" s="18">
        <v>2</v>
      </c>
      <c r="M13" s="18">
        <f t="shared" si="5"/>
        <v>5218</v>
      </c>
      <c r="P13" s="31"/>
    </row>
    <row r="14" spans="1:16" x14ac:dyDescent="0.2">
      <c r="B14" s="20" t="s">
        <v>319</v>
      </c>
      <c r="C14" s="18">
        <v>1145</v>
      </c>
      <c r="D14" s="18">
        <v>640</v>
      </c>
      <c r="E14" s="18">
        <f t="shared" si="1"/>
        <v>1785</v>
      </c>
      <c r="F14" s="19">
        <f t="shared" si="2"/>
        <v>2.6145035372694917E-2</v>
      </c>
      <c r="G14" s="18">
        <v>1157</v>
      </c>
      <c r="H14" s="18">
        <v>104</v>
      </c>
      <c r="I14" s="18">
        <f t="shared" si="3"/>
        <v>1261</v>
      </c>
      <c r="J14" s="19">
        <f t="shared" si="4"/>
        <v>1.2578804564679595E-2</v>
      </c>
      <c r="K14" s="18">
        <f t="shared" si="0"/>
        <v>3046</v>
      </c>
      <c r="L14" s="18">
        <v>1</v>
      </c>
      <c r="M14" s="18">
        <f t="shared" si="5"/>
        <v>3047</v>
      </c>
      <c r="P14" s="31"/>
    </row>
    <row r="15" spans="1:16" x14ac:dyDescent="0.2">
      <c r="B15" s="20" t="s">
        <v>320</v>
      </c>
      <c r="C15" s="18">
        <v>2404</v>
      </c>
      <c r="D15" s="18">
        <v>1228</v>
      </c>
      <c r="E15" s="18">
        <f t="shared" si="1"/>
        <v>3632</v>
      </c>
      <c r="F15" s="19">
        <f t="shared" si="2"/>
        <v>5.3198189621080076E-2</v>
      </c>
      <c r="G15" s="18">
        <v>6054</v>
      </c>
      <c r="H15" s="18">
        <v>395</v>
      </c>
      <c r="I15" s="18">
        <f t="shared" si="3"/>
        <v>6449</v>
      </c>
      <c r="J15" s="19">
        <f t="shared" si="4"/>
        <v>6.4330460458063995E-2</v>
      </c>
      <c r="K15" s="18">
        <f t="shared" si="0"/>
        <v>10081</v>
      </c>
      <c r="L15" s="18">
        <v>5</v>
      </c>
      <c r="M15" s="18">
        <f t="shared" si="5"/>
        <v>10086</v>
      </c>
      <c r="P15" s="31"/>
    </row>
    <row r="16" spans="1:16" x14ac:dyDescent="0.2">
      <c r="B16" s="20" t="s">
        <v>321</v>
      </c>
      <c r="C16" s="18">
        <v>916</v>
      </c>
      <c r="D16" s="18">
        <v>685</v>
      </c>
      <c r="E16" s="18">
        <f t="shared" si="1"/>
        <v>1601</v>
      </c>
      <c r="F16" s="19">
        <f t="shared" si="2"/>
        <v>2.3449972902904515E-2</v>
      </c>
      <c r="G16" s="18">
        <v>2431</v>
      </c>
      <c r="H16" s="18">
        <v>199</v>
      </c>
      <c r="I16" s="18">
        <f t="shared" si="3"/>
        <v>2630</v>
      </c>
      <c r="J16" s="19">
        <f t="shared" si="4"/>
        <v>2.6234937355358711E-2</v>
      </c>
      <c r="K16" s="18">
        <f t="shared" si="0"/>
        <v>4231</v>
      </c>
      <c r="L16" s="18">
        <v>0</v>
      </c>
      <c r="M16" s="18">
        <f t="shared" si="5"/>
        <v>4231</v>
      </c>
      <c r="P16" s="31"/>
    </row>
    <row r="17" spans="2:16" x14ac:dyDescent="0.2">
      <c r="B17" s="20" t="s">
        <v>322</v>
      </c>
      <c r="C17" s="18">
        <v>965</v>
      </c>
      <c r="D17" s="18">
        <v>757</v>
      </c>
      <c r="E17" s="18">
        <f t="shared" si="1"/>
        <v>1722</v>
      </c>
      <c r="F17" s="19">
        <f t="shared" si="2"/>
        <v>2.5222269418364508E-2</v>
      </c>
      <c r="G17" s="18">
        <v>2742</v>
      </c>
      <c r="H17" s="18">
        <v>145</v>
      </c>
      <c r="I17" s="18">
        <f t="shared" si="3"/>
        <v>2887</v>
      </c>
      <c r="J17" s="19">
        <f t="shared" si="4"/>
        <v>2.8798579522783498E-2</v>
      </c>
      <c r="K17" s="18">
        <f t="shared" si="0"/>
        <v>4609</v>
      </c>
      <c r="L17" s="18">
        <v>0</v>
      </c>
      <c r="M17" s="18">
        <f t="shared" si="5"/>
        <v>4609</v>
      </c>
      <c r="P17" s="31"/>
    </row>
    <row r="18" spans="2:16" x14ac:dyDescent="0.2">
      <c r="B18" s="20" t="s">
        <v>323</v>
      </c>
      <c r="C18" s="18">
        <v>8840</v>
      </c>
      <c r="D18" s="18">
        <v>4705</v>
      </c>
      <c r="E18" s="18">
        <f t="shared" si="1"/>
        <v>13545</v>
      </c>
      <c r="F18" s="19">
        <f t="shared" si="2"/>
        <v>0.1983946801810379</v>
      </c>
      <c r="G18" s="18">
        <v>27313</v>
      </c>
      <c r="H18" s="18">
        <v>1763</v>
      </c>
      <c r="I18" s="18">
        <f t="shared" si="3"/>
        <v>29076</v>
      </c>
      <c r="J18" s="19">
        <f t="shared" si="4"/>
        <v>0.29004069906631552</v>
      </c>
      <c r="K18" s="18">
        <f t="shared" si="0"/>
        <v>42621</v>
      </c>
      <c r="L18" s="18">
        <v>17</v>
      </c>
      <c r="M18" s="18">
        <f t="shared" si="5"/>
        <v>42638</v>
      </c>
      <c r="P18" s="31"/>
    </row>
    <row r="19" spans="2:16" x14ac:dyDescent="0.2">
      <c r="B19" s="20" t="s">
        <v>324</v>
      </c>
      <c r="C19" s="18">
        <v>1346</v>
      </c>
      <c r="D19" s="18">
        <v>701</v>
      </c>
      <c r="E19" s="18">
        <f t="shared" si="1"/>
        <v>2047</v>
      </c>
      <c r="F19" s="19">
        <f t="shared" si="2"/>
        <v>2.9982569976418204E-2</v>
      </c>
      <c r="G19" s="18">
        <v>2106</v>
      </c>
      <c r="H19" s="18">
        <v>125</v>
      </c>
      <c r="I19" s="18">
        <f t="shared" si="3"/>
        <v>2231</v>
      </c>
      <c r="J19" s="19">
        <f t="shared" si="4"/>
        <v>2.2254808075971591E-2</v>
      </c>
      <c r="K19" s="18">
        <f t="shared" si="0"/>
        <v>4278</v>
      </c>
      <c r="L19" s="18">
        <v>3</v>
      </c>
      <c r="M19" s="18">
        <f t="shared" si="5"/>
        <v>4281</v>
      </c>
      <c r="P19" s="31"/>
    </row>
    <row r="20" spans="2:16" x14ac:dyDescent="0.2">
      <c r="B20" s="20" t="s">
        <v>325</v>
      </c>
      <c r="C20" s="18">
        <v>1264</v>
      </c>
      <c r="D20" s="18">
        <v>691</v>
      </c>
      <c r="E20" s="18">
        <f t="shared" si="1"/>
        <v>1955</v>
      </c>
      <c r="F20" s="19">
        <f t="shared" si="2"/>
        <v>2.8635038741523004E-2</v>
      </c>
      <c r="G20" s="18">
        <v>2366</v>
      </c>
      <c r="H20" s="18">
        <v>179</v>
      </c>
      <c r="I20" s="18">
        <f t="shared" si="3"/>
        <v>2545</v>
      </c>
      <c r="J20" s="19">
        <f t="shared" si="4"/>
        <v>2.5387040140451681E-2</v>
      </c>
      <c r="K20" s="18">
        <f t="shared" si="0"/>
        <v>4500</v>
      </c>
      <c r="L20" s="18">
        <v>1</v>
      </c>
      <c r="M20" s="18">
        <f t="shared" si="5"/>
        <v>4501</v>
      </c>
      <c r="P20" s="31"/>
    </row>
    <row r="21" spans="2:16" x14ac:dyDescent="0.2">
      <c r="B21" s="20" t="s">
        <v>326</v>
      </c>
      <c r="C21" s="18">
        <v>670</v>
      </c>
      <c r="D21" s="18">
        <v>694</v>
      </c>
      <c r="E21" s="18">
        <f t="shared" si="1"/>
        <v>1364</v>
      </c>
      <c r="F21" s="19">
        <f t="shared" si="2"/>
        <v>1.9978615265185358E-2</v>
      </c>
      <c r="G21" s="18">
        <v>936</v>
      </c>
      <c r="H21" s="18">
        <v>111</v>
      </c>
      <c r="I21" s="18">
        <f t="shared" si="3"/>
        <v>1047</v>
      </c>
      <c r="J21" s="19">
        <f t="shared" si="4"/>
        <v>1.0444098635384248E-2</v>
      </c>
      <c r="K21" s="18">
        <f t="shared" si="0"/>
        <v>2411</v>
      </c>
      <c r="L21" s="18">
        <v>0</v>
      </c>
      <c r="M21" s="18">
        <f t="shared" si="5"/>
        <v>2411</v>
      </c>
      <c r="P21" s="31"/>
    </row>
    <row r="22" spans="2:16" x14ac:dyDescent="0.2">
      <c r="B22" s="20" t="s">
        <v>327</v>
      </c>
      <c r="C22" s="18">
        <v>1440</v>
      </c>
      <c r="D22" s="18">
        <v>996</v>
      </c>
      <c r="E22" s="18">
        <f t="shared" si="1"/>
        <v>2436</v>
      </c>
      <c r="F22" s="19">
        <f t="shared" si="2"/>
        <v>3.5680283567442475E-2</v>
      </c>
      <c r="G22" s="18">
        <v>3414</v>
      </c>
      <c r="H22" s="18">
        <v>241</v>
      </c>
      <c r="I22" s="18">
        <f t="shared" si="3"/>
        <v>3655</v>
      </c>
      <c r="J22" s="19">
        <f t="shared" si="4"/>
        <v>3.6459580241002314E-2</v>
      </c>
      <c r="K22" s="18">
        <f t="shared" si="0"/>
        <v>6091</v>
      </c>
      <c r="L22" s="18">
        <v>0</v>
      </c>
      <c r="M22" s="18">
        <f t="shared" si="5"/>
        <v>6091</v>
      </c>
      <c r="P22" s="31"/>
    </row>
    <row r="23" spans="2:16" x14ac:dyDescent="0.2">
      <c r="B23" s="20" t="s">
        <v>328</v>
      </c>
      <c r="C23" s="18">
        <v>605</v>
      </c>
      <c r="D23" s="18">
        <v>298</v>
      </c>
      <c r="E23" s="18">
        <f t="shared" si="1"/>
        <v>903</v>
      </c>
      <c r="F23" s="19">
        <f t="shared" si="2"/>
        <v>1.3226312012069193E-2</v>
      </c>
      <c r="G23" s="18">
        <v>526</v>
      </c>
      <c r="H23" s="18">
        <v>46</v>
      </c>
      <c r="I23" s="18">
        <f t="shared" si="3"/>
        <v>572</v>
      </c>
      <c r="J23" s="19">
        <f t="shared" si="4"/>
        <v>5.7058494932567235E-3</v>
      </c>
      <c r="K23" s="18">
        <f t="shared" si="0"/>
        <v>1475</v>
      </c>
      <c r="L23" s="18">
        <v>0</v>
      </c>
      <c r="M23" s="18">
        <f t="shared" si="5"/>
        <v>1475</v>
      </c>
      <c r="P23" s="31"/>
    </row>
    <row r="24" spans="2:16" x14ac:dyDescent="0.2">
      <c r="B24" s="20" t="s">
        <v>329</v>
      </c>
      <c r="C24" s="18">
        <v>2672</v>
      </c>
      <c r="D24" s="18">
        <v>2070</v>
      </c>
      <c r="E24" s="18">
        <f t="shared" si="1"/>
        <v>4742</v>
      </c>
      <c r="F24" s="19">
        <f t="shared" si="2"/>
        <v>6.9456446911663472E-2</v>
      </c>
      <c r="G24" s="18">
        <v>5089</v>
      </c>
      <c r="H24" s="18">
        <v>527</v>
      </c>
      <c r="I24" s="18">
        <f t="shared" si="3"/>
        <v>5616</v>
      </c>
      <c r="J24" s="19">
        <f t="shared" si="4"/>
        <v>5.6021067751975101E-2</v>
      </c>
      <c r="K24" s="18">
        <f t="shared" si="0"/>
        <v>10358</v>
      </c>
      <c r="L24" s="18">
        <v>0</v>
      </c>
      <c r="M24" s="18">
        <f t="shared" si="5"/>
        <v>10358</v>
      </c>
      <c r="P24" s="31"/>
    </row>
    <row r="25" spans="2:16" x14ac:dyDescent="0.2">
      <c r="B25" s="20" t="s">
        <v>330</v>
      </c>
      <c r="C25" s="18">
        <v>259</v>
      </c>
      <c r="D25" s="18">
        <v>207</v>
      </c>
      <c r="E25" s="18">
        <f t="shared" si="1"/>
        <v>466</v>
      </c>
      <c r="F25" s="19">
        <f t="shared" si="2"/>
        <v>6.825538646316992E-3</v>
      </c>
      <c r="G25" s="18">
        <v>596</v>
      </c>
      <c r="H25" s="18">
        <v>38</v>
      </c>
      <c r="I25" s="18">
        <f t="shared" si="3"/>
        <v>634</v>
      </c>
      <c r="J25" s="19">
        <f t="shared" si="4"/>
        <v>6.3243156970712632E-3</v>
      </c>
      <c r="K25" s="18">
        <f t="shared" si="0"/>
        <v>1100</v>
      </c>
      <c r="L25" s="18">
        <v>0</v>
      </c>
      <c r="M25" s="18">
        <f t="shared" si="5"/>
        <v>1100</v>
      </c>
      <c r="P25" s="31"/>
    </row>
    <row r="26" spans="2:16" x14ac:dyDescent="0.2">
      <c r="B26" s="20" t="s">
        <v>331</v>
      </c>
      <c r="C26" s="18">
        <v>924</v>
      </c>
      <c r="D26" s="18">
        <v>428</v>
      </c>
      <c r="E26" s="18">
        <f t="shared" si="1"/>
        <v>1352</v>
      </c>
      <c r="F26" s="19">
        <f t="shared" si="2"/>
        <v>1.9802850321503376E-2</v>
      </c>
      <c r="G26" s="18">
        <v>1962</v>
      </c>
      <c r="H26" s="18">
        <v>135</v>
      </c>
      <c r="I26" s="18">
        <f t="shared" si="3"/>
        <v>2097</v>
      </c>
      <c r="J26" s="19">
        <f t="shared" si="4"/>
        <v>2.0918123054824038E-2</v>
      </c>
      <c r="K26" s="18">
        <f t="shared" si="0"/>
        <v>3449</v>
      </c>
      <c r="L26" s="18">
        <v>0</v>
      </c>
      <c r="M26" s="18">
        <f t="shared" si="5"/>
        <v>3449</v>
      </c>
      <c r="P26" s="31"/>
    </row>
    <row r="27" spans="2:16" x14ac:dyDescent="0.2">
      <c r="B27" s="20" t="s">
        <v>332</v>
      </c>
      <c r="C27" s="18">
        <v>819</v>
      </c>
      <c r="D27" s="18">
        <v>690</v>
      </c>
      <c r="E27" s="18">
        <f t="shared" si="1"/>
        <v>1509</v>
      </c>
      <c r="F27" s="19">
        <f t="shared" si="2"/>
        <v>2.2102441668009315E-2</v>
      </c>
      <c r="G27" s="18">
        <v>873</v>
      </c>
      <c r="H27" s="18">
        <v>120</v>
      </c>
      <c r="I27" s="18">
        <f t="shared" si="3"/>
        <v>993</v>
      </c>
      <c r="J27" s="19">
        <f t="shared" si="4"/>
        <v>9.9054345223844858E-3</v>
      </c>
      <c r="K27" s="18">
        <f t="shared" si="0"/>
        <v>2502</v>
      </c>
      <c r="L27" s="18">
        <v>0</v>
      </c>
      <c r="M27" s="18">
        <f t="shared" si="5"/>
        <v>2502</v>
      </c>
      <c r="P27" s="31"/>
    </row>
    <row r="28" spans="2:16" x14ac:dyDescent="0.2">
      <c r="B28" s="20" t="s">
        <v>333</v>
      </c>
      <c r="C28" s="18">
        <v>676</v>
      </c>
      <c r="D28" s="18">
        <v>508</v>
      </c>
      <c r="E28" s="18">
        <f t="shared" si="1"/>
        <v>1184</v>
      </c>
      <c r="F28" s="19">
        <f t="shared" si="2"/>
        <v>1.7342141109955619E-2</v>
      </c>
      <c r="G28" s="18">
        <v>834</v>
      </c>
      <c r="H28" s="18">
        <v>88</v>
      </c>
      <c r="I28" s="18">
        <f t="shared" si="3"/>
        <v>922</v>
      </c>
      <c r="J28" s="19">
        <f t="shared" si="4"/>
        <v>9.1971909664033194E-3</v>
      </c>
      <c r="K28" s="18">
        <f t="shared" si="0"/>
        <v>2106</v>
      </c>
      <c r="L28" s="18">
        <v>0</v>
      </c>
      <c r="M28" s="18">
        <f t="shared" si="5"/>
        <v>2106</v>
      </c>
      <c r="P28" s="31"/>
    </row>
    <row r="29" spans="2:16" x14ac:dyDescent="0.2">
      <c r="B29" s="20" t="s">
        <v>334</v>
      </c>
      <c r="C29" s="18">
        <v>1088</v>
      </c>
      <c r="D29" s="18">
        <v>771</v>
      </c>
      <c r="E29" s="18">
        <f t="shared" si="1"/>
        <v>1859</v>
      </c>
      <c r="F29" s="19">
        <f t="shared" si="2"/>
        <v>2.7228919192067141E-2</v>
      </c>
      <c r="G29" s="18">
        <v>2419</v>
      </c>
      <c r="H29" s="18">
        <v>158</v>
      </c>
      <c r="I29" s="18">
        <f t="shared" si="3"/>
        <v>2577</v>
      </c>
      <c r="J29" s="19">
        <f t="shared" si="4"/>
        <v>2.5706248503710796E-2</v>
      </c>
      <c r="K29" s="18">
        <f t="shared" si="0"/>
        <v>4436</v>
      </c>
      <c r="L29" s="18">
        <v>0</v>
      </c>
      <c r="M29" s="18">
        <f t="shared" si="5"/>
        <v>4436</v>
      </c>
      <c r="P29" s="31"/>
    </row>
    <row r="30" spans="2:16" x14ac:dyDescent="0.2">
      <c r="B30" s="20" t="s">
        <v>335</v>
      </c>
      <c r="C30" s="18">
        <v>657</v>
      </c>
      <c r="D30" s="18">
        <v>440</v>
      </c>
      <c r="E30" s="18">
        <f t="shared" si="1"/>
        <v>1097</v>
      </c>
      <c r="F30" s="19">
        <f t="shared" si="2"/>
        <v>1.6067845268261244E-2</v>
      </c>
      <c r="G30" s="18">
        <v>790</v>
      </c>
      <c r="H30" s="18">
        <v>102</v>
      </c>
      <c r="I30" s="18">
        <f t="shared" si="3"/>
        <v>892</v>
      </c>
      <c r="J30" s="19">
        <f t="shared" si="4"/>
        <v>8.8979331258478966E-3</v>
      </c>
      <c r="K30" s="18">
        <f t="shared" si="0"/>
        <v>1989</v>
      </c>
      <c r="L30" s="18">
        <v>0</v>
      </c>
      <c r="M30" s="18">
        <f t="shared" si="5"/>
        <v>1989</v>
      </c>
      <c r="P30" s="31"/>
    </row>
    <row r="31" spans="2:16" x14ac:dyDescent="0.2">
      <c r="B31" s="20" t="s">
        <v>336</v>
      </c>
      <c r="C31" s="18">
        <v>1900</v>
      </c>
      <c r="D31" s="18">
        <v>1301</v>
      </c>
      <c r="E31" s="18">
        <f t="shared" si="1"/>
        <v>3201</v>
      </c>
      <c r="F31" s="19">
        <f t="shared" si="2"/>
        <v>4.6885298727168866E-2</v>
      </c>
      <c r="G31" s="18">
        <v>6353</v>
      </c>
      <c r="H31" s="18">
        <v>448</v>
      </c>
      <c r="I31" s="18">
        <f t="shared" si="3"/>
        <v>6801</v>
      </c>
      <c r="J31" s="19">
        <f t="shared" si="4"/>
        <v>6.7841752453914286E-2</v>
      </c>
      <c r="K31" s="18">
        <f t="shared" si="0"/>
        <v>10002</v>
      </c>
      <c r="L31" s="18">
        <v>5</v>
      </c>
      <c r="M31" s="18">
        <f t="shared" si="5"/>
        <v>10007</v>
      </c>
      <c r="P31" s="31"/>
    </row>
    <row r="32" spans="2:16" x14ac:dyDescent="0.2">
      <c r="B32" s="20" t="s">
        <v>337</v>
      </c>
      <c r="C32" s="18">
        <v>1026</v>
      </c>
      <c r="D32" s="18">
        <v>455</v>
      </c>
      <c r="E32" s="18">
        <f t="shared" si="1"/>
        <v>1481</v>
      </c>
      <c r="F32" s="19">
        <f t="shared" si="2"/>
        <v>2.1692323466084691E-2</v>
      </c>
      <c r="G32" s="18">
        <v>2389</v>
      </c>
      <c r="H32" s="18">
        <v>105</v>
      </c>
      <c r="I32" s="18">
        <f t="shared" si="3"/>
        <v>2494</v>
      </c>
      <c r="J32" s="19">
        <f t="shared" si="4"/>
        <v>2.487830181150746E-2</v>
      </c>
      <c r="K32" s="18">
        <f t="shared" si="0"/>
        <v>3975</v>
      </c>
      <c r="L32" s="18">
        <v>2</v>
      </c>
      <c r="M32" s="18">
        <f t="shared" si="5"/>
        <v>3977</v>
      </c>
      <c r="P32" s="31"/>
    </row>
    <row r="33" spans="2:16" x14ac:dyDescent="0.2">
      <c r="B33" s="20" t="s">
        <v>338</v>
      </c>
      <c r="C33" s="18">
        <v>301</v>
      </c>
      <c r="D33" s="18">
        <v>294</v>
      </c>
      <c r="E33" s="18">
        <f t="shared" si="1"/>
        <v>595</v>
      </c>
      <c r="F33" s="19">
        <f t="shared" si="2"/>
        <v>8.7150117908983051E-3</v>
      </c>
      <c r="G33" s="18">
        <v>787</v>
      </c>
      <c r="H33" s="18">
        <v>44</v>
      </c>
      <c r="I33" s="18">
        <f t="shared" si="3"/>
        <v>831</v>
      </c>
      <c r="J33" s="19">
        <f t="shared" si="4"/>
        <v>8.2894421833852039E-3</v>
      </c>
      <c r="K33" s="18">
        <f t="shared" si="0"/>
        <v>1426</v>
      </c>
      <c r="L33" s="18">
        <v>0</v>
      </c>
      <c r="M33" s="18">
        <f t="shared" si="5"/>
        <v>1426</v>
      </c>
      <c r="P33" s="31"/>
    </row>
    <row r="34" spans="2:16" x14ac:dyDescent="0.2">
      <c r="B34" s="20" t="s">
        <v>339</v>
      </c>
      <c r="C34" s="18">
        <v>395</v>
      </c>
      <c r="D34" s="18">
        <v>319</v>
      </c>
      <c r="E34" s="18">
        <f t="shared" si="1"/>
        <v>714</v>
      </c>
      <c r="F34" s="19">
        <f t="shared" si="2"/>
        <v>1.0458014149077967E-2</v>
      </c>
      <c r="G34" s="18">
        <v>814</v>
      </c>
      <c r="H34" s="18">
        <v>53</v>
      </c>
      <c r="I34" s="18">
        <f t="shared" si="3"/>
        <v>867</v>
      </c>
      <c r="J34" s="19">
        <f t="shared" si="4"/>
        <v>8.6485515920517123E-3</v>
      </c>
      <c r="K34" s="18">
        <f t="shared" si="0"/>
        <v>1581</v>
      </c>
      <c r="L34" s="18">
        <v>0</v>
      </c>
      <c r="M34" s="18">
        <f t="shared" si="5"/>
        <v>1581</v>
      </c>
      <c r="P34" s="31"/>
    </row>
    <row r="35" spans="2:16" x14ac:dyDescent="0.2">
      <c r="B35" s="20" t="s">
        <v>340</v>
      </c>
      <c r="C35" s="18">
        <v>483</v>
      </c>
      <c r="D35" s="18">
        <v>430</v>
      </c>
      <c r="E35" s="18">
        <f t="shared" si="1"/>
        <v>913</v>
      </c>
      <c r="F35" s="19">
        <f t="shared" si="2"/>
        <v>1.3372782798470845E-2</v>
      </c>
      <c r="G35" s="18">
        <v>671</v>
      </c>
      <c r="H35" s="18">
        <v>80</v>
      </c>
      <c r="I35" s="18">
        <f t="shared" si="3"/>
        <v>751</v>
      </c>
      <c r="J35" s="19">
        <f t="shared" si="4"/>
        <v>7.4914212752374108E-3</v>
      </c>
      <c r="K35" s="18">
        <f t="shared" si="0"/>
        <v>1664</v>
      </c>
      <c r="L35" s="18">
        <v>0</v>
      </c>
      <c r="M35" s="18">
        <f t="shared" si="5"/>
        <v>1664</v>
      </c>
      <c r="P35" s="31"/>
    </row>
    <row r="36" spans="2:16" x14ac:dyDescent="0.2">
      <c r="B36" s="20" t="s">
        <v>341</v>
      </c>
      <c r="C36" s="18">
        <v>407</v>
      </c>
      <c r="D36" s="18">
        <v>389</v>
      </c>
      <c r="E36" s="18">
        <f t="shared" si="1"/>
        <v>796</v>
      </c>
      <c r="F36" s="19">
        <f t="shared" si="2"/>
        <v>1.1659074597571515E-2</v>
      </c>
      <c r="G36" s="18">
        <v>1125</v>
      </c>
      <c r="H36" s="18">
        <v>99</v>
      </c>
      <c r="I36" s="18">
        <f t="shared" si="3"/>
        <v>1224</v>
      </c>
      <c r="J36" s="19">
        <f t="shared" si="4"/>
        <v>1.220971989466124E-2</v>
      </c>
      <c r="K36" s="18">
        <f t="shared" si="0"/>
        <v>2020</v>
      </c>
      <c r="L36" s="18">
        <v>0</v>
      </c>
      <c r="M36" s="18">
        <f t="shared" si="5"/>
        <v>2020</v>
      </c>
      <c r="P36" s="31"/>
    </row>
    <row r="37" spans="2:16" x14ac:dyDescent="0.2">
      <c r="B37" s="20" t="s">
        <v>342</v>
      </c>
      <c r="C37" s="18">
        <v>1614</v>
      </c>
      <c r="D37" s="18">
        <v>1032</v>
      </c>
      <c r="E37" s="18">
        <f t="shared" si="1"/>
        <v>2646</v>
      </c>
      <c r="F37" s="19">
        <f t="shared" si="2"/>
        <v>3.8756170081877171E-2</v>
      </c>
      <c r="G37" s="18">
        <v>4746</v>
      </c>
      <c r="H37" s="18">
        <v>258</v>
      </c>
      <c r="I37" s="18">
        <f t="shared" si="3"/>
        <v>5004</v>
      </c>
      <c r="J37" s="19">
        <f t="shared" si="4"/>
        <v>4.991620780464448E-2</v>
      </c>
      <c r="K37" s="18">
        <f t="shared" si="0"/>
        <v>7650</v>
      </c>
      <c r="L37" s="18">
        <v>1</v>
      </c>
      <c r="M37" s="18">
        <f t="shared" si="5"/>
        <v>7651</v>
      </c>
      <c r="P37" s="31"/>
    </row>
    <row r="38" spans="2:16" x14ac:dyDescent="0.2">
      <c r="B38" s="20" t="s">
        <v>343</v>
      </c>
      <c r="C38" s="18">
        <v>1772</v>
      </c>
      <c r="D38" s="18">
        <v>1187</v>
      </c>
      <c r="E38" s="18">
        <f t="shared" si="1"/>
        <v>2959</v>
      </c>
      <c r="F38" s="19">
        <f t="shared" si="2"/>
        <v>4.3340705696248885E-2</v>
      </c>
      <c r="G38" s="18">
        <v>3031</v>
      </c>
      <c r="H38" s="18">
        <v>222</v>
      </c>
      <c r="I38" s="18">
        <f t="shared" si="3"/>
        <v>3253</v>
      </c>
      <c r="J38" s="19">
        <f t="shared" si="4"/>
        <v>3.2449525177559654E-2</v>
      </c>
      <c r="K38" s="18">
        <f t="shared" si="0"/>
        <v>6212</v>
      </c>
      <c r="L38" s="18">
        <v>0</v>
      </c>
      <c r="M38" s="18">
        <f t="shared" si="5"/>
        <v>6212</v>
      </c>
      <c r="P38" s="31"/>
    </row>
    <row r="39" spans="2:16" x14ac:dyDescent="0.2">
      <c r="B39" s="20" t="s">
        <v>344</v>
      </c>
      <c r="C39" s="18">
        <v>870</v>
      </c>
      <c r="D39" s="18">
        <v>584</v>
      </c>
      <c r="E39" s="18">
        <f t="shared" si="1"/>
        <v>1454</v>
      </c>
      <c r="F39" s="19">
        <f t="shared" si="2"/>
        <v>2.1296852342800227E-2</v>
      </c>
      <c r="G39" s="18">
        <v>2099</v>
      </c>
      <c r="H39" s="18">
        <v>150</v>
      </c>
      <c r="I39" s="18">
        <f t="shared" si="3"/>
        <v>2249</v>
      </c>
      <c r="J39" s="19">
        <f t="shared" si="4"/>
        <v>2.2434362780304844E-2</v>
      </c>
      <c r="K39" s="18">
        <f t="shared" si="0"/>
        <v>3703</v>
      </c>
      <c r="L39" s="18">
        <v>1</v>
      </c>
      <c r="M39" s="18">
        <f t="shared" si="5"/>
        <v>3704</v>
      </c>
      <c r="P39" s="31"/>
    </row>
    <row r="40" spans="2:16" x14ac:dyDescent="0.2">
      <c r="B40" s="20" t="s">
        <v>345</v>
      </c>
      <c r="C40" s="18">
        <v>680</v>
      </c>
      <c r="D40" s="18">
        <v>745</v>
      </c>
      <c r="E40" s="18">
        <f t="shared" si="1"/>
        <v>1425</v>
      </c>
      <c r="F40" s="19">
        <f t="shared" si="2"/>
        <v>2.0872087062235437E-2</v>
      </c>
      <c r="G40" s="18">
        <v>1157</v>
      </c>
      <c r="H40" s="18">
        <v>91</v>
      </c>
      <c r="I40" s="18">
        <f t="shared" si="3"/>
        <v>1248</v>
      </c>
      <c r="J40" s="19">
        <f t="shared" si="4"/>
        <v>1.2449126167105579E-2</v>
      </c>
      <c r="K40" s="18">
        <f t="shared" si="0"/>
        <v>2673</v>
      </c>
      <c r="L40" s="18">
        <v>0</v>
      </c>
      <c r="M40" s="18">
        <f t="shared" si="5"/>
        <v>2673</v>
      </c>
      <c r="P40" s="31"/>
    </row>
    <row r="41" spans="2:16" x14ac:dyDescent="0.2">
      <c r="B41" s="20" t="s">
        <v>346</v>
      </c>
      <c r="C41" s="18">
        <v>554</v>
      </c>
      <c r="D41" s="18">
        <v>410</v>
      </c>
      <c r="E41" s="18">
        <f t="shared" si="1"/>
        <v>964</v>
      </c>
      <c r="F41" s="19">
        <f t="shared" si="2"/>
        <v>1.4119783809119272E-2</v>
      </c>
      <c r="G41" s="18">
        <v>694</v>
      </c>
      <c r="H41" s="18">
        <v>67</v>
      </c>
      <c r="I41" s="18">
        <f t="shared" si="3"/>
        <v>761</v>
      </c>
      <c r="J41" s="19">
        <f t="shared" si="4"/>
        <v>7.5911738887558854E-3</v>
      </c>
      <c r="K41" s="18">
        <f t="shared" si="0"/>
        <v>1725</v>
      </c>
      <c r="L41" s="18">
        <v>0</v>
      </c>
      <c r="M41" s="18">
        <f t="shared" si="5"/>
        <v>1725</v>
      </c>
      <c r="P41" s="31"/>
    </row>
    <row r="42" spans="2:16" x14ac:dyDescent="0.2">
      <c r="B42" s="20" t="s">
        <v>347</v>
      </c>
      <c r="C42" s="18">
        <v>1036</v>
      </c>
      <c r="D42" s="18">
        <v>682</v>
      </c>
      <c r="E42" s="18">
        <f t="shared" si="1"/>
        <v>1718</v>
      </c>
      <c r="F42" s="19">
        <f t="shared" si="2"/>
        <v>2.5163681103803848E-2</v>
      </c>
      <c r="G42" s="18">
        <v>2656</v>
      </c>
      <c r="H42" s="18">
        <v>203</v>
      </c>
      <c r="I42" s="18">
        <f t="shared" si="3"/>
        <v>2859</v>
      </c>
      <c r="J42" s="19">
        <f t="shared" si="4"/>
        <v>2.8519272204931768E-2</v>
      </c>
      <c r="K42" s="18">
        <f t="shared" si="0"/>
        <v>4577</v>
      </c>
      <c r="L42" s="18">
        <v>2</v>
      </c>
      <c r="M42" s="18">
        <f t="shared" si="5"/>
        <v>4579</v>
      </c>
      <c r="P42" s="31"/>
    </row>
    <row r="43" spans="2:16" x14ac:dyDescent="0.2">
      <c r="B43" s="20" t="s">
        <v>49</v>
      </c>
      <c r="C43" s="18">
        <f t="shared" ref="C43:H43" si="6">SUM(C11:C42)</f>
        <v>41520</v>
      </c>
      <c r="D43" s="18">
        <f t="shared" si="6"/>
        <v>26753</v>
      </c>
      <c r="E43" s="20">
        <f t="shared" ref="E43" si="7">C43+D43</f>
        <v>68273</v>
      </c>
      <c r="F43" s="22">
        <f t="shared" ref="F43" si="8">E43/$E$43</f>
        <v>1</v>
      </c>
      <c r="G43" s="18">
        <f t="shared" si="6"/>
        <v>93514</v>
      </c>
      <c r="H43" s="18">
        <f t="shared" si="6"/>
        <v>6734</v>
      </c>
      <c r="I43" s="20">
        <f t="shared" ref="I43" si="9">G43+H43</f>
        <v>100248</v>
      </c>
      <c r="J43" s="22">
        <f t="shared" ref="J43" si="10">I43/$I$43</f>
        <v>1</v>
      </c>
      <c r="K43" s="20">
        <f t="shared" ref="K43" si="11">E43+I43</f>
        <v>168521</v>
      </c>
      <c r="L43" s="18">
        <f t="shared" ref="L43" si="12">SUM(L11:L42)</f>
        <v>40</v>
      </c>
      <c r="M43" s="20">
        <f t="shared" si="5"/>
        <v>168561</v>
      </c>
      <c r="P43" s="31"/>
    </row>
    <row r="44" spans="2:16" ht="25.5" customHeight="1" x14ac:dyDescent="0.2">
      <c r="B44" s="32" t="s">
        <v>64</v>
      </c>
      <c r="C44" s="33">
        <f>+C43/M43</f>
        <v>0.24632032320643565</v>
      </c>
      <c r="D44" s="33">
        <f>+D43/M43</f>
        <v>0.15871405603906005</v>
      </c>
      <c r="E44" s="34">
        <f>+E43/M43</f>
        <v>0.40503437924549568</v>
      </c>
      <c r="F44" s="34"/>
      <c r="G44" s="33">
        <f>+G43/M43</f>
        <v>0.5547783888325295</v>
      </c>
      <c r="H44" s="33">
        <f>+H43/M43</f>
        <v>3.9949929105783662E-2</v>
      </c>
      <c r="I44" s="34">
        <f>+I43/M43</f>
        <v>0.59472831793831316</v>
      </c>
      <c r="J44" s="34"/>
      <c r="K44" s="34">
        <f>+K43/M43</f>
        <v>0.99976269718380883</v>
      </c>
      <c r="L44" s="34">
        <f>+L43/M43</f>
        <v>2.3730281619117115E-4</v>
      </c>
      <c r="M44" s="34">
        <f>K44+L44</f>
        <v>1</v>
      </c>
    </row>
    <row r="45" spans="2:16" x14ac:dyDescent="0.2">
      <c r="B45" s="25"/>
      <c r="C45" s="38"/>
      <c r="D45" s="38"/>
      <c r="E45" s="38"/>
      <c r="F45" s="38"/>
      <c r="G45" s="38"/>
      <c r="H45" s="38"/>
      <c r="I45" s="38"/>
      <c r="J45" s="38"/>
      <c r="K45" s="38"/>
    </row>
    <row r="46" spans="2:16" ht="12.75" x14ac:dyDescent="0.2">
      <c r="B46" s="369" t="s">
        <v>91</v>
      </c>
      <c r="C46" s="369"/>
      <c r="D46" s="369"/>
      <c r="E46" s="369"/>
      <c r="F46" s="369"/>
      <c r="G46" s="369"/>
      <c r="H46" s="369"/>
      <c r="I46" s="369"/>
      <c r="J46" s="369"/>
      <c r="K46" s="369"/>
    </row>
    <row r="47" spans="2:16" ht="12.75" x14ac:dyDescent="0.2">
      <c r="B47" s="385" t="str">
        <f>'Solicitudes Regiones'!$B$6:$R$6</f>
        <v>Acumuladas de julio de 2008 a diciembre de 2021</v>
      </c>
      <c r="C47" s="385"/>
      <c r="D47" s="385"/>
      <c r="E47" s="385"/>
      <c r="F47" s="385"/>
      <c r="G47" s="385"/>
      <c r="H47" s="385"/>
      <c r="I47" s="385"/>
      <c r="J47" s="385"/>
      <c r="K47" s="385"/>
    </row>
    <row r="49" spans="2:13" ht="15" customHeight="1" x14ac:dyDescent="0.2">
      <c r="B49" s="399" t="s">
        <v>65</v>
      </c>
      <c r="C49" s="399"/>
      <c r="D49" s="399"/>
      <c r="E49" s="399"/>
      <c r="F49" s="399"/>
      <c r="G49" s="399"/>
      <c r="H49" s="399"/>
      <c r="I49" s="399"/>
      <c r="J49" s="399"/>
      <c r="K49" s="399"/>
      <c r="L49" s="399"/>
      <c r="M49" s="399"/>
    </row>
    <row r="50" spans="2:13" ht="15" customHeight="1" x14ac:dyDescent="0.2">
      <c r="B50" s="399" t="s">
        <v>56</v>
      </c>
      <c r="C50" s="399" t="s">
        <v>2</v>
      </c>
      <c r="D50" s="399"/>
      <c r="E50" s="399"/>
      <c r="F50" s="399"/>
      <c r="G50" s="399"/>
      <c r="H50" s="399"/>
      <c r="I50" s="399"/>
      <c r="J50" s="399"/>
      <c r="K50" s="399"/>
      <c r="L50" s="397"/>
      <c r="M50" s="398"/>
    </row>
    <row r="51" spans="2:13" ht="24" x14ac:dyDescent="0.2">
      <c r="B51" s="399"/>
      <c r="C51" s="23" t="s">
        <v>57</v>
      </c>
      <c r="D51" s="23" t="s">
        <v>58</v>
      </c>
      <c r="E51" s="23" t="s">
        <v>59</v>
      </c>
      <c r="F51" s="23" t="s">
        <v>60</v>
      </c>
      <c r="G51" s="23" t="s">
        <v>8</v>
      </c>
      <c r="H51" s="23" t="s">
        <v>61</v>
      </c>
      <c r="I51" s="23" t="s">
        <v>62</v>
      </c>
      <c r="J51" s="23" t="s">
        <v>63</v>
      </c>
      <c r="K51" s="24" t="s">
        <v>31</v>
      </c>
      <c r="L51" s="261" t="s">
        <v>584</v>
      </c>
      <c r="M51" s="261" t="s">
        <v>587</v>
      </c>
    </row>
    <row r="52" spans="2:13" x14ac:dyDescent="0.2">
      <c r="B52" s="20" t="s">
        <v>316</v>
      </c>
      <c r="C52" s="18">
        <v>1701</v>
      </c>
      <c r="D52" s="18">
        <v>567</v>
      </c>
      <c r="E52" s="18">
        <f>C52+D52</f>
        <v>2268</v>
      </c>
      <c r="F52" s="19">
        <f>E52/$E$84</f>
        <v>4.474873231655585E-2</v>
      </c>
      <c r="G52" s="18">
        <v>1887</v>
      </c>
      <c r="H52" s="18">
        <v>170</v>
      </c>
      <c r="I52" s="18">
        <f>H52+G52</f>
        <v>2057</v>
      </c>
      <c r="J52" s="19">
        <f>I52/$I$84</f>
        <v>2.3764686853749554E-2</v>
      </c>
      <c r="K52" s="18">
        <f t="shared" ref="K52:K83" si="13">E52+I52</f>
        <v>4325</v>
      </c>
      <c r="L52" s="18">
        <v>0</v>
      </c>
      <c r="M52" s="18">
        <f>L52+K52</f>
        <v>4325</v>
      </c>
    </row>
    <row r="53" spans="2:13" x14ac:dyDescent="0.2">
      <c r="B53" s="20" t="s">
        <v>317</v>
      </c>
      <c r="C53" s="18">
        <v>595</v>
      </c>
      <c r="D53" s="18">
        <v>117</v>
      </c>
      <c r="E53" s="18">
        <f t="shared" ref="E53:E83" si="14">C53+D53</f>
        <v>712</v>
      </c>
      <c r="F53" s="19">
        <f t="shared" ref="F53:F83" si="15">E53/$E$84</f>
        <v>1.4048102914192135E-2</v>
      </c>
      <c r="G53" s="18">
        <v>444</v>
      </c>
      <c r="H53" s="18">
        <v>25</v>
      </c>
      <c r="I53" s="18">
        <f t="shared" ref="I53:I83" si="16">H53+G53</f>
        <v>469</v>
      </c>
      <c r="J53" s="19">
        <f t="shared" ref="J53:J83" si="17">I53/$I$84</f>
        <v>5.4183948149774137E-3</v>
      </c>
      <c r="K53" s="18">
        <f t="shared" si="13"/>
        <v>1181</v>
      </c>
      <c r="L53" s="18">
        <v>0</v>
      </c>
      <c r="M53" s="18">
        <f t="shared" ref="M53:M84" si="18">L53+K53</f>
        <v>1181</v>
      </c>
    </row>
    <row r="54" spans="2:13" x14ac:dyDescent="0.2">
      <c r="B54" s="20" t="s">
        <v>318</v>
      </c>
      <c r="C54" s="18">
        <v>1215</v>
      </c>
      <c r="D54" s="18">
        <v>362</v>
      </c>
      <c r="E54" s="18">
        <f t="shared" si="14"/>
        <v>1577</v>
      </c>
      <c r="F54" s="19">
        <f t="shared" si="15"/>
        <v>3.1114969516405896E-2</v>
      </c>
      <c r="G54" s="18">
        <v>2422</v>
      </c>
      <c r="H54" s="18">
        <v>175</v>
      </c>
      <c r="I54" s="18">
        <f t="shared" si="16"/>
        <v>2597</v>
      </c>
      <c r="J54" s="19">
        <f t="shared" si="17"/>
        <v>3.0003350393382394E-2</v>
      </c>
      <c r="K54" s="18">
        <f t="shared" si="13"/>
        <v>4174</v>
      </c>
      <c r="L54" s="18">
        <v>0</v>
      </c>
      <c r="M54" s="18">
        <f t="shared" si="18"/>
        <v>4174</v>
      </c>
    </row>
    <row r="55" spans="2:13" x14ac:dyDescent="0.2">
      <c r="B55" s="20" t="s">
        <v>319</v>
      </c>
      <c r="C55" s="18">
        <v>1080</v>
      </c>
      <c r="D55" s="18">
        <v>307</v>
      </c>
      <c r="E55" s="18">
        <f t="shared" si="14"/>
        <v>1387</v>
      </c>
      <c r="F55" s="19">
        <f t="shared" si="15"/>
        <v>2.7366178008405184E-2</v>
      </c>
      <c r="G55" s="18">
        <v>1042</v>
      </c>
      <c r="H55" s="18">
        <v>88</v>
      </c>
      <c r="I55" s="18">
        <f t="shared" si="16"/>
        <v>1130</v>
      </c>
      <c r="J55" s="19">
        <f t="shared" si="17"/>
        <v>1.3054981110713171E-2</v>
      </c>
      <c r="K55" s="18">
        <f t="shared" si="13"/>
        <v>2517</v>
      </c>
      <c r="L55" s="18">
        <v>0</v>
      </c>
      <c r="M55" s="18">
        <f t="shared" si="18"/>
        <v>2517</v>
      </c>
    </row>
    <row r="56" spans="2:13" x14ac:dyDescent="0.2">
      <c r="B56" s="20" t="s">
        <v>320</v>
      </c>
      <c r="C56" s="18">
        <v>2195</v>
      </c>
      <c r="D56" s="18">
        <v>629</v>
      </c>
      <c r="E56" s="18">
        <f t="shared" si="14"/>
        <v>2824</v>
      </c>
      <c r="F56" s="19">
        <f t="shared" si="15"/>
        <v>5.5718880097863188E-2</v>
      </c>
      <c r="G56" s="18">
        <v>5264</v>
      </c>
      <c r="H56" s="18">
        <v>339</v>
      </c>
      <c r="I56" s="18">
        <f t="shared" si="16"/>
        <v>5603</v>
      </c>
      <c r="J56" s="19">
        <f t="shared" si="17"/>
        <v>6.4731910764005224E-2</v>
      </c>
      <c r="K56" s="18">
        <f t="shared" si="13"/>
        <v>8427</v>
      </c>
      <c r="L56" s="18">
        <v>0</v>
      </c>
      <c r="M56" s="18">
        <f t="shared" si="18"/>
        <v>8427</v>
      </c>
    </row>
    <row r="57" spans="2:13" x14ac:dyDescent="0.2">
      <c r="B57" s="20" t="s">
        <v>321</v>
      </c>
      <c r="C57" s="18">
        <v>831</v>
      </c>
      <c r="D57" s="18">
        <v>309</v>
      </c>
      <c r="E57" s="18">
        <f t="shared" si="14"/>
        <v>1140</v>
      </c>
      <c r="F57" s="19">
        <f t="shared" si="15"/>
        <v>2.2492749048004263E-2</v>
      </c>
      <c r="G57" s="18">
        <v>2213</v>
      </c>
      <c r="H57" s="18">
        <v>157</v>
      </c>
      <c r="I57" s="18">
        <f t="shared" si="16"/>
        <v>2370</v>
      </c>
      <c r="J57" s="19">
        <f t="shared" si="17"/>
        <v>2.738080109061081E-2</v>
      </c>
      <c r="K57" s="18">
        <f t="shared" si="13"/>
        <v>3510</v>
      </c>
      <c r="L57" s="18">
        <v>0</v>
      </c>
      <c r="M57" s="18">
        <f t="shared" si="18"/>
        <v>3510</v>
      </c>
    </row>
    <row r="58" spans="2:13" x14ac:dyDescent="0.2">
      <c r="B58" s="20" t="s">
        <v>322</v>
      </c>
      <c r="C58" s="18">
        <v>878</v>
      </c>
      <c r="D58" s="18">
        <v>348</v>
      </c>
      <c r="E58" s="18">
        <f t="shared" si="14"/>
        <v>1226</v>
      </c>
      <c r="F58" s="19">
        <f t="shared" si="15"/>
        <v>2.4189570467415111E-2</v>
      </c>
      <c r="G58" s="18">
        <v>2280</v>
      </c>
      <c r="H58" s="18">
        <v>117</v>
      </c>
      <c r="I58" s="18">
        <f t="shared" si="16"/>
        <v>2397</v>
      </c>
      <c r="J58" s="19">
        <f t="shared" si="17"/>
        <v>2.7692734267592455E-2</v>
      </c>
      <c r="K58" s="18">
        <f t="shared" si="13"/>
        <v>3623</v>
      </c>
      <c r="L58" s="18">
        <v>0</v>
      </c>
      <c r="M58" s="18">
        <f t="shared" si="18"/>
        <v>3623</v>
      </c>
    </row>
    <row r="59" spans="2:13" x14ac:dyDescent="0.2">
      <c r="B59" s="20" t="s">
        <v>323</v>
      </c>
      <c r="C59" s="18">
        <v>7866</v>
      </c>
      <c r="D59" s="18">
        <v>2702</v>
      </c>
      <c r="E59" s="18">
        <f t="shared" si="14"/>
        <v>10568</v>
      </c>
      <c r="F59" s="19">
        <f t="shared" si="15"/>
        <v>0.20851172977132371</v>
      </c>
      <c r="G59" s="18">
        <v>22582</v>
      </c>
      <c r="H59" s="18">
        <v>1505</v>
      </c>
      <c r="I59" s="18">
        <f t="shared" si="16"/>
        <v>24087</v>
      </c>
      <c r="J59" s="19">
        <f t="shared" si="17"/>
        <v>0.27827905310951168</v>
      </c>
      <c r="K59" s="18">
        <f t="shared" si="13"/>
        <v>34655</v>
      </c>
      <c r="L59" s="18">
        <v>1</v>
      </c>
      <c r="M59" s="18">
        <f t="shared" si="18"/>
        <v>34656</v>
      </c>
    </row>
    <row r="60" spans="2:13" x14ac:dyDescent="0.2">
      <c r="B60" s="20" t="s">
        <v>324</v>
      </c>
      <c r="C60" s="18">
        <v>1248</v>
      </c>
      <c r="D60" s="18">
        <v>305</v>
      </c>
      <c r="E60" s="18">
        <f t="shared" si="14"/>
        <v>1553</v>
      </c>
      <c r="F60" s="19">
        <f t="shared" si="15"/>
        <v>3.0641437957500541E-2</v>
      </c>
      <c r="G60" s="18">
        <v>1865</v>
      </c>
      <c r="H60" s="18">
        <v>103</v>
      </c>
      <c r="I60" s="18">
        <f t="shared" si="16"/>
        <v>1968</v>
      </c>
      <c r="J60" s="19">
        <f t="shared" si="17"/>
        <v>2.2736462677773028E-2</v>
      </c>
      <c r="K60" s="18">
        <f t="shared" si="13"/>
        <v>3521</v>
      </c>
      <c r="L60" s="18">
        <v>1</v>
      </c>
      <c r="M60" s="18">
        <f t="shared" si="18"/>
        <v>3522</v>
      </c>
    </row>
    <row r="61" spans="2:13" x14ac:dyDescent="0.2">
      <c r="B61" s="20" t="s">
        <v>325</v>
      </c>
      <c r="C61" s="18">
        <v>1177</v>
      </c>
      <c r="D61" s="18">
        <v>333</v>
      </c>
      <c r="E61" s="18">
        <f t="shared" si="14"/>
        <v>1510</v>
      </c>
      <c r="F61" s="19">
        <f t="shared" si="15"/>
        <v>2.9793027247795117E-2</v>
      </c>
      <c r="G61" s="18">
        <v>2130</v>
      </c>
      <c r="H61" s="18">
        <v>153</v>
      </c>
      <c r="I61" s="18">
        <f t="shared" si="16"/>
        <v>2283</v>
      </c>
      <c r="J61" s="19">
        <f t="shared" si="17"/>
        <v>2.6375683075892185E-2</v>
      </c>
      <c r="K61" s="18">
        <f t="shared" si="13"/>
        <v>3793</v>
      </c>
      <c r="L61" s="18">
        <v>0</v>
      </c>
      <c r="M61" s="18">
        <f t="shared" si="18"/>
        <v>3793</v>
      </c>
    </row>
    <row r="62" spans="2:13" x14ac:dyDescent="0.2">
      <c r="B62" s="20" t="s">
        <v>326</v>
      </c>
      <c r="C62" s="18">
        <v>644</v>
      </c>
      <c r="D62" s="18">
        <v>276</v>
      </c>
      <c r="E62" s="18">
        <f t="shared" si="14"/>
        <v>920</v>
      </c>
      <c r="F62" s="19">
        <f t="shared" si="15"/>
        <v>1.8152043091371861E-2</v>
      </c>
      <c r="G62" s="18">
        <v>866</v>
      </c>
      <c r="H62" s="18">
        <v>96</v>
      </c>
      <c r="I62" s="18">
        <f t="shared" si="16"/>
        <v>962</v>
      </c>
      <c r="J62" s="19">
        <f t="shared" si="17"/>
        <v>1.111406356504962E-2</v>
      </c>
      <c r="K62" s="18">
        <f t="shared" si="13"/>
        <v>1882</v>
      </c>
      <c r="L62" s="18">
        <v>0</v>
      </c>
      <c r="M62" s="18">
        <f t="shared" si="18"/>
        <v>1882</v>
      </c>
    </row>
    <row r="63" spans="2:13" x14ac:dyDescent="0.2">
      <c r="B63" s="20" t="s">
        <v>327</v>
      </c>
      <c r="C63" s="18">
        <v>1319</v>
      </c>
      <c r="D63" s="18">
        <v>453</v>
      </c>
      <c r="E63" s="18">
        <f t="shared" si="14"/>
        <v>1772</v>
      </c>
      <c r="F63" s="19">
        <f t="shared" si="15"/>
        <v>3.4962413432511885E-2</v>
      </c>
      <c r="G63" s="18">
        <v>2935</v>
      </c>
      <c r="H63" s="18">
        <v>204</v>
      </c>
      <c r="I63" s="18">
        <f t="shared" si="16"/>
        <v>3139</v>
      </c>
      <c r="J63" s="19">
        <f t="shared" si="17"/>
        <v>3.6265120094273136E-2</v>
      </c>
      <c r="K63" s="18">
        <f t="shared" si="13"/>
        <v>4911</v>
      </c>
      <c r="L63" s="18">
        <v>0</v>
      </c>
      <c r="M63" s="18">
        <f t="shared" si="18"/>
        <v>4911</v>
      </c>
    </row>
    <row r="64" spans="2:13" x14ac:dyDescent="0.2">
      <c r="B64" s="20" t="s">
        <v>328</v>
      </c>
      <c r="C64" s="18">
        <v>583</v>
      </c>
      <c r="D64" s="18">
        <v>125</v>
      </c>
      <c r="E64" s="18">
        <f t="shared" si="14"/>
        <v>708</v>
      </c>
      <c r="F64" s="19">
        <f t="shared" si="15"/>
        <v>1.396918098770791E-2</v>
      </c>
      <c r="G64" s="18">
        <v>478</v>
      </c>
      <c r="H64" s="18">
        <v>43</v>
      </c>
      <c r="I64" s="18">
        <f t="shared" si="16"/>
        <v>521</v>
      </c>
      <c r="J64" s="19">
        <f t="shared" si="17"/>
        <v>6.0191550076827988E-3</v>
      </c>
      <c r="K64" s="18">
        <f t="shared" si="13"/>
        <v>1229</v>
      </c>
      <c r="L64" s="18">
        <v>0</v>
      </c>
      <c r="M64" s="18">
        <f t="shared" si="18"/>
        <v>1229</v>
      </c>
    </row>
    <row r="65" spans="2:13" x14ac:dyDescent="0.2">
      <c r="B65" s="20" t="s">
        <v>329</v>
      </c>
      <c r="C65" s="18">
        <v>2489</v>
      </c>
      <c r="D65" s="18">
        <v>972</v>
      </c>
      <c r="E65" s="18">
        <f t="shared" si="14"/>
        <v>3461</v>
      </c>
      <c r="F65" s="19">
        <f t="shared" si="15"/>
        <v>6.828719689047609E-2</v>
      </c>
      <c r="G65" s="18">
        <v>4547</v>
      </c>
      <c r="H65" s="18">
        <v>450</v>
      </c>
      <c r="I65" s="18">
        <f t="shared" si="16"/>
        <v>4997</v>
      </c>
      <c r="J65" s="19">
        <f t="shared" si="17"/>
        <v>5.7730743902861696E-2</v>
      </c>
      <c r="K65" s="18">
        <f t="shared" si="13"/>
        <v>8458</v>
      </c>
      <c r="L65" s="18">
        <v>0</v>
      </c>
      <c r="M65" s="18">
        <f t="shared" si="18"/>
        <v>8458</v>
      </c>
    </row>
    <row r="66" spans="2:13" x14ac:dyDescent="0.2">
      <c r="B66" s="20" t="s">
        <v>330</v>
      </c>
      <c r="C66" s="18">
        <v>244</v>
      </c>
      <c r="D66" s="18">
        <v>90</v>
      </c>
      <c r="E66" s="18">
        <f t="shared" si="14"/>
        <v>334</v>
      </c>
      <c r="F66" s="19">
        <f t="shared" si="15"/>
        <v>6.5899808614328275E-3</v>
      </c>
      <c r="G66" s="18">
        <v>544</v>
      </c>
      <c r="H66" s="18">
        <v>32</v>
      </c>
      <c r="I66" s="18">
        <f t="shared" si="16"/>
        <v>576</v>
      </c>
      <c r="J66" s="19">
        <f t="shared" si="17"/>
        <v>6.6545744422750325E-3</v>
      </c>
      <c r="K66" s="18">
        <f t="shared" si="13"/>
        <v>910</v>
      </c>
      <c r="L66" s="18">
        <v>0</v>
      </c>
      <c r="M66" s="18">
        <f t="shared" si="18"/>
        <v>910</v>
      </c>
    </row>
    <row r="67" spans="2:13" x14ac:dyDescent="0.2">
      <c r="B67" s="20" t="s">
        <v>331</v>
      </c>
      <c r="C67" s="18">
        <v>830</v>
      </c>
      <c r="D67" s="18">
        <v>193</v>
      </c>
      <c r="E67" s="18">
        <f t="shared" si="14"/>
        <v>1023</v>
      </c>
      <c r="F67" s="19">
        <f t="shared" si="15"/>
        <v>2.0184282698340668E-2</v>
      </c>
      <c r="G67" s="18">
        <v>1691</v>
      </c>
      <c r="H67" s="18">
        <v>110</v>
      </c>
      <c r="I67" s="18">
        <f t="shared" si="16"/>
        <v>1801</v>
      </c>
      <c r="J67" s="19">
        <f t="shared" si="17"/>
        <v>2.0807098212738427E-2</v>
      </c>
      <c r="K67" s="18">
        <f t="shared" si="13"/>
        <v>2824</v>
      </c>
      <c r="L67" s="18">
        <v>0</v>
      </c>
      <c r="M67" s="18">
        <f t="shared" si="18"/>
        <v>2824</v>
      </c>
    </row>
    <row r="68" spans="2:13" x14ac:dyDescent="0.2">
      <c r="B68" s="20" t="s">
        <v>332</v>
      </c>
      <c r="C68" s="18">
        <v>789</v>
      </c>
      <c r="D68" s="18">
        <v>292</v>
      </c>
      <c r="E68" s="18">
        <f t="shared" si="14"/>
        <v>1081</v>
      </c>
      <c r="F68" s="19">
        <f t="shared" si="15"/>
        <v>2.1328650632361935E-2</v>
      </c>
      <c r="G68" s="18">
        <v>816</v>
      </c>
      <c r="H68" s="18">
        <v>108</v>
      </c>
      <c r="I68" s="18">
        <f t="shared" si="16"/>
        <v>924</v>
      </c>
      <c r="J68" s="19">
        <f t="shared" si="17"/>
        <v>1.0675046501149532E-2</v>
      </c>
      <c r="K68" s="18">
        <f t="shared" si="13"/>
        <v>2005</v>
      </c>
      <c r="L68" s="18">
        <v>0</v>
      </c>
      <c r="M68" s="18">
        <f t="shared" si="18"/>
        <v>2005</v>
      </c>
    </row>
    <row r="69" spans="2:13" x14ac:dyDescent="0.2">
      <c r="B69" s="20" t="s">
        <v>333</v>
      </c>
      <c r="C69" s="18">
        <v>630</v>
      </c>
      <c r="D69" s="18">
        <v>211</v>
      </c>
      <c r="E69" s="18">
        <f t="shared" si="14"/>
        <v>841</v>
      </c>
      <c r="F69" s="19">
        <f t="shared" si="15"/>
        <v>1.6593335043308406E-2</v>
      </c>
      <c r="G69" s="18">
        <v>744</v>
      </c>
      <c r="H69" s="18">
        <v>75</v>
      </c>
      <c r="I69" s="18">
        <f t="shared" si="16"/>
        <v>819</v>
      </c>
      <c r="J69" s="19">
        <f t="shared" si="17"/>
        <v>9.4619730351098129E-3</v>
      </c>
      <c r="K69" s="18">
        <f t="shared" si="13"/>
        <v>1660</v>
      </c>
      <c r="L69" s="18">
        <v>0</v>
      </c>
      <c r="M69" s="18">
        <f t="shared" si="18"/>
        <v>1660</v>
      </c>
    </row>
    <row r="70" spans="2:13" x14ac:dyDescent="0.2">
      <c r="B70" s="20" t="s">
        <v>334</v>
      </c>
      <c r="C70" s="18">
        <v>1002</v>
      </c>
      <c r="D70" s="18">
        <v>367</v>
      </c>
      <c r="E70" s="18">
        <f t="shared" si="14"/>
        <v>1369</v>
      </c>
      <c r="F70" s="19">
        <f t="shared" si="15"/>
        <v>2.701102933922617E-2</v>
      </c>
      <c r="G70" s="18">
        <v>2122</v>
      </c>
      <c r="H70" s="18">
        <v>143</v>
      </c>
      <c r="I70" s="18">
        <f t="shared" si="16"/>
        <v>2265</v>
      </c>
      <c r="J70" s="19">
        <f t="shared" si="17"/>
        <v>2.6167727624571091E-2</v>
      </c>
      <c r="K70" s="18">
        <f t="shared" si="13"/>
        <v>3634</v>
      </c>
      <c r="L70" s="18">
        <v>0</v>
      </c>
      <c r="M70" s="18">
        <f t="shared" si="18"/>
        <v>3634</v>
      </c>
    </row>
    <row r="71" spans="2:13" x14ac:dyDescent="0.2">
      <c r="B71" s="20" t="s">
        <v>335</v>
      </c>
      <c r="C71" s="18">
        <v>621</v>
      </c>
      <c r="D71" s="18">
        <v>188</v>
      </c>
      <c r="E71" s="18">
        <f t="shared" si="14"/>
        <v>809</v>
      </c>
      <c r="F71" s="19">
        <f t="shared" si="15"/>
        <v>1.5961959631434604E-2</v>
      </c>
      <c r="G71" s="18">
        <v>729</v>
      </c>
      <c r="H71" s="18">
        <v>83</v>
      </c>
      <c r="I71" s="18">
        <f t="shared" si="16"/>
        <v>812</v>
      </c>
      <c r="J71" s="19">
        <f t="shared" si="17"/>
        <v>9.3811014707071635E-3</v>
      </c>
      <c r="K71" s="18">
        <f t="shared" si="13"/>
        <v>1621</v>
      </c>
      <c r="L71" s="18">
        <v>0</v>
      </c>
      <c r="M71" s="18">
        <f t="shared" si="18"/>
        <v>1621</v>
      </c>
    </row>
    <row r="72" spans="2:13" x14ac:dyDescent="0.2">
      <c r="B72" s="20" t="s">
        <v>336</v>
      </c>
      <c r="C72" s="18">
        <v>1659</v>
      </c>
      <c r="D72" s="18">
        <v>610</v>
      </c>
      <c r="E72" s="18">
        <f t="shared" si="14"/>
        <v>2269</v>
      </c>
      <c r="F72" s="19">
        <f t="shared" si="15"/>
        <v>4.4768462798176901E-2</v>
      </c>
      <c r="G72" s="18">
        <v>5344</v>
      </c>
      <c r="H72" s="18">
        <v>390</v>
      </c>
      <c r="I72" s="18">
        <f t="shared" si="16"/>
        <v>5734</v>
      </c>
      <c r="J72" s="19">
        <f t="shared" si="17"/>
        <v>6.6245364326397632E-2</v>
      </c>
      <c r="K72" s="18">
        <f t="shared" si="13"/>
        <v>8003</v>
      </c>
      <c r="L72" s="18">
        <v>0</v>
      </c>
      <c r="M72" s="18">
        <f t="shared" si="18"/>
        <v>8003</v>
      </c>
    </row>
    <row r="73" spans="2:13" x14ac:dyDescent="0.2">
      <c r="B73" s="20" t="s">
        <v>337</v>
      </c>
      <c r="C73" s="18">
        <v>918</v>
      </c>
      <c r="D73" s="18">
        <v>234</v>
      </c>
      <c r="E73" s="18">
        <f t="shared" si="14"/>
        <v>1152</v>
      </c>
      <c r="F73" s="19">
        <f t="shared" si="15"/>
        <v>2.2729514827456939E-2</v>
      </c>
      <c r="G73" s="18">
        <v>2095</v>
      </c>
      <c r="H73" s="18">
        <v>87</v>
      </c>
      <c r="I73" s="18">
        <f t="shared" si="16"/>
        <v>2182</v>
      </c>
      <c r="J73" s="19">
        <f t="shared" si="17"/>
        <v>2.5208821932368265E-2</v>
      </c>
      <c r="K73" s="18">
        <f t="shared" si="13"/>
        <v>3334</v>
      </c>
      <c r="L73" s="18">
        <v>0</v>
      </c>
      <c r="M73" s="18">
        <f t="shared" si="18"/>
        <v>3334</v>
      </c>
    </row>
    <row r="74" spans="2:13" x14ac:dyDescent="0.2">
      <c r="B74" s="20" t="s">
        <v>338</v>
      </c>
      <c r="C74" s="18">
        <v>289</v>
      </c>
      <c r="D74" s="18">
        <v>125</v>
      </c>
      <c r="E74" s="18">
        <f t="shared" si="14"/>
        <v>414</v>
      </c>
      <c r="F74" s="19">
        <f t="shared" si="15"/>
        <v>8.1684193911173378E-3</v>
      </c>
      <c r="G74" s="18">
        <v>710</v>
      </c>
      <c r="H74" s="18">
        <v>33</v>
      </c>
      <c r="I74" s="18">
        <f t="shared" si="16"/>
        <v>743</v>
      </c>
      <c r="J74" s="19">
        <f t="shared" si="17"/>
        <v>8.5839389073096347E-3</v>
      </c>
      <c r="K74" s="18">
        <f t="shared" si="13"/>
        <v>1157</v>
      </c>
      <c r="L74" s="18">
        <v>0</v>
      </c>
      <c r="M74" s="18">
        <f t="shared" si="18"/>
        <v>1157</v>
      </c>
    </row>
    <row r="75" spans="2:13" x14ac:dyDescent="0.2">
      <c r="B75" s="20" t="s">
        <v>339</v>
      </c>
      <c r="C75" s="18">
        <v>368</v>
      </c>
      <c r="D75" s="18">
        <v>108</v>
      </c>
      <c r="E75" s="18">
        <f t="shared" si="14"/>
        <v>476</v>
      </c>
      <c r="F75" s="19">
        <f t="shared" si="15"/>
        <v>9.3917092516228318E-3</v>
      </c>
      <c r="G75" s="18">
        <v>728</v>
      </c>
      <c r="H75" s="18">
        <v>46</v>
      </c>
      <c r="I75" s="18">
        <f t="shared" si="16"/>
        <v>774</v>
      </c>
      <c r="J75" s="19">
        <f t="shared" si="17"/>
        <v>8.9420844068070753E-3</v>
      </c>
      <c r="K75" s="18">
        <f t="shared" si="13"/>
        <v>1250</v>
      </c>
      <c r="L75" s="18">
        <v>0</v>
      </c>
      <c r="M75" s="18">
        <f t="shared" si="18"/>
        <v>1250</v>
      </c>
    </row>
    <row r="76" spans="2:13" x14ac:dyDescent="0.2">
      <c r="B76" s="20" t="s">
        <v>340</v>
      </c>
      <c r="C76" s="18">
        <v>461</v>
      </c>
      <c r="D76" s="18">
        <v>202</v>
      </c>
      <c r="E76" s="18">
        <f t="shared" si="14"/>
        <v>663</v>
      </c>
      <c r="F76" s="19">
        <f t="shared" si="15"/>
        <v>1.3081309314760373E-2</v>
      </c>
      <c r="G76" s="18">
        <v>627</v>
      </c>
      <c r="H76" s="18">
        <v>68</v>
      </c>
      <c r="I76" s="18">
        <f t="shared" si="16"/>
        <v>695</v>
      </c>
      <c r="J76" s="19">
        <f t="shared" si="17"/>
        <v>8.0293910371200487E-3</v>
      </c>
      <c r="K76" s="18">
        <f t="shared" si="13"/>
        <v>1358</v>
      </c>
      <c r="L76" s="18">
        <v>0</v>
      </c>
      <c r="M76" s="18">
        <f t="shared" si="18"/>
        <v>1358</v>
      </c>
    </row>
    <row r="77" spans="2:13" x14ac:dyDescent="0.2">
      <c r="B77" s="20" t="s">
        <v>341</v>
      </c>
      <c r="C77" s="18">
        <v>364</v>
      </c>
      <c r="D77" s="18">
        <v>154</v>
      </c>
      <c r="E77" s="18">
        <f t="shared" si="14"/>
        <v>518</v>
      </c>
      <c r="F77" s="19">
        <f t="shared" si="15"/>
        <v>1.0220389479707199E-2</v>
      </c>
      <c r="G77" s="18">
        <v>996</v>
      </c>
      <c r="H77" s="18">
        <v>81</v>
      </c>
      <c r="I77" s="18">
        <f t="shared" si="16"/>
        <v>1077</v>
      </c>
      <c r="J77" s="19">
        <f t="shared" si="17"/>
        <v>1.2442667837378837E-2</v>
      </c>
      <c r="K77" s="18">
        <f t="shared" si="13"/>
        <v>1595</v>
      </c>
      <c r="L77" s="18">
        <v>0</v>
      </c>
      <c r="M77" s="18">
        <f t="shared" si="18"/>
        <v>1595</v>
      </c>
    </row>
    <row r="78" spans="2:13" x14ac:dyDescent="0.2">
      <c r="B78" s="20" t="s">
        <v>342</v>
      </c>
      <c r="C78" s="18">
        <v>1428</v>
      </c>
      <c r="D78" s="18">
        <v>513</v>
      </c>
      <c r="E78" s="18">
        <f t="shared" si="14"/>
        <v>1941</v>
      </c>
      <c r="F78" s="19">
        <f t="shared" si="15"/>
        <v>3.8296864826470413E-2</v>
      </c>
      <c r="G78" s="18">
        <v>4045</v>
      </c>
      <c r="H78" s="18">
        <v>210</v>
      </c>
      <c r="I78" s="18">
        <f t="shared" si="16"/>
        <v>4255</v>
      </c>
      <c r="J78" s="19">
        <f t="shared" si="17"/>
        <v>4.9158358076181012E-2</v>
      </c>
      <c r="K78" s="18">
        <f t="shared" si="13"/>
        <v>6196</v>
      </c>
      <c r="L78" s="18">
        <v>0</v>
      </c>
      <c r="M78" s="18">
        <f t="shared" si="18"/>
        <v>6196</v>
      </c>
    </row>
    <row r="79" spans="2:13" x14ac:dyDescent="0.2">
      <c r="B79" s="20" t="s">
        <v>343</v>
      </c>
      <c r="C79" s="18">
        <v>1680</v>
      </c>
      <c r="D79" s="18">
        <v>561</v>
      </c>
      <c r="E79" s="18">
        <f t="shared" si="14"/>
        <v>2241</v>
      </c>
      <c r="F79" s="19">
        <f t="shared" si="15"/>
        <v>4.4216009312787324E-2</v>
      </c>
      <c r="G79" s="18">
        <v>2717</v>
      </c>
      <c r="H79" s="18">
        <v>198</v>
      </c>
      <c r="I79" s="18">
        <f t="shared" si="16"/>
        <v>2915</v>
      </c>
      <c r="J79" s="19">
        <f t="shared" si="17"/>
        <v>3.3677230033388406E-2</v>
      </c>
      <c r="K79" s="18">
        <f t="shared" si="13"/>
        <v>5156</v>
      </c>
      <c r="L79" s="18">
        <v>0</v>
      </c>
      <c r="M79" s="18">
        <f t="shared" si="18"/>
        <v>5156</v>
      </c>
    </row>
    <row r="80" spans="2:13" x14ac:dyDescent="0.2">
      <c r="B80" s="20" t="s">
        <v>344</v>
      </c>
      <c r="C80" s="18">
        <v>761</v>
      </c>
      <c r="D80" s="18">
        <v>254</v>
      </c>
      <c r="E80" s="18">
        <f t="shared" si="14"/>
        <v>1015</v>
      </c>
      <c r="F80" s="19">
        <f t="shared" si="15"/>
        <v>2.0026438845372217E-2</v>
      </c>
      <c r="G80" s="18">
        <v>1867</v>
      </c>
      <c r="H80" s="18">
        <v>129</v>
      </c>
      <c r="I80" s="18">
        <f t="shared" si="16"/>
        <v>1996</v>
      </c>
      <c r="J80" s="19">
        <f t="shared" si="17"/>
        <v>2.3059948935383622E-2</v>
      </c>
      <c r="K80" s="18">
        <f t="shared" si="13"/>
        <v>3011</v>
      </c>
      <c r="L80" s="18">
        <v>0</v>
      </c>
      <c r="M80" s="18">
        <f t="shared" si="18"/>
        <v>3011</v>
      </c>
    </row>
    <row r="81" spans="2:13" x14ac:dyDescent="0.2">
      <c r="B81" s="20" t="s">
        <v>345</v>
      </c>
      <c r="C81" s="18">
        <v>638</v>
      </c>
      <c r="D81" s="18">
        <v>282</v>
      </c>
      <c r="E81" s="18">
        <f t="shared" si="14"/>
        <v>920</v>
      </c>
      <c r="F81" s="19">
        <f t="shared" si="15"/>
        <v>1.8152043091371861E-2</v>
      </c>
      <c r="G81" s="18">
        <v>1072</v>
      </c>
      <c r="H81" s="18">
        <v>82</v>
      </c>
      <c r="I81" s="18">
        <f t="shared" si="16"/>
        <v>1154</v>
      </c>
      <c r="J81" s="19">
        <f t="shared" si="17"/>
        <v>1.3332255045807965E-2</v>
      </c>
      <c r="K81" s="18">
        <f t="shared" si="13"/>
        <v>2074</v>
      </c>
      <c r="L81" s="18">
        <v>0</v>
      </c>
      <c r="M81" s="18">
        <f t="shared" si="18"/>
        <v>2074</v>
      </c>
    </row>
    <row r="82" spans="2:13" x14ac:dyDescent="0.2">
      <c r="B82" s="20" t="s">
        <v>346</v>
      </c>
      <c r="C82" s="18">
        <v>526</v>
      </c>
      <c r="D82" s="18">
        <v>190</v>
      </c>
      <c r="E82" s="18">
        <f t="shared" si="14"/>
        <v>716</v>
      </c>
      <c r="F82" s="19">
        <f t="shared" si="15"/>
        <v>1.412702484067636E-2</v>
      </c>
      <c r="G82" s="18">
        <v>636</v>
      </c>
      <c r="H82" s="18">
        <v>52</v>
      </c>
      <c r="I82" s="18">
        <f t="shared" si="16"/>
        <v>688</v>
      </c>
      <c r="J82" s="19">
        <f t="shared" si="17"/>
        <v>7.9485194727173993E-3</v>
      </c>
      <c r="K82" s="18">
        <f t="shared" si="13"/>
        <v>1404</v>
      </c>
      <c r="L82" s="18">
        <v>0</v>
      </c>
      <c r="M82" s="18">
        <f t="shared" si="18"/>
        <v>1404</v>
      </c>
    </row>
    <row r="83" spans="2:13" x14ac:dyDescent="0.2">
      <c r="B83" s="20" t="s">
        <v>347</v>
      </c>
      <c r="C83" s="18">
        <v>974</v>
      </c>
      <c r="D83" s="18">
        <v>301</v>
      </c>
      <c r="E83" s="18">
        <f t="shared" si="14"/>
        <v>1275</v>
      </c>
      <c r="F83" s="19">
        <f t="shared" si="15"/>
        <v>2.5156364066846872E-2</v>
      </c>
      <c r="G83" s="18">
        <v>2392</v>
      </c>
      <c r="H83" s="18">
        <v>175</v>
      </c>
      <c r="I83" s="18">
        <f t="shared" si="16"/>
        <v>2567</v>
      </c>
      <c r="J83" s="19">
        <f t="shared" si="17"/>
        <v>2.9656757974513902E-2</v>
      </c>
      <c r="K83" s="18">
        <f t="shared" si="13"/>
        <v>3842</v>
      </c>
      <c r="L83" s="18">
        <v>0</v>
      </c>
      <c r="M83" s="18">
        <f t="shared" si="18"/>
        <v>3842</v>
      </c>
    </row>
    <row r="84" spans="2:13" x14ac:dyDescent="0.2">
      <c r="B84" s="20" t="s">
        <v>49</v>
      </c>
      <c r="C84" s="18">
        <f t="shared" ref="C84:H84" si="19">SUM(C52:C83)</f>
        <v>38003</v>
      </c>
      <c r="D84" s="18">
        <f t="shared" si="19"/>
        <v>12680</v>
      </c>
      <c r="E84" s="20">
        <f t="shared" ref="E84" si="20">C84+D84</f>
        <v>50683</v>
      </c>
      <c r="F84" s="22">
        <f t="shared" ref="F84" si="21">E84/$E$84</f>
        <v>1</v>
      </c>
      <c r="G84" s="18">
        <f t="shared" si="19"/>
        <v>80830</v>
      </c>
      <c r="H84" s="18">
        <f t="shared" si="19"/>
        <v>5727</v>
      </c>
      <c r="I84" s="20">
        <f t="shared" ref="I84" si="22">H84+G84</f>
        <v>86557</v>
      </c>
      <c r="J84" s="22">
        <f t="shared" ref="J84" si="23">I84/$I$84</f>
        <v>1</v>
      </c>
      <c r="K84" s="20">
        <f>E84+I84</f>
        <v>137240</v>
      </c>
      <c r="L84" s="18">
        <f t="shared" ref="L84" si="24">SUM(L52:L83)</f>
        <v>2</v>
      </c>
      <c r="M84" s="20">
        <f t="shared" si="18"/>
        <v>137242</v>
      </c>
    </row>
    <row r="85" spans="2:13" ht="24" x14ac:dyDescent="0.2">
      <c r="B85" s="32" t="s">
        <v>66</v>
      </c>
      <c r="C85" s="33">
        <f>+C84/M84</f>
        <v>0.27690502907273284</v>
      </c>
      <c r="D85" s="33">
        <f>+D84/M84</f>
        <v>9.2391541947800235E-2</v>
      </c>
      <c r="E85" s="34">
        <f>+E84/M84</f>
        <v>0.36929657102053309</v>
      </c>
      <c r="F85" s="34"/>
      <c r="G85" s="33">
        <f>+G84/M84</f>
        <v>0.58895964792119027</v>
      </c>
      <c r="H85" s="33">
        <f>+H84/M84</f>
        <v>4.1729208259862142E-2</v>
      </c>
      <c r="I85" s="34">
        <f>+I84/M84</f>
        <v>0.63068885618105242</v>
      </c>
      <c r="J85" s="34"/>
      <c r="K85" s="34">
        <f>+K84/M84</f>
        <v>0.99998542720158556</v>
      </c>
      <c r="L85" s="34">
        <f>+L84/M84</f>
        <v>1.4572798414479533E-5</v>
      </c>
      <c r="M85" s="34">
        <f>K85+L85</f>
        <v>1</v>
      </c>
    </row>
    <row r="86" spans="2:13" x14ac:dyDescent="0.2">
      <c r="B86" s="25" t="s">
        <v>129</v>
      </c>
    </row>
    <row r="87" spans="2:13" x14ac:dyDescent="0.2">
      <c r="B87" s="25" t="s">
        <v>130</v>
      </c>
    </row>
  </sheetData>
  <mergeCells count="12">
    <mergeCell ref="L50:M50"/>
    <mergeCell ref="B49:M49"/>
    <mergeCell ref="B6:K6"/>
    <mergeCell ref="B5:K5"/>
    <mergeCell ref="B47:K47"/>
    <mergeCell ref="B46:K46"/>
    <mergeCell ref="B8:M8"/>
    <mergeCell ref="L9:M9"/>
    <mergeCell ref="B50:B51"/>
    <mergeCell ref="C50:K50"/>
    <mergeCell ref="B9:B10"/>
    <mergeCell ref="C9:K9"/>
  </mergeCells>
  <hyperlinks>
    <hyperlink ref="M5" location="'Índice Pensiones Solidarias'!A1" display="Volver Sistema de Pensiones Solidadias" xr:uid="{00000000-0004-0000-1100-000000000000}"/>
  </hyperlinks>
  <pageMargins left="0.74803149606299213" right="0.74803149606299213" top="0.98425196850393704" bottom="0.98425196850393704" header="0" footer="0"/>
  <pageSetup scale="77" fitToHeight="2" orientation="portrait" r:id="rId1"/>
  <headerFooter alignWithMargins="0"/>
  <rowBreaks count="1" manualBreakCount="1">
    <brk id="49" min="1" max="12"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28">
    <pageSetUpPr fitToPage="1"/>
  </sheetPr>
  <dimension ref="A1:P47"/>
  <sheetViews>
    <sheetView showGridLines="0" zoomScaleNormal="100" workbookViewId="0">
      <selection sqref="A1:XFD1048576"/>
    </sheetView>
  </sheetViews>
  <sheetFormatPr baseColWidth="10" defaultRowHeight="12" x14ac:dyDescent="0.2"/>
  <cols>
    <col min="1" max="1" width="6" style="26" customWidth="1"/>
    <col min="2" max="2" width="18.140625" style="26" customWidth="1"/>
    <col min="3" max="4" width="8.42578125" style="26" bestFit="1" customWidth="1"/>
    <col min="5" max="6" width="8.42578125" style="26" customWidth="1"/>
    <col min="7" max="7" width="9.140625" style="26" bestFit="1" customWidth="1"/>
    <col min="8" max="8" width="8.28515625" style="26" bestFit="1" customWidth="1"/>
    <col min="9" max="11" width="8.28515625" style="26" customWidth="1"/>
    <col min="12" max="12" width="8.42578125" style="26" customWidth="1"/>
    <col min="13" max="251" width="11.42578125" style="26"/>
    <col min="252" max="252" width="18.140625" style="26" customWidth="1"/>
    <col min="253" max="254" width="8.42578125" style="26" bestFit="1" customWidth="1"/>
    <col min="255" max="256" width="8.42578125" style="26" customWidth="1"/>
    <col min="257" max="257" width="9.140625" style="26" bestFit="1" customWidth="1"/>
    <col min="258" max="258" width="8.28515625" style="26" bestFit="1" customWidth="1"/>
    <col min="259" max="261" width="8.28515625" style="26" customWidth="1"/>
    <col min="262" max="267" width="0" style="26" hidden="1" customWidth="1"/>
    <col min="268" max="268" width="8.42578125" style="26" customWidth="1"/>
    <col min="269" max="507" width="11.42578125" style="26"/>
    <col min="508" max="508" width="18.140625" style="26" customWidth="1"/>
    <col min="509" max="510" width="8.42578125" style="26" bestFit="1" customWidth="1"/>
    <col min="511" max="512" width="8.42578125" style="26" customWidth="1"/>
    <col min="513" max="513" width="9.140625" style="26" bestFit="1" customWidth="1"/>
    <col min="514" max="514" width="8.28515625" style="26" bestFit="1" customWidth="1"/>
    <col min="515" max="517" width="8.28515625" style="26" customWidth="1"/>
    <col min="518" max="523" width="0" style="26" hidden="1" customWidth="1"/>
    <col min="524" max="524" width="8.42578125" style="26" customWidth="1"/>
    <col min="525" max="763" width="11.42578125" style="26"/>
    <col min="764" max="764" width="18.140625" style="26" customWidth="1"/>
    <col min="765" max="766" width="8.42578125" style="26" bestFit="1" customWidth="1"/>
    <col min="767" max="768" width="8.42578125" style="26" customWidth="1"/>
    <col min="769" max="769" width="9.140625" style="26" bestFit="1" customWidth="1"/>
    <col min="770" max="770" width="8.28515625" style="26" bestFit="1" customWidth="1"/>
    <col min="771" max="773" width="8.28515625" style="26" customWidth="1"/>
    <col min="774" max="779" width="0" style="26" hidden="1" customWidth="1"/>
    <col min="780" max="780" width="8.42578125" style="26" customWidth="1"/>
    <col min="781" max="1019" width="11.42578125" style="26"/>
    <col min="1020" max="1020" width="18.140625" style="26" customWidth="1"/>
    <col min="1021" max="1022" width="8.42578125" style="26" bestFit="1" customWidth="1"/>
    <col min="1023" max="1024" width="8.42578125" style="26" customWidth="1"/>
    <col min="1025" max="1025" width="9.140625" style="26" bestFit="1" customWidth="1"/>
    <col min="1026" max="1026" width="8.28515625" style="26" bestFit="1" customWidth="1"/>
    <col min="1027" max="1029" width="8.28515625" style="26" customWidth="1"/>
    <col min="1030" max="1035" width="0" style="26" hidden="1" customWidth="1"/>
    <col min="1036" max="1036" width="8.42578125" style="26" customWidth="1"/>
    <col min="1037" max="1275" width="11.42578125" style="26"/>
    <col min="1276" max="1276" width="18.140625" style="26" customWidth="1"/>
    <col min="1277" max="1278" width="8.42578125" style="26" bestFit="1" customWidth="1"/>
    <col min="1279" max="1280" width="8.42578125" style="26" customWidth="1"/>
    <col min="1281" max="1281" width="9.140625" style="26" bestFit="1" customWidth="1"/>
    <col min="1282" max="1282" width="8.28515625" style="26" bestFit="1" customWidth="1"/>
    <col min="1283" max="1285" width="8.28515625" style="26" customWidth="1"/>
    <col min="1286" max="1291" width="0" style="26" hidden="1" customWidth="1"/>
    <col min="1292" max="1292" width="8.42578125" style="26" customWidth="1"/>
    <col min="1293" max="1531" width="11.42578125" style="26"/>
    <col min="1532" max="1532" width="18.140625" style="26" customWidth="1"/>
    <col min="1533" max="1534" width="8.42578125" style="26" bestFit="1" customWidth="1"/>
    <col min="1535" max="1536" width="8.42578125" style="26" customWidth="1"/>
    <col min="1537" max="1537" width="9.140625" style="26" bestFit="1" customWidth="1"/>
    <col min="1538" max="1538" width="8.28515625" style="26" bestFit="1" customWidth="1"/>
    <col min="1539" max="1541" width="8.28515625" style="26" customWidth="1"/>
    <col min="1542" max="1547" width="0" style="26" hidden="1" customWidth="1"/>
    <col min="1548" max="1548" width="8.42578125" style="26" customWidth="1"/>
    <col min="1549" max="1787" width="11.42578125" style="26"/>
    <col min="1788" max="1788" width="18.140625" style="26" customWidth="1"/>
    <col min="1789" max="1790" width="8.42578125" style="26" bestFit="1" customWidth="1"/>
    <col min="1791" max="1792" width="8.42578125" style="26" customWidth="1"/>
    <col min="1793" max="1793" width="9.140625" style="26" bestFit="1" customWidth="1"/>
    <col min="1794" max="1794" width="8.28515625" style="26" bestFit="1" customWidth="1"/>
    <col min="1795" max="1797" width="8.28515625" style="26" customWidth="1"/>
    <col min="1798" max="1803" width="0" style="26" hidden="1" customWidth="1"/>
    <col min="1804" max="1804" width="8.42578125" style="26" customWidth="1"/>
    <col min="1805" max="2043" width="11.42578125" style="26"/>
    <col min="2044" max="2044" width="18.140625" style="26" customWidth="1"/>
    <col min="2045" max="2046" width="8.42578125" style="26" bestFit="1" customWidth="1"/>
    <col min="2047" max="2048" width="8.42578125" style="26" customWidth="1"/>
    <col min="2049" max="2049" width="9.140625" style="26" bestFit="1" customWidth="1"/>
    <col min="2050" max="2050" width="8.28515625" style="26" bestFit="1" customWidth="1"/>
    <col min="2051" max="2053" width="8.28515625" style="26" customWidth="1"/>
    <col min="2054" max="2059" width="0" style="26" hidden="1" customWidth="1"/>
    <col min="2060" max="2060" width="8.42578125" style="26" customWidth="1"/>
    <col min="2061" max="2299" width="11.42578125" style="26"/>
    <col min="2300" max="2300" width="18.140625" style="26" customWidth="1"/>
    <col min="2301" max="2302" width="8.42578125" style="26" bestFit="1" customWidth="1"/>
    <col min="2303" max="2304" width="8.42578125" style="26" customWidth="1"/>
    <col min="2305" max="2305" width="9.140625" style="26" bestFit="1" customWidth="1"/>
    <col min="2306" max="2306" width="8.28515625" style="26" bestFit="1" customWidth="1"/>
    <col min="2307" max="2309" width="8.28515625" style="26" customWidth="1"/>
    <col min="2310" max="2315" width="0" style="26" hidden="1" customWidth="1"/>
    <col min="2316" max="2316" width="8.42578125" style="26" customWidth="1"/>
    <col min="2317" max="2555" width="11.42578125" style="26"/>
    <col min="2556" max="2556" width="18.140625" style="26" customWidth="1"/>
    <col min="2557" max="2558" width="8.42578125" style="26" bestFit="1" customWidth="1"/>
    <col min="2559" max="2560" width="8.42578125" style="26" customWidth="1"/>
    <col min="2561" max="2561" width="9.140625" style="26" bestFit="1" customWidth="1"/>
    <col min="2562" max="2562" width="8.28515625" style="26" bestFit="1" customWidth="1"/>
    <col min="2563" max="2565" width="8.28515625" style="26" customWidth="1"/>
    <col min="2566" max="2571" width="0" style="26" hidden="1" customWidth="1"/>
    <col min="2572" max="2572" width="8.42578125" style="26" customWidth="1"/>
    <col min="2573" max="2811" width="11.42578125" style="26"/>
    <col min="2812" max="2812" width="18.140625" style="26" customWidth="1"/>
    <col min="2813" max="2814" width="8.42578125" style="26" bestFit="1" customWidth="1"/>
    <col min="2815" max="2816" width="8.42578125" style="26" customWidth="1"/>
    <col min="2817" max="2817" width="9.140625" style="26" bestFit="1" customWidth="1"/>
    <col min="2818" max="2818" width="8.28515625" style="26" bestFit="1" customWidth="1"/>
    <col min="2819" max="2821" width="8.28515625" style="26" customWidth="1"/>
    <col min="2822" max="2827" width="0" style="26" hidden="1" customWidth="1"/>
    <col min="2828" max="2828" width="8.42578125" style="26" customWidth="1"/>
    <col min="2829" max="3067" width="11.42578125" style="26"/>
    <col min="3068" max="3068" width="18.140625" style="26" customWidth="1"/>
    <col min="3069" max="3070" width="8.42578125" style="26" bestFit="1" customWidth="1"/>
    <col min="3071" max="3072" width="8.42578125" style="26" customWidth="1"/>
    <col min="3073" max="3073" width="9.140625" style="26" bestFit="1" customWidth="1"/>
    <col min="3074" max="3074" width="8.28515625" style="26" bestFit="1" customWidth="1"/>
    <col min="3075" max="3077" width="8.28515625" style="26" customWidth="1"/>
    <col min="3078" max="3083" width="0" style="26" hidden="1" customWidth="1"/>
    <col min="3084" max="3084" width="8.42578125" style="26" customWidth="1"/>
    <col min="3085" max="3323" width="11.42578125" style="26"/>
    <col min="3324" max="3324" width="18.140625" style="26" customWidth="1"/>
    <col min="3325" max="3326" width="8.42578125" style="26" bestFit="1" customWidth="1"/>
    <col min="3327" max="3328" width="8.42578125" style="26" customWidth="1"/>
    <col min="3329" max="3329" width="9.140625" style="26" bestFit="1" customWidth="1"/>
    <col min="3330" max="3330" width="8.28515625" style="26" bestFit="1" customWidth="1"/>
    <col min="3331" max="3333" width="8.28515625" style="26" customWidth="1"/>
    <col min="3334" max="3339" width="0" style="26" hidden="1" customWidth="1"/>
    <col min="3340" max="3340" width="8.42578125" style="26" customWidth="1"/>
    <col min="3341" max="3579" width="11.42578125" style="26"/>
    <col min="3580" max="3580" width="18.140625" style="26" customWidth="1"/>
    <col min="3581" max="3582" width="8.42578125" style="26" bestFit="1" customWidth="1"/>
    <col min="3583" max="3584" width="8.42578125" style="26" customWidth="1"/>
    <col min="3585" max="3585" width="9.140625" style="26" bestFit="1" customWidth="1"/>
    <col min="3586" max="3586" width="8.28515625" style="26" bestFit="1" customWidth="1"/>
    <col min="3587" max="3589" width="8.28515625" style="26" customWidth="1"/>
    <col min="3590" max="3595" width="0" style="26" hidden="1" customWidth="1"/>
    <col min="3596" max="3596" width="8.42578125" style="26" customWidth="1"/>
    <col min="3597" max="3835" width="11.42578125" style="26"/>
    <col min="3836" max="3836" width="18.140625" style="26" customWidth="1"/>
    <col min="3837" max="3838" width="8.42578125" style="26" bestFit="1" customWidth="1"/>
    <col min="3839" max="3840" width="8.42578125" style="26" customWidth="1"/>
    <col min="3841" max="3841" width="9.140625" style="26" bestFit="1" customWidth="1"/>
    <col min="3842" max="3842" width="8.28515625" style="26" bestFit="1" customWidth="1"/>
    <col min="3843" max="3845" width="8.28515625" style="26" customWidth="1"/>
    <col min="3846" max="3851" width="0" style="26" hidden="1" customWidth="1"/>
    <col min="3852" max="3852" width="8.42578125" style="26" customWidth="1"/>
    <col min="3853" max="4091" width="11.42578125" style="26"/>
    <col min="4092" max="4092" width="18.140625" style="26" customWidth="1"/>
    <col min="4093" max="4094" width="8.42578125" style="26" bestFit="1" customWidth="1"/>
    <col min="4095" max="4096" width="8.42578125" style="26" customWidth="1"/>
    <col min="4097" max="4097" width="9.140625" style="26" bestFit="1" customWidth="1"/>
    <col min="4098" max="4098" width="8.28515625" style="26" bestFit="1" customWidth="1"/>
    <col min="4099" max="4101" width="8.28515625" style="26" customWidth="1"/>
    <col min="4102" max="4107" width="0" style="26" hidden="1" customWidth="1"/>
    <col min="4108" max="4108" width="8.42578125" style="26" customWidth="1"/>
    <col min="4109" max="4347" width="11.42578125" style="26"/>
    <col min="4348" max="4348" width="18.140625" style="26" customWidth="1"/>
    <col min="4349" max="4350" width="8.42578125" style="26" bestFit="1" customWidth="1"/>
    <col min="4351" max="4352" width="8.42578125" style="26" customWidth="1"/>
    <col min="4353" max="4353" width="9.140625" style="26" bestFit="1" customWidth="1"/>
    <col min="4354" max="4354" width="8.28515625" style="26" bestFit="1" customWidth="1"/>
    <col min="4355" max="4357" width="8.28515625" style="26" customWidth="1"/>
    <col min="4358" max="4363" width="0" style="26" hidden="1" customWidth="1"/>
    <col min="4364" max="4364" width="8.42578125" style="26" customWidth="1"/>
    <col min="4365" max="4603" width="11.42578125" style="26"/>
    <col min="4604" max="4604" width="18.140625" style="26" customWidth="1"/>
    <col min="4605" max="4606" width="8.42578125" style="26" bestFit="1" customWidth="1"/>
    <col min="4607" max="4608" width="8.42578125" style="26" customWidth="1"/>
    <col min="4609" max="4609" width="9.140625" style="26" bestFit="1" customWidth="1"/>
    <col min="4610" max="4610" width="8.28515625" style="26" bestFit="1" customWidth="1"/>
    <col min="4611" max="4613" width="8.28515625" style="26" customWidth="1"/>
    <col min="4614" max="4619" width="0" style="26" hidden="1" customWidth="1"/>
    <col min="4620" max="4620" width="8.42578125" style="26" customWidth="1"/>
    <col min="4621" max="4859" width="11.42578125" style="26"/>
    <col min="4860" max="4860" width="18.140625" style="26" customWidth="1"/>
    <col min="4861" max="4862" width="8.42578125" style="26" bestFit="1" customWidth="1"/>
    <col min="4863" max="4864" width="8.42578125" style="26" customWidth="1"/>
    <col min="4865" max="4865" width="9.140625" style="26" bestFit="1" customWidth="1"/>
    <col min="4866" max="4866" width="8.28515625" style="26" bestFit="1" customWidth="1"/>
    <col min="4867" max="4869" width="8.28515625" style="26" customWidth="1"/>
    <col min="4870" max="4875" width="0" style="26" hidden="1" customWidth="1"/>
    <col min="4876" max="4876" width="8.42578125" style="26" customWidth="1"/>
    <col min="4877" max="5115" width="11.42578125" style="26"/>
    <col min="5116" max="5116" width="18.140625" style="26" customWidth="1"/>
    <col min="5117" max="5118" width="8.42578125" style="26" bestFit="1" customWidth="1"/>
    <col min="5119" max="5120" width="8.42578125" style="26" customWidth="1"/>
    <col min="5121" max="5121" width="9.140625" style="26" bestFit="1" customWidth="1"/>
    <col min="5122" max="5122" width="8.28515625" style="26" bestFit="1" customWidth="1"/>
    <col min="5123" max="5125" width="8.28515625" style="26" customWidth="1"/>
    <col min="5126" max="5131" width="0" style="26" hidden="1" customWidth="1"/>
    <col min="5132" max="5132" width="8.42578125" style="26" customWidth="1"/>
    <col min="5133" max="5371" width="11.42578125" style="26"/>
    <col min="5372" max="5372" width="18.140625" style="26" customWidth="1"/>
    <col min="5373" max="5374" width="8.42578125" style="26" bestFit="1" customWidth="1"/>
    <col min="5375" max="5376" width="8.42578125" style="26" customWidth="1"/>
    <col min="5377" max="5377" width="9.140625" style="26" bestFit="1" customWidth="1"/>
    <col min="5378" max="5378" width="8.28515625" style="26" bestFit="1" customWidth="1"/>
    <col min="5379" max="5381" width="8.28515625" style="26" customWidth="1"/>
    <col min="5382" max="5387" width="0" style="26" hidden="1" customWidth="1"/>
    <col min="5388" max="5388" width="8.42578125" style="26" customWidth="1"/>
    <col min="5389" max="5627" width="11.42578125" style="26"/>
    <col min="5628" max="5628" width="18.140625" style="26" customWidth="1"/>
    <col min="5629" max="5630" width="8.42578125" style="26" bestFit="1" customWidth="1"/>
    <col min="5631" max="5632" width="8.42578125" style="26" customWidth="1"/>
    <col min="5633" max="5633" width="9.140625" style="26" bestFit="1" customWidth="1"/>
    <col min="5634" max="5634" width="8.28515625" style="26" bestFit="1" customWidth="1"/>
    <col min="5635" max="5637" width="8.28515625" style="26" customWidth="1"/>
    <col min="5638" max="5643" width="0" style="26" hidden="1" customWidth="1"/>
    <col min="5644" max="5644" width="8.42578125" style="26" customWidth="1"/>
    <col min="5645" max="5883" width="11.42578125" style="26"/>
    <col min="5884" max="5884" width="18.140625" style="26" customWidth="1"/>
    <col min="5885" max="5886" width="8.42578125" style="26" bestFit="1" customWidth="1"/>
    <col min="5887" max="5888" width="8.42578125" style="26" customWidth="1"/>
    <col min="5889" max="5889" width="9.140625" style="26" bestFit="1" customWidth="1"/>
    <col min="5890" max="5890" width="8.28515625" style="26" bestFit="1" customWidth="1"/>
    <col min="5891" max="5893" width="8.28515625" style="26" customWidth="1"/>
    <col min="5894" max="5899" width="0" style="26" hidden="1" customWidth="1"/>
    <col min="5900" max="5900" width="8.42578125" style="26" customWidth="1"/>
    <col min="5901" max="6139" width="11.42578125" style="26"/>
    <col min="6140" max="6140" width="18.140625" style="26" customWidth="1"/>
    <col min="6141" max="6142" width="8.42578125" style="26" bestFit="1" customWidth="1"/>
    <col min="6143" max="6144" width="8.42578125" style="26" customWidth="1"/>
    <col min="6145" max="6145" width="9.140625" style="26" bestFit="1" customWidth="1"/>
    <col min="6146" max="6146" width="8.28515625" style="26" bestFit="1" customWidth="1"/>
    <col min="6147" max="6149" width="8.28515625" style="26" customWidth="1"/>
    <col min="6150" max="6155" width="0" style="26" hidden="1" customWidth="1"/>
    <col min="6156" max="6156" width="8.42578125" style="26" customWidth="1"/>
    <col min="6157" max="6395" width="11.42578125" style="26"/>
    <col min="6396" max="6396" width="18.140625" style="26" customWidth="1"/>
    <col min="6397" max="6398" width="8.42578125" style="26" bestFit="1" customWidth="1"/>
    <col min="6399" max="6400" width="8.42578125" style="26" customWidth="1"/>
    <col min="6401" max="6401" width="9.140625" style="26" bestFit="1" customWidth="1"/>
    <col min="6402" max="6402" width="8.28515625" style="26" bestFit="1" customWidth="1"/>
    <col min="6403" max="6405" width="8.28515625" style="26" customWidth="1"/>
    <col min="6406" max="6411" width="0" style="26" hidden="1" customWidth="1"/>
    <col min="6412" max="6412" width="8.42578125" style="26" customWidth="1"/>
    <col min="6413" max="6651" width="11.42578125" style="26"/>
    <col min="6652" max="6652" width="18.140625" style="26" customWidth="1"/>
    <col min="6653" max="6654" width="8.42578125" style="26" bestFit="1" customWidth="1"/>
    <col min="6655" max="6656" width="8.42578125" style="26" customWidth="1"/>
    <col min="6657" max="6657" width="9.140625" style="26" bestFit="1" customWidth="1"/>
    <col min="6658" max="6658" width="8.28515625" style="26" bestFit="1" customWidth="1"/>
    <col min="6659" max="6661" width="8.28515625" style="26" customWidth="1"/>
    <col min="6662" max="6667" width="0" style="26" hidden="1" customWidth="1"/>
    <col min="6668" max="6668" width="8.42578125" style="26" customWidth="1"/>
    <col min="6669" max="6907" width="11.42578125" style="26"/>
    <col min="6908" max="6908" width="18.140625" style="26" customWidth="1"/>
    <col min="6909" max="6910" width="8.42578125" style="26" bestFit="1" customWidth="1"/>
    <col min="6911" max="6912" width="8.42578125" style="26" customWidth="1"/>
    <col min="6913" max="6913" width="9.140625" style="26" bestFit="1" customWidth="1"/>
    <col min="6914" max="6914" width="8.28515625" style="26" bestFit="1" customWidth="1"/>
    <col min="6915" max="6917" width="8.28515625" style="26" customWidth="1"/>
    <col min="6918" max="6923" width="0" style="26" hidden="1" customWidth="1"/>
    <col min="6924" max="6924" width="8.42578125" style="26" customWidth="1"/>
    <col min="6925" max="7163" width="11.42578125" style="26"/>
    <col min="7164" max="7164" width="18.140625" style="26" customWidth="1"/>
    <col min="7165" max="7166" width="8.42578125" style="26" bestFit="1" customWidth="1"/>
    <col min="7167" max="7168" width="8.42578125" style="26" customWidth="1"/>
    <col min="7169" max="7169" width="9.140625" style="26" bestFit="1" customWidth="1"/>
    <col min="7170" max="7170" width="8.28515625" style="26" bestFit="1" customWidth="1"/>
    <col min="7171" max="7173" width="8.28515625" style="26" customWidth="1"/>
    <col min="7174" max="7179" width="0" style="26" hidden="1" customWidth="1"/>
    <col min="7180" max="7180" width="8.42578125" style="26" customWidth="1"/>
    <col min="7181" max="7419" width="11.42578125" style="26"/>
    <col min="7420" max="7420" width="18.140625" style="26" customWidth="1"/>
    <col min="7421" max="7422" width="8.42578125" style="26" bestFit="1" customWidth="1"/>
    <col min="7423" max="7424" width="8.42578125" style="26" customWidth="1"/>
    <col min="7425" max="7425" width="9.140625" style="26" bestFit="1" customWidth="1"/>
    <col min="7426" max="7426" width="8.28515625" style="26" bestFit="1" customWidth="1"/>
    <col min="7427" max="7429" width="8.28515625" style="26" customWidth="1"/>
    <col min="7430" max="7435" width="0" style="26" hidden="1" customWidth="1"/>
    <col min="7436" max="7436" width="8.42578125" style="26" customWidth="1"/>
    <col min="7437" max="7675" width="11.42578125" style="26"/>
    <col min="7676" max="7676" width="18.140625" style="26" customWidth="1"/>
    <col min="7677" max="7678" width="8.42578125" style="26" bestFit="1" customWidth="1"/>
    <col min="7679" max="7680" width="8.42578125" style="26" customWidth="1"/>
    <col min="7681" max="7681" width="9.140625" style="26" bestFit="1" customWidth="1"/>
    <col min="7682" max="7682" width="8.28515625" style="26" bestFit="1" customWidth="1"/>
    <col min="7683" max="7685" width="8.28515625" style="26" customWidth="1"/>
    <col min="7686" max="7691" width="0" style="26" hidden="1" customWidth="1"/>
    <col min="7692" max="7692" width="8.42578125" style="26" customWidth="1"/>
    <col min="7693" max="7931" width="11.42578125" style="26"/>
    <col min="7932" max="7932" width="18.140625" style="26" customWidth="1"/>
    <col min="7933" max="7934" width="8.42578125" style="26" bestFit="1" customWidth="1"/>
    <col min="7935" max="7936" width="8.42578125" style="26" customWidth="1"/>
    <col min="7937" max="7937" width="9.140625" style="26" bestFit="1" customWidth="1"/>
    <col min="7938" max="7938" width="8.28515625" style="26" bestFit="1" customWidth="1"/>
    <col min="7939" max="7941" width="8.28515625" style="26" customWidth="1"/>
    <col min="7942" max="7947" width="0" style="26" hidden="1" customWidth="1"/>
    <col min="7948" max="7948" width="8.42578125" style="26" customWidth="1"/>
    <col min="7949" max="8187" width="11.42578125" style="26"/>
    <col min="8188" max="8188" width="18.140625" style="26" customWidth="1"/>
    <col min="8189" max="8190" width="8.42578125" style="26" bestFit="1" customWidth="1"/>
    <col min="8191" max="8192" width="8.42578125" style="26" customWidth="1"/>
    <col min="8193" max="8193" width="9.140625" style="26" bestFit="1" customWidth="1"/>
    <col min="8194" max="8194" width="8.28515625" style="26" bestFit="1" customWidth="1"/>
    <col min="8195" max="8197" width="8.28515625" style="26" customWidth="1"/>
    <col min="8198" max="8203" width="0" style="26" hidden="1" customWidth="1"/>
    <col min="8204" max="8204" width="8.42578125" style="26" customWidth="1"/>
    <col min="8205" max="8443" width="11.42578125" style="26"/>
    <col min="8444" max="8444" width="18.140625" style="26" customWidth="1"/>
    <col min="8445" max="8446" width="8.42578125" style="26" bestFit="1" customWidth="1"/>
    <col min="8447" max="8448" width="8.42578125" style="26" customWidth="1"/>
    <col min="8449" max="8449" width="9.140625" style="26" bestFit="1" customWidth="1"/>
    <col min="8450" max="8450" width="8.28515625" style="26" bestFit="1" customWidth="1"/>
    <col min="8451" max="8453" width="8.28515625" style="26" customWidth="1"/>
    <col min="8454" max="8459" width="0" style="26" hidden="1" customWidth="1"/>
    <col min="8460" max="8460" width="8.42578125" style="26" customWidth="1"/>
    <col min="8461" max="8699" width="11.42578125" style="26"/>
    <col min="8700" max="8700" width="18.140625" style="26" customWidth="1"/>
    <col min="8701" max="8702" width="8.42578125" style="26" bestFit="1" customWidth="1"/>
    <col min="8703" max="8704" width="8.42578125" style="26" customWidth="1"/>
    <col min="8705" max="8705" width="9.140625" style="26" bestFit="1" customWidth="1"/>
    <col min="8706" max="8706" width="8.28515625" style="26" bestFit="1" customWidth="1"/>
    <col min="8707" max="8709" width="8.28515625" style="26" customWidth="1"/>
    <col min="8710" max="8715" width="0" style="26" hidden="1" customWidth="1"/>
    <col min="8716" max="8716" width="8.42578125" style="26" customWidth="1"/>
    <col min="8717" max="8955" width="11.42578125" style="26"/>
    <col min="8956" max="8956" width="18.140625" style="26" customWidth="1"/>
    <col min="8957" max="8958" width="8.42578125" style="26" bestFit="1" customWidth="1"/>
    <col min="8959" max="8960" width="8.42578125" style="26" customWidth="1"/>
    <col min="8961" max="8961" width="9.140625" style="26" bestFit="1" customWidth="1"/>
    <col min="8962" max="8962" width="8.28515625" style="26" bestFit="1" customWidth="1"/>
    <col min="8963" max="8965" width="8.28515625" style="26" customWidth="1"/>
    <col min="8966" max="8971" width="0" style="26" hidden="1" customWidth="1"/>
    <col min="8972" max="8972" width="8.42578125" style="26" customWidth="1"/>
    <col min="8973" max="9211" width="11.42578125" style="26"/>
    <col min="9212" max="9212" width="18.140625" style="26" customWidth="1"/>
    <col min="9213" max="9214" width="8.42578125" style="26" bestFit="1" customWidth="1"/>
    <col min="9215" max="9216" width="8.42578125" style="26" customWidth="1"/>
    <col min="9217" max="9217" width="9.140625" style="26" bestFit="1" customWidth="1"/>
    <col min="9218" max="9218" width="8.28515625" style="26" bestFit="1" customWidth="1"/>
    <col min="9219" max="9221" width="8.28515625" style="26" customWidth="1"/>
    <col min="9222" max="9227" width="0" style="26" hidden="1" customWidth="1"/>
    <col min="9228" max="9228" width="8.42578125" style="26" customWidth="1"/>
    <col min="9229" max="9467" width="11.42578125" style="26"/>
    <col min="9468" max="9468" width="18.140625" style="26" customWidth="1"/>
    <col min="9469" max="9470" width="8.42578125" style="26" bestFit="1" customWidth="1"/>
    <col min="9471" max="9472" width="8.42578125" style="26" customWidth="1"/>
    <col min="9473" max="9473" width="9.140625" style="26" bestFit="1" customWidth="1"/>
    <col min="9474" max="9474" width="8.28515625" style="26" bestFit="1" customWidth="1"/>
    <col min="9475" max="9477" width="8.28515625" style="26" customWidth="1"/>
    <col min="9478" max="9483" width="0" style="26" hidden="1" customWidth="1"/>
    <col min="9484" max="9484" width="8.42578125" style="26" customWidth="1"/>
    <col min="9485" max="9723" width="11.42578125" style="26"/>
    <col min="9724" max="9724" width="18.140625" style="26" customWidth="1"/>
    <col min="9725" max="9726" width="8.42578125" style="26" bestFit="1" customWidth="1"/>
    <col min="9727" max="9728" width="8.42578125" style="26" customWidth="1"/>
    <col min="9729" max="9729" width="9.140625" style="26" bestFit="1" customWidth="1"/>
    <col min="9730" max="9730" width="8.28515625" style="26" bestFit="1" customWidth="1"/>
    <col min="9731" max="9733" width="8.28515625" style="26" customWidth="1"/>
    <col min="9734" max="9739" width="0" style="26" hidden="1" customWidth="1"/>
    <col min="9740" max="9740" width="8.42578125" style="26" customWidth="1"/>
    <col min="9741" max="9979" width="11.42578125" style="26"/>
    <col min="9980" max="9980" width="18.140625" style="26" customWidth="1"/>
    <col min="9981" max="9982" width="8.42578125" style="26" bestFit="1" customWidth="1"/>
    <col min="9983" max="9984" width="8.42578125" style="26" customWidth="1"/>
    <col min="9985" max="9985" width="9.140625" style="26" bestFit="1" customWidth="1"/>
    <col min="9986" max="9986" width="8.28515625" style="26" bestFit="1" customWidth="1"/>
    <col min="9987" max="9989" width="8.28515625" style="26" customWidth="1"/>
    <col min="9990" max="9995" width="0" style="26" hidden="1" customWidth="1"/>
    <col min="9996" max="9996" width="8.42578125" style="26" customWidth="1"/>
    <col min="9997" max="10235" width="11.42578125" style="26"/>
    <col min="10236" max="10236" width="18.140625" style="26" customWidth="1"/>
    <col min="10237" max="10238" width="8.42578125" style="26" bestFit="1" customWidth="1"/>
    <col min="10239" max="10240" width="8.42578125" style="26" customWidth="1"/>
    <col min="10241" max="10241" width="9.140625" style="26" bestFit="1" customWidth="1"/>
    <col min="10242" max="10242" width="8.28515625" style="26" bestFit="1" customWidth="1"/>
    <col min="10243" max="10245" width="8.28515625" style="26" customWidth="1"/>
    <col min="10246" max="10251" width="0" style="26" hidden="1" customWidth="1"/>
    <col min="10252" max="10252" width="8.42578125" style="26" customWidth="1"/>
    <col min="10253" max="10491" width="11.42578125" style="26"/>
    <col min="10492" max="10492" width="18.140625" style="26" customWidth="1"/>
    <col min="10493" max="10494" width="8.42578125" style="26" bestFit="1" customWidth="1"/>
    <col min="10495" max="10496" width="8.42578125" style="26" customWidth="1"/>
    <col min="10497" max="10497" width="9.140625" style="26" bestFit="1" customWidth="1"/>
    <col min="10498" max="10498" width="8.28515625" style="26" bestFit="1" customWidth="1"/>
    <col min="10499" max="10501" width="8.28515625" style="26" customWidth="1"/>
    <col min="10502" max="10507" width="0" style="26" hidden="1" customWidth="1"/>
    <col min="10508" max="10508" width="8.42578125" style="26" customWidth="1"/>
    <col min="10509" max="10747" width="11.42578125" style="26"/>
    <col min="10748" max="10748" width="18.140625" style="26" customWidth="1"/>
    <col min="10749" max="10750" width="8.42578125" style="26" bestFit="1" customWidth="1"/>
    <col min="10751" max="10752" width="8.42578125" style="26" customWidth="1"/>
    <col min="10753" max="10753" width="9.140625" style="26" bestFit="1" customWidth="1"/>
    <col min="10754" max="10754" width="8.28515625" style="26" bestFit="1" customWidth="1"/>
    <col min="10755" max="10757" width="8.28515625" style="26" customWidth="1"/>
    <col min="10758" max="10763" width="0" style="26" hidden="1" customWidth="1"/>
    <col min="10764" max="10764" width="8.42578125" style="26" customWidth="1"/>
    <col min="10765" max="11003" width="11.42578125" style="26"/>
    <col min="11004" max="11004" width="18.140625" style="26" customWidth="1"/>
    <col min="11005" max="11006" width="8.42578125" style="26" bestFit="1" customWidth="1"/>
    <col min="11007" max="11008" width="8.42578125" style="26" customWidth="1"/>
    <col min="11009" max="11009" width="9.140625" style="26" bestFit="1" customWidth="1"/>
    <col min="11010" max="11010" width="8.28515625" style="26" bestFit="1" customWidth="1"/>
    <col min="11011" max="11013" width="8.28515625" style="26" customWidth="1"/>
    <col min="11014" max="11019" width="0" style="26" hidden="1" customWidth="1"/>
    <col min="11020" max="11020" width="8.42578125" style="26" customWidth="1"/>
    <col min="11021" max="11259" width="11.42578125" style="26"/>
    <col min="11260" max="11260" width="18.140625" style="26" customWidth="1"/>
    <col min="11261" max="11262" width="8.42578125" style="26" bestFit="1" customWidth="1"/>
    <col min="11263" max="11264" width="8.42578125" style="26" customWidth="1"/>
    <col min="11265" max="11265" width="9.140625" style="26" bestFit="1" customWidth="1"/>
    <col min="11266" max="11266" width="8.28515625" style="26" bestFit="1" customWidth="1"/>
    <col min="11267" max="11269" width="8.28515625" style="26" customWidth="1"/>
    <col min="11270" max="11275" width="0" style="26" hidden="1" customWidth="1"/>
    <col min="11276" max="11276" width="8.42578125" style="26" customWidth="1"/>
    <col min="11277" max="11515" width="11.42578125" style="26"/>
    <col min="11516" max="11516" width="18.140625" style="26" customWidth="1"/>
    <col min="11517" max="11518" width="8.42578125" style="26" bestFit="1" customWidth="1"/>
    <col min="11519" max="11520" width="8.42578125" style="26" customWidth="1"/>
    <col min="11521" max="11521" width="9.140625" style="26" bestFit="1" customWidth="1"/>
    <col min="11522" max="11522" width="8.28515625" style="26" bestFit="1" customWidth="1"/>
    <col min="11523" max="11525" width="8.28515625" style="26" customWidth="1"/>
    <col min="11526" max="11531" width="0" style="26" hidden="1" customWidth="1"/>
    <col min="11532" max="11532" width="8.42578125" style="26" customWidth="1"/>
    <col min="11533" max="11771" width="11.42578125" style="26"/>
    <col min="11772" max="11772" width="18.140625" style="26" customWidth="1"/>
    <col min="11773" max="11774" width="8.42578125" style="26" bestFit="1" customWidth="1"/>
    <col min="11775" max="11776" width="8.42578125" style="26" customWidth="1"/>
    <col min="11777" max="11777" width="9.140625" style="26" bestFit="1" customWidth="1"/>
    <col min="11778" max="11778" width="8.28515625" style="26" bestFit="1" customWidth="1"/>
    <col min="11779" max="11781" width="8.28515625" style="26" customWidth="1"/>
    <col min="11782" max="11787" width="0" style="26" hidden="1" customWidth="1"/>
    <col min="11788" max="11788" width="8.42578125" style="26" customWidth="1"/>
    <col min="11789" max="12027" width="11.42578125" style="26"/>
    <col min="12028" max="12028" width="18.140625" style="26" customWidth="1"/>
    <col min="12029" max="12030" width="8.42578125" style="26" bestFit="1" customWidth="1"/>
    <col min="12031" max="12032" width="8.42578125" style="26" customWidth="1"/>
    <col min="12033" max="12033" width="9.140625" style="26" bestFit="1" customWidth="1"/>
    <col min="12034" max="12034" width="8.28515625" style="26" bestFit="1" customWidth="1"/>
    <col min="12035" max="12037" width="8.28515625" style="26" customWidth="1"/>
    <col min="12038" max="12043" width="0" style="26" hidden="1" customWidth="1"/>
    <col min="12044" max="12044" width="8.42578125" style="26" customWidth="1"/>
    <col min="12045" max="12283" width="11.42578125" style="26"/>
    <col min="12284" max="12284" width="18.140625" style="26" customWidth="1"/>
    <col min="12285" max="12286" width="8.42578125" style="26" bestFit="1" customWidth="1"/>
    <col min="12287" max="12288" width="8.42578125" style="26" customWidth="1"/>
    <col min="12289" max="12289" width="9.140625" style="26" bestFit="1" customWidth="1"/>
    <col min="12290" max="12290" width="8.28515625" style="26" bestFit="1" customWidth="1"/>
    <col min="12291" max="12293" width="8.28515625" style="26" customWidth="1"/>
    <col min="12294" max="12299" width="0" style="26" hidden="1" customWidth="1"/>
    <col min="12300" max="12300" width="8.42578125" style="26" customWidth="1"/>
    <col min="12301" max="12539" width="11.42578125" style="26"/>
    <col min="12540" max="12540" width="18.140625" style="26" customWidth="1"/>
    <col min="12541" max="12542" width="8.42578125" style="26" bestFit="1" customWidth="1"/>
    <col min="12543" max="12544" width="8.42578125" style="26" customWidth="1"/>
    <col min="12545" max="12545" width="9.140625" style="26" bestFit="1" customWidth="1"/>
    <col min="12546" max="12546" width="8.28515625" style="26" bestFit="1" customWidth="1"/>
    <col min="12547" max="12549" width="8.28515625" style="26" customWidth="1"/>
    <col min="12550" max="12555" width="0" style="26" hidden="1" customWidth="1"/>
    <col min="12556" max="12556" width="8.42578125" style="26" customWidth="1"/>
    <col min="12557" max="12795" width="11.42578125" style="26"/>
    <col min="12796" max="12796" width="18.140625" style="26" customWidth="1"/>
    <col min="12797" max="12798" width="8.42578125" style="26" bestFit="1" customWidth="1"/>
    <col min="12799" max="12800" width="8.42578125" style="26" customWidth="1"/>
    <col min="12801" max="12801" width="9.140625" style="26" bestFit="1" customWidth="1"/>
    <col min="12802" max="12802" width="8.28515625" style="26" bestFit="1" customWidth="1"/>
    <col min="12803" max="12805" width="8.28515625" style="26" customWidth="1"/>
    <col min="12806" max="12811" width="0" style="26" hidden="1" customWidth="1"/>
    <col min="12812" max="12812" width="8.42578125" style="26" customWidth="1"/>
    <col min="12813" max="13051" width="11.42578125" style="26"/>
    <col min="13052" max="13052" width="18.140625" style="26" customWidth="1"/>
    <col min="13053" max="13054" width="8.42578125" style="26" bestFit="1" customWidth="1"/>
    <col min="13055" max="13056" width="8.42578125" style="26" customWidth="1"/>
    <col min="13057" max="13057" width="9.140625" style="26" bestFit="1" customWidth="1"/>
    <col min="13058" max="13058" width="8.28515625" style="26" bestFit="1" customWidth="1"/>
    <col min="13059" max="13061" width="8.28515625" style="26" customWidth="1"/>
    <col min="13062" max="13067" width="0" style="26" hidden="1" customWidth="1"/>
    <col min="13068" max="13068" width="8.42578125" style="26" customWidth="1"/>
    <col min="13069" max="13307" width="11.42578125" style="26"/>
    <col min="13308" max="13308" width="18.140625" style="26" customWidth="1"/>
    <col min="13309" max="13310" width="8.42578125" style="26" bestFit="1" customWidth="1"/>
    <col min="13311" max="13312" width="8.42578125" style="26" customWidth="1"/>
    <col min="13313" max="13313" width="9.140625" style="26" bestFit="1" customWidth="1"/>
    <col min="13314" max="13314" width="8.28515625" style="26" bestFit="1" customWidth="1"/>
    <col min="13315" max="13317" width="8.28515625" style="26" customWidth="1"/>
    <col min="13318" max="13323" width="0" style="26" hidden="1" customWidth="1"/>
    <col min="13324" max="13324" width="8.42578125" style="26" customWidth="1"/>
    <col min="13325" max="13563" width="11.42578125" style="26"/>
    <col min="13564" max="13564" width="18.140625" style="26" customWidth="1"/>
    <col min="13565" max="13566" width="8.42578125" style="26" bestFit="1" customWidth="1"/>
    <col min="13567" max="13568" width="8.42578125" style="26" customWidth="1"/>
    <col min="13569" max="13569" width="9.140625" style="26" bestFit="1" customWidth="1"/>
    <col min="13570" max="13570" width="8.28515625" style="26" bestFit="1" customWidth="1"/>
    <col min="13571" max="13573" width="8.28515625" style="26" customWidth="1"/>
    <col min="13574" max="13579" width="0" style="26" hidden="1" customWidth="1"/>
    <col min="13580" max="13580" width="8.42578125" style="26" customWidth="1"/>
    <col min="13581" max="13819" width="11.42578125" style="26"/>
    <col min="13820" max="13820" width="18.140625" style="26" customWidth="1"/>
    <col min="13821" max="13822" width="8.42578125" style="26" bestFit="1" customWidth="1"/>
    <col min="13823" max="13824" width="8.42578125" style="26" customWidth="1"/>
    <col min="13825" max="13825" width="9.140625" style="26" bestFit="1" customWidth="1"/>
    <col min="13826" max="13826" width="8.28515625" style="26" bestFit="1" customWidth="1"/>
    <col min="13827" max="13829" width="8.28515625" style="26" customWidth="1"/>
    <col min="13830" max="13835" width="0" style="26" hidden="1" customWidth="1"/>
    <col min="13836" max="13836" width="8.42578125" style="26" customWidth="1"/>
    <col min="13837" max="14075" width="11.42578125" style="26"/>
    <col min="14076" max="14076" width="18.140625" style="26" customWidth="1"/>
    <col min="14077" max="14078" width="8.42578125" style="26" bestFit="1" customWidth="1"/>
    <col min="14079" max="14080" width="8.42578125" style="26" customWidth="1"/>
    <col min="14081" max="14081" width="9.140625" style="26" bestFit="1" customWidth="1"/>
    <col min="14082" max="14082" width="8.28515625" style="26" bestFit="1" customWidth="1"/>
    <col min="14083" max="14085" width="8.28515625" style="26" customWidth="1"/>
    <col min="14086" max="14091" width="0" style="26" hidden="1" customWidth="1"/>
    <col min="14092" max="14092" width="8.42578125" style="26" customWidth="1"/>
    <col min="14093" max="14331" width="11.42578125" style="26"/>
    <col min="14332" max="14332" width="18.140625" style="26" customWidth="1"/>
    <col min="14333" max="14334" width="8.42578125" style="26" bestFit="1" customWidth="1"/>
    <col min="14335" max="14336" width="8.42578125" style="26" customWidth="1"/>
    <col min="14337" max="14337" width="9.140625" style="26" bestFit="1" customWidth="1"/>
    <col min="14338" max="14338" width="8.28515625" style="26" bestFit="1" customWidth="1"/>
    <col min="14339" max="14341" width="8.28515625" style="26" customWidth="1"/>
    <col min="14342" max="14347" width="0" style="26" hidden="1" customWidth="1"/>
    <col min="14348" max="14348" width="8.42578125" style="26" customWidth="1"/>
    <col min="14349" max="14587" width="11.42578125" style="26"/>
    <col min="14588" max="14588" width="18.140625" style="26" customWidth="1"/>
    <col min="14589" max="14590" width="8.42578125" style="26" bestFit="1" customWidth="1"/>
    <col min="14591" max="14592" width="8.42578125" style="26" customWidth="1"/>
    <col min="14593" max="14593" width="9.140625" style="26" bestFit="1" customWidth="1"/>
    <col min="14594" max="14594" width="8.28515625" style="26" bestFit="1" customWidth="1"/>
    <col min="14595" max="14597" width="8.28515625" style="26" customWidth="1"/>
    <col min="14598" max="14603" width="0" style="26" hidden="1" customWidth="1"/>
    <col min="14604" max="14604" width="8.42578125" style="26" customWidth="1"/>
    <col min="14605" max="14843" width="11.42578125" style="26"/>
    <col min="14844" max="14844" width="18.140625" style="26" customWidth="1"/>
    <col min="14845" max="14846" width="8.42578125" style="26" bestFit="1" customWidth="1"/>
    <col min="14847" max="14848" width="8.42578125" style="26" customWidth="1"/>
    <col min="14849" max="14849" width="9.140625" style="26" bestFit="1" customWidth="1"/>
    <col min="14850" max="14850" width="8.28515625" style="26" bestFit="1" customWidth="1"/>
    <col min="14851" max="14853" width="8.28515625" style="26" customWidth="1"/>
    <col min="14854" max="14859" width="0" style="26" hidden="1" customWidth="1"/>
    <col min="14860" max="14860" width="8.42578125" style="26" customWidth="1"/>
    <col min="14861" max="15099" width="11.42578125" style="26"/>
    <col min="15100" max="15100" width="18.140625" style="26" customWidth="1"/>
    <col min="15101" max="15102" width="8.42578125" style="26" bestFit="1" customWidth="1"/>
    <col min="15103" max="15104" width="8.42578125" style="26" customWidth="1"/>
    <col min="15105" max="15105" width="9.140625" style="26" bestFit="1" customWidth="1"/>
    <col min="15106" max="15106" width="8.28515625" style="26" bestFit="1" customWidth="1"/>
    <col min="15107" max="15109" width="8.28515625" style="26" customWidth="1"/>
    <col min="15110" max="15115" width="0" style="26" hidden="1" customWidth="1"/>
    <col min="15116" max="15116" width="8.42578125" style="26" customWidth="1"/>
    <col min="15117" max="15355" width="11.42578125" style="26"/>
    <col min="15356" max="15356" width="18.140625" style="26" customWidth="1"/>
    <col min="15357" max="15358" width="8.42578125" style="26" bestFit="1" customWidth="1"/>
    <col min="15359" max="15360" width="8.42578125" style="26" customWidth="1"/>
    <col min="15361" max="15361" width="9.140625" style="26" bestFit="1" customWidth="1"/>
    <col min="15362" max="15362" width="8.28515625" style="26" bestFit="1" customWidth="1"/>
    <col min="15363" max="15365" width="8.28515625" style="26" customWidth="1"/>
    <col min="15366" max="15371" width="0" style="26" hidden="1" customWidth="1"/>
    <col min="15372" max="15372" width="8.42578125" style="26" customWidth="1"/>
    <col min="15373" max="15611" width="11.42578125" style="26"/>
    <col min="15612" max="15612" width="18.140625" style="26" customWidth="1"/>
    <col min="15613" max="15614" width="8.42578125" style="26" bestFit="1" customWidth="1"/>
    <col min="15615" max="15616" width="8.42578125" style="26" customWidth="1"/>
    <col min="15617" max="15617" width="9.140625" style="26" bestFit="1" customWidth="1"/>
    <col min="15618" max="15618" width="8.28515625" style="26" bestFit="1" customWidth="1"/>
    <col min="15619" max="15621" width="8.28515625" style="26" customWidth="1"/>
    <col min="15622" max="15627" width="0" style="26" hidden="1" customWidth="1"/>
    <col min="15628" max="15628" width="8.42578125" style="26" customWidth="1"/>
    <col min="15629" max="15867" width="11.42578125" style="26"/>
    <col min="15868" max="15868" width="18.140625" style="26" customWidth="1"/>
    <col min="15869" max="15870" width="8.42578125" style="26" bestFit="1" customWidth="1"/>
    <col min="15871" max="15872" width="8.42578125" style="26" customWidth="1"/>
    <col min="15873" max="15873" width="9.140625" style="26" bestFit="1" customWidth="1"/>
    <col min="15874" max="15874" width="8.28515625" style="26" bestFit="1" customWidth="1"/>
    <col min="15875" max="15877" width="8.28515625" style="26" customWidth="1"/>
    <col min="15878" max="15883" width="0" style="26" hidden="1" customWidth="1"/>
    <col min="15884" max="15884" width="8.42578125" style="26" customWidth="1"/>
    <col min="15885" max="16123" width="11.42578125" style="26"/>
    <col min="16124" max="16124" width="18.140625" style="26" customWidth="1"/>
    <col min="16125" max="16126" width="8.42578125" style="26" bestFit="1" customWidth="1"/>
    <col min="16127" max="16128" width="8.42578125" style="26" customWidth="1"/>
    <col min="16129" max="16129" width="9.140625" style="26" bestFit="1" customWidth="1"/>
    <col min="16130" max="16130" width="8.28515625" style="26" bestFit="1" customWidth="1"/>
    <col min="16131" max="16133" width="8.28515625" style="26" customWidth="1"/>
    <col min="16134" max="16139" width="0" style="26" hidden="1" customWidth="1"/>
    <col min="16140" max="16140" width="8.42578125" style="26" customWidth="1"/>
    <col min="16141" max="16384" width="11.42578125" style="26"/>
  </cols>
  <sheetData>
    <row r="1" spans="1:16" s="27" customFormat="1" x14ac:dyDescent="0.2"/>
    <row r="2" spans="1:16" s="27" customFormat="1" x14ac:dyDescent="0.2">
      <c r="A2" s="47" t="s">
        <v>101</v>
      </c>
    </row>
    <row r="3" spans="1:16" s="27" customFormat="1" ht="15" x14ac:dyDescent="0.25">
      <c r="A3" s="47" t="s">
        <v>102</v>
      </c>
      <c r="J3" s="95"/>
    </row>
    <row r="4" spans="1:16" s="27" customFormat="1" x14ac:dyDescent="0.2"/>
    <row r="5" spans="1:16" s="27" customFormat="1" ht="12.75" x14ac:dyDescent="0.2">
      <c r="B5" s="369" t="s">
        <v>92</v>
      </c>
      <c r="C5" s="369"/>
      <c r="D5" s="369"/>
      <c r="E5" s="369"/>
      <c r="F5" s="369"/>
      <c r="G5" s="369"/>
      <c r="H5" s="369"/>
      <c r="I5" s="369"/>
      <c r="J5" s="369"/>
      <c r="K5" s="369"/>
      <c r="M5" s="122" t="s">
        <v>566</v>
      </c>
      <c r="O5" s="96"/>
    </row>
    <row r="6" spans="1:16" s="27" customFormat="1" ht="12.75" x14ac:dyDescent="0.2">
      <c r="B6" s="385" t="str">
        <f>'Solicitudes Regiones'!$B$6:$R$6</f>
        <v>Acumuladas de julio de 2008 a diciembre de 2021</v>
      </c>
      <c r="C6" s="385"/>
      <c r="D6" s="385"/>
      <c r="E6" s="385"/>
      <c r="F6" s="385"/>
      <c r="G6" s="385"/>
      <c r="H6" s="385"/>
      <c r="I6" s="385"/>
      <c r="J6" s="385"/>
      <c r="K6" s="385"/>
      <c r="L6" s="62"/>
    </row>
    <row r="7" spans="1:16" s="30" customFormat="1" x14ac:dyDescent="0.2">
      <c r="B7" s="28"/>
      <c r="C7" s="29"/>
      <c r="D7" s="29"/>
      <c r="E7" s="29"/>
      <c r="F7" s="29"/>
      <c r="G7" s="29"/>
      <c r="H7" s="29"/>
      <c r="I7" s="29"/>
      <c r="J7" s="29"/>
      <c r="K7" s="29"/>
      <c r="L7" s="29"/>
    </row>
    <row r="8" spans="1:16" ht="15" customHeight="1" x14ac:dyDescent="0.2">
      <c r="B8" s="399" t="s">
        <v>55</v>
      </c>
      <c r="C8" s="399"/>
      <c r="D8" s="399"/>
      <c r="E8" s="399"/>
      <c r="F8" s="399"/>
      <c r="G8" s="399"/>
      <c r="H8" s="399"/>
      <c r="I8" s="399"/>
      <c r="J8" s="399"/>
      <c r="K8" s="399"/>
      <c r="L8" s="399"/>
      <c r="M8" s="399"/>
    </row>
    <row r="9" spans="1:16" ht="20.25" customHeight="1" x14ac:dyDescent="0.2">
      <c r="B9" s="399" t="s">
        <v>56</v>
      </c>
      <c r="C9" s="397" t="s">
        <v>2</v>
      </c>
      <c r="D9" s="400"/>
      <c r="E9" s="400"/>
      <c r="F9" s="400"/>
      <c r="G9" s="400"/>
      <c r="H9" s="400"/>
      <c r="I9" s="400"/>
      <c r="J9" s="400"/>
      <c r="K9" s="398"/>
      <c r="L9" s="397"/>
      <c r="M9" s="398"/>
    </row>
    <row r="10" spans="1:16" ht="24" x14ac:dyDescent="0.2">
      <c r="B10" s="399"/>
      <c r="C10" s="23" t="s">
        <v>57</v>
      </c>
      <c r="D10" s="23" t="s">
        <v>58</v>
      </c>
      <c r="E10" s="23" t="s">
        <v>59</v>
      </c>
      <c r="F10" s="23" t="s">
        <v>60</v>
      </c>
      <c r="G10" s="23" t="s">
        <v>8</v>
      </c>
      <c r="H10" s="23" t="s">
        <v>61</v>
      </c>
      <c r="I10" s="23" t="s">
        <v>62</v>
      </c>
      <c r="J10" s="23" t="s">
        <v>63</v>
      </c>
      <c r="K10" s="261" t="s">
        <v>31</v>
      </c>
      <c r="L10" s="261" t="s">
        <v>584</v>
      </c>
      <c r="M10" s="261" t="s">
        <v>587</v>
      </c>
    </row>
    <row r="11" spans="1:16" x14ac:dyDescent="0.2">
      <c r="B11" s="18" t="s">
        <v>348</v>
      </c>
      <c r="C11" s="18">
        <v>4585</v>
      </c>
      <c r="D11" s="18">
        <v>2988</v>
      </c>
      <c r="E11" s="18">
        <f>C11+D11</f>
        <v>7573</v>
      </c>
      <c r="F11" s="19">
        <f>E11/$E$23</f>
        <v>0.30669852583832818</v>
      </c>
      <c r="G11" s="18">
        <v>17584</v>
      </c>
      <c r="H11" s="18">
        <v>1537</v>
      </c>
      <c r="I11" s="18">
        <f>G11+H11</f>
        <v>19121</v>
      </c>
      <c r="J11" s="19">
        <f>I11/$I$23</f>
        <v>0.41146976544006886</v>
      </c>
      <c r="K11" s="18">
        <f t="shared" ref="K11:K22" si="0">E11+I11</f>
        <v>26694</v>
      </c>
      <c r="L11" s="18">
        <v>10</v>
      </c>
      <c r="M11" s="18">
        <f>K11+L11</f>
        <v>26704</v>
      </c>
      <c r="P11" s="31"/>
    </row>
    <row r="12" spans="1:16" x14ac:dyDescent="0.2">
      <c r="B12" s="18" t="s">
        <v>349</v>
      </c>
      <c r="C12" s="18">
        <v>205</v>
      </c>
      <c r="D12" s="18">
        <v>156</v>
      </c>
      <c r="E12" s="18">
        <f t="shared" ref="E12:E22" si="1">C12+D12</f>
        <v>361</v>
      </c>
      <c r="F12" s="19">
        <f t="shared" ref="F12:F22" si="2">E12/$E$23</f>
        <v>1.4620119876883201E-2</v>
      </c>
      <c r="G12" s="18">
        <v>630</v>
      </c>
      <c r="H12" s="18">
        <v>54</v>
      </c>
      <c r="I12" s="18">
        <f t="shared" ref="I12:I22" si="3">G12+H12</f>
        <v>684</v>
      </c>
      <c r="J12" s="19">
        <f t="shared" ref="J12:J22" si="4">I12/$I$23</f>
        <v>1.4719173660426082E-2</v>
      </c>
      <c r="K12" s="18">
        <f t="shared" si="0"/>
        <v>1045</v>
      </c>
      <c r="L12" s="18">
        <v>0</v>
      </c>
      <c r="M12" s="18">
        <f t="shared" ref="M12:M23" si="5">K12+L12</f>
        <v>1045</v>
      </c>
      <c r="P12" s="31"/>
    </row>
    <row r="13" spans="1:16" x14ac:dyDescent="0.2">
      <c r="B13" s="18" t="s">
        <v>350</v>
      </c>
      <c r="C13" s="18">
        <v>772</v>
      </c>
      <c r="D13" s="18">
        <v>562</v>
      </c>
      <c r="E13" s="18">
        <f t="shared" si="1"/>
        <v>1334</v>
      </c>
      <c r="F13" s="19">
        <f t="shared" si="2"/>
        <v>5.4025595334521302E-2</v>
      </c>
      <c r="G13" s="18">
        <v>1910</v>
      </c>
      <c r="H13" s="18">
        <v>216</v>
      </c>
      <c r="I13" s="18">
        <f t="shared" si="3"/>
        <v>2126</v>
      </c>
      <c r="J13" s="19">
        <f t="shared" si="4"/>
        <v>4.5749946201850654E-2</v>
      </c>
      <c r="K13" s="18">
        <f t="shared" si="0"/>
        <v>3460</v>
      </c>
      <c r="L13" s="18">
        <v>2</v>
      </c>
      <c r="M13" s="18">
        <f t="shared" si="5"/>
        <v>3462</v>
      </c>
      <c r="P13" s="31"/>
    </row>
    <row r="14" spans="1:16" x14ac:dyDescent="0.2">
      <c r="B14" s="18" t="s">
        <v>45</v>
      </c>
      <c r="C14" s="18">
        <v>817</v>
      </c>
      <c r="D14" s="18">
        <v>584</v>
      </c>
      <c r="E14" s="18">
        <f t="shared" si="1"/>
        <v>1401</v>
      </c>
      <c r="F14" s="19">
        <f t="shared" si="2"/>
        <v>5.6739024785355578E-2</v>
      </c>
      <c r="G14" s="18">
        <v>2205</v>
      </c>
      <c r="H14" s="18">
        <v>200</v>
      </c>
      <c r="I14" s="18">
        <f t="shared" si="3"/>
        <v>2405</v>
      </c>
      <c r="J14" s="19">
        <f t="shared" si="4"/>
        <v>5.1753819668603401E-2</v>
      </c>
      <c r="K14" s="18">
        <f t="shared" si="0"/>
        <v>3806</v>
      </c>
      <c r="L14" s="18">
        <v>4</v>
      </c>
      <c r="M14" s="18">
        <f t="shared" si="5"/>
        <v>3810</v>
      </c>
      <c r="P14" s="31"/>
    </row>
    <row r="15" spans="1:16" x14ac:dyDescent="0.2">
      <c r="B15" s="18" t="s">
        <v>351</v>
      </c>
      <c r="C15" s="18">
        <v>266</v>
      </c>
      <c r="D15" s="18">
        <v>256</v>
      </c>
      <c r="E15" s="18">
        <f t="shared" si="1"/>
        <v>522</v>
      </c>
      <c r="F15" s="19">
        <f t="shared" si="2"/>
        <v>2.1140450348290943E-2</v>
      </c>
      <c r="G15" s="18">
        <v>883</v>
      </c>
      <c r="H15" s="18">
        <v>90</v>
      </c>
      <c r="I15" s="18">
        <f t="shared" si="3"/>
        <v>973</v>
      </c>
      <c r="J15" s="19">
        <f t="shared" si="4"/>
        <v>2.0938239724553477E-2</v>
      </c>
      <c r="K15" s="18">
        <f t="shared" si="0"/>
        <v>1495</v>
      </c>
      <c r="L15" s="18">
        <v>2</v>
      </c>
      <c r="M15" s="18">
        <f t="shared" si="5"/>
        <v>1497</v>
      </c>
      <c r="P15" s="31"/>
    </row>
    <row r="16" spans="1:16" ht="24" x14ac:dyDescent="0.2">
      <c r="B16" s="18" t="s">
        <v>352</v>
      </c>
      <c r="C16" s="18">
        <v>797</v>
      </c>
      <c r="D16" s="18">
        <v>665</v>
      </c>
      <c r="E16" s="18">
        <f t="shared" si="1"/>
        <v>1462</v>
      </c>
      <c r="F16" s="19">
        <f t="shared" si="2"/>
        <v>5.9209460554025595E-2</v>
      </c>
      <c r="G16" s="18">
        <v>1968</v>
      </c>
      <c r="H16" s="18">
        <v>273</v>
      </c>
      <c r="I16" s="18">
        <f t="shared" si="3"/>
        <v>2241</v>
      </c>
      <c r="J16" s="19">
        <f t="shared" si="4"/>
        <v>4.8224661071659132E-2</v>
      </c>
      <c r="K16" s="18">
        <f t="shared" si="0"/>
        <v>3703</v>
      </c>
      <c r="L16" s="18">
        <v>1</v>
      </c>
      <c r="M16" s="18">
        <f t="shared" si="5"/>
        <v>3704</v>
      </c>
      <c r="P16" s="31"/>
    </row>
    <row r="17" spans="2:16" x14ac:dyDescent="0.2">
      <c r="B17" s="18" t="s">
        <v>353</v>
      </c>
      <c r="C17" s="18">
        <v>991</v>
      </c>
      <c r="D17" s="18">
        <v>876</v>
      </c>
      <c r="E17" s="18">
        <f t="shared" si="1"/>
        <v>1867</v>
      </c>
      <c r="F17" s="19">
        <f t="shared" si="2"/>
        <v>7.5611534100113398E-2</v>
      </c>
      <c r="G17" s="18">
        <v>2582</v>
      </c>
      <c r="H17" s="18">
        <v>265</v>
      </c>
      <c r="I17" s="18">
        <f t="shared" si="3"/>
        <v>2847</v>
      </c>
      <c r="J17" s="19">
        <f t="shared" si="4"/>
        <v>6.1265332472562946E-2</v>
      </c>
      <c r="K17" s="18">
        <f t="shared" si="0"/>
        <v>4714</v>
      </c>
      <c r="L17" s="18">
        <v>2</v>
      </c>
      <c r="M17" s="18">
        <f t="shared" si="5"/>
        <v>4716</v>
      </c>
      <c r="P17" s="312"/>
    </row>
    <row r="18" spans="2:16" x14ac:dyDescent="0.2">
      <c r="B18" s="18" t="s">
        <v>354</v>
      </c>
      <c r="C18" s="18">
        <v>1664</v>
      </c>
      <c r="D18" s="18">
        <v>1158</v>
      </c>
      <c r="E18" s="18">
        <f t="shared" si="1"/>
        <v>2822</v>
      </c>
      <c r="F18" s="19">
        <f t="shared" si="2"/>
        <v>0.1142880285112587</v>
      </c>
      <c r="G18" s="18">
        <v>3078</v>
      </c>
      <c r="H18" s="18">
        <v>374</v>
      </c>
      <c r="I18" s="18">
        <f t="shared" si="3"/>
        <v>3452</v>
      </c>
      <c r="J18" s="19">
        <f t="shared" si="4"/>
        <v>7.4284484613729287E-2</v>
      </c>
      <c r="K18" s="18">
        <f t="shared" si="0"/>
        <v>6274</v>
      </c>
      <c r="L18" s="18">
        <v>0</v>
      </c>
      <c r="M18" s="18">
        <f t="shared" si="5"/>
        <v>6274</v>
      </c>
      <c r="P18" s="31"/>
    </row>
    <row r="19" spans="2:16" x14ac:dyDescent="0.2">
      <c r="B19" s="18" t="s">
        <v>355</v>
      </c>
      <c r="C19" s="18">
        <v>1613</v>
      </c>
      <c r="D19" s="18">
        <v>995</v>
      </c>
      <c r="E19" s="18">
        <f t="shared" si="1"/>
        <v>2608</v>
      </c>
      <c r="F19" s="19">
        <f t="shared" si="2"/>
        <v>0.10562125384739997</v>
      </c>
      <c r="G19" s="18">
        <v>5347</v>
      </c>
      <c r="H19" s="18">
        <v>521</v>
      </c>
      <c r="I19" s="18">
        <f t="shared" si="3"/>
        <v>5868</v>
      </c>
      <c r="J19" s="19">
        <f t="shared" si="4"/>
        <v>0.12627501613944481</v>
      </c>
      <c r="K19" s="18">
        <f t="shared" si="0"/>
        <v>8476</v>
      </c>
      <c r="L19" s="18">
        <v>4</v>
      </c>
      <c r="M19" s="18">
        <f t="shared" si="5"/>
        <v>8480</v>
      </c>
      <c r="P19" s="31"/>
    </row>
    <row r="20" spans="2:16" x14ac:dyDescent="0.2">
      <c r="B20" s="18" t="s">
        <v>356</v>
      </c>
      <c r="C20" s="18">
        <v>665</v>
      </c>
      <c r="D20" s="18">
        <v>455</v>
      </c>
      <c r="E20" s="18">
        <f t="shared" si="1"/>
        <v>1120</v>
      </c>
      <c r="F20" s="19">
        <f t="shared" si="2"/>
        <v>4.5358820670662561E-2</v>
      </c>
      <c r="G20" s="18">
        <v>1289</v>
      </c>
      <c r="H20" s="18">
        <v>121</v>
      </c>
      <c r="I20" s="18">
        <f t="shared" si="3"/>
        <v>1410</v>
      </c>
      <c r="J20" s="19">
        <f t="shared" si="4"/>
        <v>3.0342156229825695E-2</v>
      </c>
      <c r="K20" s="18">
        <f t="shared" si="0"/>
        <v>2530</v>
      </c>
      <c r="L20" s="18">
        <v>1</v>
      </c>
      <c r="M20" s="18">
        <f t="shared" si="5"/>
        <v>2531</v>
      </c>
      <c r="P20" s="31"/>
    </row>
    <row r="21" spans="2:16" x14ac:dyDescent="0.2">
      <c r="B21" s="18" t="s">
        <v>357</v>
      </c>
      <c r="C21" s="18">
        <v>522</v>
      </c>
      <c r="D21" s="18">
        <v>375</v>
      </c>
      <c r="E21" s="18">
        <f t="shared" si="1"/>
        <v>897</v>
      </c>
      <c r="F21" s="19">
        <f t="shared" si="2"/>
        <v>3.6327555483557428E-2</v>
      </c>
      <c r="G21" s="18">
        <v>922</v>
      </c>
      <c r="H21" s="18">
        <v>110</v>
      </c>
      <c r="I21" s="18">
        <f t="shared" si="3"/>
        <v>1032</v>
      </c>
      <c r="J21" s="19">
        <f t="shared" si="4"/>
        <v>2.2207876049063911E-2</v>
      </c>
      <c r="K21" s="18">
        <f t="shared" si="0"/>
        <v>1929</v>
      </c>
      <c r="L21" s="18">
        <v>0</v>
      </c>
      <c r="M21" s="18">
        <f t="shared" si="5"/>
        <v>1929</v>
      </c>
      <c r="P21" s="31"/>
    </row>
    <row r="22" spans="2:16" x14ac:dyDescent="0.2">
      <c r="B22" s="18" t="s">
        <v>358</v>
      </c>
      <c r="C22" s="18">
        <v>1693</v>
      </c>
      <c r="D22" s="18">
        <v>1032</v>
      </c>
      <c r="E22" s="18">
        <f t="shared" si="1"/>
        <v>2725</v>
      </c>
      <c r="F22" s="19">
        <f t="shared" si="2"/>
        <v>0.11035963064960311</v>
      </c>
      <c r="G22" s="18">
        <v>3877</v>
      </c>
      <c r="H22" s="18">
        <v>434</v>
      </c>
      <c r="I22" s="18">
        <f t="shared" si="3"/>
        <v>4311</v>
      </c>
      <c r="J22" s="19">
        <f t="shared" si="4"/>
        <v>9.2769528728211745E-2</v>
      </c>
      <c r="K22" s="18">
        <f t="shared" si="0"/>
        <v>7036</v>
      </c>
      <c r="L22" s="18">
        <v>2</v>
      </c>
      <c r="M22" s="18">
        <f t="shared" si="5"/>
        <v>7038</v>
      </c>
      <c r="P22" s="31"/>
    </row>
    <row r="23" spans="2:16" x14ac:dyDescent="0.2">
      <c r="B23" s="20" t="s">
        <v>49</v>
      </c>
      <c r="C23" s="18">
        <f t="shared" ref="C23:H23" si="6">SUM(C11:C22)</f>
        <v>14590</v>
      </c>
      <c r="D23" s="18">
        <f t="shared" si="6"/>
        <v>10102</v>
      </c>
      <c r="E23" s="20">
        <f t="shared" ref="E23" si="7">C23+D23</f>
        <v>24692</v>
      </c>
      <c r="F23" s="22">
        <f t="shared" ref="F23" si="8">E23/$E$23</f>
        <v>1</v>
      </c>
      <c r="G23" s="18">
        <f t="shared" si="6"/>
        <v>42275</v>
      </c>
      <c r="H23" s="18">
        <f t="shared" si="6"/>
        <v>4195</v>
      </c>
      <c r="I23" s="20">
        <f t="shared" ref="I23" si="9">G23+H23</f>
        <v>46470</v>
      </c>
      <c r="J23" s="22">
        <f t="shared" ref="J23" si="10">I23/$I$23</f>
        <v>1</v>
      </c>
      <c r="K23" s="20">
        <f t="shared" ref="K23" si="11">E23+I23</f>
        <v>71162</v>
      </c>
      <c r="L23" s="18">
        <f t="shared" ref="L23" si="12">SUM(L11:L22)</f>
        <v>28</v>
      </c>
      <c r="M23" s="20">
        <f t="shared" si="5"/>
        <v>71190</v>
      </c>
      <c r="P23" s="31"/>
    </row>
    <row r="24" spans="2:16" ht="25.5" customHeight="1" x14ac:dyDescent="0.2">
      <c r="B24" s="32" t="s">
        <v>64</v>
      </c>
      <c r="C24" s="33">
        <f>+C23/M23</f>
        <v>0.20494451467902797</v>
      </c>
      <c r="D24" s="33">
        <f>+D23/M23</f>
        <v>0.14190195252142154</v>
      </c>
      <c r="E24" s="34">
        <f>+E23/M23</f>
        <v>0.34684646720044948</v>
      </c>
      <c r="F24" s="34"/>
      <c r="G24" s="33">
        <f>+G23/M23</f>
        <v>0.59383340356791681</v>
      </c>
      <c r="H24" s="33">
        <f>+H23/M23</f>
        <v>5.8926815563983707E-2</v>
      </c>
      <c r="I24" s="34">
        <f>+I23/M23</f>
        <v>0.65276021913190052</v>
      </c>
      <c r="J24" s="34"/>
      <c r="K24" s="34">
        <f>+K23/M23</f>
        <v>0.99960668633235006</v>
      </c>
      <c r="L24" s="34">
        <f>+L23/M23</f>
        <v>3.9331366764995085E-4</v>
      </c>
      <c r="M24" s="34">
        <f>K24+L24</f>
        <v>1</v>
      </c>
    </row>
    <row r="25" spans="2:16" x14ac:dyDescent="0.2">
      <c r="B25" s="35"/>
      <c r="C25" s="36"/>
      <c r="D25" s="36"/>
      <c r="E25" s="37"/>
      <c r="F25" s="37"/>
      <c r="G25" s="36"/>
      <c r="H25" s="36"/>
      <c r="I25" s="37"/>
      <c r="J25" s="37"/>
      <c r="K25" s="37"/>
      <c r="L25" s="37"/>
    </row>
    <row r="26" spans="2:16" ht="12.75" x14ac:dyDescent="0.2">
      <c r="B26" s="369" t="s">
        <v>93</v>
      </c>
      <c r="C26" s="369"/>
      <c r="D26" s="369"/>
      <c r="E26" s="369"/>
      <c r="F26" s="369"/>
      <c r="G26" s="369"/>
      <c r="H26" s="369"/>
      <c r="I26" s="369"/>
      <c r="J26" s="369"/>
      <c r="K26" s="369"/>
      <c r="L26" s="37"/>
    </row>
    <row r="27" spans="2:16" ht="12.75" x14ac:dyDescent="0.2">
      <c r="B27" s="385" t="str">
        <f>'Solicitudes Regiones'!$B$6:$R$6</f>
        <v>Acumuladas de julio de 2008 a diciembre de 2021</v>
      </c>
      <c r="C27" s="385"/>
      <c r="D27" s="385"/>
      <c r="E27" s="385"/>
      <c r="F27" s="385"/>
      <c r="G27" s="385"/>
      <c r="H27" s="385"/>
      <c r="I27" s="385"/>
      <c r="J27" s="385"/>
      <c r="K27" s="385"/>
      <c r="L27" s="37"/>
    </row>
    <row r="28" spans="2:16" x14ac:dyDescent="0.2">
      <c r="B28" s="25"/>
      <c r="C28" s="38"/>
      <c r="D28" s="38"/>
      <c r="E28" s="38"/>
      <c r="F28" s="38"/>
      <c r="G28" s="38"/>
      <c r="H28" s="38"/>
      <c r="I28" s="38"/>
      <c r="J28" s="38"/>
      <c r="K28" s="38"/>
    </row>
    <row r="29" spans="2:16" ht="15" customHeight="1" x14ac:dyDescent="0.2">
      <c r="B29" s="399" t="s">
        <v>65</v>
      </c>
      <c r="C29" s="399"/>
      <c r="D29" s="399"/>
      <c r="E29" s="399"/>
      <c r="F29" s="399"/>
      <c r="G29" s="399"/>
      <c r="H29" s="399"/>
      <c r="I29" s="399"/>
      <c r="J29" s="399"/>
      <c r="K29" s="399"/>
      <c r="L29" s="399"/>
      <c r="M29" s="399"/>
    </row>
    <row r="30" spans="2:16" ht="15" customHeight="1" x14ac:dyDescent="0.2">
      <c r="B30" s="399" t="s">
        <v>56</v>
      </c>
      <c r="C30" s="399" t="s">
        <v>2</v>
      </c>
      <c r="D30" s="399"/>
      <c r="E30" s="399"/>
      <c r="F30" s="399"/>
      <c r="G30" s="399"/>
      <c r="H30" s="399"/>
      <c r="I30" s="399"/>
      <c r="J30" s="399"/>
      <c r="K30" s="399"/>
      <c r="L30" s="397"/>
      <c r="M30" s="398"/>
    </row>
    <row r="31" spans="2:16" ht="24" x14ac:dyDescent="0.2">
      <c r="B31" s="399"/>
      <c r="C31" s="23" t="s">
        <v>57</v>
      </c>
      <c r="D31" s="23" t="s">
        <v>58</v>
      </c>
      <c r="E31" s="23" t="s">
        <v>59</v>
      </c>
      <c r="F31" s="23" t="s">
        <v>60</v>
      </c>
      <c r="G31" s="23" t="s">
        <v>8</v>
      </c>
      <c r="H31" s="23" t="s">
        <v>61</v>
      </c>
      <c r="I31" s="23" t="s">
        <v>62</v>
      </c>
      <c r="J31" s="23" t="s">
        <v>63</v>
      </c>
      <c r="K31" s="24" t="s">
        <v>31</v>
      </c>
      <c r="L31" s="261" t="s">
        <v>584</v>
      </c>
      <c r="M31" s="261" t="s">
        <v>587</v>
      </c>
    </row>
    <row r="32" spans="2:16" x14ac:dyDescent="0.2">
      <c r="B32" s="18" t="s">
        <v>348</v>
      </c>
      <c r="C32" s="18">
        <v>4144</v>
      </c>
      <c r="D32" s="18">
        <v>2211</v>
      </c>
      <c r="E32" s="18">
        <f>C32+D32</f>
        <v>6355</v>
      </c>
      <c r="F32" s="19">
        <f>E32/$E$44</f>
        <v>0.31433941732205567</v>
      </c>
      <c r="G32" s="18">
        <v>15011</v>
      </c>
      <c r="H32" s="18">
        <v>1329</v>
      </c>
      <c r="I32" s="18">
        <f>G32+H32</f>
        <v>16340</v>
      </c>
      <c r="J32" s="19">
        <f>I32/$I$44</f>
        <v>0.40773549594510294</v>
      </c>
      <c r="K32" s="18">
        <f t="shared" ref="K32:K43" si="13">E32+I32</f>
        <v>22695</v>
      </c>
      <c r="L32" s="18">
        <v>0</v>
      </c>
      <c r="M32" s="18">
        <f>K32+L32</f>
        <v>22695</v>
      </c>
    </row>
    <row r="33" spans="2:13" x14ac:dyDescent="0.2">
      <c r="B33" s="18" t="s">
        <v>349</v>
      </c>
      <c r="C33" s="18">
        <v>188</v>
      </c>
      <c r="D33" s="18">
        <v>102</v>
      </c>
      <c r="E33" s="18">
        <f t="shared" ref="E33:E43" si="14">C33+D33</f>
        <v>290</v>
      </c>
      <c r="F33" s="19">
        <f t="shared" ref="F33:F43" si="15">E33/$E$44</f>
        <v>1.4344363654350299E-2</v>
      </c>
      <c r="G33" s="18">
        <v>557</v>
      </c>
      <c r="H33" s="18">
        <v>45</v>
      </c>
      <c r="I33" s="18">
        <f t="shared" ref="I33:I43" si="16">G33+H33</f>
        <v>602</v>
      </c>
      <c r="J33" s="19">
        <f t="shared" ref="J33:J43" si="17">I33/$I$44</f>
        <v>1.5021834061135371E-2</v>
      </c>
      <c r="K33" s="18">
        <f t="shared" si="13"/>
        <v>892</v>
      </c>
      <c r="L33" s="18">
        <v>0</v>
      </c>
      <c r="M33" s="18">
        <f t="shared" ref="M33:M44" si="18">K33+L33</f>
        <v>892</v>
      </c>
    </row>
    <row r="34" spans="2:13" x14ac:dyDescent="0.2">
      <c r="B34" s="18" t="s">
        <v>350</v>
      </c>
      <c r="C34" s="18">
        <v>722</v>
      </c>
      <c r="D34" s="18">
        <v>339</v>
      </c>
      <c r="E34" s="18">
        <f t="shared" si="14"/>
        <v>1061</v>
      </c>
      <c r="F34" s="19">
        <f t="shared" si="15"/>
        <v>5.2480585645743684E-2</v>
      </c>
      <c r="G34" s="18">
        <v>1680</v>
      </c>
      <c r="H34" s="18">
        <v>186</v>
      </c>
      <c r="I34" s="18">
        <f t="shared" si="16"/>
        <v>1866</v>
      </c>
      <c r="J34" s="19">
        <f t="shared" si="17"/>
        <v>4.6562694946974424E-2</v>
      </c>
      <c r="K34" s="18">
        <f t="shared" si="13"/>
        <v>2927</v>
      </c>
      <c r="L34" s="18">
        <v>0</v>
      </c>
      <c r="M34" s="18">
        <f t="shared" si="18"/>
        <v>2927</v>
      </c>
    </row>
    <row r="35" spans="2:13" x14ac:dyDescent="0.2">
      <c r="B35" s="18" t="s">
        <v>45</v>
      </c>
      <c r="C35" s="18">
        <v>761</v>
      </c>
      <c r="D35" s="18">
        <v>396</v>
      </c>
      <c r="E35" s="18">
        <f t="shared" si="14"/>
        <v>1157</v>
      </c>
      <c r="F35" s="19">
        <f t="shared" si="15"/>
        <v>5.7229064648563088E-2</v>
      </c>
      <c r="G35" s="18">
        <v>1973</v>
      </c>
      <c r="H35" s="18">
        <v>170</v>
      </c>
      <c r="I35" s="18">
        <f t="shared" si="16"/>
        <v>2143</v>
      </c>
      <c r="J35" s="19">
        <f t="shared" si="17"/>
        <v>5.3474734872114786E-2</v>
      </c>
      <c r="K35" s="18">
        <f t="shared" si="13"/>
        <v>3300</v>
      </c>
      <c r="L35" s="18">
        <v>0</v>
      </c>
      <c r="M35" s="18">
        <f t="shared" si="18"/>
        <v>3300</v>
      </c>
    </row>
    <row r="36" spans="2:13" x14ac:dyDescent="0.2">
      <c r="B36" s="18" t="s">
        <v>351</v>
      </c>
      <c r="C36" s="18">
        <v>238</v>
      </c>
      <c r="D36" s="18">
        <v>138</v>
      </c>
      <c r="E36" s="18">
        <f t="shared" si="14"/>
        <v>376</v>
      </c>
      <c r="F36" s="19">
        <f t="shared" si="15"/>
        <v>1.8598209427709355E-2</v>
      </c>
      <c r="G36" s="18">
        <v>802</v>
      </c>
      <c r="H36" s="18">
        <v>80</v>
      </c>
      <c r="I36" s="18">
        <f t="shared" si="16"/>
        <v>882</v>
      </c>
      <c r="J36" s="19">
        <f t="shared" si="17"/>
        <v>2.2008733624454147E-2</v>
      </c>
      <c r="K36" s="18">
        <f t="shared" si="13"/>
        <v>1258</v>
      </c>
      <c r="L36" s="18">
        <v>0</v>
      </c>
      <c r="M36" s="18">
        <f t="shared" si="18"/>
        <v>1258</v>
      </c>
    </row>
    <row r="37" spans="2:13" ht="24" x14ac:dyDescent="0.2">
      <c r="B37" s="18" t="s">
        <v>352</v>
      </c>
      <c r="C37" s="18">
        <v>763</v>
      </c>
      <c r="D37" s="18">
        <v>422</v>
      </c>
      <c r="E37" s="18">
        <f t="shared" si="14"/>
        <v>1185</v>
      </c>
      <c r="F37" s="19">
        <f t="shared" si="15"/>
        <v>5.8614037691052084E-2</v>
      </c>
      <c r="G37" s="18">
        <v>1769</v>
      </c>
      <c r="H37" s="18">
        <v>235</v>
      </c>
      <c r="I37" s="18">
        <f t="shared" si="16"/>
        <v>2004</v>
      </c>
      <c r="J37" s="19">
        <f t="shared" si="17"/>
        <v>5.0006238303181537E-2</v>
      </c>
      <c r="K37" s="18">
        <f t="shared" si="13"/>
        <v>3189</v>
      </c>
      <c r="L37" s="18">
        <v>1</v>
      </c>
      <c r="M37" s="18">
        <f t="shared" si="18"/>
        <v>3190</v>
      </c>
    </row>
    <row r="38" spans="2:13" x14ac:dyDescent="0.2">
      <c r="B38" s="18" t="s">
        <v>353</v>
      </c>
      <c r="C38" s="18">
        <v>897</v>
      </c>
      <c r="D38" s="18">
        <v>513</v>
      </c>
      <c r="E38" s="18">
        <f t="shared" si="14"/>
        <v>1410</v>
      </c>
      <c r="F38" s="19">
        <f t="shared" si="15"/>
        <v>6.974328535391007E-2</v>
      </c>
      <c r="G38" s="18">
        <v>2196</v>
      </c>
      <c r="H38" s="18">
        <v>228</v>
      </c>
      <c r="I38" s="18">
        <f t="shared" si="16"/>
        <v>2424</v>
      </c>
      <c r="J38" s="19">
        <f t="shared" si="17"/>
        <v>6.0486587648159701E-2</v>
      </c>
      <c r="K38" s="18">
        <f t="shared" si="13"/>
        <v>3834</v>
      </c>
      <c r="L38" s="18">
        <v>0</v>
      </c>
      <c r="M38" s="18">
        <f t="shared" si="18"/>
        <v>3834</v>
      </c>
    </row>
    <row r="39" spans="2:13" x14ac:dyDescent="0.2">
      <c r="B39" s="18" t="s">
        <v>354</v>
      </c>
      <c r="C39" s="18">
        <v>1544</v>
      </c>
      <c r="D39" s="18">
        <v>774</v>
      </c>
      <c r="E39" s="18">
        <f t="shared" si="14"/>
        <v>2318</v>
      </c>
      <c r="F39" s="19">
        <f t="shared" si="15"/>
        <v>0.11465598258891033</v>
      </c>
      <c r="G39" s="18">
        <v>2628</v>
      </c>
      <c r="H39" s="18">
        <v>322</v>
      </c>
      <c r="I39" s="18">
        <f t="shared" si="16"/>
        <v>2950</v>
      </c>
      <c r="J39" s="19">
        <f t="shared" si="17"/>
        <v>7.3611977542108548E-2</v>
      </c>
      <c r="K39" s="18">
        <f t="shared" si="13"/>
        <v>5268</v>
      </c>
      <c r="L39" s="18">
        <v>0</v>
      </c>
      <c r="M39" s="18">
        <f t="shared" si="18"/>
        <v>5268</v>
      </c>
    </row>
    <row r="40" spans="2:13" x14ac:dyDescent="0.2">
      <c r="B40" s="18" t="s">
        <v>355</v>
      </c>
      <c r="C40" s="18">
        <v>1465</v>
      </c>
      <c r="D40" s="18">
        <v>698</v>
      </c>
      <c r="E40" s="18">
        <f t="shared" si="14"/>
        <v>2163</v>
      </c>
      <c r="F40" s="19">
        <f t="shared" si="15"/>
        <v>0.10698916753227482</v>
      </c>
      <c r="G40" s="18">
        <v>4518</v>
      </c>
      <c r="H40" s="18">
        <v>465</v>
      </c>
      <c r="I40" s="18">
        <f t="shared" si="16"/>
        <v>4983</v>
      </c>
      <c r="J40" s="19">
        <f t="shared" si="17"/>
        <v>0.12434185901434809</v>
      </c>
      <c r="K40" s="18">
        <f t="shared" si="13"/>
        <v>7146</v>
      </c>
      <c r="L40" s="18">
        <v>0</v>
      </c>
      <c r="M40" s="18">
        <f t="shared" si="18"/>
        <v>7146</v>
      </c>
    </row>
    <row r="41" spans="2:13" x14ac:dyDescent="0.2">
      <c r="B41" s="18" t="s">
        <v>356</v>
      </c>
      <c r="C41" s="18">
        <v>603</v>
      </c>
      <c r="D41" s="18">
        <v>303</v>
      </c>
      <c r="E41" s="18">
        <f t="shared" si="14"/>
        <v>906</v>
      </c>
      <c r="F41" s="19">
        <f t="shared" si="15"/>
        <v>4.4813770589108175E-2</v>
      </c>
      <c r="G41" s="18">
        <v>1118</v>
      </c>
      <c r="H41" s="18">
        <v>109</v>
      </c>
      <c r="I41" s="18">
        <f t="shared" si="16"/>
        <v>1227</v>
      </c>
      <c r="J41" s="19">
        <f t="shared" si="17"/>
        <v>3.0617592014971929E-2</v>
      </c>
      <c r="K41" s="18">
        <f t="shared" si="13"/>
        <v>2133</v>
      </c>
      <c r="L41" s="18">
        <v>0</v>
      </c>
      <c r="M41" s="18">
        <f t="shared" si="18"/>
        <v>2133</v>
      </c>
    </row>
    <row r="42" spans="2:13" x14ac:dyDescent="0.2">
      <c r="B42" s="18" t="s">
        <v>357</v>
      </c>
      <c r="C42" s="18">
        <v>500</v>
      </c>
      <c r="D42" s="18">
        <v>245</v>
      </c>
      <c r="E42" s="18">
        <f t="shared" si="14"/>
        <v>745</v>
      </c>
      <c r="F42" s="19">
        <f t="shared" si="15"/>
        <v>3.6850175594796461E-2</v>
      </c>
      <c r="G42" s="18">
        <v>828</v>
      </c>
      <c r="H42" s="18">
        <v>100</v>
      </c>
      <c r="I42" s="18">
        <f t="shared" si="16"/>
        <v>928</v>
      </c>
      <c r="J42" s="19">
        <f t="shared" si="17"/>
        <v>2.3156581409856519E-2</v>
      </c>
      <c r="K42" s="18">
        <f t="shared" si="13"/>
        <v>1673</v>
      </c>
      <c r="L42" s="18">
        <v>0</v>
      </c>
      <c r="M42" s="18">
        <f t="shared" si="18"/>
        <v>1673</v>
      </c>
    </row>
    <row r="43" spans="2:13" x14ac:dyDescent="0.2">
      <c r="B43" s="18" t="s">
        <v>358</v>
      </c>
      <c r="C43" s="18">
        <v>1554</v>
      </c>
      <c r="D43" s="18">
        <v>697</v>
      </c>
      <c r="E43" s="18">
        <f t="shared" si="14"/>
        <v>2251</v>
      </c>
      <c r="F43" s="19">
        <f t="shared" si="15"/>
        <v>0.11134193995152594</v>
      </c>
      <c r="G43" s="18">
        <v>3345</v>
      </c>
      <c r="H43" s="18">
        <v>381</v>
      </c>
      <c r="I43" s="18">
        <f t="shared" si="16"/>
        <v>3726</v>
      </c>
      <c r="J43" s="19">
        <f t="shared" si="17"/>
        <v>9.2975670617592016E-2</v>
      </c>
      <c r="K43" s="18">
        <f t="shared" si="13"/>
        <v>5977</v>
      </c>
      <c r="L43" s="18">
        <v>0</v>
      </c>
      <c r="M43" s="18">
        <f t="shared" si="18"/>
        <v>5977</v>
      </c>
    </row>
    <row r="44" spans="2:13" x14ac:dyDescent="0.2">
      <c r="B44" s="20" t="s">
        <v>49</v>
      </c>
      <c r="C44" s="18">
        <f t="shared" ref="C44:H44" si="19">SUM(C32:C43)</f>
        <v>13379</v>
      </c>
      <c r="D44" s="18">
        <f t="shared" si="19"/>
        <v>6838</v>
      </c>
      <c r="E44" s="20">
        <f t="shared" ref="E44" si="20">C44+D44</f>
        <v>20217</v>
      </c>
      <c r="F44" s="22">
        <f t="shared" ref="F44" si="21">E44/$E$44</f>
        <v>1</v>
      </c>
      <c r="G44" s="18">
        <f t="shared" si="19"/>
        <v>36425</v>
      </c>
      <c r="H44" s="18">
        <f t="shared" si="19"/>
        <v>3650</v>
      </c>
      <c r="I44" s="20">
        <f t="shared" ref="I44" si="22">G44+H44</f>
        <v>40075</v>
      </c>
      <c r="J44" s="22">
        <f t="shared" ref="J44" si="23">I44/$I$44</f>
        <v>1</v>
      </c>
      <c r="K44" s="20">
        <f t="shared" ref="K44" si="24">E44+I44</f>
        <v>60292</v>
      </c>
      <c r="L44" s="18">
        <f t="shared" ref="L44" si="25">SUM(L32:L43)</f>
        <v>1</v>
      </c>
      <c r="M44" s="20">
        <f t="shared" si="18"/>
        <v>60293</v>
      </c>
    </row>
    <row r="45" spans="2:13" ht="24" x14ac:dyDescent="0.2">
      <c r="B45" s="32" t="s">
        <v>66</v>
      </c>
      <c r="C45" s="33">
        <f>+C44/M44</f>
        <v>0.22189972301925598</v>
      </c>
      <c r="D45" s="33">
        <f>+D44/M44</f>
        <v>0.11341283399399599</v>
      </c>
      <c r="E45" s="34">
        <f>+E44/M44</f>
        <v>0.33531255701325197</v>
      </c>
      <c r="F45" s="34"/>
      <c r="G45" s="33">
        <f>+G44/M44</f>
        <v>0.60413314978521548</v>
      </c>
      <c r="H45" s="33">
        <f>+H44/M44</f>
        <v>6.053770752823711E-2</v>
      </c>
      <c r="I45" s="34">
        <f>+I44/M44</f>
        <v>0.66467085731345266</v>
      </c>
      <c r="J45" s="34"/>
      <c r="K45" s="34">
        <f>+K44/M44</f>
        <v>0.99998341432670457</v>
      </c>
      <c r="L45" s="34">
        <f>+L44/M44</f>
        <v>1.6585673295407428E-5</v>
      </c>
      <c r="M45" s="34">
        <f>K45+L45</f>
        <v>1</v>
      </c>
    </row>
    <row r="46" spans="2:13" x14ac:dyDescent="0.2">
      <c r="B46" s="25" t="s">
        <v>129</v>
      </c>
    </row>
    <row r="47" spans="2:13" x14ac:dyDescent="0.2">
      <c r="B47" s="25" t="s">
        <v>130</v>
      </c>
    </row>
  </sheetData>
  <mergeCells count="12">
    <mergeCell ref="L30:M30"/>
    <mergeCell ref="B29:M29"/>
    <mergeCell ref="B6:K6"/>
    <mergeCell ref="B5:K5"/>
    <mergeCell ref="B27:K27"/>
    <mergeCell ref="B26:K26"/>
    <mergeCell ref="B8:M8"/>
    <mergeCell ref="L9:M9"/>
    <mergeCell ref="B30:B31"/>
    <mergeCell ref="C30:K30"/>
    <mergeCell ref="B9:B10"/>
    <mergeCell ref="C9:K9"/>
  </mergeCells>
  <hyperlinks>
    <hyperlink ref="M5" location="'Índice Pensiones Solidarias'!A1" display="Volver Sistema de Pensiones Solidadias" xr:uid="{00000000-0004-0000-1200-000000000000}"/>
  </hyperlinks>
  <pageMargins left="0.74803149606299213" right="0.74803149606299213" top="0.98425196850393704" bottom="0.98425196850393704" header="0" footer="0"/>
  <pageSetup scale="78"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Hoja29"/>
  <dimension ref="A1:P83"/>
  <sheetViews>
    <sheetView showGridLines="0" topLeftCell="A34" zoomScaleNormal="100" workbookViewId="0">
      <selection activeCell="L19" sqref="L19"/>
    </sheetView>
  </sheetViews>
  <sheetFormatPr baseColWidth="10" defaultRowHeight="12" x14ac:dyDescent="0.2"/>
  <cols>
    <col min="1" max="1" width="6" style="26" customWidth="1"/>
    <col min="2" max="2" width="18.140625" style="26" customWidth="1"/>
    <col min="3" max="3" width="7.85546875" style="26" bestFit="1" customWidth="1"/>
    <col min="4" max="4" width="7.28515625" style="26" bestFit="1" customWidth="1"/>
    <col min="5" max="6" width="7.28515625" style="26" customWidth="1"/>
    <col min="7" max="8" width="7.28515625" style="26" bestFit="1" customWidth="1"/>
    <col min="9" max="11" width="7.28515625" style="26" customWidth="1"/>
    <col min="12" max="12" width="7.85546875" style="26" customWidth="1"/>
    <col min="13" max="251" width="11.42578125" style="26"/>
    <col min="252" max="252" width="18.140625" style="26" customWidth="1"/>
    <col min="253" max="253" width="7.85546875" style="26" bestFit="1" customWidth="1"/>
    <col min="254" max="254" width="7.28515625" style="26" bestFit="1" customWidth="1"/>
    <col min="255" max="256" width="7.28515625" style="26" customWidth="1"/>
    <col min="257" max="258" width="7.28515625" style="26" bestFit="1" customWidth="1"/>
    <col min="259" max="261" width="7.28515625" style="26" customWidth="1"/>
    <col min="262" max="267" width="0" style="26" hidden="1" customWidth="1"/>
    <col min="268" max="268" width="7.85546875" style="26" customWidth="1"/>
    <col min="269" max="507" width="11.42578125" style="26"/>
    <col min="508" max="508" width="18.140625" style="26" customWidth="1"/>
    <col min="509" max="509" width="7.85546875" style="26" bestFit="1" customWidth="1"/>
    <col min="510" max="510" width="7.28515625" style="26" bestFit="1" customWidth="1"/>
    <col min="511" max="512" width="7.28515625" style="26" customWidth="1"/>
    <col min="513" max="514" width="7.28515625" style="26" bestFit="1" customWidth="1"/>
    <col min="515" max="517" width="7.28515625" style="26" customWidth="1"/>
    <col min="518" max="523" width="0" style="26" hidden="1" customWidth="1"/>
    <col min="524" max="524" width="7.85546875" style="26" customWidth="1"/>
    <col min="525" max="763" width="11.42578125" style="26"/>
    <col min="764" max="764" width="18.140625" style="26" customWidth="1"/>
    <col min="765" max="765" width="7.85546875" style="26" bestFit="1" customWidth="1"/>
    <col min="766" max="766" width="7.28515625" style="26" bestFit="1" customWidth="1"/>
    <col min="767" max="768" width="7.28515625" style="26" customWidth="1"/>
    <col min="769" max="770" width="7.28515625" style="26" bestFit="1" customWidth="1"/>
    <col min="771" max="773" width="7.28515625" style="26" customWidth="1"/>
    <col min="774" max="779" width="0" style="26" hidden="1" customWidth="1"/>
    <col min="780" max="780" width="7.85546875" style="26" customWidth="1"/>
    <col min="781" max="1019" width="11.42578125" style="26"/>
    <col min="1020" max="1020" width="18.140625" style="26" customWidth="1"/>
    <col min="1021" max="1021" width="7.85546875" style="26" bestFit="1" customWidth="1"/>
    <col min="1022" max="1022" width="7.28515625" style="26" bestFit="1" customWidth="1"/>
    <col min="1023" max="1024" width="7.28515625" style="26" customWidth="1"/>
    <col min="1025" max="1026" width="7.28515625" style="26" bestFit="1" customWidth="1"/>
    <col min="1027" max="1029" width="7.28515625" style="26" customWidth="1"/>
    <col min="1030" max="1035" width="0" style="26" hidden="1" customWidth="1"/>
    <col min="1036" max="1036" width="7.85546875" style="26" customWidth="1"/>
    <col min="1037" max="1275" width="11.42578125" style="26"/>
    <col min="1276" max="1276" width="18.140625" style="26" customWidth="1"/>
    <col min="1277" max="1277" width="7.85546875" style="26" bestFit="1" customWidth="1"/>
    <col min="1278" max="1278" width="7.28515625" style="26" bestFit="1" customWidth="1"/>
    <col min="1279" max="1280" width="7.28515625" style="26" customWidth="1"/>
    <col min="1281" max="1282" width="7.28515625" style="26" bestFit="1" customWidth="1"/>
    <col min="1283" max="1285" width="7.28515625" style="26" customWidth="1"/>
    <col min="1286" max="1291" width="0" style="26" hidden="1" customWidth="1"/>
    <col min="1292" max="1292" width="7.85546875" style="26" customWidth="1"/>
    <col min="1293" max="1531" width="11.42578125" style="26"/>
    <col min="1532" max="1532" width="18.140625" style="26" customWidth="1"/>
    <col min="1533" max="1533" width="7.85546875" style="26" bestFit="1" customWidth="1"/>
    <col min="1534" max="1534" width="7.28515625" style="26" bestFit="1" customWidth="1"/>
    <col min="1535" max="1536" width="7.28515625" style="26" customWidth="1"/>
    <col min="1537" max="1538" width="7.28515625" style="26" bestFit="1" customWidth="1"/>
    <col min="1539" max="1541" width="7.28515625" style="26" customWidth="1"/>
    <col min="1542" max="1547" width="0" style="26" hidden="1" customWidth="1"/>
    <col min="1548" max="1548" width="7.85546875" style="26" customWidth="1"/>
    <col min="1549" max="1787" width="11.42578125" style="26"/>
    <col min="1788" max="1788" width="18.140625" style="26" customWidth="1"/>
    <col min="1789" max="1789" width="7.85546875" style="26" bestFit="1" customWidth="1"/>
    <col min="1790" max="1790" width="7.28515625" style="26" bestFit="1" customWidth="1"/>
    <col min="1791" max="1792" width="7.28515625" style="26" customWidth="1"/>
    <col min="1793" max="1794" width="7.28515625" style="26" bestFit="1" customWidth="1"/>
    <col min="1795" max="1797" width="7.28515625" style="26" customWidth="1"/>
    <col min="1798" max="1803" width="0" style="26" hidden="1" customWidth="1"/>
    <col min="1804" max="1804" width="7.85546875" style="26" customWidth="1"/>
    <col min="1805" max="2043" width="11.42578125" style="26"/>
    <col min="2044" max="2044" width="18.140625" style="26" customWidth="1"/>
    <col min="2045" max="2045" width="7.85546875" style="26" bestFit="1" customWidth="1"/>
    <col min="2046" max="2046" width="7.28515625" style="26" bestFit="1" customWidth="1"/>
    <col min="2047" max="2048" width="7.28515625" style="26" customWidth="1"/>
    <col min="2049" max="2050" width="7.28515625" style="26" bestFit="1" customWidth="1"/>
    <col min="2051" max="2053" width="7.28515625" style="26" customWidth="1"/>
    <col min="2054" max="2059" width="0" style="26" hidden="1" customWidth="1"/>
    <col min="2060" max="2060" width="7.85546875" style="26" customWidth="1"/>
    <col min="2061" max="2299" width="11.42578125" style="26"/>
    <col min="2300" max="2300" width="18.140625" style="26" customWidth="1"/>
    <col min="2301" max="2301" width="7.85546875" style="26" bestFit="1" customWidth="1"/>
    <col min="2302" max="2302" width="7.28515625" style="26" bestFit="1" customWidth="1"/>
    <col min="2303" max="2304" width="7.28515625" style="26" customWidth="1"/>
    <col min="2305" max="2306" width="7.28515625" style="26" bestFit="1" customWidth="1"/>
    <col min="2307" max="2309" width="7.28515625" style="26" customWidth="1"/>
    <col min="2310" max="2315" width="0" style="26" hidden="1" customWidth="1"/>
    <col min="2316" max="2316" width="7.85546875" style="26" customWidth="1"/>
    <col min="2317" max="2555" width="11.42578125" style="26"/>
    <col min="2556" max="2556" width="18.140625" style="26" customWidth="1"/>
    <col min="2557" max="2557" width="7.85546875" style="26" bestFit="1" customWidth="1"/>
    <col min="2558" max="2558" width="7.28515625" style="26" bestFit="1" customWidth="1"/>
    <col min="2559" max="2560" width="7.28515625" style="26" customWidth="1"/>
    <col min="2561" max="2562" width="7.28515625" style="26" bestFit="1" customWidth="1"/>
    <col min="2563" max="2565" width="7.28515625" style="26" customWidth="1"/>
    <col min="2566" max="2571" width="0" style="26" hidden="1" customWidth="1"/>
    <col min="2572" max="2572" width="7.85546875" style="26" customWidth="1"/>
    <col min="2573" max="2811" width="11.42578125" style="26"/>
    <col min="2812" max="2812" width="18.140625" style="26" customWidth="1"/>
    <col min="2813" max="2813" width="7.85546875" style="26" bestFit="1" customWidth="1"/>
    <col min="2814" max="2814" width="7.28515625" style="26" bestFit="1" customWidth="1"/>
    <col min="2815" max="2816" width="7.28515625" style="26" customWidth="1"/>
    <col min="2817" max="2818" width="7.28515625" style="26" bestFit="1" customWidth="1"/>
    <col min="2819" max="2821" width="7.28515625" style="26" customWidth="1"/>
    <col min="2822" max="2827" width="0" style="26" hidden="1" customWidth="1"/>
    <col min="2828" max="2828" width="7.85546875" style="26" customWidth="1"/>
    <col min="2829" max="3067" width="11.42578125" style="26"/>
    <col min="3068" max="3068" width="18.140625" style="26" customWidth="1"/>
    <col min="3069" max="3069" width="7.85546875" style="26" bestFit="1" customWidth="1"/>
    <col min="3070" max="3070" width="7.28515625" style="26" bestFit="1" customWidth="1"/>
    <col min="3071" max="3072" width="7.28515625" style="26" customWidth="1"/>
    <col min="3073" max="3074" width="7.28515625" style="26" bestFit="1" customWidth="1"/>
    <col min="3075" max="3077" width="7.28515625" style="26" customWidth="1"/>
    <col min="3078" max="3083" width="0" style="26" hidden="1" customWidth="1"/>
    <col min="3084" max="3084" width="7.85546875" style="26" customWidth="1"/>
    <col min="3085" max="3323" width="11.42578125" style="26"/>
    <col min="3324" max="3324" width="18.140625" style="26" customWidth="1"/>
    <col min="3325" max="3325" width="7.85546875" style="26" bestFit="1" customWidth="1"/>
    <col min="3326" max="3326" width="7.28515625" style="26" bestFit="1" customWidth="1"/>
    <col min="3327" max="3328" width="7.28515625" style="26" customWidth="1"/>
    <col min="3329" max="3330" width="7.28515625" style="26" bestFit="1" customWidth="1"/>
    <col min="3331" max="3333" width="7.28515625" style="26" customWidth="1"/>
    <col min="3334" max="3339" width="0" style="26" hidden="1" customWidth="1"/>
    <col min="3340" max="3340" width="7.85546875" style="26" customWidth="1"/>
    <col min="3341" max="3579" width="11.42578125" style="26"/>
    <col min="3580" max="3580" width="18.140625" style="26" customWidth="1"/>
    <col min="3581" max="3581" width="7.85546875" style="26" bestFit="1" customWidth="1"/>
    <col min="3582" max="3582" width="7.28515625" style="26" bestFit="1" customWidth="1"/>
    <col min="3583" max="3584" width="7.28515625" style="26" customWidth="1"/>
    <col min="3585" max="3586" width="7.28515625" style="26" bestFit="1" customWidth="1"/>
    <col min="3587" max="3589" width="7.28515625" style="26" customWidth="1"/>
    <col min="3590" max="3595" width="0" style="26" hidden="1" customWidth="1"/>
    <col min="3596" max="3596" width="7.85546875" style="26" customWidth="1"/>
    <col min="3597" max="3835" width="11.42578125" style="26"/>
    <col min="3836" max="3836" width="18.140625" style="26" customWidth="1"/>
    <col min="3837" max="3837" width="7.85546875" style="26" bestFit="1" customWidth="1"/>
    <col min="3838" max="3838" width="7.28515625" style="26" bestFit="1" customWidth="1"/>
    <col min="3839" max="3840" width="7.28515625" style="26" customWidth="1"/>
    <col min="3841" max="3842" width="7.28515625" style="26" bestFit="1" customWidth="1"/>
    <col min="3843" max="3845" width="7.28515625" style="26" customWidth="1"/>
    <col min="3846" max="3851" width="0" style="26" hidden="1" customWidth="1"/>
    <col min="3852" max="3852" width="7.85546875" style="26" customWidth="1"/>
    <col min="3853" max="4091" width="11.42578125" style="26"/>
    <col min="4092" max="4092" width="18.140625" style="26" customWidth="1"/>
    <col min="4093" max="4093" width="7.85546875" style="26" bestFit="1" customWidth="1"/>
    <col min="4094" max="4094" width="7.28515625" style="26" bestFit="1" customWidth="1"/>
    <col min="4095" max="4096" width="7.28515625" style="26" customWidth="1"/>
    <col min="4097" max="4098" width="7.28515625" style="26" bestFit="1" customWidth="1"/>
    <col min="4099" max="4101" width="7.28515625" style="26" customWidth="1"/>
    <col min="4102" max="4107" width="0" style="26" hidden="1" customWidth="1"/>
    <col min="4108" max="4108" width="7.85546875" style="26" customWidth="1"/>
    <col min="4109" max="4347" width="11.42578125" style="26"/>
    <col min="4348" max="4348" width="18.140625" style="26" customWidth="1"/>
    <col min="4349" max="4349" width="7.85546875" style="26" bestFit="1" customWidth="1"/>
    <col min="4350" max="4350" width="7.28515625" style="26" bestFit="1" customWidth="1"/>
    <col min="4351" max="4352" width="7.28515625" style="26" customWidth="1"/>
    <col min="4353" max="4354" width="7.28515625" style="26" bestFit="1" customWidth="1"/>
    <col min="4355" max="4357" width="7.28515625" style="26" customWidth="1"/>
    <col min="4358" max="4363" width="0" style="26" hidden="1" customWidth="1"/>
    <col min="4364" max="4364" width="7.85546875" style="26" customWidth="1"/>
    <col min="4365" max="4603" width="11.42578125" style="26"/>
    <col min="4604" max="4604" width="18.140625" style="26" customWidth="1"/>
    <col min="4605" max="4605" width="7.85546875" style="26" bestFit="1" customWidth="1"/>
    <col min="4606" max="4606" width="7.28515625" style="26" bestFit="1" customWidth="1"/>
    <col min="4607" max="4608" width="7.28515625" style="26" customWidth="1"/>
    <col min="4609" max="4610" width="7.28515625" style="26" bestFit="1" customWidth="1"/>
    <col min="4611" max="4613" width="7.28515625" style="26" customWidth="1"/>
    <col min="4614" max="4619" width="0" style="26" hidden="1" customWidth="1"/>
    <col min="4620" max="4620" width="7.85546875" style="26" customWidth="1"/>
    <col min="4621" max="4859" width="11.42578125" style="26"/>
    <col min="4860" max="4860" width="18.140625" style="26" customWidth="1"/>
    <col min="4861" max="4861" width="7.85546875" style="26" bestFit="1" customWidth="1"/>
    <col min="4862" max="4862" width="7.28515625" style="26" bestFit="1" customWidth="1"/>
    <col min="4863" max="4864" width="7.28515625" style="26" customWidth="1"/>
    <col min="4865" max="4866" width="7.28515625" style="26" bestFit="1" customWidth="1"/>
    <col min="4867" max="4869" width="7.28515625" style="26" customWidth="1"/>
    <col min="4870" max="4875" width="0" style="26" hidden="1" customWidth="1"/>
    <col min="4876" max="4876" width="7.85546875" style="26" customWidth="1"/>
    <col min="4877" max="5115" width="11.42578125" style="26"/>
    <col min="5116" max="5116" width="18.140625" style="26" customWidth="1"/>
    <col min="5117" max="5117" width="7.85546875" style="26" bestFit="1" customWidth="1"/>
    <col min="5118" max="5118" width="7.28515625" style="26" bestFit="1" customWidth="1"/>
    <col min="5119" max="5120" width="7.28515625" style="26" customWidth="1"/>
    <col min="5121" max="5122" width="7.28515625" style="26" bestFit="1" customWidth="1"/>
    <col min="5123" max="5125" width="7.28515625" style="26" customWidth="1"/>
    <col min="5126" max="5131" width="0" style="26" hidden="1" customWidth="1"/>
    <col min="5132" max="5132" width="7.85546875" style="26" customWidth="1"/>
    <col min="5133" max="5371" width="11.42578125" style="26"/>
    <col min="5372" max="5372" width="18.140625" style="26" customWidth="1"/>
    <col min="5373" max="5373" width="7.85546875" style="26" bestFit="1" customWidth="1"/>
    <col min="5374" max="5374" width="7.28515625" style="26" bestFit="1" customWidth="1"/>
    <col min="5375" max="5376" width="7.28515625" style="26" customWidth="1"/>
    <col min="5377" max="5378" width="7.28515625" style="26" bestFit="1" customWidth="1"/>
    <col min="5379" max="5381" width="7.28515625" style="26" customWidth="1"/>
    <col min="5382" max="5387" width="0" style="26" hidden="1" customWidth="1"/>
    <col min="5388" max="5388" width="7.85546875" style="26" customWidth="1"/>
    <col min="5389" max="5627" width="11.42578125" style="26"/>
    <col min="5628" max="5628" width="18.140625" style="26" customWidth="1"/>
    <col min="5629" max="5629" width="7.85546875" style="26" bestFit="1" customWidth="1"/>
    <col min="5630" max="5630" width="7.28515625" style="26" bestFit="1" customWidth="1"/>
    <col min="5631" max="5632" width="7.28515625" style="26" customWidth="1"/>
    <col min="5633" max="5634" width="7.28515625" style="26" bestFit="1" customWidth="1"/>
    <col min="5635" max="5637" width="7.28515625" style="26" customWidth="1"/>
    <col min="5638" max="5643" width="0" style="26" hidden="1" customWidth="1"/>
    <col min="5644" max="5644" width="7.85546875" style="26" customWidth="1"/>
    <col min="5645" max="5883" width="11.42578125" style="26"/>
    <col min="5884" max="5884" width="18.140625" style="26" customWidth="1"/>
    <col min="5885" max="5885" width="7.85546875" style="26" bestFit="1" customWidth="1"/>
    <col min="5886" max="5886" width="7.28515625" style="26" bestFit="1" customWidth="1"/>
    <col min="5887" max="5888" width="7.28515625" style="26" customWidth="1"/>
    <col min="5889" max="5890" width="7.28515625" style="26" bestFit="1" customWidth="1"/>
    <col min="5891" max="5893" width="7.28515625" style="26" customWidth="1"/>
    <col min="5894" max="5899" width="0" style="26" hidden="1" customWidth="1"/>
    <col min="5900" max="5900" width="7.85546875" style="26" customWidth="1"/>
    <col min="5901" max="6139" width="11.42578125" style="26"/>
    <col min="6140" max="6140" width="18.140625" style="26" customWidth="1"/>
    <col min="6141" max="6141" width="7.85546875" style="26" bestFit="1" customWidth="1"/>
    <col min="6142" max="6142" width="7.28515625" style="26" bestFit="1" customWidth="1"/>
    <col min="6143" max="6144" width="7.28515625" style="26" customWidth="1"/>
    <col min="6145" max="6146" width="7.28515625" style="26" bestFit="1" customWidth="1"/>
    <col min="6147" max="6149" width="7.28515625" style="26" customWidth="1"/>
    <col min="6150" max="6155" width="0" style="26" hidden="1" customWidth="1"/>
    <col min="6156" max="6156" width="7.85546875" style="26" customWidth="1"/>
    <col min="6157" max="6395" width="11.42578125" style="26"/>
    <col min="6396" max="6396" width="18.140625" style="26" customWidth="1"/>
    <col min="6397" max="6397" width="7.85546875" style="26" bestFit="1" customWidth="1"/>
    <col min="6398" max="6398" width="7.28515625" style="26" bestFit="1" customWidth="1"/>
    <col min="6399" max="6400" width="7.28515625" style="26" customWidth="1"/>
    <col min="6401" max="6402" width="7.28515625" style="26" bestFit="1" customWidth="1"/>
    <col min="6403" max="6405" width="7.28515625" style="26" customWidth="1"/>
    <col min="6406" max="6411" width="0" style="26" hidden="1" customWidth="1"/>
    <col min="6412" max="6412" width="7.85546875" style="26" customWidth="1"/>
    <col min="6413" max="6651" width="11.42578125" style="26"/>
    <col min="6652" max="6652" width="18.140625" style="26" customWidth="1"/>
    <col min="6653" max="6653" width="7.85546875" style="26" bestFit="1" customWidth="1"/>
    <col min="6654" max="6654" width="7.28515625" style="26" bestFit="1" customWidth="1"/>
    <col min="6655" max="6656" width="7.28515625" style="26" customWidth="1"/>
    <col min="6657" max="6658" width="7.28515625" style="26" bestFit="1" customWidth="1"/>
    <col min="6659" max="6661" width="7.28515625" style="26" customWidth="1"/>
    <col min="6662" max="6667" width="0" style="26" hidden="1" customWidth="1"/>
    <col min="6668" max="6668" width="7.85546875" style="26" customWidth="1"/>
    <col min="6669" max="6907" width="11.42578125" style="26"/>
    <col min="6908" max="6908" width="18.140625" style="26" customWidth="1"/>
    <col min="6909" max="6909" width="7.85546875" style="26" bestFit="1" customWidth="1"/>
    <col min="6910" max="6910" width="7.28515625" style="26" bestFit="1" customWidth="1"/>
    <col min="6911" max="6912" width="7.28515625" style="26" customWidth="1"/>
    <col min="6913" max="6914" width="7.28515625" style="26" bestFit="1" customWidth="1"/>
    <col min="6915" max="6917" width="7.28515625" style="26" customWidth="1"/>
    <col min="6918" max="6923" width="0" style="26" hidden="1" customWidth="1"/>
    <col min="6924" max="6924" width="7.85546875" style="26" customWidth="1"/>
    <col min="6925" max="7163" width="11.42578125" style="26"/>
    <col min="7164" max="7164" width="18.140625" style="26" customWidth="1"/>
    <col min="7165" max="7165" width="7.85546875" style="26" bestFit="1" customWidth="1"/>
    <col min="7166" max="7166" width="7.28515625" style="26" bestFit="1" customWidth="1"/>
    <col min="7167" max="7168" width="7.28515625" style="26" customWidth="1"/>
    <col min="7169" max="7170" width="7.28515625" style="26" bestFit="1" customWidth="1"/>
    <col min="7171" max="7173" width="7.28515625" style="26" customWidth="1"/>
    <col min="7174" max="7179" width="0" style="26" hidden="1" customWidth="1"/>
    <col min="7180" max="7180" width="7.85546875" style="26" customWidth="1"/>
    <col min="7181" max="7419" width="11.42578125" style="26"/>
    <col min="7420" max="7420" width="18.140625" style="26" customWidth="1"/>
    <col min="7421" max="7421" width="7.85546875" style="26" bestFit="1" customWidth="1"/>
    <col min="7422" max="7422" width="7.28515625" style="26" bestFit="1" customWidth="1"/>
    <col min="7423" max="7424" width="7.28515625" style="26" customWidth="1"/>
    <col min="7425" max="7426" width="7.28515625" style="26" bestFit="1" customWidth="1"/>
    <col min="7427" max="7429" width="7.28515625" style="26" customWidth="1"/>
    <col min="7430" max="7435" width="0" style="26" hidden="1" customWidth="1"/>
    <col min="7436" max="7436" width="7.85546875" style="26" customWidth="1"/>
    <col min="7437" max="7675" width="11.42578125" style="26"/>
    <col min="7676" max="7676" width="18.140625" style="26" customWidth="1"/>
    <col min="7677" max="7677" width="7.85546875" style="26" bestFit="1" customWidth="1"/>
    <col min="7678" max="7678" width="7.28515625" style="26" bestFit="1" customWidth="1"/>
    <col min="7679" max="7680" width="7.28515625" style="26" customWidth="1"/>
    <col min="7681" max="7682" width="7.28515625" style="26" bestFit="1" customWidth="1"/>
    <col min="7683" max="7685" width="7.28515625" style="26" customWidth="1"/>
    <col min="7686" max="7691" width="0" style="26" hidden="1" customWidth="1"/>
    <col min="7692" max="7692" width="7.85546875" style="26" customWidth="1"/>
    <col min="7693" max="7931" width="11.42578125" style="26"/>
    <col min="7932" max="7932" width="18.140625" style="26" customWidth="1"/>
    <col min="7933" max="7933" width="7.85546875" style="26" bestFit="1" customWidth="1"/>
    <col min="7934" max="7934" width="7.28515625" style="26" bestFit="1" customWidth="1"/>
    <col min="7935" max="7936" width="7.28515625" style="26" customWidth="1"/>
    <col min="7937" max="7938" width="7.28515625" style="26" bestFit="1" customWidth="1"/>
    <col min="7939" max="7941" width="7.28515625" style="26" customWidth="1"/>
    <col min="7942" max="7947" width="0" style="26" hidden="1" customWidth="1"/>
    <col min="7948" max="7948" width="7.85546875" style="26" customWidth="1"/>
    <col min="7949" max="8187" width="11.42578125" style="26"/>
    <col min="8188" max="8188" width="18.140625" style="26" customWidth="1"/>
    <col min="8189" max="8189" width="7.85546875" style="26" bestFit="1" customWidth="1"/>
    <col min="8190" max="8190" width="7.28515625" style="26" bestFit="1" customWidth="1"/>
    <col min="8191" max="8192" width="7.28515625" style="26" customWidth="1"/>
    <col min="8193" max="8194" width="7.28515625" style="26" bestFit="1" customWidth="1"/>
    <col min="8195" max="8197" width="7.28515625" style="26" customWidth="1"/>
    <col min="8198" max="8203" width="0" style="26" hidden="1" customWidth="1"/>
    <col min="8204" max="8204" width="7.85546875" style="26" customWidth="1"/>
    <col min="8205" max="8443" width="11.42578125" style="26"/>
    <col min="8444" max="8444" width="18.140625" style="26" customWidth="1"/>
    <col min="8445" max="8445" width="7.85546875" style="26" bestFit="1" customWidth="1"/>
    <col min="8446" max="8446" width="7.28515625" style="26" bestFit="1" customWidth="1"/>
    <col min="8447" max="8448" width="7.28515625" style="26" customWidth="1"/>
    <col min="8449" max="8450" width="7.28515625" style="26" bestFit="1" customWidth="1"/>
    <col min="8451" max="8453" width="7.28515625" style="26" customWidth="1"/>
    <col min="8454" max="8459" width="0" style="26" hidden="1" customWidth="1"/>
    <col min="8460" max="8460" width="7.85546875" style="26" customWidth="1"/>
    <col min="8461" max="8699" width="11.42578125" style="26"/>
    <col min="8700" max="8700" width="18.140625" style="26" customWidth="1"/>
    <col min="8701" max="8701" width="7.85546875" style="26" bestFit="1" customWidth="1"/>
    <col min="8702" max="8702" width="7.28515625" style="26" bestFit="1" customWidth="1"/>
    <col min="8703" max="8704" width="7.28515625" style="26" customWidth="1"/>
    <col min="8705" max="8706" width="7.28515625" style="26" bestFit="1" customWidth="1"/>
    <col min="8707" max="8709" width="7.28515625" style="26" customWidth="1"/>
    <col min="8710" max="8715" width="0" style="26" hidden="1" customWidth="1"/>
    <col min="8716" max="8716" width="7.85546875" style="26" customWidth="1"/>
    <col min="8717" max="8955" width="11.42578125" style="26"/>
    <col min="8956" max="8956" width="18.140625" style="26" customWidth="1"/>
    <col min="8957" max="8957" width="7.85546875" style="26" bestFit="1" customWidth="1"/>
    <col min="8958" max="8958" width="7.28515625" style="26" bestFit="1" customWidth="1"/>
    <col min="8959" max="8960" width="7.28515625" style="26" customWidth="1"/>
    <col min="8961" max="8962" width="7.28515625" style="26" bestFit="1" customWidth="1"/>
    <col min="8963" max="8965" width="7.28515625" style="26" customWidth="1"/>
    <col min="8966" max="8971" width="0" style="26" hidden="1" customWidth="1"/>
    <col min="8972" max="8972" width="7.85546875" style="26" customWidth="1"/>
    <col min="8973" max="9211" width="11.42578125" style="26"/>
    <col min="9212" max="9212" width="18.140625" style="26" customWidth="1"/>
    <col min="9213" max="9213" width="7.85546875" style="26" bestFit="1" customWidth="1"/>
    <col min="9214" max="9214" width="7.28515625" style="26" bestFit="1" customWidth="1"/>
    <col min="9215" max="9216" width="7.28515625" style="26" customWidth="1"/>
    <col min="9217" max="9218" width="7.28515625" style="26" bestFit="1" customWidth="1"/>
    <col min="9219" max="9221" width="7.28515625" style="26" customWidth="1"/>
    <col min="9222" max="9227" width="0" style="26" hidden="1" customWidth="1"/>
    <col min="9228" max="9228" width="7.85546875" style="26" customWidth="1"/>
    <col min="9229" max="9467" width="11.42578125" style="26"/>
    <col min="9468" max="9468" width="18.140625" style="26" customWidth="1"/>
    <col min="9469" max="9469" width="7.85546875" style="26" bestFit="1" customWidth="1"/>
    <col min="9470" max="9470" width="7.28515625" style="26" bestFit="1" customWidth="1"/>
    <col min="9471" max="9472" width="7.28515625" style="26" customWidth="1"/>
    <col min="9473" max="9474" width="7.28515625" style="26" bestFit="1" customWidth="1"/>
    <col min="9475" max="9477" width="7.28515625" style="26" customWidth="1"/>
    <col min="9478" max="9483" width="0" style="26" hidden="1" customWidth="1"/>
    <col min="9484" max="9484" width="7.85546875" style="26" customWidth="1"/>
    <col min="9485" max="9723" width="11.42578125" style="26"/>
    <col min="9724" max="9724" width="18.140625" style="26" customWidth="1"/>
    <col min="9725" max="9725" width="7.85546875" style="26" bestFit="1" customWidth="1"/>
    <col min="9726" max="9726" width="7.28515625" style="26" bestFit="1" customWidth="1"/>
    <col min="9727" max="9728" width="7.28515625" style="26" customWidth="1"/>
    <col min="9729" max="9730" width="7.28515625" style="26" bestFit="1" customWidth="1"/>
    <col min="9731" max="9733" width="7.28515625" style="26" customWidth="1"/>
    <col min="9734" max="9739" width="0" style="26" hidden="1" customWidth="1"/>
    <col min="9740" max="9740" width="7.85546875" style="26" customWidth="1"/>
    <col min="9741" max="9979" width="11.42578125" style="26"/>
    <col min="9980" max="9980" width="18.140625" style="26" customWidth="1"/>
    <col min="9981" max="9981" width="7.85546875" style="26" bestFit="1" customWidth="1"/>
    <col min="9982" max="9982" width="7.28515625" style="26" bestFit="1" customWidth="1"/>
    <col min="9983" max="9984" width="7.28515625" style="26" customWidth="1"/>
    <col min="9985" max="9986" width="7.28515625" style="26" bestFit="1" customWidth="1"/>
    <col min="9987" max="9989" width="7.28515625" style="26" customWidth="1"/>
    <col min="9990" max="9995" width="0" style="26" hidden="1" customWidth="1"/>
    <col min="9996" max="9996" width="7.85546875" style="26" customWidth="1"/>
    <col min="9997" max="10235" width="11.42578125" style="26"/>
    <col min="10236" max="10236" width="18.140625" style="26" customWidth="1"/>
    <col min="10237" max="10237" width="7.85546875" style="26" bestFit="1" customWidth="1"/>
    <col min="10238" max="10238" width="7.28515625" style="26" bestFit="1" customWidth="1"/>
    <col min="10239" max="10240" width="7.28515625" style="26" customWidth="1"/>
    <col min="10241" max="10242" width="7.28515625" style="26" bestFit="1" customWidth="1"/>
    <col min="10243" max="10245" width="7.28515625" style="26" customWidth="1"/>
    <col min="10246" max="10251" width="0" style="26" hidden="1" customWidth="1"/>
    <col min="10252" max="10252" width="7.85546875" style="26" customWidth="1"/>
    <col min="10253" max="10491" width="11.42578125" style="26"/>
    <col min="10492" max="10492" width="18.140625" style="26" customWidth="1"/>
    <col min="10493" max="10493" width="7.85546875" style="26" bestFit="1" customWidth="1"/>
    <col min="10494" max="10494" width="7.28515625" style="26" bestFit="1" customWidth="1"/>
    <col min="10495" max="10496" width="7.28515625" style="26" customWidth="1"/>
    <col min="10497" max="10498" width="7.28515625" style="26" bestFit="1" customWidth="1"/>
    <col min="10499" max="10501" width="7.28515625" style="26" customWidth="1"/>
    <col min="10502" max="10507" width="0" style="26" hidden="1" customWidth="1"/>
    <col min="10508" max="10508" width="7.85546875" style="26" customWidth="1"/>
    <col min="10509" max="10747" width="11.42578125" style="26"/>
    <col min="10748" max="10748" width="18.140625" style="26" customWidth="1"/>
    <col min="10749" max="10749" width="7.85546875" style="26" bestFit="1" customWidth="1"/>
    <col min="10750" max="10750" width="7.28515625" style="26" bestFit="1" customWidth="1"/>
    <col min="10751" max="10752" width="7.28515625" style="26" customWidth="1"/>
    <col min="10753" max="10754" width="7.28515625" style="26" bestFit="1" customWidth="1"/>
    <col min="10755" max="10757" width="7.28515625" style="26" customWidth="1"/>
    <col min="10758" max="10763" width="0" style="26" hidden="1" customWidth="1"/>
    <col min="10764" max="10764" width="7.85546875" style="26" customWidth="1"/>
    <col min="10765" max="11003" width="11.42578125" style="26"/>
    <col min="11004" max="11004" width="18.140625" style="26" customWidth="1"/>
    <col min="11005" max="11005" width="7.85546875" style="26" bestFit="1" customWidth="1"/>
    <col min="11006" max="11006" width="7.28515625" style="26" bestFit="1" customWidth="1"/>
    <col min="11007" max="11008" width="7.28515625" style="26" customWidth="1"/>
    <col min="11009" max="11010" width="7.28515625" style="26" bestFit="1" customWidth="1"/>
    <col min="11011" max="11013" width="7.28515625" style="26" customWidth="1"/>
    <col min="11014" max="11019" width="0" style="26" hidden="1" customWidth="1"/>
    <col min="11020" max="11020" width="7.85546875" style="26" customWidth="1"/>
    <col min="11021" max="11259" width="11.42578125" style="26"/>
    <col min="11260" max="11260" width="18.140625" style="26" customWidth="1"/>
    <col min="11261" max="11261" width="7.85546875" style="26" bestFit="1" customWidth="1"/>
    <col min="11262" max="11262" width="7.28515625" style="26" bestFit="1" customWidth="1"/>
    <col min="11263" max="11264" width="7.28515625" style="26" customWidth="1"/>
    <col min="11265" max="11266" width="7.28515625" style="26" bestFit="1" customWidth="1"/>
    <col min="11267" max="11269" width="7.28515625" style="26" customWidth="1"/>
    <col min="11270" max="11275" width="0" style="26" hidden="1" customWidth="1"/>
    <col min="11276" max="11276" width="7.85546875" style="26" customWidth="1"/>
    <col min="11277" max="11515" width="11.42578125" style="26"/>
    <col min="11516" max="11516" width="18.140625" style="26" customWidth="1"/>
    <col min="11517" max="11517" width="7.85546875" style="26" bestFit="1" customWidth="1"/>
    <col min="11518" max="11518" width="7.28515625" style="26" bestFit="1" customWidth="1"/>
    <col min="11519" max="11520" width="7.28515625" style="26" customWidth="1"/>
    <col min="11521" max="11522" width="7.28515625" style="26" bestFit="1" customWidth="1"/>
    <col min="11523" max="11525" width="7.28515625" style="26" customWidth="1"/>
    <col min="11526" max="11531" width="0" style="26" hidden="1" customWidth="1"/>
    <col min="11532" max="11532" width="7.85546875" style="26" customWidth="1"/>
    <col min="11533" max="11771" width="11.42578125" style="26"/>
    <col min="11772" max="11772" width="18.140625" style="26" customWidth="1"/>
    <col min="11773" max="11773" width="7.85546875" style="26" bestFit="1" customWidth="1"/>
    <col min="11774" max="11774" width="7.28515625" style="26" bestFit="1" customWidth="1"/>
    <col min="11775" max="11776" width="7.28515625" style="26" customWidth="1"/>
    <col min="11777" max="11778" width="7.28515625" style="26" bestFit="1" customWidth="1"/>
    <col min="11779" max="11781" width="7.28515625" style="26" customWidth="1"/>
    <col min="11782" max="11787" width="0" style="26" hidden="1" customWidth="1"/>
    <col min="11788" max="11788" width="7.85546875" style="26" customWidth="1"/>
    <col min="11789" max="12027" width="11.42578125" style="26"/>
    <col min="12028" max="12028" width="18.140625" style="26" customWidth="1"/>
    <col min="12029" max="12029" width="7.85546875" style="26" bestFit="1" customWidth="1"/>
    <col min="12030" max="12030" width="7.28515625" style="26" bestFit="1" customWidth="1"/>
    <col min="12031" max="12032" width="7.28515625" style="26" customWidth="1"/>
    <col min="12033" max="12034" width="7.28515625" style="26" bestFit="1" customWidth="1"/>
    <col min="12035" max="12037" width="7.28515625" style="26" customWidth="1"/>
    <col min="12038" max="12043" width="0" style="26" hidden="1" customWidth="1"/>
    <col min="12044" max="12044" width="7.85546875" style="26" customWidth="1"/>
    <col min="12045" max="12283" width="11.42578125" style="26"/>
    <col min="12284" max="12284" width="18.140625" style="26" customWidth="1"/>
    <col min="12285" max="12285" width="7.85546875" style="26" bestFit="1" customWidth="1"/>
    <col min="12286" max="12286" width="7.28515625" style="26" bestFit="1" customWidth="1"/>
    <col min="12287" max="12288" width="7.28515625" style="26" customWidth="1"/>
    <col min="12289" max="12290" width="7.28515625" style="26" bestFit="1" customWidth="1"/>
    <col min="12291" max="12293" width="7.28515625" style="26" customWidth="1"/>
    <col min="12294" max="12299" width="0" style="26" hidden="1" customWidth="1"/>
    <col min="12300" max="12300" width="7.85546875" style="26" customWidth="1"/>
    <col min="12301" max="12539" width="11.42578125" style="26"/>
    <col min="12540" max="12540" width="18.140625" style="26" customWidth="1"/>
    <col min="12541" max="12541" width="7.85546875" style="26" bestFit="1" customWidth="1"/>
    <col min="12542" max="12542" width="7.28515625" style="26" bestFit="1" customWidth="1"/>
    <col min="12543" max="12544" width="7.28515625" style="26" customWidth="1"/>
    <col min="12545" max="12546" width="7.28515625" style="26" bestFit="1" customWidth="1"/>
    <col min="12547" max="12549" width="7.28515625" style="26" customWidth="1"/>
    <col min="12550" max="12555" width="0" style="26" hidden="1" customWidth="1"/>
    <col min="12556" max="12556" width="7.85546875" style="26" customWidth="1"/>
    <col min="12557" max="12795" width="11.42578125" style="26"/>
    <col min="12796" max="12796" width="18.140625" style="26" customWidth="1"/>
    <col min="12797" max="12797" width="7.85546875" style="26" bestFit="1" customWidth="1"/>
    <col min="12798" max="12798" width="7.28515625" style="26" bestFit="1" customWidth="1"/>
    <col min="12799" max="12800" width="7.28515625" style="26" customWidth="1"/>
    <col min="12801" max="12802" width="7.28515625" style="26" bestFit="1" customWidth="1"/>
    <col min="12803" max="12805" width="7.28515625" style="26" customWidth="1"/>
    <col min="12806" max="12811" width="0" style="26" hidden="1" customWidth="1"/>
    <col min="12812" max="12812" width="7.85546875" style="26" customWidth="1"/>
    <col min="12813" max="13051" width="11.42578125" style="26"/>
    <col min="13052" max="13052" width="18.140625" style="26" customWidth="1"/>
    <col min="13053" max="13053" width="7.85546875" style="26" bestFit="1" customWidth="1"/>
    <col min="13054" max="13054" width="7.28515625" style="26" bestFit="1" customWidth="1"/>
    <col min="13055" max="13056" width="7.28515625" style="26" customWidth="1"/>
    <col min="13057" max="13058" width="7.28515625" style="26" bestFit="1" customWidth="1"/>
    <col min="13059" max="13061" width="7.28515625" style="26" customWidth="1"/>
    <col min="13062" max="13067" width="0" style="26" hidden="1" customWidth="1"/>
    <col min="13068" max="13068" width="7.85546875" style="26" customWidth="1"/>
    <col min="13069" max="13307" width="11.42578125" style="26"/>
    <col min="13308" max="13308" width="18.140625" style="26" customWidth="1"/>
    <col min="13309" max="13309" width="7.85546875" style="26" bestFit="1" customWidth="1"/>
    <col min="13310" max="13310" width="7.28515625" style="26" bestFit="1" customWidth="1"/>
    <col min="13311" max="13312" width="7.28515625" style="26" customWidth="1"/>
    <col min="13313" max="13314" width="7.28515625" style="26" bestFit="1" customWidth="1"/>
    <col min="13315" max="13317" width="7.28515625" style="26" customWidth="1"/>
    <col min="13318" max="13323" width="0" style="26" hidden="1" customWidth="1"/>
    <col min="13324" max="13324" width="7.85546875" style="26" customWidth="1"/>
    <col min="13325" max="13563" width="11.42578125" style="26"/>
    <col min="13564" max="13564" width="18.140625" style="26" customWidth="1"/>
    <col min="13565" max="13565" width="7.85546875" style="26" bestFit="1" customWidth="1"/>
    <col min="13566" max="13566" width="7.28515625" style="26" bestFit="1" customWidth="1"/>
    <col min="13567" max="13568" width="7.28515625" style="26" customWidth="1"/>
    <col min="13569" max="13570" width="7.28515625" style="26" bestFit="1" customWidth="1"/>
    <col min="13571" max="13573" width="7.28515625" style="26" customWidth="1"/>
    <col min="13574" max="13579" width="0" style="26" hidden="1" customWidth="1"/>
    <col min="13580" max="13580" width="7.85546875" style="26" customWidth="1"/>
    <col min="13581" max="13819" width="11.42578125" style="26"/>
    <col min="13820" max="13820" width="18.140625" style="26" customWidth="1"/>
    <col min="13821" max="13821" width="7.85546875" style="26" bestFit="1" customWidth="1"/>
    <col min="13822" max="13822" width="7.28515625" style="26" bestFit="1" customWidth="1"/>
    <col min="13823" max="13824" width="7.28515625" style="26" customWidth="1"/>
    <col min="13825" max="13826" width="7.28515625" style="26" bestFit="1" customWidth="1"/>
    <col min="13827" max="13829" width="7.28515625" style="26" customWidth="1"/>
    <col min="13830" max="13835" width="0" style="26" hidden="1" customWidth="1"/>
    <col min="13836" max="13836" width="7.85546875" style="26" customWidth="1"/>
    <col min="13837" max="14075" width="11.42578125" style="26"/>
    <col min="14076" max="14076" width="18.140625" style="26" customWidth="1"/>
    <col min="14077" max="14077" width="7.85546875" style="26" bestFit="1" customWidth="1"/>
    <col min="14078" max="14078" width="7.28515625" style="26" bestFit="1" customWidth="1"/>
    <col min="14079" max="14080" width="7.28515625" style="26" customWidth="1"/>
    <col min="14081" max="14082" width="7.28515625" style="26" bestFit="1" customWidth="1"/>
    <col min="14083" max="14085" width="7.28515625" style="26" customWidth="1"/>
    <col min="14086" max="14091" width="0" style="26" hidden="1" customWidth="1"/>
    <col min="14092" max="14092" width="7.85546875" style="26" customWidth="1"/>
    <col min="14093" max="14331" width="11.42578125" style="26"/>
    <col min="14332" max="14332" width="18.140625" style="26" customWidth="1"/>
    <col min="14333" max="14333" width="7.85546875" style="26" bestFit="1" customWidth="1"/>
    <col min="14334" max="14334" width="7.28515625" style="26" bestFit="1" customWidth="1"/>
    <col min="14335" max="14336" width="7.28515625" style="26" customWidth="1"/>
    <col min="14337" max="14338" width="7.28515625" style="26" bestFit="1" customWidth="1"/>
    <col min="14339" max="14341" width="7.28515625" style="26" customWidth="1"/>
    <col min="14342" max="14347" width="0" style="26" hidden="1" customWidth="1"/>
    <col min="14348" max="14348" width="7.85546875" style="26" customWidth="1"/>
    <col min="14349" max="14587" width="11.42578125" style="26"/>
    <col min="14588" max="14588" width="18.140625" style="26" customWidth="1"/>
    <col min="14589" max="14589" width="7.85546875" style="26" bestFit="1" customWidth="1"/>
    <col min="14590" max="14590" width="7.28515625" style="26" bestFit="1" customWidth="1"/>
    <col min="14591" max="14592" width="7.28515625" style="26" customWidth="1"/>
    <col min="14593" max="14594" width="7.28515625" style="26" bestFit="1" customWidth="1"/>
    <col min="14595" max="14597" width="7.28515625" style="26" customWidth="1"/>
    <col min="14598" max="14603" width="0" style="26" hidden="1" customWidth="1"/>
    <col min="14604" max="14604" width="7.85546875" style="26" customWidth="1"/>
    <col min="14605" max="14843" width="11.42578125" style="26"/>
    <col min="14844" max="14844" width="18.140625" style="26" customWidth="1"/>
    <col min="14845" max="14845" width="7.85546875" style="26" bestFit="1" customWidth="1"/>
    <col min="14846" max="14846" width="7.28515625" style="26" bestFit="1" customWidth="1"/>
    <col min="14847" max="14848" width="7.28515625" style="26" customWidth="1"/>
    <col min="14849" max="14850" width="7.28515625" style="26" bestFit="1" customWidth="1"/>
    <col min="14851" max="14853" width="7.28515625" style="26" customWidth="1"/>
    <col min="14854" max="14859" width="0" style="26" hidden="1" customWidth="1"/>
    <col min="14860" max="14860" width="7.85546875" style="26" customWidth="1"/>
    <col min="14861" max="15099" width="11.42578125" style="26"/>
    <col min="15100" max="15100" width="18.140625" style="26" customWidth="1"/>
    <col min="15101" max="15101" width="7.85546875" style="26" bestFit="1" customWidth="1"/>
    <col min="15102" max="15102" width="7.28515625" style="26" bestFit="1" customWidth="1"/>
    <col min="15103" max="15104" width="7.28515625" style="26" customWidth="1"/>
    <col min="15105" max="15106" width="7.28515625" style="26" bestFit="1" customWidth="1"/>
    <col min="15107" max="15109" width="7.28515625" style="26" customWidth="1"/>
    <col min="15110" max="15115" width="0" style="26" hidden="1" customWidth="1"/>
    <col min="15116" max="15116" width="7.85546875" style="26" customWidth="1"/>
    <col min="15117" max="15355" width="11.42578125" style="26"/>
    <col min="15356" max="15356" width="18.140625" style="26" customWidth="1"/>
    <col min="15357" max="15357" width="7.85546875" style="26" bestFit="1" customWidth="1"/>
    <col min="15358" max="15358" width="7.28515625" style="26" bestFit="1" customWidth="1"/>
    <col min="15359" max="15360" width="7.28515625" style="26" customWidth="1"/>
    <col min="15361" max="15362" width="7.28515625" style="26" bestFit="1" customWidth="1"/>
    <col min="15363" max="15365" width="7.28515625" style="26" customWidth="1"/>
    <col min="15366" max="15371" width="0" style="26" hidden="1" customWidth="1"/>
    <col min="15372" max="15372" width="7.85546875" style="26" customWidth="1"/>
    <col min="15373" max="15611" width="11.42578125" style="26"/>
    <col min="15612" max="15612" width="18.140625" style="26" customWidth="1"/>
    <col min="15613" max="15613" width="7.85546875" style="26" bestFit="1" customWidth="1"/>
    <col min="15614" max="15614" width="7.28515625" style="26" bestFit="1" customWidth="1"/>
    <col min="15615" max="15616" width="7.28515625" style="26" customWidth="1"/>
    <col min="15617" max="15618" width="7.28515625" style="26" bestFit="1" customWidth="1"/>
    <col min="15619" max="15621" width="7.28515625" style="26" customWidth="1"/>
    <col min="15622" max="15627" width="0" style="26" hidden="1" customWidth="1"/>
    <col min="15628" max="15628" width="7.85546875" style="26" customWidth="1"/>
    <col min="15629" max="15867" width="11.42578125" style="26"/>
    <col min="15868" max="15868" width="18.140625" style="26" customWidth="1"/>
    <col min="15869" max="15869" width="7.85546875" style="26" bestFit="1" customWidth="1"/>
    <col min="15870" max="15870" width="7.28515625" style="26" bestFit="1" customWidth="1"/>
    <col min="15871" max="15872" width="7.28515625" style="26" customWidth="1"/>
    <col min="15873" max="15874" width="7.28515625" style="26" bestFit="1" customWidth="1"/>
    <col min="15875" max="15877" width="7.28515625" style="26" customWidth="1"/>
    <col min="15878" max="15883" width="0" style="26" hidden="1" customWidth="1"/>
    <col min="15884" max="15884" width="7.85546875" style="26" customWidth="1"/>
    <col min="15885" max="16123" width="11.42578125" style="26"/>
    <col min="16124" max="16124" width="18.140625" style="26" customWidth="1"/>
    <col min="16125" max="16125" width="7.85546875" style="26" bestFit="1" customWidth="1"/>
    <col min="16126" max="16126" width="7.28515625" style="26" bestFit="1" customWidth="1"/>
    <col min="16127" max="16128" width="7.28515625" style="26" customWidth="1"/>
    <col min="16129" max="16130" width="7.28515625" style="26" bestFit="1" customWidth="1"/>
    <col min="16131" max="16133" width="7.28515625" style="26" customWidth="1"/>
    <col min="16134" max="16139" width="0" style="26" hidden="1" customWidth="1"/>
    <col min="16140" max="16140" width="7.85546875" style="26" customWidth="1"/>
    <col min="16141" max="16384" width="11.42578125" style="26"/>
  </cols>
  <sheetData>
    <row r="1" spans="1:16" s="27" customFormat="1" x14ac:dyDescent="0.2"/>
    <row r="2" spans="1:16" s="27" customFormat="1" x14ac:dyDescent="0.2">
      <c r="A2" s="47" t="s">
        <v>101</v>
      </c>
    </row>
    <row r="3" spans="1:16" s="27" customFormat="1" ht="15" x14ac:dyDescent="0.25">
      <c r="A3" s="47" t="s">
        <v>102</v>
      </c>
      <c r="K3" s="95"/>
    </row>
    <row r="4" spans="1:16" s="27" customFormat="1" x14ac:dyDescent="0.2"/>
    <row r="5" spans="1:16" s="27" customFormat="1" ht="12.75" x14ac:dyDescent="0.2">
      <c r="B5" s="369" t="s">
        <v>94</v>
      </c>
      <c r="C5" s="369"/>
      <c r="D5" s="369"/>
      <c r="E5" s="369"/>
      <c r="F5" s="369"/>
      <c r="G5" s="369"/>
      <c r="H5" s="369"/>
      <c r="I5" s="369"/>
      <c r="J5" s="369"/>
      <c r="K5" s="369"/>
      <c r="M5" s="122" t="s">
        <v>566</v>
      </c>
      <c r="O5" s="96"/>
    </row>
    <row r="6" spans="1:16" s="27" customFormat="1" ht="12.75" x14ac:dyDescent="0.2">
      <c r="B6" s="385" t="str">
        <f>'Solicitudes Regiones'!$B$6:$R$6</f>
        <v>Acumuladas de julio de 2008 a diciembre de 2021</v>
      </c>
      <c r="C6" s="385"/>
      <c r="D6" s="385"/>
      <c r="E6" s="385"/>
      <c r="F6" s="385"/>
      <c r="G6" s="385"/>
      <c r="H6" s="385"/>
      <c r="I6" s="385"/>
      <c r="J6" s="385"/>
      <c r="K6" s="385"/>
      <c r="L6" s="56"/>
    </row>
    <row r="7" spans="1:16" s="30" customFormat="1" x14ac:dyDescent="0.2">
      <c r="B7" s="28"/>
      <c r="C7" s="29"/>
      <c r="D7" s="29"/>
      <c r="E7" s="29"/>
      <c r="F7" s="29"/>
      <c r="G7" s="29"/>
      <c r="H7" s="29"/>
      <c r="I7" s="29"/>
      <c r="J7" s="29"/>
      <c r="K7" s="29"/>
      <c r="L7" s="29"/>
    </row>
    <row r="8" spans="1:16" ht="15" customHeight="1" x14ac:dyDescent="0.2">
      <c r="B8" s="399" t="s">
        <v>55</v>
      </c>
      <c r="C8" s="399"/>
      <c r="D8" s="399"/>
      <c r="E8" s="399"/>
      <c r="F8" s="399"/>
      <c r="G8" s="399"/>
      <c r="H8" s="399"/>
      <c r="I8" s="399"/>
      <c r="J8" s="399"/>
      <c r="K8" s="399"/>
      <c r="L8" s="399"/>
      <c r="M8" s="399"/>
    </row>
    <row r="9" spans="1:16" ht="20.25" customHeight="1" x14ac:dyDescent="0.2">
      <c r="B9" s="399" t="s">
        <v>56</v>
      </c>
      <c r="C9" s="397" t="s">
        <v>2</v>
      </c>
      <c r="D9" s="400"/>
      <c r="E9" s="400"/>
      <c r="F9" s="400"/>
      <c r="G9" s="400"/>
      <c r="H9" s="400"/>
      <c r="I9" s="400"/>
      <c r="J9" s="400"/>
      <c r="K9" s="398"/>
      <c r="L9" s="397"/>
      <c r="M9" s="398"/>
    </row>
    <row r="10" spans="1:16" ht="24" x14ac:dyDescent="0.2">
      <c r="B10" s="399"/>
      <c r="C10" s="23" t="s">
        <v>57</v>
      </c>
      <c r="D10" s="23" t="s">
        <v>58</v>
      </c>
      <c r="E10" s="23" t="s">
        <v>59</v>
      </c>
      <c r="F10" s="23" t="s">
        <v>60</v>
      </c>
      <c r="G10" s="23" t="s">
        <v>8</v>
      </c>
      <c r="H10" s="23" t="s">
        <v>61</v>
      </c>
      <c r="I10" s="23" t="s">
        <v>62</v>
      </c>
      <c r="J10" s="23" t="s">
        <v>63</v>
      </c>
      <c r="K10" s="261" t="s">
        <v>31</v>
      </c>
      <c r="L10" s="261" t="s">
        <v>584</v>
      </c>
      <c r="M10" s="261" t="s">
        <v>587</v>
      </c>
    </row>
    <row r="11" spans="1:16" x14ac:dyDescent="0.2">
      <c r="B11" s="18" t="s">
        <v>359</v>
      </c>
      <c r="C11" s="18">
        <v>1786</v>
      </c>
      <c r="D11" s="18">
        <v>909</v>
      </c>
      <c r="E11" s="18">
        <f>C11+D11</f>
        <v>2695</v>
      </c>
      <c r="F11" s="19">
        <f>E11/$E$41</f>
        <v>5.6104923493286142E-2</v>
      </c>
      <c r="G11" s="18">
        <v>2354</v>
      </c>
      <c r="H11" s="18">
        <v>209</v>
      </c>
      <c r="I11" s="18">
        <f>G11+H11</f>
        <v>2563</v>
      </c>
      <c r="J11" s="19">
        <f>I11/$I$41</f>
        <v>3.1432040323272951E-2</v>
      </c>
      <c r="K11" s="18">
        <f t="shared" ref="K11:K40" si="0">E11+I11</f>
        <v>5258</v>
      </c>
      <c r="L11" s="18">
        <v>1</v>
      </c>
      <c r="M11" s="18">
        <f>K11+L11</f>
        <v>5259</v>
      </c>
      <c r="P11" s="31"/>
    </row>
    <row r="12" spans="1:16" x14ac:dyDescent="0.2">
      <c r="B12" s="18" t="s">
        <v>360</v>
      </c>
      <c r="C12" s="18">
        <v>1014</v>
      </c>
      <c r="D12" s="18">
        <v>528</v>
      </c>
      <c r="E12" s="18">
        <f t="shared" ref="E12:E40" si="1">C12+D12</f>
        <v>1542</v>
      </c>
      <c r="F12" s="19">
        <f t="shared" ref="F12:F40" si="2">E12/$E$41</f>
        <v>3.2101592588737377E-2</v>
      </c>
      <c r="G12" s="18">
        <v>3433</v>
      </c>
      <c r="H12" s="18">
        <v>178</v>
      </c>
      <c r="I12" s="18">
        <f t="shared" ref="I12:I40" si="3">G12+H12</f>
        <v>3611</v>
      </c>
      <c r="J12" s="19">
        <f t="shared" ref="J12:J40" si="4">I12/$I$41</f>
        <v>4.4284470389129395E-2</v>
      </c>
      <c r="K12" s="18">
        <f t="shared" si="0"/>
        <v>5153</v>
      </c>
      <c r="L12" s="18">
        <v>1</v>
      </c>
      <c r="M12" s="18">
        <f t="shared" ref="M12:M41" si="5">K12+L12</f>
        <v>5154</v>
      </c>
      <c r="P12" s="31"/>
    </row>
    <row r="13" spans="1:16" x14ac:dyDescent="0.2">
      <c r="B13" s="18" t="s">
        <v>361</v>
      </c>
      <c r="C13" s="18">
        <v>755</v>
      </c>
      <c r="D13" s="18">
        <v>568</v>
      </c>
      <c r="E13" s="18">
        <f t="shared" si="1"/>
        <v>1323</v>
      </c>
      <c r="F13" s="19">
        <f t="shared" si="2"/>
        <v>2.75424169876132E-2</v>
      </c>
      <c r="G13" s="18">
        <v>1595</v>
      </c>
      <c r="H13" s="18">
        <v>195</v>
      </c>
      <c r="I13" s="18">
        <f t="shared" si="3"/>
        <v>1790</v>
      </c>
      <c r="J13" s="19">
        <f t="shared" si="4"/>
        <v>2.1952146772789147E-2</v>
      </c>
      <c r="K13" s="18">
        <f t="shared" si="0"/>
        <v>3113</v>
      </c>
      <c r="L13" s="18">
        <v>1</v>
      </c>
      <c r="M13" s="18">
        <f t="shared" si="5"/>
        <v>3114</v>
      </c>
      <c r="P13" s="31"/>
    </row>
    <row r="14" spans="1:16" x14ac:dyDescent="0.2">
      <c r="B14" s="18" t="s">
        <v>362</v>
      </c>
      <c r="C14" s="18">
        <v>525</v>
      </c>
      <c r="D14" s="18">
        <v>357</v>
      </c>
      <c r="E14" s="18">
        <f t="shared" si="1"/>
        <v>882</v>
      </c>
      <c r="F14" s="19">
        <f t="shared" si="2"/>
        <v>1.8361611325075466E-2</v>
      </c>
      <c r="G14" s="18">
        <v>658</v>
      </c>
      <c r="H14" s="18">
        <v>68</v>
      </c>
      <c r="I14" s="18">
        <f t="shared" si="3"/>
        <v>726</v>
      </c>
      <c r="J14" s="19">
        <f t="shared" si="4"/>
        <v>8.9034964005837557E-3</v>
      </c>
      <c r="K14" s="18">
        <f t="shared" si="0"/>
        <v>1608</v>
      </c>
      <c r="L14" s="18">
        <v>0</v>
      </c>
      <c r="M14" s="18">
        <f t="shared" si="5"/>
        <v>1608</v>
      </c>
      <c r="P14" s="31"/>
    </row>
    <row r="15" spans="1:16" x14ac:dyDescent="0.2">
      <c r="B15" s="18" t="s">
        <v>363</v>
      </c>
      <c r="C15" s="18">
        <v>893</v>
      </c>
      <c r="D15" s="18">
        <v>619</v>
      </c>
      <c r="E15" s="18">
        <f t="shared" si="1"/>
        <v>1512</v>
      </c>
      <c r="F15" s="19">
        <f t="shared" si="2"/>
        <v>3.1477047985843658E-2</v>
      </c>
      <c r="G15" s="18">
        <v>2740</v>
      </c>
      <c r="H15" s="18">
        <v>249</v>
      </c>
      <c r="I15" s="18">
        <f t="shared" si="3"/>
        <v>2989</v>
      </c>
      <c r="J15" s="19">
        <f t="shared" si="4"/>
        <v>3.6656405979813837E-2</v>
      </c>
      <c r="K15" s="18">
        <f t="shared" si="0"/>
        <v>4501</v>
      </c>
      <c r="L15" s="18">
        <v>2</v>
      </c>
      <c r="M15" s="18">
        <f t="shared" si="5"/>
        <v>4503</v>
      </c>
      <c r="P15" s="31"/>
    </row>
    <row r="16" spans="1:16" x14ac:dyDescent="0.2">
      <c r="B16" s="18" t="s">
        <v>364</v>
      </c>
      <c r="C16" s="18">
        <v>617</v>
      </c>
      <c r="D16" s="18">
        <v>570</v>
      </c>
      <c r="E16" s="18">
        <f t="shared" si="1"/>
        <v>1187</v>
      </c>
      <c r="F16" s="19">
        <f t="shared" si="2"/>
        <v>2.4711148121161652E-2</v>
      </c>
      <c r="G16" s="18">
        <v>1525</v>
      </c>
      <c r="H16" s="18">
        <v>204</v>
      </c>
      <c r="I16" s="18">
        <f t="shared" si="3"/>
        <v>1729</v>
      </c>
      <c r="J16" s="19">
        <f t="shared" si="4"/>
        <v>2.1204056854833765E-2</v>
      </c>
      <c r="K16" s="18">
        <f t="shared" si="0"/>
        <v>2916</v>
      </c>
      <c r="L16" s="18">
        <v>3</v>
      </c>
      <c r="M16" s="18">
        <f t="shared" si="5"/>
        <v>2919</v>
      </c>
      <c r="P16" s="31"/>
    </row>
    <row r="17" spans="2:16" x14ac:dyDescent="0.2">
      <c r="B17" s="18" t="s">
        <v>365</v>
      </c>
      <c r="C17" s="18">
        <v>126</v>
      </c>
      <c r="D17" s="18">
        <v>39</v>
      </c>
      <c r="E17" s="18">
        <f t="shared" si="1"/>
        <v>165</v>
      </c>
      <c r="F17" s="19">
        <f t="shared" si="2"/>
        <v>3.4349953159154784E-3</v>
      </c>
      <c r="G17" s="18">
        <v>206</v>
      </c>
      <c r="H17" s="18">
        <v>6</v>
      </c>
      <c r="I17" s="18">
        <f t="shared" si="3"/>
        <v>212</v>
      </c>
      <c r="J17" s="19">
        <f t="shared" si="4"/>
        <v>2.5999190591236309E-3</v>
      </c>
      <c r="K17" s="18">
        <f t="shared" si="0"/>
        <v>377</v>
      </c>
      <c r="L17" s="18">
        <v>0</v>
      </c>
      <c r="M17" s="18">
        <f t="shared" si="5"/>
        <v>377</v>
      </c>
      <c r="P17" s="31"/>
    </row>
    <row r="18" spans="2:16" x14ac:dyDescent="0.2">
      <c r="B18" s="18" t="s">
        <v>366</v>
      </c>
      <c r="C18" s="18">
        <v>6154</v>
      </c>
      <c r="D18" s="18">
        <v>3534</v>
      </c>
      <c r="E18" s="18">
        <f t="shared" si="1"/>
        <v>9688</v>
      </c>
      <c r="F18" s="19">
        <f t="shared" si="2"/>
        <v>0.20168627042781306</v>
      </c>
      <c r="G18" s="18">
        <v>18036</v>
      </c>
      <c r="H18" s="18">
        <v>1606</v>
      </c>
      <c r="I18" s="18">
        <f t="shared" si="3"/>
        <v>19642</v>
      </c>
      <c r="J18" s="19">
        <f t="shared" si="4"/>
        <v>0.24088495358163378</v>
      </c>
      <c r="K18" s="18">
        <f t="shared" si="0"/>
        <v>29330</v>
      </c>
      <c r="L18" s="18">
        <v>3</v>
      </c>
      <c r="M18" s="18">
        <f t="shared" si="5"/>
        <v>29333</v>
      </c>
      <c r="P18" s="31"/>
    </row>
    <row r="19" spans="2:16" x14ac:dyDescent="0.2">
      <c r="B19" s="18" t="s">
        <v>367</v>
      </c>
      <c r="C19" s="18">
        <v>286</v>
      </c>
      <c r="D19" s="18">
        <v>108</v>
      </c>
      <c r="E19" s="18">
        <f t="shared" si="1"/>
        <v>394</v>
      </c>
      <c r="F19" s="19">
        <f t="shared" si="2"/>
        <v>8.2023524513375658E-3</v>
      </c>
      <c r="G19" s="18">
        <v>299</v>
      </c>
      <c r="H19" s="18">
        <v>22</v>
      </c>
      <c r="I19" s="18">
        <f t="shared" si="3"/>
        <v>321</v>
      </c>
      <c r="J19" s="19">
        <f t="shared" si="4"/>
        <v>3.9366698961258752E-3</v>
      </c>
      <c r="K19" s="18">
        <f t="shared" si="0"/>
        <v>715</v>
      </c>
      <c r="L19" s="18">
        <v>0</v>
      </c>
      <c r="M19" s="18">
        <f t="shared" si="5"/>
        <v>715</v>
      </c>
      <c r="P19" s="31"/>
    </row>
    <row r="20" spans="2:16" x14ac:dyDescent="0.2">
      <c r="B20" s="18" t="s">
        <v>368</v>
      </c>
      <c r="C20" s="18">
        <v>1143</v>
      </c>
      <c r="D20" s="18">
        <v>722</v>
      </c>
      <c r="E20" s="18">
        <f t="shared" si="1"/>
        <v>1865</v>
      </c>
      <c r="F20" s="19">
        <f t="shared" si="2"/>
        <v>3.8825856146559798E-2</v>
      </c>
      <c r="G20" s="18">
        <v>1113</v>
      </c>
      <c r="H20" s="18">
        <v>106</v>
      </c>
      <c r="I20" s="18">
        <f t="shared" si="3"/>
        <v>1219</v>
      </c>
      <c r="J20" s="19">
        <f t="shared" si="4"/>
        <v>1.4949534589960879E-2</v>
      </c>
      <c r="K20" s="18">
        <f t="shared" si="0"/>
        <v>3084</v>
      </c>
      <c r="L20" s="18">
        <v>0</v>
      </c>
      <c r="M20" s="18">
        <f t="shared" si="5"/>
        <v>3084</v>
      </c>
      <c r="P20" s="31"/>
    </row>
    <row r="21" spans="2:16" x14ac:dyDescent="0.2">
      <c r="B21" s="18" t="s">
        <v>369</v>
      </c>
      <c r="C21" s="18">
        <v>1429</v>
      </c>
      <c r="D21" s="18">
        <v>927</v>
      </c>
      <c r="E21" s="18">
        <f t="shared" si="1"/>
        <v>2356</v>
      </c>
      <c r="F21" s="19">
        <f t="shared" si="2"/>
        <v>4.9047569480587069E-2</v>
      </c>
      <c r="G21" s="18">
        <v>5027</v>
      </c>
      <c r="H21" s="18">
        <v>352</v>
      </c>
      <c r="I21" s="18">
        <f t="shared" si="3"/>
        <v>5379</v>
      </c>
      <c r="J21" s="19">
        <f t="shared" si="4"/>
        <v>6.5966814240688731E-2</v>
      </c>
      <c r="K21" s="18">
        <f t="shared" si="0"/>
        <v>7735</v>
      </c>
      <c r="L21" s="18">
        <v>2</v>
      </c>
      <c r="M21" s="18">
        <f t="shared" si="5"/>
        <v>7737</v>
      </c>
      <c r="P21" s="31"/>
    </row>
    <row r="22" spans="2:16" x14ac:dyDescent="0.2">
      <c r="B22" s="18" t="s">
        <v>370</v>
      </c>
      <c r="C22" s="18">
        <v>232</v>
      </c>
      <c r="D22" s="18">
        <v>168</v>
      </c>
      <c r="E22" s="18">
        <f t="shared" si="1"/>
        <v>400</v>
      </c>
      <c r="F22" s="19">
        <f t="shared" si="2"/>
        <v>8.327261371916311E-3</v>
      </c>
      <c r="G22" s="18">
        <v>360</v>
      </c>
      <c r="H22" s="18">
        <v>40</v>
      </c>
      <c r="I22" s="18">
        <f t="shared" si="3"/>
        <v>400</v>
      </c>
      <c r="J22" s="19">
        <f t="shared" si="4"/>
        <v>4.9055076587238323E-3</v>
      </c>
      <c r="K22" s="18">
        <f t="shared" si="0"/>
        <v>800</v>
      </c>
      <c r="L22" s="18">
        <v>1</v>
      </c>
      <c r="M22" s="18">
        <f t="shared" si="5"/>
        <v>801</v>
      </c>
      <c r="P22" s="31"/>
    </row>
    <row r="23" spans="2:16" x14ac:dyDescent="0.2">
      <c r="B23" s="18" t="s">
        <v>371</v>
      </c>
      <c r="C23" s="18">
        <v>230</v>
      </c>
      <c r="D23" s="18">
        <v>156</v>
      </c>
      <c r="E23" s="18">
        <f t="shared" si="1"/>
        <v>386</v>
      </c>
      <c r="F23" s="19">
        <f t="shared" si="2"/>
        <v>8.0358072238992401E-3</v>
      </c>
      <c r="G23" s="18">
        <v>446</v>
      </c>
      <c r="H23" s="18">
        <v>43</v>
      </c>
      <c r="I23" s="18">
        <f t="shared" si="3"/>
        <v>489</v>
      </c>
      <c r="J23" s="19">
        <f t="shared" si="4"/>
        <v>5.9969831127898851E-3</v>
      </c>
      <c r="K23" s="18">
        <f t="shared" si="0"/>
        <v>875</v>
      </c>
      <c r="L23" s="18">
        <v>0</v>
      </c>
      <c r="M23" s="18">
        <f t="shared" si="5"/>
        <v>875</v>
      </c>
      <c r="P23" s="31"/>
    </row>
    <row r="24" spans="2:16" x14ac:dyDescent="0.2">
      <c r="B24" s="18" t="s">
        <v>372</v>
      </c>
      <c r="C24" s="18">
        <v>484</v>
      </c>
      <c r="D24" s="18">
        <v>385</v>
      </c>
      <c r="E24" s="18">
        <f t="shared" si="1"/>
        <v>869</v>
      </c>
      <c r="F24" s="19">
        <f t="shared" si="2"/>
        <v>1.8090975330488184E-2</v>
      </c>
      <c r="G24" s="18">
        <v>1134</v>
      </c>
      <c r="H24" s="18">
        <v>151</v>
      </c>
      <c r="I24" s="18">
        <f t="shared" si="3"/>
        <v>1285</v>
      </c>
      <c r="J24" s="19">
        <f t="shared" si="4"/>
        <v>1.5758943353650311E-2</v>
      </c>
      <c r="K24" s="18">
        <f t="shared" si="0"/>
        <v>2154</v>
      </c>
      <c r="L24" s="18">
        <v>1</v>
      </c>
      <c r="M24" s="18">
        <f t="shared" si="5"/>
        <v>2155</v>
      </c>
      <c r="P24" s="31"/>
    </row>
    <row r="25" spans="2:16" ht="16.5" customHeight="1" x14ac:dyDescent="0.2">
      <c r="B25" s="18" t="s">
        <v>373</v>
      </c>
      <c r="C25" s="18">
        <v>618</v>
      </c>
      <c r="D25" s="18">
        <v>502</v>
      </c>
      <c r="E25" s="18">
        <f t="shared" si="1"/>
        <v>1120</v>
      </c>
      <c r="F25" s="19">
        <f t="shared" si="2"/>
        <v>2.3316331841365671E-2</v>
      </c>
      <c r="G25" s="18">
        <v>544</v>
      </c>
      <c r="H25" s="18">
        <v>93</v>
      </c>
      <c r="I25" s="18">
        <f t="shared" si="3"/>
        <v>637</v>
      </c>
      <c r="J25" s="19">
        <f t="shared" si="4"/>
        <v>7.812020946517703E-3</v>
      </c>
      <c r="K25" s="18">
        <f t="shared" si="0"/>
        <v>1757</v>
      </c>
      <c r="L25" s="18">
        <v>0</v>
      </c>
      <c r="M25" s="18">
        <f t="shared" si="5"/>
        <v>1757</v>
      </c>
      <c r="P25" s="31"/>
    </row>
    <row r="26" spans="2:16" x14ac:dyDescent="0.2">
      <c r="B26" s="18" t="s">
        <v>374</v>
      </c>
      <c r="C26" s="18">
        <v>172</v>
      </c>
      <c r="D26" s="18">
        <v>71</v>
      </c>
      <c r="E26" s="18">
        <f t="shared" si="1"/>
        <v>243</v>
      </c>
      <c r="F26" s="19">
        <f t="shared" si="2"/>
        <v>5.0588112834391592E-3</v>
      </c>
      <c r="G26" s="18">
        <v>249</v>
      </c>
      <c r="H26" s="18">
        <v>14</v>
      </c>
      <c r="I26" s="18">
        <f t="shared" si="3"/>
        <v>263</v>
      </c>
      <c r="J26" s="19">
        <f t="shared" si="4"/>
        <v>3.2253712856109198E-3</v>
      </c>
      <c r="K26" s="18">
        <f t="shared" si="0"/>
        <v>506</v>
      </c>
      <c r="L26" s="18">
        <v>0</v>
      </c>
      <c r="M26" s="18">
        <f t="shared" si="5"/>
        <v>506</v>
      </c>
      <c r="P26" s="31"/>
    </row>
    <row r="27" spans="2:16" x14ac:dyDescent="0.2">
      <c r="B27" s="18" t="s">
        <v>375</v>
      </c>
      <c r="C27" s="18">
        <v>377</v>
      </c>
      <c r="D27" s="18">
        <v>305</v>
      </c>
      <c r="E27" s="18">
        <f t="shared" si="1"/>
        <v>682</v>
      </c>
      <c r="F27" s="19">
        <f t="shared" si="2"/>
        <v>1.419798063911731E-2</v>
      </c>
      <c r="G27" s="18">
        <v>574</v>
      </c>
      <c r="H27" s="18">
        <v>76</v>
      </c>
      <c r="I27" s="18">
        <f t="shared" si="3"/>
        <v>650</v>
      </c>
      <c r="J27" s="19">
        <f t="shared" si="4"/>
        <v>7.9714499454262271E-3</v>
      </c>
      <c r="K27" s="18">
        <f t="shared" si="0"/>
        <v>1332</v>
      </c>
      <c r="L27" s="18">
        <v>0</v>
      </c>
      <c r="M27" s="18">
        <f t="shared" si="5"/>
        <v>1332</v>
      </c>
      <c r="P27" s="31"/>
    </row>
    <row r="28" spans="2:16" x14ac:dyDescent="0.2">
      <c r="B28" s="18" t="s">
        <v>376</v>
      </c>
      <c r="C28" s="18">
        <v>5103</v>
      </c>
      <c r="D28" s="18">
        <v>3480</v>
      </c>
      <c r="E28" s="18">
        <f t="shared" si="1"/>
        <v>8583</v>
      </c>
      <c r="F28" s="19">
        <f t="shared" si="2"/>
        <v>0.17868221088789424</v>
      </c>
      <c r="G28" s="18">
        <v>17638</v>
      </c>
      <c r="H28" s="18">
        <v>1865</v>
      </c>
      <c r="I28" s="18">
        <f t="shared" si="3"/>
        <v>19503</v>
      </c>
      <c r="J28" s="19">
        <f t="shared" si="4"/>
        <v>0.23918028967022725</v>
      </c>
      <c r="K28" s="18">
        <f t="shared" si="0"/>
        <v>28086</v>
      </c>
      <c r="L28" s="18">
        <v>8</v>
      </c>
      <c r="M28" s="18">
        <f t="shared" si="5"/>
        <v>28094</v>
      </c>
      <c r="P28" s="31"/>
    </row>
    <row r="29" spans="2:16" x14ac:dyDescent="0.2">
      <c r="B29" s="18" t="s">
        <v>377</v>
      </c>
      <c r="C29" s="18">
        <v>522</v>
      </c>
      <c r="D29" s="18">
        <v>443</v>
      </c>
      <c r="E29" s="18">
        <f t="shared" si="1"/>
        <v>965</v>
      </c>
      <c r="F29" s="19">
        <f t="shared" si="2"/>
        <v>2.0089518059748099E-2</v>
      </c>
      <c r="G29" s="18">
        <v>1116</v>
      </c>
      <c r="H29" s="18">
        <v>151</v>
      </c>
      <c r="I29" s="18">
        <f t="shared" si="3"/>
        <v>1267</v>
      </c>
      <c r="J29" s="19">
        <f t="shared" si="4"/>
        <v>1.5538195509007738E-2</v>
      </c>
      <c r="K29" s="18">
        <f t="shared" si="0"/>
        <v>2232</v>
      </c>
      <c r="L29" s="18">
        <v>0</v>
      </c>
      <c r="M29" s="18">
        <f t="shared" si="5"/>
        <v>2232</v>
      </c>
      <c r="P29" s="31"/>
    </row>
    <row r="30" spans="2:16" x14ac:dyDescent="0.2">
      <c r="B30" s="18" t="s">
        <v>378</v>
      </c>
      <c r="C30" s="18">
        <v>330</v>
      </c>
      <c r="D30" s="18">
        <v>257</v>
      </c>
      <c r="E30" s="18">
        <f t="shared" si="1"/>
        <v>587</v>
      </c>
      <c r="F30" s="19">
        <f t="shared" si="2"/>
        <v>1.2220256063287187E-2</v>
      </c>
      <c r="G30" s="18">
        <v>756</v>
      </c>
      <c r="H30" s="18">
        <v>83</v>
      </c>
      <c r="I30" s="18">
        <f t="shared" si="3"/>
        <v>839</v>
      </c>
      <c r="J30" s="19">
        <f t="shared" si="4"/>
        <v>1.0289302314173238E-2</v>
      </c>
      <c r="K30" s="18">
        <f t="shared" si="0"/>
        <v>1426</v>
      </c>
      <c r="L30" s="18">
        <v>0</v>
      </c>
      <c r="M30" s="18">
        <f t="shared" si="5"/>
        <v>1426</v>
      </c>
      <c r="P30" s="31"/>
    </row>
    <row r="31" spans="2:16" x14ac:dyDescent="0.2">
      <c r="B31" s="18" t="s">
        <v>379</v>
      </c>
      <c r="C31" s="18">
        <v>663</v>
      </c>
      <c r="D31" s="18">
        <v>425</v>
      </c>
      <c r="E31" s="18">
        <f t="shared" si="1"/>
        <v>1088</v>
      </c>
      <c r="F31" s="19">
        <f t="shared" si="2"/>
        <v>2.2650150931612364E-2</v>
      </c>
      <c r="G31" s="18">
        <v>1906</v>
      </c>
      <c r="H31" s="18">
        <v>114</v>
      </c>
      <c r="I31" s="18">
        <f t="shared" si="3"/>
        <v>2020</v>
      </c>
      <c r="J31" s="19">
        <f t="shared" si="4"/>
        <v>2.4772813676555351E-2</v>
      </c>
      <c r="K31" s="18">
        <f t="shared" si="0"/>
        <v>3108</v>
      </c>
      <c r="L31" s="18">
        <v>0</v>
      </c>
      <c r="M31" s="18">
        <f t="shared" si="5"/>
        <v>3108</v>
      </c>
      <c r="P31" s="31"/>
    </row>
    <row r="32" spans="2:16" x14ac:dyDescent="0.2">
      <c r="B32" s="18" t="s">
        <v>380</v>
      </c>
      <c r="C32" s="18">
        <v>728</v>
      </c>
      <c r="D32" s="18">
        <v>412</v>
      </c>
      <c r="E32" s="18">
        <f t="shared" si="1"/>
        <v>1140</v>
      </c>
      <c r="F32" s="19">
        <f t="shared" si="2"/>
        <v>2.3732694909961487E-2</v>
      </c>
      <c r="G32" s="18">
        <v>1206</v>
      </c>
      <c r="H32" s="18">
        <v>96</v>
      </c>
      <c r="I32" s="18">
        <f t="shared" si="3"/>
        <v>1302</v>
      </c>
      <c r="J32" s="19">
        <f t="shared" si="4"/>
        <v>1.5967427429146072E-2</v>
      </c>
      <c r="K32" s="18">
        <f t="shared" si="0"/>
        <v>2442</v>
      </c>
      <c r="L32" s="18">
        <v>0</v>
      </c>
      <c r="M32" s="18">
        <f t="shared" si="5"/>
        <v>2442</v>
      </c>
      <c r="P32" s="31"/>
    </row>
    <row r="33" spans="2:16" x14ac:dyDescent="0.2">
      <c r="B33" s="18" t="s">
        <v>381</v>
      </c>
      <c r="C33" s="18">
        <v>602</v>
      </c>
      <c r="D33" s="18">
        <v>482</v>
      </c>
      <c r="E33" s="18">
        <f t="shared" si="1"/>
        <v>1084</v>
      </c>
      <c r="F33" s="19">
        <f t="shared" si="2"/>
        <v>2.2566878317893203E-2</v>
      </c>
      <c r="G33" s="18">
        <v>1945</v>
      </c>
      <c r="H33" s="18">
        <v>129</v>
      </c>
      <c r="I33" s="18">
        <f t="shared" si="3"/>
        <v>2074</v>
      </c>
      <c r="J33" s="19">
        <f t="shared" si="4"/>
        <v>2.5435057210483069E-2</v>
      </c>
      <c r="K33" s="18">
        <f t="shared" si="0"/>
        <v>3158</v>
      </c>
      <c r="L33" s="18">
        <v>1</v>
      </c>
      <c r="M33" s="18">
        <f t="shared" si="5"/>
        <v>3159</v>
      </c>
      <c r="P33" s="31"/>
    </row>
    <row r="34" spans="2:16" x14ac:dyDescent="0.2">
      <c r="B34" s="18" t="s">
        <v>382</v>
      </c>
      <c r="C34" s="18">
        <v>1245</v>
      </c>
      <c r="D34" s="18">
        <v>815</v>
      </c>
      <c r="E34" s="18">
        <f t="shared" si="1"/>
        <v>2060</v>
      </c>
      <c r="F34" s="19">
        <f t="shared" si="2"/>
        <v>4.2885396065369001E-2</v>
      </c>
      <c r="G34" s="18">
        <v>1448</v>
      </c>
      <c r="H34" s="18">
        <v>120</v>
      </c>
      <c r="I34" s="18">
        <f t="shared" si="3"/>
        <v>1568</v>
      </c>
      <c r="J34" s="19">
        <f t="shared" si="4"/>
        <v>1.9229590022197422E-2</v>
      </c>
      <c r="K34" s="18">
        <f t="shared" si="0"/>
        <v>3628</v>
      </c>
      <c r="L34" s="18">
        <v>0</v>
      </c>
      <c r="M34" s="18">
        <f t="shared" si="5"/>
        <v>3628</v>
      </c>
      <c r="P34" s="31"/>
    </row>
    <row r="35" spans="2:16" x14ac:dyDescent="0.2">
      <c r="B35" s="18" t="s">
        <v>383</v>
      </c>
      <c r="C35" s="18">
        <v>1425</v>
      </c>
      <c r="D35" s="18">
        <v>996</v>
      </c>
      <c r="E35" s="18">
        <f t="shared" si="1"/>
        <v>2421</v>
      </c>
      <c r="F35" s="19">
        <f t="shared" si="2"/>
        <v>5.040074945352347E-2</v>
      </c>
      <c r="G35" s="18">
        <v>4736</v>
      </c>
      <c r="H35" s="18">
        <v>394</v>
      </c>
      <c r="I35" s="18">
        <f t="shared" si="3"/>
        <v>5130</v>
      </c>
      <c r="J35" s="19">
        <f t="shared" si="4"/>
        <v>6.2913135723133146E-2</v>
      </c>
      <c r="K35" s="18">
        <f t="shared" si="0"/>
        <v>7551</v>
      </c>
      <c r="L35" s="18">
        <v>6</v>
      </c>
      <c r="M35" s="18">
        <f t="shared" si="5"/>
        <v>7557</v>
      </c>
      <c r="P35" s="31"/>
    </row>
    <row r="36" spans="2:16" x14ac:dyDescent="0.2">
      <c r="B36" s="18" t="s">
        <v>384</v>
      </c>
      <c r="C36" s="18">
        <v>501</v>
      </c>
      <c r="D36" s="18">
        <v>336</v>
      </c>
      <c r="E36" s="18">
        <f t="shared" si="1"/>
        <v>837</v>
      </c>
      <c r="F36" s="19">
        <f t="shared" si="2"/>
        <v>1.7424794420734881E-2</v>
      </c>
      <c r="G36" s="18">
        <v>1342</v>
      </c>
      <c r="H36" s="18">
        <v>110</v>
      </c>
      <c r="I36" s="18">
        <f t="shared" si="3"/>
        <v>1452</v>
      </c>
      <c r="J36" s="19">
        <f t="shared" si="4"/>
        <v>1.7806992801167511E-2</v>
      </c>
      <c r="K36" s="18">
        <f t="shared" si="0"/>
        <v>2289</v>
      </c>
      <c r="L36" s="18">
        <v>0</v>
      </c>
      <c r="M36" s="18">
        <f t="shared" si="5"/>
        <v>2289</v>
      </c>
      <c r="P36" s="31"/>
    </row>
    <row r="37" spans="2:16" x14ac:dyDescent="0.2">
      <c r="B37" s="18" t="s">
        <v>385</v>
      </c>
      <c r="C37" s="18">
        <v>535</v>
      </c>
      <c r="D37" s="18">
        <v>278</v>
      </c>
      <c r="E37" s="18">
        <f t="shared" si="1"/>
        <v>813</v>
      </c>
      <c r="F37" s="19">
        <f t="shared" si="2"/>
        <v>1.6925158738419901E-2</v>
      </c>
      <c r="G37" s="18">
        <v>988</v>
      </c>
      <c r="H37" s="18">
        <v>123</v>
      </c>
      <c r="I37" s="18">
        <f t="shared" si="3"/>
        <v>1111</v>
      </c>
      <c r="J37" s="19">
        <f t="shared" si="4"/>
        <v>1.3625047522105443E-2</v>
      </c>
      <c r="K37" s="18">
        <f t="shared" si="0"/>
        <v>1924</v>
      </c>
      <c r="L37" s="18">
        <v>0</v>
      </c>
      <c r="M37" s="18">
        <f t="shared" si="5"/>
        <v>1924</v>
      </c>
      <c r="P37" s="31"/>
    </row>
    <row r="38" spans="2:16" x14ac:dyDescent="0.2">
      <c r="B38" s="18" t="s">
        <v>386</v>
      </c>
      <c r="C38" s="18">
        <v>167</v>
      </c>
      <c r="D38" s="18">
        <v>93</v>
      </c>
      <c r="E38" s="18">
        <f t="shared" si="1"/>
        <v>260</v>
      </c>
      <c r="F38" s="19">
        <f t="shared" si="2"/>
        <v>5.4127198917456026E-3</v>
      </c>
      <c r="G38" s="18">
        <v>393</v>
      </c>
      <c r="H38" s="18">
        <v>32</v>
      </c>
      <c r="I38" s="18">
        <f t="shared" si="3"/>
        <v>425</v>
      </c>
      <c r="J38" s="19">
        <f t="shared" si="4"/>
        <v>5.2121018873940717E-3</v>
      </c>
      <c r="K38" s="18">
        <f t="shared" si="0"/>
        <v>685</v>
      </c>
      <c r="L38" s="18">
        <v>0</v>
      </c>
      <c r="M38" s="18">
        <f t="shared" si="5"/>
        <v>685</v>
      </c>
      <c r="P38" s="31"/>
    </row>
    <row r="39" spans="2:16" x14ac:dyDescent="0.2">
      <c r="B39" s="18" t="s">
        <v>387</v>
      </c>
      <c r="C39" s="18">
        <v>490</v>
      </c>
      <c r="D39" s="18">
        <v>263</v>
      </c>
      <c r="E39" s="18">
        <f t="shared" si="1"/>
        <v>753</v>
      </c>
      <c r="F39" s="19">
        <f t="shared" si="2"/>
        <v>1.5676069532632456E-2</v>
      </c>
      <c r="G39" s="18">
        <v>631</v>
      </c>
      <c r="H39" s="18">
        <v>56</v>
      </c>
      <c r="I39" s="18">
        <f t="shared" si="3"/>
        <v>687</v>
      </c>
      <c r="J39" s="19">
        <f t="shared" si="4"/>
        <v>8.4252094038581825E-3</v>
      </c>
      <c r="K39" s="18">
        <f t="shared" si="0"/>
        <v>1440</v>
      </c>
      <c r="L39" s="18">
        <v>0</v>
      </c>
      <c r="M39" s="18">
        <f t="shared" si="5"/>
        <v>1440</v>
      </c>
      <c r="P39" s="31"/>
    </row>
    <row r="40" spans="2:16" x14ac:dyDescent="0.2">
      <c r="B40" s="18" t="s">
        <v>388</v>
      </c>
      <c r="C40" s="18">
        <v>111</v>
      </c>
      <c r="D40" s="18">
        <v>24</v>
      </c>
      <c r="E40" s="18">
        <f t="shared" si="1"/>
        <v>135</v>
      </c>
      <c r="F40" s="19">
        <f t="shared" si="2"/>
        <v>2.8104507130217548E-3</v>
      </c>
      <c r="G40" s="18">
        <v>249</v>
      </c>
      <c r="H40" s="18">
        <v>9</v>
      </c>
      <c r="I40" s="18">
        <f t="shared" si="3"/>
        <v>258</v>
      </c>
      <c r="J40" s="19">
        <f t="shared" si="4"/>
        <v>3.1640524398768716E-3</v>
      </c>
      <c r="K40" s="18">
        <f t="shared" si="0"/>
        <v>393</v>
      </c>
      <c r="L40" s="18">
        <v>0</v>
      </c>
      <c r="M40" s="18">
        <f t="shared" si="5"/>
        <v>393</v>
      </c>
      <c r="P40" s="31"/>
    </row>
    <row r="41" spans="2:16" x14ac:dyDescent="0.2">
      <c r="B41" s="20" t="s">
        <v>49</v>
      </c>
      <c r="C41" s="18">
        <f t="shared" ref="C41:H41" si="6">SUM(C11:C40)</f>
        <v>29263</v>
      </c>
      <c r="D41" s="18">
        <f t="shared" si="6"/>
        <v>18772</v>
      </c>
      <c r="E41" s="20">
        <f t="shared" ref="E41" si="7">C41+D41</f>
        <v>48035</v>
      </c>
      <c r="F41" s="22">
        <f t="shared" ref="F41" si="8">E41/$E$41</f>
        <v>1</v>
      </c>
      <c r="G41" s="18">
        <f t="shared" si="6"/>
        <v>74647</v>
      </c>
      <c r="H41" s="18">
        <f t="shared" si="6"/>
        <v>6894</v>
      </c>
      <c r="I41" s="20">
        <f t="shared" ref="I41" si="9">G41+H41</f>
        <v>81541</v>
      </c>
      <c r="J41" s="46">
        <f t="shared" ref="J41" si="10">I41/$I$41</f>
        <v>1</v>
      </c>
      <c r="K41" s="20">
        <f t="shared" ref="K41" si="11">E41+I41</f>
        <v>129576</v>
      </c>
      <c r="L41" s="18">
        <f t="shared" ref="L41" si="12">SUM(L11:L40)</f>
        <v>30</v>
      </c>
      <c r="M41" s="20">
        <f t="shared" si="5"/>
        <v>129606</v>
      </c>
      <c r="P41" s="31"/>
    </row>
    <row r="42" spans="2:16" ht="25.5" customHeight="1" x14ac:dyDescent="0.2">
      <c r="B42" s="32" t="s">
        <v>64</v>
      </c>
      <c r="C42" s="33">
        <f>+C41/M41</f>
        <v>0.22578430010956282</v>
      </c>
      <c r="D42" s="33">
        <f>+D41/M41</f>
        <v>0.14483897350431307</v>
      </c>
      <c r="E42" s="34">
        <f>+E41/M41</f>
        <v>0.37062327361387593</v>
      </c>
      <c r="F42" s="34"/>
      <c r="G42" s="33">
        <f>+G41/M41</f>
        <v>0.57595327376818972</v>
      </c>
      <c r="H42" s="33">
        <f>+H41/M41</f>
        <v>5.3191981852692007E-2</v>
      </c>
      <c r="I42" s="34">
        <f>+I41/M41</f>
        <v>0.62914525562088175</v>
      </c>
      <c r="J42" s="34"/>
      <c r="K42" s="34">
        <f>+K41/M41</f>
        <v>0.99976852923475767</v>
      </c>
      <c r="L42" s="34">
        <f>+L41/M41</f>
        <v>2.3147076524234988E-4</v>
      </c>
      <c r="M42" s="34">
        <f>K42+L42</f>
        <v>1</v>
      </c>
    </row>
    <row r="43" spans="2:16" x14ac:dyDescent="0.2">
      <c r="B43" s="25"/>
      <c r="C43" s="38"/>
      <c r="D43" s="38"/>
      <c r="E43" s="38"/>
      <c r="F43" s="38"/>
      <c r="G43" s="38"/>
      <c r="H43" s="38"/>
      <c r="I43" s="38"/>
      <c r="J43" s="38"/>
      <c r="K43" s="38"/>
    </row>
    <row r="44" spans="2:16" ht="12.75" x14ac:dyDescent="0.2">
      <c r="B44" s="369" t="s">
        <v>95</v>
      </c>
      <c r="C44" s="369"/>
      <c r="D44" s="369"/>
      <c r="E44" s="369"/>
      <c r="F44" s="369"/>
      <c r="G44" s="369"/>
      <c r="H44" s="369"/>
      <c r="I44" s="369"/>
      <c r="J44" s="369"/>
      <c r="K44" s="369"/>
    </row>
    <row r="45" spans="2:16" ht="12.75" x14ac:dyDescent="0.2">
      <c r="B45" s="385" t="str">
        <f>'Solicitudes Regiones'!$B$6:$R$6</f>
        <v>Acumuladas de julio de 2008 a diciembre de 2021</v>
      </c>
      <c r="C45" s="385"/>
      <c r="D45" s="385"/>
      <c r="E45" s="385"/>
      <c r="F45" s="385"/>
      <c r="G45" s="385"/>
      <c r="H45" s="385"/>
      <c r="I45" s="385"/>
      <c r="J45" s="385"/>
      <c r="K45" s="385"/>
    </row>
    <row r="47" spans="2:16" ht="15" customHeight="1" x14ac:dyDescent="0.2">
      <c r="B47" s="399" t="s">
        <v>65</v>
      </c>
      <c r="C47" s="399"/>
      <c r="D47" s="399"/>
      <c r="E47" s="399"/>
      <c r="F47" s="399"/>
      <c r="G47" s="399"/>
      <c r="H47" s="399"/>
      <c r="I47" s="399"/>
      <c r="J47" s="399"/>
      <c r="K47" s="399"/>
      <c r="L47" s="399"/>
      <c r="M47" s="399"/>
    </row>
    <row r="48" spans="2:16" ht="15" customHeight="1" x14ac:dyDescent="0.2">
      <c r="B48" s="399" t="s">
        <v>56</v>
      </c>
      <c r="C48" s="399" t="s">
        <v>2</v>
      </c>
      <c r="D48" s="399"/>
      <c r="E48" s="399"/>
      <c r="F48" s="399"/>
      <c r="G48" s="399"/>
      <c r="H48" s="399"/>
      <c r="I48" s="399"/>
      <c r="J48" s="399"/>
      <c r="K48" s="399"/>
      <c r="L48" s="397"/>
      <c r="M48" s="398"/>
    </row>
    <row r="49" spans="2:13" ht="24" x14ac:dyDescent="0.2">
      <c r="B49" s="399"/>
      <c r="C49" s="24" t="s">
        <v>57</v>
      </c>
      <c r="D49" s="24" t="s">
        <v>58</v>
      </c>
      <c r="E49" s="24" t="s">
        <v>59</v>
      </c>
      <c r="F49" s="24" t="s">
        <v>60</v>
      </c>
      <c r="G49" s="24" t="s">
        <v>8</v>
      </c>
      <c r="H49" s="24" t="s">
        <v>61</v>
      </c>
      <c r="I49" s="24" t="s">
        <v>62</v>
      </c>
      <c r="J49" s="24" t="s">
        <v>63</v>
      </c>
      <c r="K49" s="24" t="s">
        <v>31</v>
      </c>
      <c r="L49" s="261" t="s">
        <v>584</v>
      </c>
      <c r="M49" s="261" t="s">
        <v>587</v>
      </c>
    </row>
    <row r="50" spans="2:13" x14ac:dyDescent="0.2">
      <c r="B50" s="18" t="s">
        <v>359</v>
      </c>
      <c r="C50" s="18">
        <v>1696</v>
      </c>
      <c r="D50" s="18">
        <v>435</v>
      </c>
      <c r="E50" s="18">
        <f>C50+D50</f>
        <v>2131</v>
      </c>
      <c r="F50" s="19">
        <f>E50/$E$80</f>
        <v>5.6555201698513802E-2</v>
      </c>
      <c r="G50" s="18">
        <v>2054</v>
      </c>
      <c r="H50" s="18">
        <v>184</v>
      </c>
      <c r="I50" s="18">
        <f>G50+H50</f>
        <v>2238</v>
      </c>
      <c r="J50" s="19">
        <f>I50/$I$80</f>
        <v>3.149406847637945E-2</v>
      </c>
      <c r="K50" s="18">
        <f t="shared" ref="K50:K79" si="13">E50+I50</f>
        <v>4369</v>
      </c>
      <c r="L50" s="18">
        <v>0</v>
      </c>
      <c r="M50" s="18">
        <f>K50+L50</f>
        <v>4369</v>
      </c>
    </row>
    <row r="51" spans="2:13" x14ac:dyDescent="0.2">
      <c r="B51" s="18" t="s">
        <v>360</v>
      </c>
      <c r="C51" s="18">
        <v>897</v>
      </c>
      <c r="D51" s="18">
        <v>287</v>
      </c>
      <c r="E51" s="18">
        <f t="shared" ref="E51:E79" si="14">C51+D51</f>
        <v>1184</v>
      </c>
      <c r="F51" s="19">
        <f t="shared" ref="F51:F79" si="15">E51/$E$80</f>
        <v>3.1422505307855626E-2</v>
      </c>
      <c r="G51" s="18">
        <v>2931</v>
      </c>
      <c r="H51" s="18">
        <v>151</v>
      </c>
      <c r="I51" s="18">
        <f t="shared" ref="I51:I79" si="16">G51+H51</f>
        <v>3082</v>
      </c>
      <c r="J51" s="19">
        <f t="shared" ref="J51:J79" si="17">I51/$I$80</f>
        <v>4.3371188134138275E-2</v>
      </c>
      <c r="K51" s="18">
        <f t="shared" si="13"/>
        <v>4266</v>
      </c>
      <c r="L51" s="18">
        <v>0</v>
      </c>
      <c r="M51" s="18">
        <f t="shared" ref="M51:M80" si="18">K51+L51</f>
        <v>4266</v>
      </c>
    </row>
    <row r="52" spans="2:13" x14ac:dyDescent="0.2">
      <c r="B52" s="18" t="s">
        <v>361</v>
      </c>
      <c r="C52" s="18">
        <v>704</v>
      </c>
      <c r="D52" s="18">
        <v>257</v>
      </c>
      <c r="E52" s="18">
        <f t="shared" si="14"/>
        <v>961</v>
      </c>
      <c r="F52" s="19">
        <f t="shared" si="15"/>
        <v>2.5504246284501063E-2</v>
      </c>
      <c r="G52" s="18">
        <v>1441</v>
      </c>
      <c r="H52" s="18">
        <v>175</v>
      </c>
      <c r="I52" s="18">
        <f t="shared" si="16"/>
        <v>1616</v>
      </c>
      <c r="J52" s="19">
        <f t="shared" si="17"/>
        <v>2.2741025316277565E-2</v>
      </c>
      <c r="K52" s="18">
        <f t="shared" si="13"/>
        <v>2577</v>
      </c>
      <c r="L52" s="18">
        <v>0</v>
      </c>
      <c r="M52" s="18">
        <f t="shared" si="18"/>
        <v>2577</v>
      </c>
    </row>
    <row r="53" spans="2:13" x14ac:dyDescent="0.2">
      <c r="B53" s="18" t="s">
        <v>362</v>
      </c>
      <c r="C53" s="18">
        <v>511</v>
      </c>
      <c r="D53" s="18">
        <v>144</v>
      </c>
      <c r="E53" s="18">
        <f t="shared" si="14"/>
        <v>655</v>
      </c>
      <c r="F53" s="19">
        <f t="shared" si="15"/>
        <v>1.7383227176220806E-2</v>
      </c>
      <c r="G53" s="18">
        <v>557</v>
      </c>
      <c r="H53" s="18">
        <v>58</v>
      </c>
      <c r="I53" s="18">
        <f t="shared" si="16"/>
        <v>615</v>
      </c>
      <c r="J53" s="19">
        <f t="shared" si="17"/>
        <v>8.6545362435090974E-3</v>
      </c>
      <c r="K53" s="18">
        <f t="shared" si="13"/>
        <v>1270</v>
      </c>
      <c r="L53" s="18">
        <v>0</v>
      </c>
      <c r="M53" s="18">
        <f t="shared" si="18"/>
        <v>1270</v>
      </c>
    </row>
    <row r="54" spans="2:13" x14ac:dyDescent="0.2">
      <c r="B54" s="18" t="s">
        <v>363</v>
      </c>
      <c r="C54" s="18">
        <v>836</v>
      </c>
      <c r="D54" s="18">
        <v>417</v>
      </c>
      <c r="E54" s="18">
        <f t="shared" si="14"/>
        <v>1253</v>
      </c>
      <c r="F54" s="19">
        <f t="shared" si="15"/>
        <v>3.3253715498938428E-2</v>
      </c>
      <c r="G54" s="18">
        <v>2481</v>
      </c>
      <c r="H54" s="18">
        <v>214</v>
      </c>
      <c r="I54" s="18">
        <f t="shared" si="16"/>
        <v>2695</v>
      </c>
      <c r="J54" s="19">
        <f t="shared" si="17"/>
        <v>3.7925162888222792E-2</v>
      </c>
      <c r="K54" s="18">
        <f t="shared" si="13"/>
        <v>3948</v>
      </c>
      <c r="L54" s="18">
        <v>0</v>
      </c>
      <c r="M54" s="18">
        <f t="shared" si="18"/>
        <v>3948</v>
      </c>
    </row>
    <row r="55" spans="2:13" x14ac:dyDescent="0.2">
      <c r="B55" s="18" t="s">
        <v>364</v>
      </c>
      <c r="C55" s="18">
        <v>576</v>
      </c>
      <c r="D55" s="18">
        <v>364</v>
      </c>
      <c r="E55" s="18">
        <f t="shared" si="14"/>
        <v>940</v>
      </c>
      <c r="F55" s="19">
        <f t="shared" si="15"/>
        <v>2.4946921443736732E-2</v>
      </c>
      <c r="G55" s="18">
        <v>1396</v>
      </c>
      <c r="H55" s="18">
        <v>178</v>
      </c>
      <c r="I55" s="18">
        <f t="shared" si="16"/>
        <v>1574</v>
      </c>
      <c r="J55" s="19">
        <f t="shared" si="17"/>
        <v>2.2149983816720845E-2</v>
      </c>
      <c r="K55" s="18">
        <f t="shared" si="13"/>
        <v>2514</v>
      </c>
      <c r="L55" s="18">
        <v>1</v>
      </c>
      <c r="M55" s="18">
        <f t="shared" si="18"/>
        <v>2515</v>
      </c>
    </row>
    <row r="56" spans="2:13" x14ac:dyDescent="0.2">
      <c r="B56" s="18" t="s">
        <v>365</v>
      </c>
      <c r="C56" s="18">
        <v>119</v>
      </c>
      <c r="D56" s="18">
        <v>20</v>
      </c>
      <c r="E56" s="18">
        <f t="shared" si="14"/>
        <v>139</v>
      </c>
      <c r="F56" s="19">
        <f t="shared" si="15"/>
        <v>3.68895966029724E-3</v>
      </c>
      <c r="G56" s="18">
        <v>182</v>
      </c>
      <c r="H56" s="18">
        <v>6</v>
      </c>
      <c r="I56" s="18">
        <f t="shared" si="16"/>
        <v>188</v>
      </c>
      <c r="J56" s="19">
        <f t="shared" si="17"/>
        <v>2.6456143313491227E-3</v>
      </c>
      <c r="K56" s="18">
        <f t="shared" si="13"/>
        <v>327</v>
      </c>
      <c r="L56" s="18">
        <v>0</v>
      </c>
      <c r="M56" s="18">
        <f t="shared" si="18"/>
        <v>327</v>
      </c>
    </row>
    <row r="57" spans="2:13" x14ac:dyDescent="0.2">
      <c r="B57" s="18" t="s">
        <v>366</v>
      </c>
      <c r="C57" s="18">
        <v>5557</v>
      </c>
      <c r="D57" s="18">
        <v>2048</v>
      </c>
      <c r="E57" s="18">
        <f t="shared" si="14"/>
        <v>7605</v>
      </c>
      <c r="F57" s="19">
        <f t="shared" si="15"/>
        <v>0.2018312101910828</v>
      </c>
      <c r="G57" s="18">
        <v>15509</v>
      </c>
      <c r="H57" s="18">
        <v>1334</v>
      </c>
      <c r="I57" s="18">
        <f t="shared" si="16"/>
        <v>16843</v>
      </c>
      <c r="J57" s="19">
        <f t="shared" si="17"/>
        <v>0.23702171373890038</v>
      </c>
      <c r="K57" s="18">
        <f t="shared" si="13"/>
        <v>24448</v>
      </c>
      <c r="L57" s="18">
        <v>0</v>
      </c>
      <c r="M57" s="18">
        <f t="shared" si="18"/>
        <v>24448</v>
      </c>
    </row>
    <row r="58" spans="2:13" x14ac:dyDescent="0.2">
      <c r="B58" s="18" t="s">
        <v>367</v>
      </c>
      <c r="C58" s="18">
        <v>272</v>
      </c>
      <c r="D58" s="18">
        <v>52</v>
      </c>
      <c r="E58" s="18">
        <f t="shared" si="14"/>
        <v>324</v>
      </c>
      <c r="F58" s="19">
        <f t="shared" si="15"/>
        <v>8.5987261146496814E-3</v>
      </c>
      <c r="G58" s="18">
        <v>265</v>
      </c>
      <c r="H58" s="18">
        <v>21</v>
      </c>
      <c r="I58" s="18">
        <f t="shared" si="16"/>
        <v>286</v>
      </c>
      <c r="J58" s="19">
        <f t="shared" si="17"/>
        <v>4.0247111636481335E-3</v>
      </c>
      <c r="K58" s="18">
        <f t="shared" si="13"/>
        <v>610</v>
      </c>
      <c r="L58" s="18">
        <v>0</v>
      </c>
      <c r="M58" s="18">
        <f t="shared" si="18"/>
        <v>610</v>
      </c>
    </row>
    <row r="59" spans="2:13" x14ac:dyDescent="0.2">
      <c r="B59" s="18" t="s">
        <v>368</v>
      </c>
      <c r="C59" s="18">
        <v>1092</v>
      </c>
      <c r="D59" s="18">
        <v>312</v>
      </c>
      <c r="E59" s="18">
        <f t="shared" si="14"/>
        <v>1404</v>
      </c>
      <c r="F59" s="19">
        <f t="shared" si="15"/>
        <v>3.7261146496815285E-2</v>
      </c>
      <c r="G59" s="18">
        <v>1013</v>
      </c>
      <c r="H59" s="18">
        <v>90</v>
      </c>
      <c r="I59" s="18">
        <f t="shared" si="16"/>
        <v>1103</v>
      </c>
      <c r="J59" s="19">
        <f t="shared" si="17"/>
        <v>1.5521875571691927E-2</v>
      </c>
      <c r="K59" s="18">
        <f t="shared" si="13"/>
        <v>2507</v>
      </c>
      <c r="L59" s="18">
        <v>0</v>
      </c>
      <c r="M59" s="18">
        <f t="shared" si="18"/>
        <v>2507</v>
      </c>
    </row>
    <row r="60" spans="2:13" x14ac:dyDescent="0.2">
      <c r="B60" s="18" t="s">
        <v>369</v>
      </c>
      <c r="C60" s="18">
        <v>1302</v>
      </c>
      <c r="D60" s="18">
        <v>490</v>
      </c>
      <c r="E60" s="18">
        <f t="shared" si="14"/>
        <v>1792</v>
      </c>
      <c r="F60" s="19">
        <f t="shared" si="15"/>
        <v>4.75583864118896E-2</v>
      </c>
      <c r="G60" s="18">
        <v>4354</v>
      </c>
      <c r="H60" s="18">
        <v>288</v>
      </c>
      <c r="I60" s="18">
        <f t="shared" si="16"/>
        <v>4642</v>
      </c>
      <c r="J60" s="19">
        <f t="shared" si="17"/>
        <v>6.5324158117673545E-2</v>
      </c>
      <c r="K60" s="18">
        <f t="shared" si="13"/>
        <v>6434</v>
      </c>
      <c r="L60" s="18">
        <v>0</v>
      </c>
      <c r="M60" s="18">
        <f t="shared" si="18"/>
        <v>6434</v>
      </c>
    </row>
    <row r="61" spans="2:13" x14ac:dyDescent="0.2">
      <c r="B61" s="18" t="s">
        <v>370</v>
      </c>
      <c r="C61" s="18">
        <v>228</v>
      </c>
      <c r="D61" s="18">
        <v>66</v>
      </c>
      <c r="E61" s="18">
        <f t="shared" si="14"/>
        <v>294</v>
      </c>
      <c r="F61" s="19">
        <f t="shared" si="15"/>
        <v>7.8025477707006369E-3</v>
      </c>
      <c r="G61" s="18">
        <v>308</v>
      </c>
      <c r="H61" s="18">
        <v>35</v>
      </c>
      <c r="I61" s="18">
        <f t="shared" si="16"/>
        <v>343</v>
      </c>
      <c r="J61" s="19">
        <f t="shared" si="17"/>
        <v>4.8268389130465376E-3</v>
      </c>
      <c r="K61" s="18">
        <f t="shared" si="13"/>
        <v>637</v>
      </c>
      <c r="L61" s="18">
        <v>0</v>
      </c>
      <c r="M61" s="18">
        <f t="shared" si="18"/>
        <v>637</v>
      </c>
    </row>
    <row r="62" spans="2:13" x14ac:dyDescent="0.2">
      <c r="B62" s="18" t="s">
        <v>371</v>
      </c>
      <c r="C62" s="18">
        <v>225</v>
      </c>
      <c r="D62" s="18">
        <v>93</v>
      </c>
      <c r="E62" s="18">
        <f t="shared" si="14"/>
        <v>318</v>
      </c>
      <c r="F62" s="19">
        <f t="shared" si="15"/>
        <v>8.4394904458598725E-3</v>
      </c>
      <c r="G62" s="18">
        <v>414</v>
      </c>
      <c r="H62" s="18">
        <v>39</v>
      </c>
      <c r="I62" s="18">
        <f t="shared" si="16"/>
        <v>453</v>
      </c>
      <c r="J62" s="19">
        <f t="shared" si="17"/>
        <v>6.3748047452188965E-3</v>
      </c>
      <c r="K62" s="18">
        <f t="shared" si="13"/>
        <v>771</v>
      </c>
      <c r="L62" s="18">
        <v>0</v>
      </c>
      <c r="M62" s="18">
        <f t="shared" si="18"/>
        <v>771</v>
      </c>
    </row>
    <row r="63" spans="2:13" x14ac:dyDescent="0.2">
      <c r="B63" s="18" t="s">
        <v>372</v>
      </c>
      <c r="C63" s="18">
        <v>424</v>
      </c>
      <c r="D63" s="18">
        <v>260</v>
      </c>
      <c r="E63" s="18">
        <f t="shared" si="14"/>
        <v>684</v>
      </c>
      <c r="F63" s="19">
        <f t="shared" si="15"/>
        <v>1.8152866242038216E-2</v>
      </c>
      <c r="G63" s="18">
        <v>1017</v>
      </c>
      <c r="H63" s="18">
        <v>116</v>
      </c>
      <c r="I63" s="18">
        <f t="shared" si="16"/>
        <v>1133</v>
      </c>
      <c r="J63" s="19">
        <f t="shared" si="17"/>
        <v>1.5944048071375297E-2</v>
      </c>
      <c r="K63" s="18">
        <f t="shared" si="13"/>
        <v>1817</v>
      </c>
      <c r="L63" s="18">
        <v>0</v>
      </c>
      <c r="M63" s="18">
        <f t="shared" si="18"/>
        <v>1817</v>
      </c>
    </row>
    <row r="64" spans="2:13" ht="13.5" customHeight="1" x14ac:dyDescent="0.2">
      <c r="B64" s="18" t="s">
        <v>373</v>
      </c>
      <c r="C64" s="18">
        <v>593</v>
      </c>
      <c r="D64" s="18">
        <v>313</v>
      </c>
      <c r="E64" s="18">
        <f t="shared" si="14"/>
        <v>906</v>
      </c>
      <c r="F64" s="19">
        <f t="shared" si="15"/>
        <v>2.4044585987261148E-2</v>
      </c>
      <c r="G64" s="18">
        <v>497</v>
      </c>
      <c r="H64" s="18">
        <v>76</v>
      </c>
      <c r="I64" s="18">
        <f t="shared" si="16"/>
        <v>573</v>
      </c>
      <c r="J64" s="19">
        <f t="shared" si="17"/>
        <v>8.0634947439523798E-3</v>
      </c>
      <c r="K64" s="18">
        <f t="shared" si="13"/>
        <v>1479</v>
      </c>
      <c r="L64" s="18">
        <v>0</v>
      </c>
      <c r="M64" s="18">
        <f t="shared" si="18"/>
        <v>1479</v>
      </c>
    </row>
    <row r="65" spans="2:13" x14ac:dyDescent="0.2">
      <c r="B65" s="18" t="s">
        <v>374</v>
      </c>
      <c r="C65" s="18">
        <v>159</v>
      </c>
      <c r="D65" s="18">
        <v>36</v>
      </c>
      <c r="E65" s="18">
        <f t="shared" si="14"/>
        <v>195</v>
      </c>
      <c r="F65" s="19">
        <f t="shared" si="15"/>
        <v>5.1751592356687895E-3</v>
      </c>
      <c r="G65" s="18">
        <v>229</v>
      </c>
      <c r="H65" s="18">
        <v>9</v>
      </c>
      <c r="I65" s="18">
        <f t="shared" si="16"/>
        <v>238</v>
      </c>
      <c r="J65" s="19">
        <f t="shared" si="17"/>
        <v>3.3492351641547405E-3</v>
      </c>
      <c r="K65" s="18">
        <f t="shared" si="13"/>
        <v>433</v>
      </c>
      <c r="L65" s="18">
        <v>0</v>
      </c>
      <c r="M65" s="18">
        <f t="shared" si="18"/>
        <v>433</v>
      </c>
    </row>
    <row r="66" spans="2:13" x14ac:dyDescent="0.2">
      <c r="B66" s="18" t="s">
        <v>375</v>
      </c>
      <c r="C66" s="18">
        <v>362</v>
      </c>
      <c r="D66" s="18">
        <v>130</v>
      </c>
      <c r="E66" s="18">
        <f t="shared" si="14"/>
        <v>492</v>
      </c>
      <c r="F66" s="19">
        <f t="shared" si="15"/>
        <v>1.3057324840764332E-2</v>
      </c>
      <c r="G66" s="18">
        <v>522</v>
      </c>
      <c r="H66" s="18">
        <v>49</v>
      </c>
      <c r="I66" s="18">
        <f t="shared" si="16"/>
        <v>571</v>
      </c>
      <c r="J66" s="19">
        <f t="shared" si="17"/>
        <v>8.0353499106401542E-3</v>
      </c>
      <c r="K66" s="18">
        <f t="shared" si="13"/>
        <v>1063</v>
      </c>
      <c r="L66" s="18">
        <v>0</v>
      </c>
      <c r="M66" s="18">
        <f t="shared" si="18"/>
        <v>1063</v>
      </c>
    </row>
    <row r="67" spans="2:13" x14ac:dyDescent="0.2">
      <c r="B67" s="18" t="s">
        <v>376</v>
      </c>
      <c r="C67" s="18">
        <v>4646</v>
      </c>
      <c r="D67" s="18">
        <v>2619</v>
      </c>
      <c r="E67" s="18">
        <f t="shared" si="14"/>
        <v>7265</v>
      </c>
      <c r="F67" s="19">
        <f t="shared" si="15"/>
        <v>0.19280785562632696</v>
      </c>
      <c r="G67" s="18">
        <v>15479</v>
      </c>
      <c r="H67" s="18">
        <v>1616</v>
      </c>
      <c r="I67" s="18">
        <f t="shared" si="16"/>
        <v>17095</v>
      </c>
      <c r="J67" s="19">
        <f t="shared" si="17"/>
        <v>0.2405679627362407</v>
      </c>
      <c r="K67" s="18">
        <f t="shared" si="13"/>
        <v>24360</v>
      </c>
      <c r="L67" s="18">
        <v>0</v>
      </c>
      <c r="M67" s="18">
        <f t="shared" si="18"/>
        <v>24360</v>
      </c>
    </row>
    <row r="68" spans="2:13" x14ac:dyDescent="0.2">
      <c r="B68" s="18" t="s">
        <v>377</v>
      </c>
      <c r="C68" s="18">
        <v>498</v>
      </c>
      <c r="D68" s="18">
        <v>285</v>
      </c>
      <c r="E68" s="18">
        <f t="shared" si="14"/>
        <v>783</v>
      </c>
      <c r="F68" s="19">
        <f t="shared" si="15"/>
        <v>2.0780254777070063E-2</v>
      </c>
      <c r="G68" s="18">
        <v>1025</v>
      </c>
      <c r="H68" s="18">
        <v>131</v>
      </c>
      <c r="I68" s="18">
        <f t="shared" si="16"/>
        <v>1156</v>
      </c>
      <c r="J68" s="19">
        <f t="shared" si="17"/>
        <v>1.626771365446588E-2</v>
      </c>
      <c r="K68" s="18">
        <f t="shared" si="13"/>
        <v>1939</v>
      </c>
      <c r="L68" s="18">
        <v>0</v>
      </c>
      <c r="M68" s="18">
        <f t="shared" si="18"/>
        <v>1939</v>
      </c>
    </row>
    <row r="69" spans="2:13" x14ac:dyDescent="0.2">
      <c r="B69" s="18" t="s">
        <v>378</v>
      </c>
      <c r="C69" s="18">
        <v>294</v>
      </c>
      <c r="D69" s="18">
        <v>173</v>
      </c>
      <c r="E69" s="18">
        <f t="shared" si="14"/>
        <v>467</v>
      </c>
      <c r="F69" s="19">
        <f t="shared" si="15"/>
        <v>1.2393842887473461E-2</v>
      </c>
      <c r="G69" s="18">
        <v>676</v>
      </c>
      <c r="H69" s="18">
        <v>76</v>
      </c>
      <c r="I69" s="18">
        <f t="shared" si="16"/>
        <v>752</v>
      </c>
      <c r="J69" s="19">
        <f t="shared" si="17"/>
        <v>1.0582457325396491E-2</v>
      </c>
      <c r="K69" s="18">
        <f t="shared" si="13"/>
        <v>1219</v>
      </c>
      <c r="L69" s="18">
        <v>0</v>
      </c>
      <c r="M69" s="18">
        <f t="shared" si="18"/>
        <v>1219</v>
      </c>
    </row>
    <row r="70" spans="2:13" x14ac:dyDescent="0.2">
      <c r="B70" s="18" t="s">
        <v>379</v>
      </c>
      <c r="C70" s="18">
        <v>599</v>
      </c>
      <c r="D70" s="18">
        <v>202</v>
      </c>
      <c r="E70" s="18">
        <f t="shared" si="14"/>
        <v>801</v>
      </c>
      <c r="F70" s="19">
        <f t="shared" si="15"/>
        <v>2.1257961783439489E-2</v>
      </c>
      <c r="G70" s="18">
        <v>1690</v>
      </c>
      <c r="H70" s="18">
        <v>95</v>
      </c>
      <c r="I70" s="18">
        <f t="shared" si="16"/>
        <v>1785</v>
      </c>
      <c r="J70" s="19">
        <f t="shared" si="17"/>
        <v>2.5119263731160552E-2</v>
      </c>
      <c r="K70" s="18">
        <f t="shared" si="13"/>
        <v>2586</v>
      </c>
      <c r="L70" s="18">
        <v>0</v>
      </c>
      <c r="M70" s="18">
        <f t="shared" si="18"/>
        <v>2586</v>
      </c>
    </row>
    <row r="71" spans="2:13" x14ac:dyDescent="0.2">
      <c r="B71" s="18" t="s">
        <v>380</v>
      </c>
      <c r="C71" s="18">
        <v>658</v>
      </c>
      <c r="D71" s="18">
        <v>191</v>
      </c>
      <c r="E71" s="18">
        <f t="shared" si="14"/>
        <v>849</v>
      </c>
      <c r="F71" s="19">
        <f t="shared" si="15"/>
        <v>2.253184713375796E-2</v>
      </c>
      <c r="G71" s="18">
        <v>1075</v>
      </c>
      <c r="H71" s="18">
        <v>74</v>
      </c>
      <c r="I71" s="18">
        <f t="shared" si="16"/>
        <v>1149</v>
      </c>
      <c r="J71" s="19">
        <f t="shared" si="17"/>
        <v>1.6169206737873094E-2</v>
      </c>
      <c r="K71" s="18">
        <f t="shared" si="13"/>
        <v>1998</v>
      </c>
      <c r="L71" s="18">
        <v>0</v>
      </c>
      <c r="M71" s="18">
        <f t="shared" si="18"/>
        <v>1998</v>
      </c>
    </row>
    <row r="72" spans="2:13" x14ac:dyDescent="0.2">
      <c r="B72" s="18" t="s">
        <v>381</v>
      </c>
      <c r="C72" s="18">
        <v>536</v>
      </c>
      <c r="D72" s="18">
        <v>192</v>
      </c>
      <c r="E72" s="18">
        <f t="shared" si="14"/>
        <v>728</v>
      </c>
      <c r="F72" s="19">
        <f t="shared" si="15"/>
        <v>1.9320594479830148E-2</v>
      </c>
      <c r="G72" s="18">
        <v>1696</v>
      </c>
      <c r="H72" s="18">
        <v>108</v>
      </c>
      <c r="I72" s="18">
        <f t="shared" si="16"/>
        <v>1804</v>
      </c>
      <c r="J72" s="19">
        <f t="shared" si="17"/>
        <v>2.5386639647626687E-2</v>
      </c>
      <c r="K72" s="18">
        <f t="shared" si="13"/>
        <v>2532</v>
      </c>
      <c r="L72" s="18">
        <v>0</v>
      </c>
      <c r="M72" s="18">
        <f t="shared" si="18"/>
        <v>2532</v>
      </c>
    </row>
    <row r="73" spans="2:13" x14ac:dyDescent="0.2">
      <c r="B73" s="18" t="s">
        <v>382</v>
      </c>
      <c r="C73" s="18">
        <v>1134</v>
      </c>
      <c r="D73" s="18">
        <v>344</v>
      </c>
      <c r="E73" s="18">
        <f t="shared" si="14"/>
        <v>1478</v>
      </c>
      <c r="F73" s="19">
        <f t="shared" si="15"/>
        <v>3.9225053078556261E-2</v>
      </c>
      <c r="G73" s="18">
        <v>1265</v>
      </c>
      <c r="H73" s="18">
        <v>107</v>
      </c>
      <c r="I73" s="18">
        <f t="shared" si="16"/>
        <v>1372</v>
      </c>
      <c r="J73" s="19">
        <f t="shared" si="17"/>
        <v>1.9307355652186151E-2</v>
      </c>
      <c r="K73" s="18">
        <f t="shared" si="13"/>
        <v>2850</v>
      </c>
      <c r="L73" s="18">
        <v>0</v>
      </c>
      <c r="M73" s="18">
        <f t="shared" si="18"/>
        <v>2850</v>
      </c>
    </row>
    <row r="74" spans="2:13" x14ac:dyDescent="0.2">
      <c r="B74" s="18" t="s">
        <v>383</v>
      </c>
      <c r="C74" s="18">
        <v>1274</v>
      </c>
      <c r="D74" s="18">
        <v>532</v>
      </c>
      <c r="E74" s="18">
        <f t="shared" si="14"/>
        <v>1806</v>
      </c>
      <c r="F74" s="19">
        <f t="shared" si="15"/>
        <v>4.7929936305732487E-2</v>
      </c>
      <c r="G74" s="18">
        <v>3917</v>
      </c>
      <c r="H74" s="18">
        <v>349</v>
      </c>
      <c r="I74" s="18">
        <f t="shared" si="16"/>
        <v>4266</v>
      </c>
      <c r="J74" s="19">
        <f t="shared" si="17"/>
        <v>6.0032929454975306E-2</v>
      </c>
      <c r="K74" s="18">
        <f t="shared" si="13"/>
        <v>6072</v>
      </c>
      <c r="L74" s="18">
        <v>0</v>
      </c>
      <c r="M74" s="18">
        <f t="shared" si="18"/>
        <v>6072</v>
      </c>
    </row>
    <row r="75" spans="2:13" x14ac:dyDescent="0.2">
      <c r="B75" s="18" t="s">
        <v>384</v>
      </c>
      <c r="C75" s="18">
        <v>476</v>
      </c>
      <c r="D75" s="18">
        <v>178</v>
      </c>
      <c r="E75" s="18">
        <f t="shared" si="14"/>
        <v>654</v>
      </c>
      <c r="F75" s="19">
        <f t="shared" si="15"/>
        <v>1.7356687898089172E-2</v>
      </c>
      <c r="G75" s="18">
        <v>1207</v>
      </c>
      <c r="H75" s="18">
        <v>91</v>
      </c>
      <c r="I75" s="18">
        <f t="shared" si="16"/>
        <v>1298</v>
      </c>
      <c r="J75" s="19">
        <f t="shared" si="17"/>
        <v>1.8265996819633836E-2</v>
      </c>
      <c r="K75" s="18">
        <f t="shared" si="13"/>
        <v>1952</v>
      </c>
      <c r="L75" s="18">
        <v>0</v>
      </c>
      <c r="M75" s="18">
        <f t="shared" si="18"/>
        <v>1952</v>
      </c>
    </row>
    <row r="76" spans="2:13" x14ac:dyDescent="0.2">
      <c r="B76" s="18" t="s">
        <v>385</v>
      </c>
      <c r="C76" s="18">
        <v>516</v>
      </c>
      <c r="D76" s="18">
        <v>142</v>
      </c>
      <c r="E76" s="18">
        <f t="shared" si="14"/>
        <v>658</v>
      </c>
      <c r="F76" s="19">
        <f t="shared" si="15"/>
        <v>1.7462845010615711E-2</v>
      </c>
      <c r="G76" s="18">
        <v>872</v>
      </c>
      <c r="H76" s="18">
        <v>104</v>
      </c>
      <c r="I76" s="18">
        <f t="shared" si="16"/>
        <v>976</v>
      </c>
      <c r="J76" s="19">
        <f t="shared" si="17"/>
        <v>1.3734678656365658E-2</v>
      </c>
      <c r="K76" s="18">
        <f t="shared" si="13"/>
        <v>1634</v>
      </c>
      <c r="L76" s="18">
        <v>0</v>
      </c>
      <c r="M76" s="18">
        <f t="shared" si="18"/>
        <v>1634</v>
      </c>
    </row>
    <row r="77" spans="2:13" x14ac:dyDescent="0.2">
      <c r="B77" s="18" t="s">
        <v>386</v>
      </c>
      <c r="C77" s="18">
        <v>157</v>
      </c>
      <c r="D77" s="18">
        <v>53</v>
      </c>
      <c r="E77" s="18">
        <f t="shared" si="14"/>
        <v>210</v>
      </c>
      <c r="F77" s="19">
        <f t="shared" si="15"/>
        <v>5.5732484076433117E-3</v>
      </c>
      <c r="G77" s="18">
        <v>347</v>
      </c>
      <c r="H77" s="18">
        <v>30</v>
      </c>
      <c r="I77" s="18">
        <f t="shared" si="16"/>
        <v>377</v>
      </c>
      <c r="J77" s="19">
        <f t="shared" si="17"/>
        <v>5.3053010793543574E-3</v>
      </c>
      <c r="K77" s="18">
        <f t="shared" si="13"/>
        <v>587</v>
      </c>
      <c r="L77" s="18">
        <v>0</v>
      </c>
      <c r="M77" s="18">
        <f t="shared" si="18"/>
        <v>587</v>
      </c>
    </row>
    <row r="78" spans="2:13" x14ac:dyDescent="0.2">
      <c r="B78" s="18" t="s">
        <v>387</v>
      </c>
      <c r="C78" s="18">
        <v>476</v>
      </c>
      <c r="D78" s="18">
        <v>111</v>
      </c>
      <c r="E78" s="18">
        <f t="shared" si="14"/>
        <v>587</v>
      </c>
      <c r="F78" s="19">
        <f t="shared" si="15"/>
        <v>1.5578556263269639E-2</v>
      </c>
      <c r="G78" s="18">
        <v>570</v>
      </c>
      <c r="H78" s="18">
        <v>46</v>
      </c>
      <c r="I78" s="18">
        <f t="shared" si="16"/>
        <v>616</v>
      </c>
      <c r="J78" s="19">
        <f t="shared" si="17"/>
        <v>8.6686086601652102E-3</v>
      </c>
      <c r="K78" s="18">
        <f t="shared" si="13"/>
        <v>1203</v>
      </c>
      <c r="L78" s="18">
        <v>0</v>
      </c>
      <c r="M78" s="18">
        <f t="shared" si="18"/>
        <v>1203</v>
      </c>
    </row>
    <row r="79" spans="2:13" x14ac:dyDescent="0.2">
      <c r="B79" s="18" t="s">
        <v>388</v>
      </c>
      <c r="C79" s="18">
        <v>102</v>
      </c>
      <c r="D79" s="18">
        <v>15</v>
      </c>
      <c r="E79" s="18">
        <f t="shared" si="14"/>
        <v>117</v>
      </c>
      <c r="F79" s="19">
        <f t="shared" si="15"/>
        <v>3.1050955414012741E-3</v>
      </c>
      <c r="G79" s="18">
        <v>213</v>
      </c>
      <c r="H79" s="18">
        <v>9</v>
      </c>
      <c r="I79" s="18">
        <f t="shared" si="16"/>
        <v>222</v>
      </c>
      <c r="J79" s="19">
        <f t="shared" si="17"/>
        <v>3.1240764976569425E-3</v>
      </c>
      <c r="K79" s="18">
        <f t="shared" si="13"/>
        <v>339</v>
      </c>
      <c r="L79" s="18">
        <v>0</v>
      </c>
      <c r="M79" s="18">
        <f t="shared" si="18"/>
        <v>339</v>
      </c>
    </row>
    <row r="80" spans="2:13" x14ac:dyDescent="0.2">
      <c r="B80" s="20" t="s">
        <v>49</v>
      </c>
      <c r="C80" s="18">
        <f t="shared" ref="C80:H80" si="19">SUM(C50:C79)</f>
        <v>26919</v>
      </c>
      <c r="D80" s="18">
        <f t="shared" si="19"/>
        <v>10761</v>
      </c>
      <c r="E80" s="20">
        <f t="shared" ref="E80" si="20">C80+D80</f>
        <v>37680</v>
      </c>
      <c r="F80" s="22">
        <f t="shared" ref="F80" si="21">E80/$E$80</f>
        <v>1</v>
      </c>
      <c r="G80" s="18">
        <f t="shared" si="19"/>
        <v>65202</v>
      </c>
      <c r="H80" s="18">
        <f t="shared" si="19"/>
        <v>5859</v>
      </c>
      <c r="I80" s="20">
        <f t="shared" ref="I80" si="22">G80+H80</f>
        <v>71061</v>
      </c>
      <c r="J80" s="22">
        <f t="shared" ref="J80" si="23">I80/$I$80</f>
        <v>1</v>
      </c>
      <c r="K80" s="20">
        <f t="shared" ref="K80" si="24">E80+I80</f>
        <v>108741</v>
      </c>
      <c r="L80" s="18">
        <f t="shared" ref="L80" si="25">SUM(L50:L79)</f>
        <v>1</v>
      </c>
      <c r="M80" s="20">
        <f t="shared" si="18"/>
        <v>108742</v>
      </c>
    </row>
    <row r="81" spans="2:13" ht="24" x14ac:dyDescent="0.2">
      <c r="B81" s="32" t="s">
        <v>66</v>
      </c>
      <c r="C81" s="33">
        <f>+C80/M80</f>
        <v>0.24754924500193118</v>
      </c>
      <c r="D81" s="33">
        <f>+D80/M80</f>
        <v>9.8959003880745244E-2</v>
      </c>
      <c r="E81" s="34">
        <f>+E80/M80</f>
        <v>0.34650824888267645</v>
      </c>
      <c r="F81" s="34"/>
      <c r="G81" s="33">
        <f>+G80/M80</f>
        <v>0.59960272939618542</v>
      </c>
      <c r="H81" s="33">
        <f>+H80/M80</f>
        <v>5.3879825642346106E-2</v>
      </c>
      <c r="I81" s="34">
        <f>+I80/M80</f>
        <v>0.65348255503853159</v>
      </c>
      <c r="J81" s="34"/>
      <c r="K81" s="34">
        <f>+K80/M80</f>
        <v>0.99999080392120798</v>
      </c>
      <c r="L81" s="34">
        <f>+L80/M80</f>
        <v>9.1960787920030901E-6</v>
      </c>
      <c r="M81" s="34">
        <f>K81+L81</f>
        <v>1</v>
      </c>
    </row>
    <row r="82" spans="2:13" x14ac:dyDescent="0.2">
      <c r="B82" s="25" t="s">
        <v>129</v>
      </c>
    </row>
    <row r="83" spans="2:13" x14ac:dyDescent="0.2">
      <c r="B83" s="25" t="s">
        <v>130</v>
      </c>
    </row>
  </sheetData>
  <mergeCells count="12">
    <mergeCell ref="L48:M48"/>
    <mergeCell ref="B47:M47"/>
    <mergeCell ref="B6:K6"/>
    <mergeCell ref="B5:K5"/>
    <mergeCell ref="B45:K45"/>
    <mergeCell ref="B44:K44"/>
    <mergeCell ref="B8:M8"/>
    <mergeCell ref="L9:M9"/>
    <mergeCell ref="B48:B49"/>
    <mergeCell ref="C48:K48"/>
    <mergeCell ref="B9:B10"/>
    <mergeCell ref="C9:K9"/>
  </mergeCells>
  <hyperlinks>
    <hyperlink ref="M5" location="'Índice Pensiones Solidarias'!A1" display="Volver Sistema de Pensiones Solidadias" xr:uid="{00000000-0004-0000-1300-000000000000}"/>
  </hyperlinks>
  <pageMargins left="0.74803149606299213" right="0.74803149606299213" top="0.98425196850393704" bottom="0.98425196850393704" header="0" footer="0"/>
  <pageSetup scale="83" fitToHeight="2" orientation="portrait" r:id="rId1"/>
  <headerFooter alignWithMargins="0"/>
  <rowBreaks count="1" manualBreakCount="1">
    <brk id="47" min="1" max="12"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30">
    <pageSetUpPr fitToPage="1"/>
  </sheetPr>
  <dimension ref="A1:P43"/>
  <sheetViews>
    <sheetView showGridLines="0" zoomScaleNormal="100" workbookViewId="0">
      <selection sqref="A1:XFD1048576"/>
    </sheetView>
  </sheetViews>
  <sheetFormatPr baseColWidth="10" defaultRowHeight="12" x14ac:dyDescent="0.2"/>
  <cols>
    <col min="1" max="1" width="6" style="26" customWidth="1"/>
    <col min="2" max="2" width="18.140625" style="26" customWidth="1"/>
    <col min="3" max="3" width="8" style="26" bestFit="1" customWidth="1"/>
    <col min="4" max="4" width="7.42578125" style="26" bestFit="1" customWidth="1"/>
    <col min="5" max="6" width="7.42578125" style="26" customWidth="1"/>
    <col min="7" max="7" width="8.28515625" style="26" bestFit="1" customWidth="1"/>
    <col min="8" max="8" width="7.42578125" style="26" bestFit="1" customWidth="1"/>
    <col min="9" max="11" width="7.42578125" style="26" customWidth="1"/>
    <col min="12" max="12" width="7.85546875" style="26" customWidth="1"/>
    <col min="13" max="251" width="11.42578125" style="26"/>
    <col min="252" max="252" width="18.140625" style="26" customWidth="1"/>
    <col min="253" max="253" width="8" style="26" bestFit="1" customWidth="1"/>
    <col min="254" max="254" width="7.42578125" style="26" bestFit="1" customWidth="1"/>
    <col min="255" max="256" width="7.42578125" style="26" customWidth="1"/>
    <col min="257" max="257" width="8.28515625" style="26" bestFit="1" customWidth="1"/>
    <col min="258" max="258" width="7.42578125" style="26" bestFit="1" customWidth="1"/>
    <col min="259" max="261" width="7.42578125" style="26" customWidth="1"/>
    <col min="262" max="267" width="0" style="26" hidden="1" customWidth="1"/>
    <col min="268" max="268" width="7.85546875" style="26" customWidth="1"/>
    <col min="269" max="507" width="11.42578125" style="26"/>
    <col min="508" max="508" width="18.140625" style="26" customWidth="1"/>
    <col min="509" max="509" width="8" style="26" bestFit="1" customWidth="1"/>
    <col min="510" max="510" width="7.42578125" style="26" bestFit="1" customWidth="1"/>
    <col min="511" max="512" width="7.42578125" style="26" customWidth="1"/>
    <col min="513" max="513" width="8.28515625" style="26" bestFit="1" customWidth="1"/>
    <col min="514" max="514" width="7.42578125" style="26" bestFit="1" customWidth="1"/>
    <col min="515" max="517" width="7.42578125" style="26" customWidth="1"/>
    <col min="518" max="523" width="0" style="26" hidden="1" customWidth="1"/>
    <col min="524" max="524" width="7.85546875" style="26" customWidth="1"/>
    <col min="525" max="763" width="11.42578125" style="26"/>
    <col min="764" max="764" width="18.140625" style="26" customWidth="1"/>
    <col min="765" max="765" width="8" style="26" bestFit="1" customWidth="1"/>
    <col min="766" max="766" width="7.42578125" style="26" bestFit="1" customWidth="1"/>
    <col min="767" max="768" width="7.42578125" style="26" customWidth="1"/>
    <col min="769" max="769" width="8.28515625" style="26" bestFit="1" customWidth="1"/>
    <col min="770" max="770" width="7.42578125" style="26" bestFit="1" customWidth="1"/>
    <col min="771" max="773" width="7.42578125" style="26" customWidth="1"/>
    <col min="774" max="779" width="0" style="26" hidden="1" customWidth="1"/>
    <col min="780" max="780" width="7.85546875" style="26" customWidth="1"/>
    <col min="781" max="1019" width="11.42578125" style="26"/>
    <col min="1020" max="1020" width="18.140625" style="26" customWidth="1"/>
    <col min="1021" max="1021" width="8" style="26" bestFit="1" customWidth="1"/>
    <col min="1022" max="1022" width="7.42578125" style="26" bestFit="1" customWidth="1"/>
    <col min="1023" max="1024" width="7.42578125" style="26" customWidth="1"/>
    <col min="1025" max="1025" width="8.28515625" style="26" bestFit="1" customWidth="1"/>
    <col min="1026" max="1026" width="7.42578125" style="26" bestFit="1" customWidth="1"/>
    <col min="1027" max="1029" width="7.42578125" style="26" customWidth="1"/>
    <col min="1030" max="1035" width="0" style="26" hidden="1" customWidth="1"/>
    <col min="1036" max="1036" width="7.85546875" style="26" customWidth="1"/>
    <col min="1037" max="1275" width="11.42578125" style="26"/>
    <col min="1276" max="1276" width="18.140625" style="26" customWidth="1"/>
    <col min="1277" max="1277" width="8" style="26" bestFit="1" customWidth="1"/>
    <col min="1278" max="1278" width="7.42578125" style="26" bestFit="1" customWidth="1"/>
    <col min="1279" max="1280" width="7.42578125" style="26" customWidth="1"/>
    <col min="1281" max="1281" width="8.28515625" style="26" bestFit="1" customWidth="1"/>
    <col min="1282" max="1282" width="7.42578125" style="26" bestFit="1" customWidth="1"/>
    <col min="1283" max="1285" width="7.42578125" style="26" customWidth="1"/>
    <col min="1286" max="1291" width="0" style="26" hidden="1" customWidth="1"/>
    <col min="1292" max="1292" width="7.85546875" style="26" customWidth="1"/>
    <col min="1293" max="1531" width="11.42578125" style="26"/>
    <col min="1532" max="1532" width="18.140625" style="26" customWidth="1"/>
    <col min="1533" max="1533" width="8" style="26" bestFit="1" customWidth="1"/>
    <col min="1534" max="1534" width="7.42578125" style="26" bestFit="1" customWidth="1"/>
    <col min="1535" max="1536" width="7.42578125" style="26" customWidth="1"/>
    <col min="1537" max="1537" width="8.28515625" style="26" bestFit="1" customWidth="1"/>
    <col min="1538" max="1538" width="7.42578125" style="26" bestFit="1" customWidth="1"/>
    <col min="1539" max="1541" width="7.42578125" style="26" customWidth="1"/>
    <col min="1542" max="1547" width="0" style="26" hidden="1" customWidth="1"/>
    <col min="1548" max="1548" width="7.85546875" style="26" customWidth="1"/>
    <col min="1549" max="1787" width="11.42578125" style="26"/>
    <col min="1788" max="1788" width="18.140625" style="26" customWidth="1"/>
    <col min="1789" max="1789" width="8" style="26" bestFit="1" customWidth="1"/>
    <col min="1790" max="1790" width="7.42578125" style="26" bestFit="1" customWidth="1"/>
    <col min="1791" max="1792" width="7.42578125" style="26" customWidth="1"/>
    <col min="1793" max="1793" width="8.28515625" style="26" bestFit="1" customWidth="1"/>
    <col min="1794" max="1794" width="7.42578125" style="26" bestFit="1" customWidth="1"/>
    <col min="1795" max="1797" width="7.42578125" style="26" customWidth="1"/>
    <col min="1798" max="1803" width="0" style="26" hidden="1" customWidth="1"/>
    <col min="1804" max="1804" width="7.85546875" style="26" customWidth="1"/>
    <col min="1805" max="2043" width="11.42578125" style="26"/>
    <col min="2044" max="2044" width="18.140625" style="26" customWidth="1"/>
    <col min="2045" max="2045" width="8" style="26" bestFit="1" customWidth="1"/>
    <col min="2046" max="2046" width="7.42578125" style="26" bestFit="1" customWidth="1"/>
    <col min="2047" max="2048" width="7.42578125" style="26" customWidth="1"/>
    <col min="2049" max="2049" width="8.28515625" style="26" bestFit="1" customWidth="1"/>
    <col min="2050" max="2050" width="7.42578125" style="26" bestFit="1" customWidth="1"/>
    <col min="2051" max="2053" width="7.42578125" style="26" customWidth="1"/>
    <col min="2054" max="2059" width="0" style="26" hidden="1" customWidth="1"/>
    <col min="2060" max="2060" width="7.85546875" style="26" customWidth="1"/>
    <col min="2061" max="2299" width="11.42578125" style="26"/>
    <col min="2300" max="2300" width="18.140625" style="26" customWidth="1"/>
    <col min="2301" max="2301" width="8" style="26" bestFit="1" customWidth="1"/>
    <col min="2302" max="2302" width="7.42578125" style="26" bestFit="1" customWidth="1"/>
    <col min="2303" max="2304" width="7.42578125" style="26" customWidth="1"/>
    <col min="2305" max="2305" width="8.28515625" style="26" bestFit="1" customWidth="1"/>
    <col min="2306" max="2306" width="7.42578125" style="26" bestFit="1" customWidth="1"/>
    <col min="2307" max="2309" width="7.42578125" style="26" customWidth="1"/>
    <col min="2310" max="2315" width="0" style="26" hidden="1" customWidth="1"/>
    <col min="2316" max="2316" width="7.85546875" style="26" customWidth="1"/>
    <col min="2317" max="2555" width="11.42578125" style="26"/>
    <col min="2556" max="2556" width="18.140625" style="26" customWidth="1"/>
    <col min="2557" max="2557" width="8" style="26" bestFit="1" customWidth="1"/>
    <col min="2558" max="2558" width="7.42578125" style="26" bestFit="1" customWidth="1"/>
    <col min="2559" max="2560" width="7.42578125" style="26" customWidth="1"/>
    <col min="2561" max="2561" width="8.28515625" style="26" bestFit="1" customWidth="1"/>
    <col min="2562" max="2562" width="7.42578125" style="26" bestFit="1" customWidth="1"/>
    <col min="2563" max="2565" width="7.42578125" style="26" customWidth="1"/>
    <col min="2566" max="2571" width="0" style="26" hidden="1" customWidth="1"/>
    <col min="2572" max="2572" width="7.85546875" style="26" customWidth="1"/>
    <col min="2573" max="2811" width="11.42578125" style="26"/>
    <col min="2812" max="2812" width="18.140625" style="26" customWidth="1"/>
    <col min="2813" max="2813" width="8" style="26" bestFit="1" customWidth="1"/>
    <col min="2814" max="2814" width="7.42578125" style="26" bestFit="1" customWidth="1"/>
    <col min="2815" max="2816" width="7.42578125" style="26" customWidth="1"/>
    <col min="2817" max="2817" width="8.28515625" style="26" bestFit="1" customWidth="1"/>
    <col min="2818" max="2818" width="7.42578125" style="26" bestFit="1" customWidth="1"/>
    <col min="2819" max="2821" width="7.42578125" style="26" customWidth="1"/>
    <col min="2822" max="2827" width="0" style="26" hidden="1" customWidth="1"/>
    <col min="2828" max="2828" width="7.85546875" style="26" customWidth="1"/>
    <col min="2829" max="3067" width="11.42578125" style="26"/>
    <col min="3068" max="3068" width="18.140625" style="26" customWidth="1"/>
    <col min="3069" max="3069" width="8" style="26" bestFit="1" customWidth="1"/>
    <col min="3070" max="3070" width="7.42578125" style="26" bestFit="1" customWidth="1"/>
    <col min="3071" max="3072" width="7.42578125" style="26" customWidth="1"/>
    <col min="3073" max="3073" width="8.28515625" style="26" bestFit="1" customWidth="1"/>
    <col min="3074" max="3074" width="7.42578125" style="26" bestFit="1" customWidth="1"/>
    <col min="3075" max="3077" width="7.42578125" style="26" customWidth="1"/>
    <col min="3078" max="3083" width="0" style="26" hidden="1" customWidth="1"/>
    <col min="3084" max="3084" width="7.85546875" style="26" customWidth="1"/>
    <col min="3085" max="3323" width="11.42578125" style="26"/>
    <col min="3324" max="3324" width="18.140625" style="26" customWidth="1"/>
    <col min="3325" max="3325" width="8" style="26" bestFit="1" customWidth="1"/>
    <col min="3326" max="3326" width="7.42578125" style="26" bestFit="1" customWidth="1"/>
    <col min="3327" max="3328" width="7.42578125" style="26" customWidth="1"/>
    <col min="3329" max="3329" width="8.28515625" style="26" bestFit="1" customWidth="1"/>
    <col min="3330" max="3330" width="7.42578125" style="26" bestFit="1" customWidth="1"/>
    <col min="3331" max="3333" width="7.42578125" style="26" customWidth="1"/>
    <col min="3334" max="3339" width="0" style="26" hidden="1" customWidth="1"/>
    <col min="3340" max="3340" width="7.85546875" style="26" customWidth="1"/>
    <col min="3341" max="3579" width="11.42578125" style="26"/>
    <col min="3580" max="3580" width="18.140625" style="26" customWidth="1"/>
    <col min="3581" max="3581" width="8" style="26" bestFit="1" customWidth="1"/>
    <col min="3582" max="3582" width="7.42578125" style="26" bestFit="1" customWidth="1"/>
    <col min="3583" max="3584" width="7.42578125" style="26" customWidth="1"/>
    <col min="3585" max="3585" width="8.28515625" style="26" bestFit="1" customWidth="1"/>
    <col min="3586" max="3586" width="7.42578125" style="26" bestFit="1" customWidth="1"/>
    <col min="3587" max="3589" width="7.42578125" style="26" customWidth="1"/>
    <col min="3590" max="3595" width="0" style="26" hidden="1" customWidth="1"/>
    <col min="3596" max="3596" width="7.85546875" style="26" customWidth="1"/>
    <col min="3597" max="3835" width="11.42578125" style="26"/>
    <col min="3836" max="3836" width="18.140625" style="26" customWidth="1"/>
    <col min="3837" max="3837" width="8" style="26" bestFit="1" customWidth="1"/>
    <col min="3838" max="3838" width="7.42578125" style="26" bestFit="1" customWidth="1"/>
    <col min="3839" max="3840" width="7.42578125" style="26" customWidth="1"/>
    <col min="3841" max="3841" width="8.28515625" style="26" bestFit="1" customWidth="1"/>
    <col min="3842" max="3842" width="7.42578125" style="26" bestFit="1" customWidth="1"/>
    <col min="3843" max="3845" width="7.42578125" style="26" customWidth="1"/>
    <col min="3846" max="3851" width="0" style="26" hidden="1" customWidth="1"/>
    <col min="3852" max="3852" width="7.85546875" style="26" customWidth="1"/>
    <col min="3853" max="4091" width="11.42578125" style="26"/>
    <col min="4092" max="4092" width="18.140625" style="26" customWidth="1"/>
    <col min="4093" max="4093" width="8" style="26" bestFit="1" customWidth="1"/>
    <col min="4094" max="4094" width="7.42578125" style="26" bestFit="1" customWidth="1"/>
    <col min="4095" max="4096" width="7.42578125" style="26" customWidth="1"/>
    <col min="4097" max="4097" width="8.28515625" style="26" bestFit="1" customWidth="1"/>
    <col min="4098" max="4098" width="7.42578125" style="26" bestFit="1" customWidth="1"/>
    <col min="4099" max="4101" width="7.42578125" style="26" customWidth="1"/>
    <col min="4102" max="4107" width="0" style="26" hidden="1" customWidth="1"/>
    <col min="4108" max="4108" width="7.85546875" style="26" customWidth="1"/>
    <col min="4109" max="4347" width="11.42578125" style="26"/>
    <col min="4348" max="4348" width="18.140625" style="26" customWidth="1"/>
    <col min="4349" max="4349" width="8" style="26" bestFit="1" customWidth="1"/>
    <col min="4350" max="4350" width="7.42578125" style="26" bestFit="1" customWidth="1"/>
    <col min="4351" max="4352" width="7.42578125" style="26" customWidth="1"/>
    <col min="4353" max="4353" width="8.28515625" style="26" bestFit="1" customWidth="1"/>
    <col min="4354" max="4354" width="7.42578125" style="26" bestFit="1" customWidth="1"/>
    <col min="4355" max="4357" width="7.42578125" style="26" customWidth="1"/>
    <col min="4358" max="4363" width="0" style="26" hidden="1" customWidth="1"/>
    <col min="4364" max="4364" width="7.85546875" style="26" customWidth="1"/>
    <col min="4365" max="4603" width="11.42578125" style="26"/>
    <col min="4604" max="4604" width="18.140625" style="26" customWidth="1"/>
    <col min="4605" max="4605" width="8" style="26" bestFit="1" customWidth="1"/>
    <col min="4606" max="4606" width="7.42578125" style="26" bestFit="1" customWidth="1"/>
    <col min="4607" max="4608" width="7.42578125" style="26" customWidth="1"/>
    <col min="4609" max="4609" width="8.28515625" style="26" bestFit="1" customWidth="1"/>
    <col min="4610" max="4610" width="7.42578125" style="26" bestFit="1" customWidth="1"/>
    <col min="4611" max="4613" width="7.42578125" style="26" customWidth="1"/>
    <col min="4614" max="4619" width="0" style="26" hidden="1" customWidth="1"/>
    <col min="4620" max="4620" width="7.85546875" style="26" customWidth="1"/>
    <col min="4621" max="4859" width="11.42578125" style="26"/>
    <col min="4860" max="4860" width="18.140625" style="26" customWidth="1"/>
    <col min="4861" max="4861" width="8" style="26" bestFit="1" customWidth="1"/>
    <col min="4862" max="4862" width="7.42578125" style="26" bestFit="1" customWidth="1"/>
    <col min="4863" max="4864" width="7.42578125" style="26" customWidth="1"/>
    <col min="4865" max="4865" width="8.28515625" style="26" bestFit="1" customWidth="1"/>
    <col min="4866" max="4866" width="7.42578125" style="26" bestFit="1" customWidth="1"/>
    <col min="4867" max="4869" width="7.42578125" style="26" customWidth="1"/>
    <col min="4870" max="4875" width="0" style="26" hidden="1" customWidth="1"/>
    <col min="4876" max="4876" width="7.85546875" style="26" customWidth="1"/>
    <col min="4877" max="5115" width="11.42578125" style="26"/>
    <col min="5116" max="5116" width="18.140625" style="26" customWidth="1"/>
    <col min="5117" max="5117" width="8" style="26" bestFit="1" customWidth="1"/>
    <col min="5118" max="5118" width="7.42578125" style="26" bestFit="1" customWidth="1"/>
    <col min="5119" max="5120" width="7.42578125" style="26" customWidth="1"/>
    <col min="5121" max="5121" width="8.28515625" style="26" bestFit="1" customWidth="1"/>
    <col min="5122" max="5122" width="7.42578125" style="26" bestFit="1" customWidth="1"/>
    <col min="5123" max="5125" width="7.42578125" style="26" customWidth="1"/>
    <col min="5126" max="5131" width="0" style="26" hidden="1" customWidth="1"/>
    <col min="5132" max="5132" width="7.85546875" style="26" customWidth="1"/>
    <col min="5133" max="5371" width="11.42578125" style="26"/>
    <col min="5372" max="5372" width="18.140625" style="26" customWidth="1"/>
    <col min="5373" max="5373" width="8" style="26" bestFit="1" customWidth="1"/>
    <col min="5374" max="5374" width="7.42578125" style="26" bestFit="1" customWidth="1"/>
    <col min="5375" max="5376" width="7.42578125" style="26" customWidth="1"/>
    <col min="5377" max="5377" width="8.28515625" style="26" bestFit="1" customWidth="1"/>
    <col min="5378" max="5378" width="7.42578125" style="26" bestFit="1" customWidth="1"/>
    <col min="5379" max="5381" width="7.42578125" style="26" customWidth="1"/>
    <col min="5382" max="5387" width="0" style="26" hidden="1" customWidth="1"/>
    <col min="5388" max="5388" width="7.85546875" style="26" customWidth="1"/>
    <col min="5389" max="5627" width="11.42578125" style="26"/>
    <col min="5628" max="5628" width="18.140625" style="26" customWidth="1"/>
    <col min="5629" max="5629" width="8" style="26" bestFit="1" customWidth="1"/>
    <col min="5630" max="5630" width="7.42578125" style="26" bestFit="1" customWidth="1"/>
    <col min="5631" max="5632" width="7.42578125" style="26" customWidth="1"/>
    <col min="5633" max="5633" width="8.28515625" style="26" bestFit="1" customWidth="1"/>
    <col min="5634" max="5634" width="7.42578125" style="26" bestFit="1" customWidth="1"/>
    <col min="5635" max="5637" width="7.42578125" style="26" customWidth="1"/>
    <col min="5638" max="5643" width="0" style="26" hidden="1" customWidth="1"/>
    <col min="5644" max="5644" width="7.85546875" style="26" customWidth="1"/>
    <col min="5645" max="5883" width="11.42578125" style="26"/>
    <col min="5884" max="5884" width="18.140625" style="26" customWidth="1"/>
    <col min="5885" max="5885" width="8" style="26" bestFit="1" customWidth="1"/>
    <col min="5886" max="5886" width="7.42578125" style="26" bestFit="1" customWidth="1"/>
    <col min="5887" max="5888" width="7.42578125" style="26" customWidth="1"/>
    <col min="5889" max="5889" width="8.28515625" style="26" bestFit="1" customWidth="1"/>
    <col min="5890" max="5890" width="7.42578125" style="26" bestFit="1" customWidth="1"/>
    <col min="5891" max="5893" width="7.42578125" style="26" customWidth="1"/>
    <col min="5894" max="5899" width="0" style="26" hidden="1" customWidth="1"/>
    <col min="5900" max="5900" width="7.85546875" style="26" customWidth="1"/>
    <col min="5901" max="6139" width="11.42578125" style="26"/>
    <col min="6140" max="6140" width="18.140625" style="26" customWidth="1"/>
    <col min="6141" max="6141" width="8" style="26" bestFit="1" customWidth="1"/>
    <col min="6142" max="6142" width="7.42578125" style="26" bestFit="1" customWidth="1"/>
    <col min="6143" max="6144" width="7.42578125" style="26" customWidth="1"/>
    <col min="6145" max="6145" width="8.28515625" style="26" bestFit="1" customWidth="1"/>
    <col min="6146" max="6146" width="7.42578125" style="26" bestFit="1" customWidth="1"/>
    <col min="6147" max="6149" width="7.42578125" style="26" customWidth="1"/>
    <col min="6150" max="6155" width="0" style="26" hidden="1" customWidth="1"/>
    <col min="6156" max="6156" width="7.85546875" style="26" customWidth="1"/>
    <col min="6157" max="6395" width="11.42578125" style="26"/>
    <col min="6396" max="6396" width="18.140625" style="26" customWidth="1"/>
    <col min="6397" max="6397" width="8" style="26" bestFit="1" customWidth="1"/>
    <col min="6398" max="6398" width="7.42578125" style="26" bestFit="1" customWidth="1"/>
    <col min="6399" max="6400" width="7.42578125" style="26" customWidth="1"/>
    <col min="6401" max="6401" width="8.28515625" style="26" bestFit="1" customWidth="1"/>
    <col min="6402" max="6402" width="7.42578125" style="26" bestFit="1" customWidth="1"/>
    <col min="6403" max="6405" width="7.42578125" style="26" customWidth="1"/>
    <col min="6406" max="6411" width="0" style="26" hidden="1" customWidth="1"/>
    <col min="6412" max="6412" width="7.85546875" style="26" customWidth="1"/>
    <col min="6413" max="6651" width="11.42578125" style="26"/>
    <col min="6652" max="6652" width="18.140625" style="26" customWidth="1"/>
    <col min="6653" max="6653" width="8" style="26" bestFit="1" customWidth="1"/>
    <col min="6654" max="6654" width="7.42578125" style="26" bestFit="1" customWidth="1"/>
    <col min="6655" max="6656" width="7.42578125" style="26" customWidth="1"/>
    <col min="6657" max="6657" width="8.28515625" style="26" bestFit="1" customWidth="1"/>
    <col min="6658" max="6658" width="7.42578125" style="26" bestFit="1" customWidth="1"/>
    <col min="6659" max="6661" width="7.42578125" style="26" customWidth="1"/>
    <col min="6662" max="6667" width="0" style="26" hidden="1" customWidth="1"/>
    <col min="6668" max="6668" width="7.85546875" style="26" customWidth="1"/>
    <col min="6669" max="6907" width="11.42578125" style="26"/>
    <col min="6908" max="6908" width="18.140625" style="26" customWidth="1"/>
    <col min="6909" max="6909" width="8" style="26" bestFit="1" customWidth="1"/>
    <col min="6910" max="6910" width="7.42578125" style="26" bestFit="1" customWidth="1"/>
    <col min="6911" max="6912" width="7.42578125" style="26" customWidth="1"/>
    <col min="6913" max="6913" width="8.28515625" style="26" bestFit="1" customWidth="1"/>
    <col min="6914" max="6914" width="7.42578125" style="26" bestFit="1" customWidth="1"/>
    <col min="6915" max="6917" width="7.42578125" style="26" customWidth="1"/>
    <col min="6918" max="6923" width="0" style="26" hidden="1" customWidth="1"/>
    <col min="6924" max="6924" width="7.85546875" style="26" customWidth="1"/>
    <col min="6925" max="7163" width="11.42578125" style="26"/>
    <col min="7164" max="7164" width="18.140625" style="26" customWidth="1"/>
    <col min="7165" max="7165" width="8" style="26" bestFit="1" customWidth="1"/>
    <col min="7166" max="7166" width="7.42578125" style="26" bestFit="1" customWidth="1"/>
    <col min="7167" max="7168" width="7.42578125" style="26" customWidth="1"/>
    <col min="7169" max="7169" width="8.28515625" style="26" bestFit="1" customWidth="1"/>
    <col min="7170" max="7170" width="7.42578125" style="26" bestFit="1" customWidth="1"/>
    <col min="7171" max="7173" width="7.42578125" style="26" customWidth="1"/>
    <col min="7174" max="7179" width="0" style="26" hidden="1" customWidth="1"/>
    <col min="7180" max="7180" width="7.85546875" style="26" customWidth="1"/>
    <col min="7181" max="7419" width="11.42578125" style="26"/>
    <col min="7420" max="7420" width="18.140625" style="26" customWidth="1"/>
    <col min="7421" max="7421" width="8" style="26" bestFit="1" customWidth="1"/>
    <col min="7422" max="7422" width="7.42578125" style="26" bestFit="1" customWidth="1"/>
    <col min="7423" max="7424" width="7.42578125" style="26" customWidth="1"/>
    <col min="7425" max="7425" width="8.28515625" style="26" bestFit="1" customWidth="1"/>
    <col min="7426" max="7426" width="7.42578125" style="26" bestFit="1" customWidth="1"/>
    <col min="7427" max="7429" width="7.42578125" style="26" customWidth="1"/>
    <col min="7430" max="7435" width="0" style="26" hidden="1" customWidth="1"/>
    <col min="7436" max="7436" width="7.85546875" style="26" customWidth="1"/>
    <col min="7437" max="7675" width="11.42578125" style="26"/>
    <col min="7676" max="7676" width="18.140625" style="26" customWidth="1"/>
    <col min="7677" max="7677" width="8" style="26" bestFit="1" customWidth="1"/>
    <col min="7678" max="7678" width="7.42578125" style="26" bestFit="1" customWidth="1"/>
    <col min="7679" max="7680" width="7.42578125" style="26" customWidth="1"/>
    <col min="7681" max="7681" width="8.28515625" style="26" bestFit="1" customWidth="1"/>
    <col min="7682" max="7682" width="7.42578125" style="26" bestFit="1" customWidth="1"/>
    <col min="7683" max="7685" width="7.42578125" style="26" customWidth="1"/>
    <col min="7686" max="7691" width="0" style="26" hidden="1" customWidth="1"/>
    <col min="7692" max="7692" width="7.85546875" style="26" customWidth="1"/>
    <col min="7693" max="7931" width="11.42578125" style="26"/>
    <col min="7932" max="7932" width="18.140625" style="26" customWidth="1"/>
    <col min="7933" max="7933" width="8" style="26" bestFit="1" customWidth="1"/>
    <col min="7934" max="7934" width="7.42578125" style="26" bestFit="1" customWidth="1"/>
    <col min="7935" max="7936" width="7.42578125" style="26" customWidth="1"/>
    <col min="7937" max="7937" width="8.28515625" style="26" bestFit="1" customWidth="1"/>
    <col min="7938" max="7938" width="7.42578125" style="26" bestFit="1" customWidth="1"/>
    <col min="7939" max="7941" width="7.42578125" style="26" customWidth="1"/>
    <col min="7942" max="7947" width="0" style="26" hidden="1" customWidth="1"/>
    <col min="7948" max="7948" width="7.85546875" style="26" customWidth="1"/>
    <col min="7949" max="8187" width="11.42578125" style="26"/>
    <col min="8188" max="8188" width="18.140625" style="26" customWidth="1"/>
    <col min="8189" max="8189" width="8" style="26" bestFit="1" customWidth="1"/>
    <col min="8190" max="8190" width="7.42578125" style="26" bestFit="1" customWidth="1"/>
    <col min="8191" max="8192" width="7.42578125" style="26" customWidth="1"/>
    <col min="8193" max="8193" width="8.28515625" style="26" bestFit="1" customWidth="1"/>
    <col min="8194" max="8194" width="7.42578125" style="26" bestFit="1" customWidth="1"/>
    <col min="8195" max="8197" width="7.42578125" style="26" customWidth="1"/>
    <col min="8198" max="8203" width="0" style="26" hidden="1" customWidth="1"/>
    <col min="8204" max="8204" width="7.85546875" style="26" customWidth="1"/>
    <col min="8205" max="8443" width="11.42578125" style="26"/>
    <col min="8444" max="8444" width="18.140625" style="26" customWidth="1"/>
    <col min="8445" max="8445" width="8" style="26" bestFit="1" customWidth="1"/>
    <col min="8446" max="8446" width="7.42578125" style="26" bestFit="1" customWidth="1"/>
    <col min="8447" max="8448" width="7.42578125" style="26" customWidth="1"/>
    <col min="8449" max="8449" width="8.28515625" style="26" bestFit="1" customWidth="1"/>
    <col min="8450" max="8450" width="7.42578125" style="26" bestFit="1" customWidth="1"/>
    <col min="8451" max="8453" width="7.42578125" style="26" customWidth="1"/>
    <col min="8454" max="8459" width="0" style="26" hidden="1" customWidth="1"/>
    <col min="8460" max="8460" width="7.85546875" style="26" customWidth="1"/>
    <col min="8461" max="8699" width="11.42578125" style="26"/>
    <col min="8700" max="8700" width="18.140625" style="26" customWidth="1"/>
    <col min="8701" max="8701" width="8" style="26" bestFit="1" customWidth="1"/>
    <col min="8702" max="8702" width="7.42578125" style="26" bestFit="1" customWidth="1"/>
    <col min="8703" max="8704" width="7.42578125" style="26" customWidth="1"/>
    <col min="8705" max="8705" width="8.28515625" style="26" bestFit="1" customWidth="1"/>
    <col min="8706" max="8706" width="7.42578125" style="26" bestFit="1" customWidth="1"/>
    <col min="8707" max="8709" width="7.42578125" style="26" customWidth="1"/>
    <col min="8710" max="8715" width="0" style="26" hidden="1" customWidth="1"/>
    <col min="8716" max="8716" width="7.85546875" style="26" customWidth="1"/>
    <col min="8717" max="8955" width="11.42578125" style="26"/>
    <col min="8956" max="8956" width="18.140625" style="26" customWidth="1"/>
    <col min="8957" max="8957" width="8" style="26" bestFit="1" customWidth="1"/>
    <col min="8958" max="8958" width="7.42578125" style="26" bestFit="1" customWidth="1"/>
    <col min="8959" max="8960" width="7.42578125" style="26" customWidth="1"/>
    <col min="8961" max="8961" width="8.28515625" style="26" bestFit="1" customWidth="1"/>
    <col min="8962" max="8962" width="7.42578125" style="26" bestFit="1" customWidth="1"/>
    <col min="8963" max="8965" width="7.42578125" style="26" customWidth="1"/>
    <col min="8966" max="8971" width="0" style="26" hidden="1" customWidth="1"/>
    <col min="8972" max="8972" width="7.85546875" style="26" customWidth="1"/>
    <col min="8973" max="9211" width="11.42578125" style="26"/>
    <col min="9212" max="9212" width="18.140625" style="26" customWidth="1"/>
    <col min="9213" max="9213" width="8" style="26" bestFit="1" customWidth="1"/>
    <col min="9214" max="9214" width="7.42578125" style="26" bestFit="1" customWidth="1"/>
    <col min="9215" max="9216" width="7.42578125" style="26" customWidth="1"/>
    <col min="9217" max="9217" width="8.28515625" style="26" bestFit="1" customWidth="1"/>
    <col min="9218" max="9218" width="7.42578125" style="26" bestFit="1" customWidth="1"/>
    <col min="9219" max="9221" width="7.42578125" style="26" customWidth="1"/>
    <col min="9222" max="9227" width="0" style="26" hidden="1" customWidth="1"/>
    <col min="9228" max="9228" width="7.85546875" style="26" customWidth="1"/>
    <col min="9229" max="9467" width="11.42578125" style="26"/>
    <col min="9468" max="9468" width="18.140625" style="26" customWidth="1"/>
    <col min="9469" max="9469" width="8" style="26" bestFit="1" customWidth="1"/>
    <col min="9470" max="9470" width="7.42578125" style="26" bestFit="1" customWidth="1"/>
    <col min="9471" max="9472" width="7.42578125" style="26" customWidth="1"/>
    <col min="9473" max="9473" width="8.28515625" style="26" bestFit="1" customWidth="1"/>
    <col min="9474" max="9474" width="7.42578125" style="26" bestFit="1" customWidth="1"/>
    <col min="9475" max="9477" width="7.42578125" style="26" customWidth="1"/>
    <col min="9478" max="9483" width="0" style="26" hidden="1" customWidth="1"/>
    <col min="9484" max="9484" width="7.85546875" style="26" customWidth="1"/>
    <col min="9485" max="9723" width="11.42578125" style="26"/>
    <col min="9724" max="9724" width="18.140625" style="26" customWidth="1"/>
    <col min="9725" max="9725" width="8" style="26" bestFit="1" customWidth="1"/>
    <col min="9726" max="9726" width="7.42578125" style="26" bestFit="1" customWidth="1"/>
    <col min="9727" max="9728" width="7.42578125" style="26" customWidth="1"/>
    <col min="9729" max="9729" width="8.28515625" style="26" bestFit="1" customWidth="1"/>
    <col min="9730" max="9730" width="7.42578125" style="26" bestFit="1" customWidth="1"/>
    <col min="9731" max="9733" width="7.42578125" style="26" customWidth="1"/>
    <col min="9734" max="9739" width="0" style="26" hidden="1" customWidth="1"/>
    <col min="9740" max="9740" width="7.85546875" style="26" customWidth="1"/>
    <col min="9741" max="9979" width="11.42578125" style="26"/>
    <col min="9980" max="9980" width="18.140625" style="26" customWidth="1"/>
    <col min="9981" max="9981" width="8" style="26" bestFit="1" customWidth="1"/>
    <col min="9982" max="9982" width="7.42578125" style="26" bestFit="1" customWidth="1"/>
    <col min="9983" max="9984" width="7.42578125" style="26" customWidth="1"/>
    <col min="9985" max="9985" width="8.28515625" style="26" bestFit="1" customWidth="1"/>
    <col min="9986" max="9986" width="7.42578125" style="26" bestFit="1" customWidth="1"/>
    <col min="9987" max="9989" width="7.42578125" style="26" customWidth="1"/>
    <col min="9990" max="9995" width="0" style="26" hidden="1" customWidth="1"/>
    <col min="9996" max="9996" width="7.85546875" style="26" customWidth="1"/>
    <col min="9997" max="10235" width="11.42578125" style="26"/>
    <col min="10236" max="10236" width="18.140625" style="26" customWidth="1"/>
    <col min="10237" max="10237" width="8" style="26" bestFit="1" customWidth="1"/>
    <col min="10238" max="10238" width="7.42578125" style="26" bestFit="1" customWidth="1"/>
    <col min="10239" max="10240" width="7.42578125" style="26" customWidth="1"/>
    <col min="10241" max="10241" width="8.28515625" style="26" bestFit="1" customWidth="1"/>
    <col min="10242" max="10242" width="7.42578125" style="26" bestFit="1" customWidth="1"/>
    <col min="10243" max="10245" width="7.42578125" style="26" customWidth="1"/>
    <col min="10246" max="10251" width="0" style="26" hidden="1" customWidth="1"/>
    <col min="10252" max="10252" width="7.85546875" style="26" customWidth="1"/>
    <col min="10253" max="10491" width="11.42578125" style="26"/>
    <col min="10492" max="10492" width="18.140625" style="26" customWidth="1"/>
    <col min="10493" max="10493" width="8" style="26" bestFit="1" customWidth="1"/>
    <col min="10494" max="10494" width="7.42578125" style="26" bestFit="1" customWidth="1"/>
    <col min="10495" max="10496" width="7.42578125" style="26" customWidth="1"/>
    <col min="10497" max="10497" width="8.28515625" style="26" bestFit="1" customWidth="1"/>
    <col min="10498" max="10498" width="7.42578125" style="26" bestFit="1" customWidth="1"/>
    <col min="10499" max="10501" width="7.42578125" style="26" customWidth="1"/>
    <col min="10502" max="10507" width="0" style="26" hidden="1" customWidth="1"/>
    <col min="10508" max="10508" width="7.85546875" style="26" customWidth="1"/>
    <col min="10509" max="10747" width="11.42578125" style="26"/>
    <col min="10748" max="10748" width="18.140625" style="26" customWidth="1"/>
    <col min="10749" max="10749" width="8" style="26" bestFit="1" customWidth="1"/>
    <col min="10750" max="10750" width="7.42578125" style="26" bestFit="1" customWidth="1"/>
    <col min="10751" max="10752" width="7.42578125" style="26" customWidth="1"/>
    <col min="10753" max="10753" width="8.28515625" style="26" bestFit="1" customWidth="1"/>
    <col min="10754" max="10754" width="7.42578125" style="26" bestFit="1" customWidth="1"/>
    <col min="10755" max="10757" width="7.42578125" style="26" customWidth="1"/>
    <col min="10758" max="10763" width="0" style="26" hidden="1" customWidth="1"/>
    <col min="10764" max="10764" width="7.85546875" style="26" customWidth="1"/>
    <col min="10765" max="11003" width="11.42578125" style="26"/>
    <col min="11004" max="11004" width="18.140625" style="26" customWidth="1"/>
    <col min="11005" max="11005" width="8" style="26" bestFit="1" customWidth="1"/>
    <col min="11006" max="11006" width="7.42578125" style="26" bestFit="1" customWidth="1"/>
    <col min="11007" max="11008" width="7.42578125" style="26" customWidth="1"/>
    <col min="11009" max="11009" width="8.28515625" style="26" bestFit="1" customWidth="1"/>
    <col min="11010" max="11010" width="7.42578125" style="26" bestFit="1" customWidth="1"/>
    <col min="11011" max="11013" width="7.42578125" style="26" customWidth="1"/>
    <col min="11014" max="11019" width="0" style="26" hidden="1" customWidth="1"/>
    <col min="11020" max="11020" width="7.85546875" style="26" customWidth="1"/>
    <col min="11021" max="11259" width="11.42578125" style="26"/>
    <col min="11260" max="11260" width="18.140625" style="26" customWidth="1"/>
    <col min="11261" max="11261" width="8" style="26" bestFit="1" customWidth="1"/>
    <col min="11262" max="11262" width="7.42578125" style="26" bestFit="1" customWidth="1"/>
    <col min="11263" max="11264" width="7.42578125" style="26" customWidth="1"/>
    <col min="11265" max="11265" width="8.28515625" style="26" bestFit="1" customWidth="1"/>
    <col min="11266" max="11266" width="7.42578125" style="26" bestFit="1" customWidth="1"/>
    <col min="11267" max="11269" width="7.42578125" style="26" customWidth="1"/>
    <col min="11270" max="11275" width="0" style="26" hidden="1" customWidth="1"/>
    <col min="11276" max="11276" width="7.85546875" style="26" customWidth="1"/>
    <col min="11277" max="11515" width="11.42578125" style="26"/>
    <col min="11516" max="11516" width="18.140625" style="26" customWidth="1"/>
    <col min="11517" max="11517" width="8" style="26" bestFit="1" customWidth="1"/>
    <col min="11518" max="11518" width="7.42578125" style="26" bestFit="1" customWidth="1"/>
    <col min="11519" max="11520" width="7.42578125" style="26" customWidth="1"/>
    <col min="11521" max="11521" width="8.28515625" style="26" bestFit="1" customWidth="1"/>
    <col min="11522" max="11522" width="7.42578125" style="26" bestFit="1" customWidth="1"/>
    <col min="11523" max="11525" width="7.42578125" style="26" customWidth="1"/>
    <col min="11526" max="11531" width="0" style="26" hidden="1" customWidth="1"/>
    <col min="11532" max="11532" width="7.85546875" style="26" customWidth="1"/>
    <col min="11533" max="11771" width="11.42578125" style="26"/>
    <col min="11772" max="11772" width="18.140625" style="26" customWidth="1"/>
    <col min="11773" max="11773" width="8" style="26" bestFit="1" customWidth="1"/>
    <col min="11774" max="11774" width="7.42578125" style="26" bestFit="1" customWidth="1"/>
    <col min="11775" max="11776" width="7.42578125" style="26" customWidth="1"/>
    <col min="11777" max="11777" width="8.28515625" style="26" bestFit="1" customWidth="1"/>
    <col min="11778" max="11778" width="7.42578125" style="26" bestFit="1" customWidth="1"/>
    <col min="11779" max="11781" width="7.42578125" style="26" customWidth="1"/>
    <col min="11782" max="11787" width="0" style="26" hidden="1" customWidth="1"/>
    <col min="11788" max="11788" width="7.85546875" style="26" customWidth="1"/>
    <col min="11789" max="12027" width="11.42578125" style="26"/>
    <col min="12028" max="12028" width="18.140625" style="26" customWidth="1"/>
    <col min="12029" max="12029" width="8" style="26" bestFit="1" customWidth="1"/>
    <col min="12030" max="12030" width="7.42578125" style="26" bestFit="1" customWidth="1"/>
    <col min="12031" max="12032" width="7.42578125" style="26" customWidth="1"/>
    <col min="12033" max="12033" width="8.28515625" style="26" bestFit="1" customWidth="1"/>
    <col min="12034" max="12034" width="7.42578125" style="26" bestFit="1" customWidth="1"/>
    <col min="12035" max="12037" width="7.42578125" style="26" customWidth="1"/>
    <col min="12038" max="12043" width="0" style="26" hidden="1" customWidth="1"/>
    <col min="12044" max="12044" width="7.85546875" style="26" customWidth="1"/>
    <col min="12045" max="12283" width="11.42578125" style="26"/>
    <col min="12284" max="12284" width="18.140625" style="26" customWidth="1"/>
    <col min="12285" max="12285" width="8" style="26" bestFit="1" customWidth="1"/>
    <col min="12286" max="12286" width="7.42578125" style="26" bestFit="1" customWidth="1"/>
    <col min="12287" max="12288" width="7.42578125" style="26" customWidth="1"/>
    <col min="12289" max="12289" width="8.28515625" style="26" bestFit="1" customWidth="1"/>
    <col min="12290" max="12290" width="7.42578125" style="26" bestFit="1" customWidth="1"/>
    <col min="12291" max="12293" width="7.42578125" style="26" customWidth="1"/>
    <col min="12294" max="12299" width="0" style="26" hidden="1" customWidth="1"/>
    <col min="12300" max="12300" width="7.85546875" style="26" customWidth="1"/>
    <col min="12301" max="12539" width="11.42578125" style="26"/>
    <col min="12540" max="12540" width="18.140625" style="26" customWidth="1"/>
    <col min="12541" max="12541" width="8" style="26" bestFit="1" customWidth="1"/>
    <col min="12542" max="12542" width="7.42578125" style="26" bestFit="1" customWidth="1"/>
    <col min="12543" max="12544" width="7.42578125" style="26" customWidth="1"/>
    <col min="12545" max="12545" width="8.28515625" style="26" bestFit="1" customWidth="1"/>
    <col min="12546" max="12546" width="7.42578125" style="26" bestFit="1" customWidth="1"/>
    <col min="12547" max="12549" width="7.42578125" style="26" customWidth="1"/>
    <col min="12550" max="12555" width="0" style="26" hidden="1" customWidth="1"/>
    <col min="12556" max="12556" width="7.85546875" style="26" customWidth="1"/>
    <col min="12557" max="12795" width="11.42578125" style="26"/>
    <col min="12796" max="12796" width="18.140625" style="26" customWidth="1"/>
    <col min="12797" max="12797" width="8" style="26" bestFit="1" customWidth="1"/>
    <col min="12798" max="12798" width="7.42578125" style="26" bestFit="1" customWidth="1"/>
    <col min="12799" max="12800" width="7.42578125" style="26" customWidth="1"/>
    <col min="12801" max="12801" width="8.28515625" style="26" bestFit="1" customWidth="1"/>
    <col min="12802" max="12802" width="7.42578125" style="26" bestFit="1" customWidth="1"/>
    <col min="12803" max="12805" width="7.42578125" style="26" customWidth="1"/>
    <col min="12806" max="12811" width="0" style="26" hidden="1" customWidth="1"/>
    <col min="12812" max="12812" width="7.85546875" style="26" customWidth="1"/>
    <col min="12813" max="13051" width="11.42578125" style="26"/>
    <col min="13052" max="13052" width="18.140625" style="26" customWidth="1"/>
    <col min="13053" max="13053" width="8" style="26" bestFit="1" customWidth="1"/>
    <col min="13054" max="13054" width="7.42578125" style="26" bestFit="1" customWidth="1"/>
    <col min="13055" max="13056" width="7.42578125" style="26" customWidth="1"/>
    <col min="13057" max="13057" width="8.28515625" style="26" bestFit="1" customWidth="1"/>
    <col min="13058" max="13058" width="7.42578125" style="26" bestFit="1" customWidth="1"/>
    <col min="13059" max="13061" width="7.42578125" style="26" customWidth="1"/>
    <col min="13062" max="13067" width="0" style="26" hidden="1" customWidth="1"/>
    <col min="13068" max="13068" width="7.85546875" style="26" customWidth="1"/>
    <col min="13069" max="13307" width="11.42578125" style="26"/>
    <col min="13308" max="13308" width="18.140625" style="26" customWidth="1"/>
    <col min="13309" max="13309" width="8" style="26" bestFit="1" customWidth="1"/>
    <col min="13310" max="13310" width="7.42578125" style="26" bestFit="1" customWidth="1"/>
    <col min="13311" max="13312" width="7.42578125" style="26" customWidth="1"/>
    <col min="13313" max="13313" width="8.28515625" style="26" bestFit="1" customWidth="1"/>
    <col min="13314" max="13314" width="7.42578125" style="26" bestFit="1" customWidth="1"/>
    <col min="13315" max="13317" width="7.42578125" style="26" customWidth="1"/>
    <col min="13318" max="13323" width="0" style="26" hidden="1" customWidth="1"/>
    <col min="13324" max="13324" width="7.85546875" style="26" customWidth="1"/>
    <col min="13325" max="13563" width="11.42578125" style="26"/>
    <col min="13564" max="13564" width="18.140625" style="26" customWidth="1"/>
    <col min="13565" max="13565" width="8" style="26" bestFit="1" customWidth="1"/>
    <col min="13566" max="13566" width="7.42578125" style="26" bestFit="1" customWidth="1"/>
    <col min="13567" max="13568" width="7.42578125" style="26" customWidth="1"/>
    <col min="13569" max="13569" width="8.28515625" style="26" bestFit="1" customWidth="1"/>
    <col min="13570" max="13570" width="7.42578125" style="26" bestFit="1" customWidth="1"/>
    <col min="13571" max="13573" width="7.42578125" style="26" customWidth="1"/>
    <col min="13574" max="13579" width="0" style="26" hidden="1" customWidth="1"/>
    <col min="13580" max="13580" width="7.85546875" style="26" customWidth="1"/>
    <col min="13581" max="13819" width="11.42578125" style="26"/>
    <col min="13820" max="13820" width="18.140625" style="26" customWidth="1"/>
    <col min="13821" max="13821" width="8" style="26" bestFit="1" customWidth="1"/>
    <col min="13822" max="13822" width="7.42578125" style="26" bestFit="1" customWidth="1"/>
    <col min="13823" max="13824" width="7.42578125" style="26" customWidth="1"/>
    <col min="13825" max="13825" width="8.28515625" style="26" bestFit="1" customWidth="1"/>
    <col min="13826" max="13826" width="7.42578125" style="26" bestFit="1" customWidth="1"/>
    <col min="13827" max="13829" width="7.42578125" style="26" customWidth="1"/>
    <col min="13830" max="13835" width="0" style="26" hidden="1" customWidth="1"/>
    <col min="13836" max="13836" width="7.85546875" style="26" customWidth="1"/>
    <col min="13837" max="14075" width="11.42578125" style="26"/>
    <col min="14076" max="14076" width="18.140625" style="26" customWidth="1"/>
    <col min="14077" max="14077" width="8" style="26" bestFit="1" customWidth="1"/>
    <col min="14078" max="14078" width="7.42578125" style="26" bestFit="1" customWidth="1"/>
    <col min="14079" max="14080" width="7.42578125" style="26" customWidth="1"/>
    <col min="14081" max="14081" width="8.28515625" style="26" bestFit="1" customWidth="1"/>
    <col min="14082" max="14082" width="7.42578125" style="26" bestFit="1" customWidth="1"/>
    <col min="14083" max="14085" width="7.42578125" style="26" customWidth="1"/>
    <col min="14086" max="14091" width="0" style="26" hidden="1" customWidth="1"/>
    <col min="14092" max="14092" width="7.85546875" style="26" customWidth="1"/>
    <col min="14093" max="14331" width="11.42578125" style="26"/>
    <col min="14332" max="14332" width="18.140625" style="26" customWidth="1"/>
    <col min="14333" max="14333" width="8" style="26" bestFit="1" customWidth="1"/>
    <col min="14334" max="14334" width="7.42578125" style="26" bestFit="1" customWidth="1"/>
    <col min="14335" max="14336" width="7.42578125" style="26" customWidth="1"/>
    <col min="14337" max="14337" width="8.28515625" style="26" bestFit="1" customWidth="1"/>
    <col min="14338" max="14338" width="7.42578125" style="26" bestFit="1" customWidth="1"/>
    <col min="14339" max="14341" width="7.42578125" style="26" customWidth="1"/>
    <col min="14342" max="14347" width="0" style="26" hidden="1" customWidth="1"/>
    <col min="14348" max="14348" width="7.85546875" style="26" customWidth="1"/>
    <col min="14349" max="14587" width="11.42578125" style="26"/>
    <col min="14588" max="14588" width="18.140625" style="26" customWidth="1"/>
    <col min="14589" max="14589" width="8" style="26" bestFit="1" customWidth="1"/>
    <col min="14590" max="14590" width="7.42578125" style="26" bestFit="1" customWidth="1"/>
    <col min="14591" max="14592" width="7.42578125" style="26" customWidth="1"/>
    <col min="14593" max="14593" width="8.28515625" style="26" bestFit="1" customWidth="1"/>
    <col min="14594" max="14594" width="7.42578125" style="26" bestFit="1" customWidth="1"/>
    <col min="14595" max="14597" width="7.42578125" style="26" customWidth="1"/>
    <col min="14598" max="14603" width="0" style="26" hidden="1" customWidth="1"/>
    <col min="14604" max="14604" width="7.85546875" style="26" customWidth="1"/>
    <col min="14605" max="14843" width="11.42578125" style="26"/>
    <col min="14844" max="14844" width="18.140625" style="26" customWidth="1"/>
    <col min="14845" max="14845" width="8" style="26" bestFit="1" customWidth="1"/>
    <col min="14846" max="14846" width="7.42578125" style="26" bestFit="1" customWidth="1"/>
    <col min="14847" max="14848" width="7.42578125" style="26" customWidth="1"/>
    <col min="14849" max="14849" width="8.28515625" style="26" bestFit="1" customWidth="1"/>
    <col min="14850" max="14850" width="7.42578125" style="26" bestFit="1" customWidth="1"/>
    <col min="14851" max="14853" width="7.42578125" style="26" customWidth="1"/>
    <col min="14854" max="14859" width="0" style="26" hidden="1" customWidth="1"/>
    <col min="14860" max="14860" width="7.85546875" style="26" customWidth="1"/>
    <col min="14861" max="15099" width="11.42578125" style="26"/>
    <col min="15100" max="15100" width="18.140625" style="26" customWidth="1"/>
    <col min="15101" max="15101" width="8" style="26" bestFit="1" customWidth="1"/>
    <col min="15102" max="15102" width="7.42578125" style="26" bestFit="1" customWidth="1"/>
    <col min="15103" max="15104" width="7.42578125" style="26" customWidth="1"/>
    <col min="15105" max="15105" width="8.28515625" style="26" bestFit="1" customWidth="1"/>
    <col min="15106" max="15106" width="7.42578125" style="26" bestFit="1" customWidth="1"/>
    <col min="15107" max="15109" width="7.42578125" style="26" customWidth="1"/>
    <col min="15110" max="15115" width="0" style="26" hidden="1" customWidth="1"/>
    <col min="15116" max="15116" width="7.85546875" style="26" customWidth="1"/>
    <col min="15117" max="15355" width="11.42578125" style="26"/>
    <col min="15356" max="15356" width="18.140625" style="26" customWidth="1"/>
    <col min="15357" max="15357" width="8" style="26" bestFit="1" customWidth="1"/>
    <col min="15358" max="15358" width="7.42578125" style="26" bestFit="1" customWidth="1"/>
    <col min="15359" max="15360" width="7.42578125" style="26" customWidth="1"/>
    <col min="15361" max="15361" width="8.28515625" style="26" bestFit="1" customWidth="1"/>
    <col min="15362" max="15362" width="7.42578125" style="26" bestFit="1" customWidth="1"/>
    <col min="15363" max="15365" width="7.42578125" style="26" customWidth="1"/>
    <col min="15366" max="15371" width="0" style="26" hidden="1" customWidth="1"/>
    <col min="15372" max="15372" width="7.85546875" style="26" customWidth="1"/>
    <col min="15373" max="15611" width="11.42578125" style="26"/>
    <col min="15612" max="15612" width="18.140625" style="26" customWidth="1"/>
    <col min="15613" max="15613" width="8" style="26" bestFit="1" customWidth="1"/>
    <col min="15614" max="15614" width="7.42578125" style="26" bestFit="1" customWidth="1"/>
    <col min="15615" max="15616" width="7.42578125" style="26" customWidth="1"/>
    <col min="15617" max="15617" width="8.28515625" style="26" bestFit="1" customWidth="1"/>
    <col min="15618" max="15618" width="7.42578125" style="26" bestFit="1" customWidth="1"/>
    <col min="15619" max="15621" width="7.42578125" style="26" customWidth="1"/>
    <col min="15622" max="15627" width="0" style="26" hidden="1" customWidth="1"/>
    <col min="15628" max="15628" width="7.85546875" style="26" customWidth="1"/>
    <col min="15629" max="15867" width="11.42578125" style="26"/>
    <col min="15868" max="15868" width="18.140625" style="26" customWidth="1"/>
    <col min="15869" max="15869" width="8" style="26" bestFit="1" customWidth="1"/>
    <col min="15870" max="15870" width="7.42578125" style="26" bestFit="1" customWidth="1"/>
    <col min="15871" max="15872" width="7.42578125" style="26" customWidth="1"/>
    <col min="15873" max="15873" width="8.28515625" style="26" bestFit="1" customWidth="1"/>
    <col min="15874" max="15874" width="7.42578125" style="26" bestFit="1" customWidth="1"/>
    <col min="15875" max="15877" width="7.42578125" style="26" customWidth="1"/>
    <col min="15878" max="15883" width="0" style="26" hidden="1" customWidth="1"/>
    <col min="15884" max="15884" width="7.85546875" style="26" customWidth="1"/>
    <col min="15885" max="16123" width="11.42578125" style="26"/>
    <col min="16124" max="16124" width="18.140625" style="26" customWidth="1"/>
    <col min="16125" max="16125" width="8" style="26" bestFit="1" customWidth="1"/>
    <col min="16126" max="16126" width="7.42578125" style="26" bestFit="1" customWidth="1"/>
    <col min="16127" max="16128" width="7.42578125" style="26" customWidth="1"/>
    <col min="16129" max="16129" width="8.28515625" style="26" bestFit="1" customWidth="1"/>
    <col min="16130" max="16130" width="7.42578125" style="26" bestFit="1" customWidth="1"/>
    <col min="16131" max="16133" width="7.42578125" style="26" customWidth="1"/>
    <col min="16134" max="16139" width="0" style="26" hidden="1" customWidth="1"/>
    <col min="16140" max="16140" width="7.85546875" style="26" customWidth="1"/>
    <col min="16141" max="16384" width="11.42578125" style="26"/>
  </cols>
  <sheetData>
    <row r="1" spans="1:16" s="27" customFormat="1" x14ac:dyDescent="0.2">
      <c r="B1" s="39"/>
      <c r="C1" s="39"/>
      <c r="D1" s="39"/>
      <c r="E1" s="39"/>
      <c r="F1" s="39"/>
      <c r="G1" s="39"/>
      <c r="H1" s="39"/>
      <c r="I1" s="39"/>
      <c r="J1" s="39"/>
      <c r="K1" s="39"/>
      <c r="L1" s="39"/>
    </row>
    <row r="2" spans="1:16" s="27" customFormat="1" x14ac:dyDescent="0.2">
      <c r="A2" s="47" t="s">
        <v>101</v>
      </c>
      <c r="B2" s="39"/>
      <c r="C2" s="39"/>
      <c r="D2" s="39"/>
      <c r="E2" s="39"/>
      <c r="F2" s="39"/>
      <c r="G2" s="39"/>
      <c r="H2" s="39"/>
      <c r="I2" s="39"/>
      <c r="K2" s="39"/>
      <c r="L2" s="39"/>
    </row>
    <row r="3" spans="1:16" s="27" customFormat="1" ht="15" x14ac:dyDescent="0.25">
      <c r="A3" s="47" t="s">
        <v>102</v>
      </c>
      <c r="B3" s="39"/>
      <c r="C3" s="39"/>
      <c r="D3" s="39"/>
      <c r="E3" s="39"/>
      <c r="F3" s="39"/>
      <c r="G3" s="39"/>
      <c r="H3" s="39"/>
      <c r="I3" s="39"/>
      <c r="J3" s="39"/>
      <c r="K3" s="95"/>
      <c r="L3" s="39"/>
    </row>
    <row r="4" spans="1:16" s="27" customFormat="1" x14ac:dyDescent="0.2">
      <c r="B4" s="39"/>
      <c r="C4" s="39"/>
      <c r="D4" s="39"/>
      <c r="E4" s="39"/>
      <c r="F4" s="39"/>
      <c r="G4" s="39"/>
      <c r="H4" s="39"/>
      <c r="I4" s="39"/>
      <c r="J4" s="39"/>
      <c r="K4" s="39"/>
      <c r="L4" s="39"/>
    </row>
    <row r="5" spans="1:16" s="27" customFormat="1" ht="12.75" x14ac:dyDescent="0.2">
      <c r="B5" s="369" t="s">
        <v>97</v>
      </c>
      <c r="C5" s="369"/>
      <c r="D5" s="369"/>
      <c r="E5" s="369"/>
      <c r="F5" s="369"/>
      <c r="G5" s="369"/>
      <c r="H5" s="369"/>
      <c r="I5" s="369"/>
      <c r="J5" s="369"/>
      <c r="K5" s="369"/>
      <c r="M5" s="122" t="s">
        <v>566</v>
      </c>
      <c r="O5" s="96"/>
    </row>
    <row r="6" spans="1:16" s="27" customFormat="1" ht="12.75" x14ac:dyDescent="0.2">
      <c r="B6" s="385" t="str">
        <f>'Solicitudes Regiones'!$B$6:$R$6</f>
        <v>Acumuladas de julio de 2008 a diciembre de 2021</v>
      </c>
      <c r="C6" s="385"/>
      <c r="D6" s="385"/>
      <c r="E6" s="385"/>
      <c r="F6" s="385"/>
      <c r="G6" s="385"/>
      <c r="H6" s="385"/>
      <c r="I6" s="385"/>
      <c r="J6" s="385"/>
      <c r="K6" s="385"/>
      <c r="L6" s="56"/>
    </row>
    <row r="7" spans="1:16" x14ac:dyDescent="0.2">
      <c r="B7" s="28"/>
      <c r="C7" s="29"/>
      <c r="D7" s="29"/>
      <c r="E7" s="29"/>
      <c r="F7" s="29"/>
      <c r="G7" s="29"/>
      <c r="H7" s="29"/>
      <c r="I7" s="29"/>
      <c r="J7" s="29"/>
      <c r="K7" s="29"/>
      <c r="L7" s="29"/>
    </row>
    <row r="8" spans="1:16" ht="15" customHeight="1" x14ac:dyDescent="0.2">
      <c r="B8" s="399" t="s">
        <v>55</v>
      </c>
      <c r="C8" s="399"/>
      <c r="D8" s="399"/>
      <c r="E8" s="399"/>
      <c r="F8" s="399"/>
      <c r="G8" s="399"/>
      <c r="H8" s="399"/>
      <c r="I8" s="399"/>
      <c r="J8" s="399"/>
      <c r="K8" s="399"/>
      <c r="L8" s="399"/>
      <c r="M8" s="399"/>
    </row>
    <row r="9" spans="1:16" ht="20.25" customHeight="1" x14ac:dyDescent="0.2">
      <c r="B9" s="399" t="s">
        <v>56</v>
      </c>
      <c r="C9" s="397" t="s">
        <v>2</v>
      </c>
      <c r="D9" s="400"/>
      <c r="E9" s="400"/>
      <c r="F9" s="400"/>
      <c r="G9" s="400"/>
      <c r="H9" s="400"/>
      <c r="I9" s="400"/>
      <c r="J9" s="400"/>
      <c r="K9" s="398"/>
      <c r="L9" s="397"/>
      <c r="M9" s="398"/>
    </row>
    <row r="10" spans="1:16" ht="24" x14ac:dyDescent="0.2">
      <c r="B10" s="399"/>
      <c r="C10" s="23" t="s">
        <v>57</v>
      </c>
      <c r="D10" s="23" t="s">
        <v>58</v>
      </c>
      <c r="E10" s="23" t="s">
        <v>59</v>
      </c>
      <c r="F10" s="23" t="s">
        <v>60</v>
      </c>
      <c r="G10" s="23" t="s">
        <v>8</v>
      </c>
      <c r="H10" s="23" t="s">
        <v>61</v>
      </c>
      <c r="I10" s="23" t="s">
        <v>62</v>
      </c>
      <c r="J10" s="23" t="s">
        <v>63</v>
      </c>
      <c r="K10" s="261" t="s">
        <v>31</v>
      </c>
      <c r="L10" s="261" t="s">
        <v>584</v>
      </c>
      <c r="M10" s="261" t="s">
        <v>587</v>
      </c>
    </row>
    <row r="11" spans="1:16" x14ac:dyDescent="0.2">
      <c r="B11" s="18" t="s">
        <v>389</v>
      </c>
      <c r="C11" s="18">
        <v>1381</v>
      </c>
      <c r="D11" s="18">
        <v>912</v>
      </c>
      <c r="E11" s="18">
        <f>D11+C11</f>
        <v>2293</v>
      </c>
      <c r="F11" s="19">
        <f>E11/$E$21</f>
        <v>0.52809765085214189</v>
      </c>
      <c r="G11" s="18">
        <v>4997</v>
      </c>
      <c r="H11" s="18">
        <v>437</v>
      </c>
      <c r="I11" s="18">
        <f>G11+H11</f>
        <v>5434</v>
      </c>
      <c r="J11" s="19">
        <f>I11/$I$21</f>
        <v>0.57127838519764507</v>
      </c>
      <c r="K11" s="18">
        <f t="shared" ref="K11:K20" si="0">E11+I11</f>
        <v>7727</v>
      </c>
      <c r="L11" s="18">
        <v>2</v>
      </c>
      <c r="M11" s="18">
        <f>K11+L11</f>
        <v>7729</v>
      </c>
      <c r="P11" s="31"/>
    </row>
    <row r="12" spans="1:16" x14ac:dyDescent="0.2">
      <c r="B12" s="18" t="s">
        <v>390</v>
      </c>
      <c r="C12" s="18">
        <v>40</v>
      </c>
      <c r="D12" s="18">
        <v>8</v>
      </c>
      <c r="E12" s="18">
        <f t="shared" ref="E12:E20" si="1">D12+C12</f>
        <v>48</v>
      </c>
      <c r="F12" s="19">
        <f t="shared" ref="F12:F20" si="2">E12/$E$21</f>
        <v>1.1054813450023031E-2</v>
      </c>
      <c r="G12" s="18">
        <v>96</v>
      </c>
      <c r="H12" s="18">
        <v>3</v>
      </c>
      <c r="I12" s="18">
        <f t="shared" ref="I12:I20" si="3">G12+H12</f>
        <v>99</v>
      </c>
      <c r="J12" s="19">
        <f t="shared" ref="J12:J20" si="4">I12/$I$21</f>
        <v>1.0407905803195963E-2</v>
      </c>
      <c r="K12" s="18">
        <f t="shared" si="0"/>
        <v>147</v>
      </c>
      <c r="L12" s="18">
        <v>0</v>
      </c>
      <c r="M12" s="18">
        <f t="shared" ref="M12:M21" si="5">K12+L12</f>
        <v>147</v>
      </c>
      <c r="P12" s="31"/>
    </row>
    <row r="13" spans="1:16" x14ac:dyDescent="0.2">
      <c r="B13" s="18" t="s">
        <v>391</v>
      </c>
      <c r="C13" s="18">
        <v>529</v>
      </c>
      <c r="D13" s="18">
        <v>308</v>
      </c>
      <c r="E13" s="18">
        <f t="shared" si="1"/>
        <v>837</v>
      </c>
      <c r="F13" s="19">
        <f t="shared" si="2"/>
        <v>0.19276830953477661</v>
      </c>
      <c r="G13" s="18">
        <v>2056</v>
      </c>
      <c r="H13" s="18">
        <v>152</v>
      </c>
      <c r="I13" s="18">
        <f t="shared" si="3"/>
        <v>2208</v>
      </c>
      <c r="J13" s="19">
        <f t="shared" si="4"/>
        <v>0.23212783851976451</v>
      </c>
      <c r="K13" s="18">
        <f t="shared" si="0"/>
        <v>3045</v>
      </c>
      <c r="L13" s="18">
        <v>2</v>
      </c>
      <c r="M13" s="18">
        <f t="shared" si="5"/>
        <v>3047</v>
      </c>
      <c r="P13" s="31"/>
    </row>
    <row r="14" spans="1:16" x14ac:dyDescent="0.2">
      <c r="B14" s="18" t="s">
        <v>392</v>
      </c>
      <c r="C14" s="18">
        <v>120</v>
      </c>
      <c r="D14" s="18">
        <v>59</v>
      </c>
      <c r="E14" s="18">
        <f t="shared" si="1"/>
        <v>179</v>
      </c>
      <c r="F14" s="19">
        <f t="shared" si="2"/>
        <v>4.1225241824044218E-2</v>
      </c>
      <c r="G14" s="18">
        <v>422</v>
      </c>
      <c r="H14" s="18">
        <v>25</v>
      </c>
      <c r="I14" s="18">
        <f t="shared" si="3"/>
        <v>447</v>
      </c>
      <c r="J14" s="19">
        <f t="shared" si="4"/>
        <v>4.6993271656854498E-2</v>
      </c>
      <c r="K14" s="18">
        <f t="shared" si="0"/>
        <v>626</v>
      </c>
      <c r="L14" s="18">
        <v>0</v>
      </c>
      <c r="M14" s="18">
        <f t="shared" si="5"/>
        <v>626</v>
      </c>
      <c r="P14" s="31"/>
    </row>
    <row r="15" spans="1:16" x14ac:dyDescent="0.2">
      <c r="B15" s="18" t="s">
        <v>393</v>
      </c>
      <c r="C15" s="18">
        <v>44</v>
      </c>
      <c r="D15" s="18">
        <v>24</v>
      </c>
      <c r="E15" s="18">
        <f t="shared" si="1"/>
        <v>68</v>
      </c>
      <c r="F15" s="19">
        <f t="shared" si="2"/>
        <v>1.5660985720865959E-2</v>
      </c>
      <c r="G15" s="18">
        <v>79</v>
      </c>
      <c r="H15" s="18">
        <v>7</v>
      </c>
      <c r="I15" s="18">
        <f t="shared" si="3"/>
        <v>86</v>
      </c>
      <c r="J15" s="19">
        <f t="shared" si="4"/>
        <v>9.0412111017661896E-3</v>
      </c>
      <c r="K15" s="18">
        <f t="shared" si="0"/>
        <v>154</v>
      </c>
      <c r="L15" s="18">
        <v>0</v>
      </c>
      <c r="M15" s="18">
        <f t="shared" si="5"/>
        <v>154</v>
      </c>
      <c r="P15" s="31"/>
    </row>
    <row r="16" spans="1:16" x14ac:dyDescent="0.2">
      <c r="B16" s="18" t="s">
        <v>394</v>
      </c>
      <c r="C16" s="18">
        <v>150</v>
      </c>
      <c r="D16" s="18">
        <v>55</v>
      </c>
      <c r="E16" s="18">
        <f t="shared" si="1"/>
        <v>205</v>
      </c>
      <c r="F16" s="19">
        <f t="shared" si="2"/>
        <v>4.7213265776140025E-2</v>
      </c>
      <c r="G16" s="18">
        <v>261</v>
      </c>
      <c r="H16" s="18">
        <v>14</v>
      </c>
      <c r="I16" s="18">
        <f t="shared" si="3"/>
        <v>275</v>
      </c>
      <c r="J16" s="19">
        <f t="shared" si="4"/>
        <v>2.8910849453322118E-2</v>
      </c>
      <c r="K16" s="18">
        <f t="shared" si="0"/>
        <v>480</v>
      </c>
      <c r="L16" s="18">
        <v>1</v>
      </c>
      <c r="M16" s="18">
        <f t="shared" si="5"/>
        <v>481</v>
      </c>
      <c r="P16" s="31"/>
    </row>
    <row r="17" spans="2:16" x14ac:dyDescent="0.2">
      <c r="B17" s="18" t="s">
        <v>395</v>
      </c>
      <c r="C17" s="18">
        <v>7</v>
      </c>
      <c r="D17" s="18">
        <v>2</v>
      </c>
      <c r="E17" s="18">
        <f t="shared" si="1"/>
        <v>9</v>
      </c>
      <c r="F17" s="19">
        <f t="shared" si="2"/>
        <v>2.0727775218793184E-3</v>
      </c>
      <c r="G17" s="18">
        <v>24</v>
      </c>
      <c r="H17" s="18">
        <v>1</v>
      </c>
      <c r="I17" s="18">
        <f t="shared" si="3"/>
        <v>25</v>
      </c>
      <c r="J17" s="19">
        <f t="shared" si="4"/>
        <v>2.6282590412111018E-3</v>
      </c>
      <c r="K17" s="18">
        <f t="shared" si="0"/>
        <v>34</v>
      </c>
      <c r="L17" s="18">
        <v>0</v>
      </c>
      <c r="M17" s="18">
        <f t="shared" si="5"/>
        <v>34</v>
      </c>
      <c r="P17" s="31"/>
    </row>
    <row r="18" spans="2:16" x14ac:dyDescent="0.2">
      <c r="B18" s="18" t="s">
        <v>396</v>
      </c>
      <c r="C18" s="18">
        <v>9</v>
      </c>
      <c r="D18" s="18">
        <v>2</v>
      </c>
      <c r="E18" s="18">
        <f t="shared" si="1"/>
        <v>11</v>
      </c>
      <c r="F18" s="19">
        <f t="shared" si="2"/>
        <v>2.5333947489636112E-3</v>
      </c>
      <c r="G18" s="18">
        <v>27</v>
      </c>
      <c r="H18" s="18">
        <v>3</v>
      </c>
      <c r="I18" s="18">
        <f t="shared" si="3"/>
        <v>30</v>
      </c>
      <c r="J18" s="19">
        <f t="shared" si="4"/>
        <v>3.1539108494533221E-3</v>
      </c>
      <c r="K18" s="18">
        <f t="shared" si="0"/>
        <v>41</v>
      </c>
      <c r="L18" s="18">
        <v>0</v>
      </c>
      <c r="M18" s="18">
        <f t="shared" si="5"/>
        <v>41</v>
      </c>
      <c r="P18" s="31"/>
    </row>
    <row r="19" spans="2:16" x14ac:dyDescent="0.2">
      <c r="B19" s="18" t="s">
        <v>397</v>
      </c>
      <c r="C19" s="18">
        <v>411</v>
      </c>
      <c r="D19" s="18">
        <v>123</v>
      </c>
      <c r="E19" s="18">
        <f t="shared" si="1"/>
        <v>534</v>
      </c>
      <c r="F19" s="19">
        <f t="shared" si="2"/>
        <v>0.12298479963150621</v>
      </c>
      <c r="G19" s="18">
        <v>553</v>
      </c>
      <c r="H19" s="18">
        <v>48</v>
      </c>
      <c r="I19" s="18">
        <f t="shared" si="3"/>
        <v>601</v>
      </c>
      <c r="J19" s="19">
        <f t="shared" si="4"/>
        <v>6.3183347350714889E-2</v>
      </c>
      <c r="K19" s="18">
        <f t="shared" si="0"/>
        <v>1135</v>
      </c>
      <c r="L19" s="18">
        <v>0</v>
      </c>
      <c r="M19" s="18">
        <f t="shared" si="5"/>
        <v>1135</v>
      </c>
      <c r="P19" s="31"/>
    </row>
    <row r="20" spans="2:16" x14ac:dyDescent="0.2">
      <c r="B20" s="18" t="s">
        <v>398</v>
      </c>
      <c r="C20" s="18">
        <v>117</v>
      </c>
      <c r="D20" s="18">
        <v>41</v>
      </c>
      <c r="E20" s="18">
        <f t="shared" si="1"/>
        <v>158</v>
      </c>
      <c r="F20" s="19">
        <f t="shared" si="2"/>
        <v>3.6388760939659141E-2</v>
      </c>
      <c r="G20" s="18">
        <v>290</v>
      </c>
      <c r="H20" s="18">
        <v>17</v>
      </c>
      <c r="I20" s="18">
        <f t="shared" si="3"/>
        <v>307</v>
      </c>
      <c r="J20" s="19">
        <f t="shared" si="4"/>
        <v>3.2275021026072333E-2</v>
      </c>
      <c r="K20" s="18">
        <f t="shared" si="0"/>
        <v>465</v>
      </c>
      <c r="L20" s="18">
        <v>0</v>
      </c>
      <c r="M20" s="18">
        <f t="shared" si="5"/>
        <v>465</v>
      </c>
      <c r="P20" s="31"/>
    </row>
    <row r="21" spans="2:16" x14ac:dyDescent="0.2">
      <c r="B21" s="20" t="s">
        <v>49</v>
      </c>
      <c r="C21" s="18">
        <f t="shared" ref="C21:H21" si="6">SUM(C11:C20)</f>
        <v>2808</v>
      </c>
      <c r="D21" s="18">
        <f t="shared" si="6"/>
        <v>1534</v>
      </c>
      <c r="E21" s="20">
        <f t="shared" ref="E21" si="7">D21+C21</f>
        <v>4342</v>
      </c>
      <c r="F21" s="22">
        <f t="shared" ref="F21" si="8">E21/$E$21</f>
        <v>1</v>
      </c>
      <c r="G21" s="18">
        <f t="shared" si="6"/>
        <v>8805</v>
      </c>
      <c r="H21" s="18">
        <f t="shared" si="6"/>
        <v>707</v>
      </c>
      <c r="I21" s="20">
        <f t="shared" ref="I21" si="9">G21+H21</f>
        <v>9512</v>
      </c>
      <c r="J21" s="22">
        <f t="shared" ref="J21" si="10">I21/$I$21</f>
        <v>1</v>
      </c>
      <c r="K21" s="20">
        <f t="shared" ref="K21" si="11">E21+I21</f>
        <v>13854</v>
      </c>
      <c r="L21" s="18">
        <f t="shared" ref="L21" si="12">SUM(L11:L20)</f>
        <v>5</v>
      </c>
      <c r="M21" s="20">
        <f t="shared" si="5"/>
        <v>13859</v>
      </c>
      <c r="P21" s="31"/>
    </row>
    <row r="22" spans="2:16" ht="25.5" customHeight="1" x14ac:dyDescent="0.2">
      <c r="B22" s="32" t="s">
        <v>64</v>
      </c>
      <c r="C22" s="33">
        <f>+C21/M21</f>
        <v>0.20261202106934123</v>
      </c>
      <c r="D22" s="33">
        <f>+D21/M21</f>
        <v>0.11068619669528826</v>
      </c>
      <c r="E22" s="34">
        <f>+E21/M21</f>
        <v>0.31329821776462946</v>
      </c>
      <c r="F22" s="34"/>
      <c r="G22" s="33">
        <f>+G21/M21</f>
        <v>0.63532722418644927</v>
      </c>
      <c r="H22" s="33">
        <f>+H21/M21</f>
        <v>5.1013781658128289E-2</v>
      </c>
      <c r="I22" s="34">
        <f>+I21/M21</f>
        <v>0.68634100584457758</v>
      </c>
      <c r="J22" s="34"/>
      <c r="K22" s="34">
        <f>+K21/M21</f>
        <v>0.99963922360920698</v>
      </c>
      <c r="L22" s="34">
        <f>+L21/M21</f>
        <v>3.607763907929865E-4</v>
      </c>
      <c r="M22" s="34">
        <f>K22+L22</f>
        <v>1</v>
      </c>
    </row>
    <row r="23" spans="2:16" x14ac:dyDescent="0.2">
      <c r="B23" s="25"/>
      <c r="C23" s="38"/>
      <c r="D23" s="38"/>
      <c r="E23" s="38"/>
      <c r="F23" s="38"/>
      <c r="G23" s="38"/>
      <c r="H23" s="38"/>
      <c r="I23" s="38"/>
      <c r="J23" s="38"/>
      <c r="K23" s="38"/>
    </row>
    <row r="24" spans="2:16" ht="12.75" x14ac:dyDescent="0.2">
      <c r="B24" s="369" t="s">
        <v>98</v>
      </c>
      <c r="C24" s="369"/>
      <c r="D24" s="369"/>
      <c r="E24" s="369"/>
      <c r="F24" s="369"/>
      <c r="G24" s="369"/>
      <c r="H24" s="369"/>
      <c r="I24" s="369"/>
      <c r="J24" s="369"/>
      <c r="K24" s="369"/>
    </row>
    <row r="25" spans="2:16" ht="12.75" x14ac:dyDescent="0.2">
      <c r="B25" s="385" t="str">
        <f>'Solicitudes Regiones'!$B$6:$R$6</f>
        <v>Acumuladas de julio de 2008 a diciembre de 2021</v>
      </c>
      <c r="C25" s="385"/>
      <c r="D25" s="385"/>
      <c r="E25" s="385"/>
      <c r="F25" s="385"/>
      <c r="G25" s="385"/>
      <c r="H25" s="385"/>
      <c r="I25" s="385"/>
      <c r="J25" s="385"/>
      <c r="K25" s="385"/>
    </row>
    <row r="26" spans="2:16" x14ac:dyDescent="0.2">
      <c r="B26" s="25"/>
      <c r="C26" s="38"/>
      <c r="D26" s="38"/>
      <c r="E26" s="38"/>
      <c r="F26" s="38"/>
      <c r="G26" s="38"/>
      <c r="H26" s="38"/>
      <c r="I26" s="38"/>
      <c r="J26" s="38"/>
      <c r="K26" s="38"/>
    </row>
    <row r="27" spans="2:16" ht="15" customHeight="1" x14ac:dyDescent="0.2">
      <c r="B27" s="399" t="s">
        <v>65</v>
      </c>
      <c r="C27" s="399"/>
      <c r="D27" s="399"/>
      <c r="E27" s="399"/>
      <c r="F27" s="399"/>
      <c r="G27" s="399"/>
      <c r="H27" s="399"/>
      <c r="I27" s="399"/>
      <c r="J27" s="399"/>
      <c r="K27" s="399"/>
      <c r="L27" s="399"/>
      <c r="M27" s="399"/>
    </row>
    <row r="28" spans="2:16" ht="15" customHeight="1" x14ac:dyDescent="0.2">
      <c r="B28" s="399" t="s">
        <v>56</v>
      </c>
      <c r="C28" s="399" t="s">
        <v>2</v>
      </c>
      <c r="D28" s="399"/>
      <c r="E28" s="399"/>
      <c r="F28" s="399"/>
      <c r="G28" s="399"/>
      <c r="H28" s="399"/>
      <c r="I28" s="399"/>
      <c r="J28" s="399"/>
      <c r="K28" s="24" t="s">
        <v>96</v>
      </c>
      <c r="L28" s="397"/>
      <c r="M28" s="398"/>
    </row>
    <row r="29" spans="2:16" ht="24" x14ac:dyDescent="0.2">
      <c r="B29" s="399"/>
      <c r="C29" s="24" t="s">
        <v>57</v>
      </c>
      <c r="D29" s="24" t="s">
        <v>58</v>
      </c>
      <c r="E29" s="24" t="s">
        <v>59</v>
      </c>
      <c r="F29" s="24" t="s">
        <v>60</v>
      </c>
      <c r="G29" s="24" t="s">
        <v>8</v>
      </c>
      <c r="H29" s="24" t="s">
        <v>61</v>
      </c>
      <c r="I29" s="24" t="s">
        <v>62</v>
      </c>
      <c r="J29" s="24" t="s">
        <v>63</v>
      </c>
      <c r="K29" s="24" t="s">
        <v>31</v>
      </c>
      <c r="L29" s="261" t="s">
        <v>584</v>
      </c>
      <c r="M29" s="261" t="s">
        <v>587</v>
      </c>
    </row>
    <row r="30" spans="2:16" x14ac:dyDescent="0.2">
      <c r="B30" s="18" t="s">
        <v>389</v>
      </c>
      <c r="C30" s="18">
        <v>1181</v>
      </c>
      <c r="D30" s="18">
        <v>420</v>
      </c>
      <c r="E30" s="18">
        <f>C30+D30</f>
        <v>1601</v>
      </c>
      <c r="F30" s="19">
        <f>E30/$E$40</f>
        <v>0.49489953632148376</v>
      </c>
      <c r="G30" s="18">
        <v>4090</v>
      </c>
      <c r="H30" s="18">
        <v>365</v>
      </c>
      <c r="I30" s="18">
        <f>G30+H30</f>
        <v>4455</v>
      </c>
      <c r="J30" s="19">
        <f>I30/$I$40</f>
        <v>0.56607369758576875</v>
      </c>
      <c r="K30" s="18">
        <f t="shared" ref="K30:K39" si="13">E30+I30</f>
        <v>6056</v>
      </c>
      <c r="L30" s="18">
        <v>0</v>
      </c>
      <c r="M30" s="18">
        <f>K30+L30</f>
        <v>6056</v>
      </c>
    </row>
    <row r="31" spans="2:16" x14ac:dyDescent="0.2">
      <c r="B31" s="18" t="s">
        <v>390</v>
      </c>
      <c r="C31" s="18">
        <v>39</v>
      </c>
      <c r="D31" s="18">
        <v>3</v>
      </c>
      <c r="E31" s="18">
        <f t="shared" ref="E31:E39" si="14">C31+D31</f>
        <v>42</v>
      </c>
      <c r="F31" s="19">
        <f t="shared" ref="F31:F39" si="15">E31/$E$40</f>
        <v>1.2982998454404947E-2</v>
      </c>
      <c r="G31" s="18">
        <v>85</v>
      </c>
      <c r="H31" s="18">
        <v>3</v>
      </c>
      <c r="I31" s="18">
        <f t="shared" ref="I31:I39" si="16">G31+H31</f>
        <v>88</v>
      </c>
      <c r="J31" s="19">
        <f t="shared" ref="J31:J39" si="17">I31/$I$40</f>
        <v>1.1181702668360865E-2</v>
      </c>
      <c r="K31" s="18">
        <f t="shared" si="13"/>
        <v>130</v>
      </c>
      <c r="L31" s="18">
        <v>0</v>
      </c>
      <c r="M31" s="18">
        <f t="shared" ref="M31:M40" si="18">K31+L31</f>
        <v>130</v>
      </c>
    </row>
    <row r="32" spans="2:16" x14ac:dyDescent="0.2">
      <c r="B32" s="18" t="s">
        <v>391</v>
      </c>
      <c r="C32" s="18">
        <v>474</v>
      </c>
      <c r="D32" s="18">
        <v>170</v>
      </c>
      <c r="E32" s="18">
        <f t="shared" si="14"/>
        <v>644</v>
      </c>
      <c r="F32" s="19">
        <f t="shared" si="15"/>
        <v>0.19907264296754251</v>
      </c>
      <c r="G32" s="18">
        <v>1709</v>
      </c>
      <c r="H32" s="18">
        <v>123</v>
      </c>
      <c r="I32" s="18">
        <f t="shared" si="16"/>
        <v>1832</v>
      </c>
      <c r="J32" s="19">
        <f t="shared" si="17"/>
        <v>0.23278271918678525</v>
      </c>
      <c r="K32" s="18">
        <f t="shared" si="13"/>
        <v>2476</v>
      </c>
      <c r="L32" s="18">
        <v>0</v>
      </c>
      <c r="M32" s="18">
        <f t="shared" si="18"/>
        <v>2476</v>
      </c>
    </row>
    <row r="33" spans="2:13" x14ac:dyDescent="0.2">
      <c r="B33" s="18" t="s">
        <v>392</v>
      </c>
      <c r="C33" s="18">
        <v>109</v>
      </c>
      <c r="D33" s="18">
        <v>30</v>
      </c>
      <c r="E33" s="18">
        <f t="shared" si="14"/>
        <v>139</v>
      </c>
      <c r="F33" s="19">
        <f t="shared" si="15"/>
        <v>4.296754250386399E-2</v>
      </c>
      <c r="G33" s="18">
        <v>347</v>
      </c>
      <c r="H33" s="18">
        <v>17</v>
      </c>
      <c r="I33" s="18">
        <f t="shared" si="16"/>
        <v>364</v>
      </c>
      <c r="J33" s="19">
        <f t="shared" si="17"/>
        <v>4.6251588310038116E-2</v>
      </c>
      <c r="K33" s="18">
        <f t="shared" si="13"/>
        <v>503</v>
      </c>
      <c r="L33" s="18">
        <v>0</v>
      </c>
      <c r="M33" s="18">
        <f t="shared" si="18"/>
        <v>503</v>
      </c>
    </row>
    <row r="34" spans="2:13" x14ac:dyDescent="0.2">
      <c r="B34" s="18" t="s">
        <v>393</v>
      </c>
      <c r="C34" s="18">
        <v>42</v>
      </c>
      <c r="D34" s="18">
        <v>11</v>
      </c>
      <c r="E34" s="18">
        <f t="shared" si="14"/>
        <v>53</v>
      </c>
      <c r="F34" s="19">
        <f t="shared" si="15"/>
        <v>1.6383307573415766E-2</v>
      </c>
      <c r="G34" s="18">
        <v>72</v>
      </c>
      <c r="H34" s="18">
        <v>7</v>
      </c>
      <c r="I34" s="18">
        <f t="shared" si="16"/>
        <v>79</v>
      </c>
      <c r="J34" s="19">
        <f t="shared" si="17"/>
        <v>1.0038119440914867E-2</v>
      </c>
      <c r="K34" s="18">
        <f t="shared" si="13"/>
        <v>132</v>
      </c>
      <c r="L34" s="18">
        <v>0</v>
      </c>
      <c r="M34" s="18">
        <f t="shared" si="18"/>
        <v>132</v>
      </c>
    </row>
    <row r="35" spans="2:13" x14ac:dyDescent="0.2">
      <c r="B35" s="18" t="s">
        <v>394</v>
      </c>
      <c r="C35" s="18">
        <v>137</v>
      </c>
      <c r="D35" s="18">
        <v>28</v>
      </c>
      <c r="E35" s="18">
        <f t="shared" si="14"/>
        <v>165</v>
      </c>
      <c r="F35" s="19">
        <f t="shared" si="15"/>
        <v>5.1004636785162288E-2</v>
      </c>
      <c r="G35" s="18">
        <v>225</v>
      </c>
      <c r="H35" s="18">
        <v>7</v>
      </c>
      <c r="I35" s="18">
        <f t="shared" si="16"/>
        <v>232</v>
      </c>
      <c r="J35" s="19">
        <f t="shared" si="17"/>
        <v>2.9479034307496824E-2</v>
      </c>
      <c r="K35" s="18">
        <f t="shared" si="13"/>
        <v>397</v>
      </c>
      <c r="L35" s="18">
        <v>0</v>
      </c>
      <c r="M35" s="18">
        <f t="shared" si="18"/>
        <v>397</v>
      </c>
    </row>
    <row r="36" spans="2:13" x14ac:dyDescent="0.2">
      <c r="B36" s="18" t="s">
        <v>395</v>
      </c>
      <c r="C36" s="18">
        <v>7</v>
      </c>
      <c r="D36" s="18">
        <v>0</v>
      </c>
      <c r="E36" s="18">
        <f t="shared" si="14"/>
        <v>7</v>
      </c>
      <c r="F36" s="19">
        <f t="shared" si="15"/>
        <v>2.1638330757341576E-3</v>
      </c>
      <c r="G36" s="18">
        <v>22</v>
      </c>
      <c r="H36" s="18">
        <v>1</v>
      </c>
      <c r="I36" s="18">
        <f t="shared" si="16"/>
        <v>23</v>
      </c>
      <c r="J36" s="19">
        <f t="shared" si="17"/>
        <v>2.9224904701397711E-3</v>
      </c>
      <c r="K36" s="18">
        <f t="shared" si="13"/>
        <v>30</v>
      </c>
      <c r="L36" s="18">
        <v>0</v>
      </c>
      <c r="M36" s="18">
        <f t="shared" si="18"/>
        <v>30</v>
      </c>
    </row>
    <row r="37" spans="2:13" x14ac:dyDescent="0.2">
      <c r="B37" s="18" t="s">
        <v>396</v>
      </c>
      <c r="C37" s="18">
        <v>9</v>
      </c>
      <c r="D37" s="18">
        <v>1</v>
      </c>
      <c r="E37" s="18">
        <f t="shared" si="14"/>
        <v>10</v>
      </c>
      <c r="F37" s="19">
        <f t="shared" si="15"/>
        <v>3.0911901081916537E-3</v>
      </c>
      <c r="G37" s="18">
        <v>22</v>
      </c>
      <c r="H37" s="18">
        <v>3</v>
      </c>
      <c r="I37" s="18">
        <f t="shared" si="16"/>
        <v>25</v>
      </c>
      <c r="J37" s="19">
        <f t="shared" si="17"/>
        <v>3.1766200762388818E-3</v>
      </c>
      <c r="K37" s="18">
        <f t="shared" si="13"/>
        <v>35</v>
      </c>
      <c r="L37" s="18">
        <v>0</v>
      </c>
      <c r="M37" s="18">
        <f t="shared" si="18"/>
        <v>35</v>
      </c>
    </row>
    <row r="38" spans="2:13" x14ac:dyDescent="0.2">
      <c r="B38" s="18" t="s">
        <v>397</v>
      </c>
      <c r="C38" s="18">
        <v>388</v>
      </c>
      <c r="D38" s="18">
        <v>65</v>
      </c>
      <c r="E38" s="18">
        <f t="shared" si="14"/>
        <v>453</v>
      </c>
      <c r="F38" s="19">
        <f t="shared" si="15"/>
        <v>0.14003091190108191</v>
      </c>
      <c r="G38" s="18">
        <v>473</v>
      </c>
      <c r="H38" s="18">
        <v>34</v>
      </c>
      <c r="I38" s="18">
        <f t="shared" si="16"/>
        <v>507</v>
      </c>
      <c r="J38" s="19">
        <f t="shared" si="17"/>
        <v>6.4421855146124529E-2</v>
      </c>
      <c r="K38" s="18">
        <f t="shared" si="13"/>
        <v>960</v>
      </c>
      <c r="L38" s="18">
        <v>0</v>
      </c>
      <c r="M38" s="18">
        <f t="shared" si="18"/>
        <v>960</v>
      </c>
    </row>
    <row r="39" spans="2:13" x14ac:dyDescent="0.2">
      <c r="B39" s="18" t="s">
        <v>398</v>
      </c>
      <c r="C39" s="18">
        <v>98</v>
      </c>
      <c r="D39" s="18">
        <v>23</v>
      </c>
      <c r="E39" s="18">
        <f t="shared" si="14"/>
        <v>121</v>
      </c>
      <c r="F39" s="19">
        <f t="shared" si="15"/>
        <v>3.7403400309119011E-2</v>
      </c>
      <c r="G39" s="18">
        <v>250</v>
      </c>
      <c r="H39" s="18">
        <v>15</v>
      </c>
      <c r="I39" s="18">
        <f t="shared" si="16"/>
        <v>265</v>
      </c>
      <c r="J39" s="19">
        <f t="shared" si="17"/>
        <v>3.3672172808132145E-2</v>
      </c>
      <c r="K39" s="18">
        <f t="shared" si="13"/>
        <v>386</v>
      </c>
      <c r="L39" s="18">
        <v>0</v>
      </c>
      <c r="M39" s="18">
        <f t="shared" si="18"/>
        <v>386</v>
      </c>
    </row>
    <row r="40" spans="2:13" x14ac:dyDescent="0.2">
      <c r="B40" s="20" t="s">
        <v>49</v>
      </c>
      <c r="C40" s="18">
        <f t="shared" ref="C40:H40" si="19">SUM(C30:C39)</f>
        <v>2484</v>
      </c>
      <c r="D40" s="18">
        <f t="shared" si="19"/>
        <v>751</v>
      </c>
      <c r="E40" s="20">
        <f t="shared" ref="E40" si="20">C40+D40</f>
        <v>3235</v>
      </c>
      <c r="F40" s="22">
        <f t="shared" ref="F40" si="21">E40/$E$40</f>
        <v>1</v>
      </c>
      <c r="G40" s="18">
        <f t="shared" si="19"/>
        <v>7295</v>
      </c>
      <c r="H40" s="18">
        <f t="shared" si="19"/>
        <v>575</v>
      </c>
      <c r="I40" s="20">
        <f t="shared" ref="I40" si="22">G40+H40</f>
        <v>7870</v>
      </c>
      <c r="J40" s="22">
        <f t="shared" ref="J40" si="23">I40/$I$40</f>
        <v>1</v>
      </c>
      <c r="K40" s="20">
        <f t="shared" ref="K40" si="24">E40+I40</f>
        <v>11105</v>
      </c>
      <c r="L40" s="18">
        <f t="shared" ref="L40" si="25">SUM(L30:L39)</f>
        <v>0</v>
      </c>
      <c r="M40" s="20">
        <f t="shared" si="18"/>
        <v>11105</v>
      </c>
    </row>
    <row r="41" spans="2:13" ht="24" x14ac:dyDescent="0.2">
      <c r="B41" s="32" t="s">
        <v>66</v>
      </c>
      <c r="C41" s="33">
        <f>+C40/M40</f>
        <v>0.22368302566411527</v>
      </c>
      <c r="D41" s="33">
        <f>+D40/M40</f>
        <v>6.762719495722648E-2</v>
      </c>
      <c r="E41" s="34">
        <f>+E40/M40</f>
        <v>0.29131022062134176</v>
      </c>
      <c r="F41" s="34"/>
      <c r="G41" s="33">
        <f>+G40/M40</f>
        <v>0.65691130121566865</v>
      </c>
      <c r="H41" s="33">
        <f>+H40/M40</f>
        <v>5.1778478162989645E-2</v>
      </c>
      <c r="I41" s="34">
        <f>+I40/M40</f>
        <v>0.70868977937865829</v>
      </c>
      <c r="J41" s="34"/>
      <c r="K41" s="34">
        <f>+K40/M40</f>
        <v>1</v>
      </c>
      <c r="L41" s="34">
        <f>+L40/M40</f>
        <v>0</v>
      </c>
      <c r="M41" s="34">
        <f>K41+L41</f>
        <v>1</v>
      </c>
    </row>
    <row r="42" spans="2:13" x14ac:dyDescent="0.2">
      <c r="B42" s="25" t="s">
        <v>129</v>
      </c>
    </row>
    <row r="43" spans="2:13" x14ac:dyDescent="0.2">
      <c r="B43" s="25" t="s">
        <v>130</v>
      </c>
    </row>
  </sheetData>
  <mergeCells count="12">
    <mergeCell ref="L28:M28"/>
    <mergeCell ref="B27:M27"/>
    <mergeCell ref="B6:K6"/>
    <mergeCell ref="B5:K5"/>
    <mergeCell ref="B25:K25"/>
    <mergeCell ref="B24:K24"/>
    <mergeCell ref="B8:M8"/>
    <mergeCell ref="L9:M9"/>
    <mergeCell ref="B28:B29"/>
    <mergeCell ref="C28:J28"/>
    <mergeCell ref="B9:B10"/>
    <mergeCell ref="C9:K9"/>
  </mergeCells>
  <hyperlinks>
    <hyperlink ref="M5" location="'Índice Pensiones Solidarias'!A1" display="Volver Sistema de Pensiones Solidadias" xr:uid="{00000000-0004-0000-1400-000000000000}"/>
  </hyperlinks>
  <pageMargins left="0.74803149606299213" right="0.74803149606299213" top="0.98425196850393704" bottom="0.98425196850393704" header="0" footer="0"/>
  <pageSetup scale="81"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Hoja31">
    <pageSetUpPr fitToPage="1"/>
  </sheetPr>
  <dimension ref="A1:P45"/>
  <sheetViews>
    <sheetView showGridLines="0" zoomScaleNormal="100" workbookViewId="0">
      <selection sqref="A1:XFD1048576"/>
    </sheetView>
  </sheetViews>
  <sheetFormatPr baseColWidth="10" defaultRowHeight="12" x14ac:dyDescent="0.2"/>
  <cols>
    <col min="1" max="1" width="6" style="26" customWidth="1"/>
    <col min="2" max="2" width="18.140625" style="26" customWidth="1"/>
    <col min="3" max="3" width="8.42578125" style="26" bestFit="1" customWidth="1"/>
    <col min="4" max="4" width="8" style="26" bestFit="1" customWidth="1"/>
    <col min="5" max="6" width="8" style="26" customWidth="1"/>
    <col min="7" max="7" width="8.28515625" style="26" bestFit="1" customWidth="1"/>
    <col min="8" max="8" width="8" style="26" bestFit="1" customWidth="1"/>
    <col min="9" max="11" width="8" style="26" customWidth="1"/>
    <col min="12" max="12" width="7.85546875" style="26" customWidth="1"/>
    <col min="13" max="251" width="11.42578125" style="26"/>
    <col min="252" max="252" width="18.140625" style="26" customWidth="1"/>
    <col min="253" max="253" width="8.42578125" style="26" bestFit="1" customWidth="1"/>
    <col min="254" max="254" width="8" style="26" bestFit="1" customWidth="1"/>
    <col min="255" max="256" width="8" style="26" customWidth="1"/>
    <col min="257" max="257" width="8.28515625" style="26" bestFit="1" customWidth="1"/>
    <col min="258" max="258" width="8" style="26" bestFit="1" customWidth="1"/>
    <col min="259" max="261" width="8" style="26" customWidth="1"/>
    <col min="262" max="267" width="0" style="26" hidden="1" customWidth="1"/>
    <col min="268" max="268" width="7.85546875" style="26" customWidth="1"/>
    <col min="269" max="507" width="11.42578125" style="26"/>
    <col min="508" max="508" width="18.140625" style="26" customWidth="1"/>
    <col min="509" max="509" width="8.42578125" style="26" bestFit="1" customWidth="1"/>
    <col min="510" max="510" width="8" style="26" bestFit="1" customWidth="1"/>
    <col min="511" max="512" width="8" style="26" customWidth="1"/>
    <col min="513" max="513" width="8.28515625" style="26" bestFit="1" customWidth="1"/>
    <col min="514" max="514" width="8" style="26" bestFit="1" customWidth="1"/>
    <col min="515" max="517" width="8" style="26" customWidth="1"/>
    <col min="518" max="523" width="0" style="26" hidden="1" customWidth="1"/>
    <col min="524" max="524" width="7.85546875" style="26" customWidth="1"/>
    <col min="525" max="763" width="11.42578125" style="26"/>
    <col min="764" max="764" width="18.140625" style="26" customWidth="1"/>
    <col min="765" max="765" width="8.42578125" style="26" bestFit="1" customWidth="1"/>
    <col min="766" max="766" width="8" style="26" bestFit="1" customWidth="1"/>
    <col min="767" max="768" width="8" style="26" customWidth="1"/>
    <col min="769" max="769" width="8.28515625" style="26" bestFit="1" customWidth="1"/>
    <col min="770" max="770" width="8" style="26" bestFit="1" customWidth="1"/>
    <col min="771" max="773" width="8" style="26" customWidth="1"/>
    <col min="774" max="779" width="0" style="26" hidden="1" customWidth="1"/>
    <col min="780" max="780" width="7.85546875" style="26" customWidth="1"/>
    <col min="781" max="1019" width="11.42578125" style="26"/>
    <col min="1020" max="1020" width="18.140625" style="26" customWidth="1"/>
    <col min="1021" max="1021" width="8.42578125" style="26" bestFit="1" customWidth="1"/>
    <col min="1022" max="1022" width="8" style="26" bestFit="1" customWidth="1"/>
    <col min="1023" max="1024" width="8" style="26" customWidth="1"/>
    <col min="1025" max="1025" width="8.28515625" style="26" bestFit="1" customWidth="1"/>
    <col min="1026" max="1026" width="8" style="26" bestFit="1" customWidth="1"/>
    <col min="1027" max="1029" width="8" style="26" customWidth="1"/>
    <col min="1030" max="1035" width="0" style="26" hidden="1" customWidth="1"/>
    <col min="1036" max="1036" width="7.85546875" style="26" customWidth="1"/>
    <col min="1037" max="1275" width="11.42578125" style="26"/>
    <col min="1276" max="1276" width="18.140625" style="26" customWidth="1"/>
    <col min="1277" max="1277" width="8.42578125" style="26" bestFit="1" customWidth="1"/>
    <col min="1278" max="1278" width="8" style="26" bestFit="1" customWidth="1"/>
    <col min="1279" max="1280" width="8" style="26" customWidth="1"/>
    <col min="1281" max="1281" width="8.28515625" style="26" bestFit="1" customWidth="1"/>
    <col min="1282" max="1282" width="8" style="26" bestFit="1" customWidth="1"/>
    <col min="1283" max="1285" width="8" style="26" customWidth="1"/>
    <col min="1286" max="1291" width="0" style="26" hidden="1" customWidth="1"/>
    <col min="1292" max="1292" width="7.85546875" style="26" customWidth="1"/>
    <col min="1293" max="1531" width="11.42578125" style="26"/>
    <col min="1532" max="1532" width="18.140625" style="26" customWidth="1"/>
    <col min="1533" max="1533" width="8.42578125" style="26" bestFit="1" customWidth="1"/>
    <col min="1534" max="1534" width="8" style="26" bestFit="1" customWidth="1"/>
    <col min="1535" max="1536" width="8" style="26" customWidth="1"/>
    <col min="1537" max="1537" width="8.28515625" style="26" bestFit="1" customWidth="1"/>
    <col min="1538" max="1538" width="8" style="26" bestFit="1" customWidth="1"/>
    <col min="1539" max="1541" width="8" style="26" customWidth="1"/>
    <col min="1542" max="1547" width="0" style="26" hidden="1" customWidth="1"/>
    <col min="1548" max="1548" width="7.85546875" style="26" customWidth="1"/>
    <col min="1549" max="1787" width="11.42578125" style="26"/>
    <col min="1788" max="1788" width="18.140625" style="26" customWidth="1"/>
    <col min="1789" max="1789" width="8.42578125" style="26" bestFit="1" customWidth="1"/>
    <col min="1790" max="1790" width="8" style="26" bestFit="1" customWidth="1"/>
    <col min="1791" max="1792" width="8" style="26" customWidth="1"/>
    <col min="1793" max="1793" width="8.28515625" style="26" bestFit="1" customWidth="1"/>
    <col min="1794" max="1794" width="8" style="26" bestFit="1" customWidth="1"/>
    <col min="1795" max="1797" width="8" style="26" customWidth="1"/>
    <col min="1798" max="1803" width="0" style="26" hidden="1" customWidth="1"/>
    <col min="1804" max="1804" width="7.85546875" style="26" customWidth="1"/>
    <col min="1805" max="2043" width="11.42578125" style="26"/>
    <col min="2044" max="2044" width="18.140625" style="26" customWidth="1"/>
    <col min="2045" max="2045" width="8.42578125" style="26" bestFit="1" customWidth="1"/>
    <col min="2046" max="2046" width="8" style="26" bestFit="1" customWidth="1"/>
    <col min="2047" max="2048" width="8" style="26" customWidth="1"/>
    <col min="2049" max="2049" width="8.28515625" style="26" bestFit="1" customWidth="1"/>
    <col min="2050" max="2050" width="8" style="26" bestFit="1" customWidth="1"/>
    <col min="2051" max="2053" width="8" style="26" customWidth="1"/>
    <col min="2054" max="2059" width="0" style="26" hidden="1" customWidth="1"/>
    <col min="2060" max="2060" width="7.85546875" style="26" customWidth="1"/>
    <col min="2061" max="2299" width="11.42578125" style="26"/>
    <col min="2300" max="2300" width="18.140625" style="26" customWidth="1"/>
    <col min="2301" max="2301" width="8.42578125" style="26" bestFit="1" customWidth="1"/>
    <col min="2302" max="2302" width="8" style="26" bestFit="1" customWidth="1"/>
    <col min="2303" max="2304" width="8" style="26" customWidth="1"/>
    <col min="2305" max="2305" width="8.28515625" style="26" bestFit="1" customWidth="1"/>
    <col min="2306" max="2306" width="8" style="26" bestFit="1" customWidth="1"/>
    <col min="2307" max="2309" width="8" style="26" customWidth="1"/>
    <col min="2310" max="2315" width="0" style="26" hidden="1" customWidth="1"/>
    <col min="2316" max="2316" width="7.85546875" style="26" customWidth="1"/>
    <col min="2317" max="2555" width="11.42578125" style="26"/>
    <col min="2556" max="2556" width="18.140625" style="26" customWidth="1"/>
    <col min="2557" max="2557" width="8.42578125" style="26" bestFit="1" customWidth="1"/>
    <col min="2558" max="2558" width="8" style="26" bestFit="1" customWidth="1"/>
    <col min="2559" max="2560" width="8" style="26" customWidth="1"/>
    <col min="2561" max="2561" width="8.28515625" style="26" bestFit="1" customWidth="1"/>
    <col min="2562" max="2562" width="8" style="26" bestFit="1" customWidth="1"/>
    <col min="2563" max="2565" width="8" style="26" customWidth="1"/>
    <col min="2566" max="2571" width="0" style="26" hidden="1" customWidth="1"/>
    <col min="2572" max="2572" width="7.85546875" style="26" customWidth="1"/>
    <col min="2573" max="2811" width="11.42578125" style="26"/>
    <col min="2812" max="2812" width="18.140625" style="26" customWidth="1"/>
    <col min="2813" max="2813" width="8.42578125" style="26" bestFit="1" customWidth="1"/>
    <col min="2814" max="2814" width="8" style="26" bestFit="1" customWidth="1"/>
    <col min="2815" max="2816" width="8" style="26" customWidth="1"/>
    <col min="2817" max="2817" width="8.28515625" style="26" bestFit="1" customWidth="1"/>
    <col min="2818" max="2818" width="8" style="26" bestFit="1" customWidth="1"/>
    <col min="2819" max="2821" width="8" style="26" customWidth="1"/>
    <col min="2822" max="2827" width="0" style="26" hidden="1" customWidth="1"/>
    <col min="2828" max="2828" width="7.85546875" style="26" customWidth="1"/>
    <col min="2829" max="3067" width="11.42578125" style="26"/>
    <col min="3068" max="3068" width="18.140625" style="26" customWidth="1"/>
    <col min="3069" max="3069" width="8.42578125" style="26" bestFit="1" customWidth="1"/>
    <col min="3070" max="3070" width="8" style="26" bestFit="1" customWidth="1"/>
    <col min="3071" max="3072" width="8" style="26" customWidth="1"/>
    <col min="3073" max="3073" width="8.28515625" style="26" bestFit="1" customWidth="1"/>
    <col min="3074" max="3074" width="8" style="26" bestFit="1" customWidth="1"/>
    <col min="3075" max="3077" width="8" style="26" customWidth="1"/>
    <col min="3078" max="3083" width="0" style="26" hidden="1" customWidth="1"/>
    <col min="3084" max="3084" width="7.85546875" style="26" customWidth="1"/>
    <col min="3085" max="3323" width="11.42578125" style="26"/>
    <col min="3324" max="3324" width="18.140625" style="26" customWidth="1"/>
    <col min="3325" max="3325" width="8.42578125" style="26" bestFit="1" customWidth="1"/>
    <col min="3326" max="3326" width="8" style="26" bestFit="1" customWidth="1"/>
    <col min="3327" max="3328" width="8" style="26" customWidth="1"/>
    <col min="3329" max="3329" width="8.28515625" style="26" bestFit="1" customWidth="1"/>
    <col min="3330" max="3330" width="8" style="26" bestFit="1" customWidth="1"/>
    <col min="3331" max="3333" width="8" style="26" customWidth="1"/>
    <col min="3334" max="3339" width="0" style="26" hidden="1" customWidth="1"/>
    <col min="3340" max="3340" width="7.85546875" style="26" customWidth="1"/>
    <col min="3341" max="3579" width="11.42578125" style="26"/>
    <col min="3580" max="3580" width="18.140625" style="26" customWidth="1"/>
    <col min="3581" max="3581" width="8.42578125" style="26" bestFit="1" customWidth="1"/>
    <col min="3582" max="3582" width="8" style="26" bestFit="1" customWidth="1"/>
    <col min="3583" max="3584" width="8" style="26" customWidth="1"/>
    <col min="3585" max="3585" width="8.28515625" style="26" bestFit="1" customWidth="1"/>
    <col min="3586" max="3586" width="8" style="26" bestFit="1" customWidth="1"/>
    <col min="3587" max="3589" width="8" style="26" customWidth="1"/>
    <col min="3590" max="3595" width="0" style="26" hidden="1" customWidth="1"/>
    <col min="3596" max="3596" width="7.85546875" style="26" customWidth="1"/>
    <col min="3597" max="3835" width="11.42578125" style="26"/>
    <col min="3836" max="3836" width="18.140625" style="26" customWidth="1"/>
    <col min="3837" max="3837" width="8.42578125" style="26" bestFit="1" customWidth="1"/>
    <col min="3838" max="3838" width="8" style="26" bestFit="1" customWidth="1"/>
    <col min="3839" max="3840" width="8" style="26" customWidth="1"/>
    <col min="3841" max="3841" width="8.28515625" style="26" bestFit="1" customWidth="1"/>
    <col min="3842" max="3842" width="8" style="26" bestFit="1" customWidth="1"/>
    <col min="3843" max="3845" width="8" style="26" customWidth="1"/>
    <col min="3846" max="3851" width="0" style="26" hidden="1" customWidth="1"/>
    <col min="3852" max="3852" width="7.85546875" style="26" customWidth="1"/>
    <col min="3853" max="4091" width="11.42578125" style="26"/>
    <col min="4092" max="4092" width="18.140625" style="26" customWidth="1"/>
    <col min="4093" max="4093" width="8.42578125" style="26" bestFit="1" customWidth="1"/>
    <col min="4094" max="4094" width="8" style="26" bestFit="1" customWidth="1"/>
    <col min="4095" max="4096" width="8" style="26" customWidth="1"/>
    <col min="4097" max="4097" width="8.28515625" style="26" bestFit="1" customWidth="1"/>
    <col min="4098" max="4098" width="8" style="26" bestFit="1" customWidth="1"/>
    <col min="4099" max="4101" width="8" style="26" customWidth="1"/>
    <col min="4102" max="4107" width="0" style="26" hidden="1" customWidth="1"/>
    <col min="4108" max="4108" width="7.85546875" style="26" customWidth="1"/>
    <col min="4109" max="4347" width="11.42578125" style="26"/>
    <col min="4348" max="4348" width="18.140625" style="26" customWidth="1"/>
    <col min="4349" max="4349" width="8.42578125" style="26" bestFit="1" customWidth="1"/>
    <col min="4350" max="4350" width="8" style="26" bestFit="1" customWidth="1"/>
    <col min="4351" max="4352" width="8" style="26" customWidth="1"/>
    <col min="4353" max="4353" width="8.28515625" style="26" bestFit="1" customWidth="1"/>
    <col min="4354" max="4354" width="8" style="26" bestFit="1" customWidth="1"/>
    <col min="4355" max="4357" width="8" style="26" customWidth="1"/>
    <col min="4358" max="4363" width="0" style="26" hidden="1" customWidth="1"/>
    <col min="4364" max="4364" width="7.85546875" style="26" customWidth="1"/>
    <col min="4365" max="4603" width="11.42578125" style="26"/>
    <col min="4604" max="4604" width="18.140625" style="26" customWidth="1"/>
    <col min="4605" max="4605" width="8.42578125" style="26" bestFit="1" customWidth="1"/>
    <col min="4606" max="4606" width="8" style="26" bestFit="1" customWidth="1"/>
    <col min="4607" max="4608" width="8" style="26" customWidth="1"/>
    <col min="4609" max="4609" width="8.28515625" style="26" bestFit="1" customWidth="1"/>
    <col min="4610" max="4610" width="8" style="26" bestFit="1" customWidth="1"/>
    <col min="4611" max="4613" width="8" style="26" customWidth="1"/>
    <col min="4614" max="4619" width="0" style="26" hidden="1" customWidth="1"/>
    <col min="4620" max="4620" width="7.85546875" style="26" customWidth="1"/>
    <col min="4621" max="4859" width="11.42578125" style="26"/>
    <col min="4860" max="4860" width="18.140625" style="26" customWidth="1"/>
    <col min="4861" max="4861" width="8.42578125" style="26" bestFit="1" customWidth="1"/>
    <col min="4862" max="4862" width="8" style="26" bestFit="1" customWidth="1"/>
    <col min="4863" max="4864" width="8" style="26" customWidth="1"/>
    <col min="4865" max="4865" width="8.28515625" style="26" bestFit="1" customWidth="1"/>
    <col min="4866" max="4866" width="8" style="26" bestFit="1" customWidth="1"/>
    <col min="4867" max="4869" width="8" style="26" customWidth="1"/>
    <col min="4870" max="4875" width="0" style="26" hidden="1" customWidth="1"/>
    <col min="4876" max="4876" width="7.85546875" style="26" customWidth="1"/>
    <col min="4877" max="5115" width="11.42578125" style="26"/>
    <col min="5116" max="5116" width="18.140625" style="26" customWidth="1"/>
    <col min="5117" max="5117" width="8.42578125" style="26" bestFit="1" customWidth="1"/>
    <col min="5118" max="5118" width="8" style="26" bestFit="1" customWidth="1"/>
    <col min="5119" max="5120" width="8" style="26" customWidth="1"/>
    <col min="5121" max="5121" width="8.28515625" style="26" bestFit="1" customWidth="1"/>
    <col min="5122" max="5122" width="8" style="26" bestFit="1" customWidth="1"/>
    <col min="5123" max="5125" width="8" style="26" customWidth="1"/>
    <col min="5126" max="5131" width="0" style="26" hidden="1" customWidth="1"/>
    <col min="5132" max="5132" width="7.85546875" style="26" customWidth="1"/>
    <col min="5133" max="5371" width="11.42578125" style="26"/>
    <col min="5372" max="5372" width="18.140625" style="26" customWidth="1"/>
    <col min="5373" max="5373" width="8.42578125" style="26" bestFit="1" customWidth="1"/>
    <col min="5374" max="5374" width="8" style="26" bestFit="1" customWidth="1"/>
    <col min="5375" max="5376" width="8" style="26" customWidth="1"/>
    <col min="5377" max="5377" width="8.28515625" style="26" bestFit="1" customWidth="1"/>
    <col min="5378" max="5378" width="8" style="26" bestFit="1" customWidth="1"/>
    <col min="5379" max="5381" width="8" style="26" customWidth="1"/>
    <col min="5382" max="5387" width="0" style="26" hidden="1" customWidth="1"/>
    <col min="5388" max="5388" width="7.85546875" style="26" customWidth="1"/>
    <col min="5389" max="5627" width="11.42578125" style="26"/>
    <col min="5628" max="5628" width="18.140625" style="26" customWidth="1"/>
    <col min="5629" max="5629" width="8.42578125" style="26" bestFit="1" customWidth="1"/>
    <col min="5630" max="5630" width="8" style="26" bestFit="1" customWidth="1"/>
    <col min="5631" max="5632" width="8" style="26" customWidth="1"/>
    <col min="5633" max="5633" width="8.28515625" style="26" bestFit="1" customWidth="1"/>
    <col min="5634" max="5634" width="8" style="26" bestFit="1" customWidth="1"/>
    <col min="5635" max="5637" width="8" style="26" customWidth="1"/>
    <col min="5638" max="5643" width="0" style="26" hidden="1" customWidth="1"/>
    <col min="5644" max="5644" width="7.85546875" style="26" customWidth="1"/>
    <col min="5645" max="5883" width="11.42578125" style="26"/>
    <col min="5884" max="5884" width="18.140625" style="26" customWidth="1"/>
    <col min="5885" max="5885" width="8.42578125" style="26" bestFit="1" customWidth="1"/>
    <col min="5886" max="5886" width="8" style="26" bestFit="1" customWidth="1"/>
    <col min="5887" max="5888" width="8" style="26" customWidth="1"/>
    <col min="5889" max="5889" width="8.28515625" style="26" bestFit="1" customWidth="1"/>
    <col min="5890" max="5890" width="8" style="26" bestFit="1" customWidth="1"/>
    <col min="5891" max="5893" width="8" style="26" customWidth="1"/>
    <col min="5894" max="5899" width="0" style="26" hidden="1" customWidth="1"/>
    <col min="5900" max="5900" width="7.85546875" style="26" customWidth="1"/>
    <col min="5901" max="6139" width="11.42578125" style="26"/>
    <col min="6140" max="6140" width="18.140625" style="26" customWidth="1"/>
    <col min="6141" max="6141" width="8.42578125" style="26" bestFit="1" customWidth="1"/>
    <col min="6142" max="6142" width="8" style="26" bestFit="1" customWidth="1"/>
    <col min="6143" max="6144" width="8" style="26" customWidth="1"/>
    <col min="6145" max="6145" width="8.28515625" style="26" bestFit="1" customWidth="1"/>
    <col min="6146" max="6146" width="8" style="26" bestFit="1" customWidth="1"/>
    <col min="6147" max="6149" width="8" style="26" customWidth="1"/>
    <col min="6150" max="6155" width="0" style="26" hidden="1" customWidth="1"/>
    <col min="6156" max="6156" width="7.85546875" style="26" customWidth="1"/>
    <col min="6157" max="6395" width="11.42578125" style="26"/>
    <col min="6396" max="6396" width="18.140625" style="26" customWidth="1"/>
    <col min="6397" max="6397" width="8.42578125" style="26" bestFit="1" customWidth="1"/>
    <col min="6398" max="6398" width="8" style="26" bestFit="1" customWidth="1"/>
    <col min="6399" max="6400" width="8" style="26" customWidth="1"/>
    <col min="6401" max="6401" width="8.28515625" style="26" bestFit="1" customWidth="1"/>
    <col min="6402" max="6402" width="8" style="26" bestFit="1" customWidth="1"/>
    <col min="6403" max="6405" width="8" style="26" customWidth="1"/>
    <col min="6406" max="6411" width="0" style="26" hidden="1" customWidth="1"/>
    <col min="6412" max="6412" width="7.85546875" style="26" customWidth="1"/>
    <col min="6413" max="6651" width="11.42578125" style="26"/>
    <col min="6652" max="6652" width="18.140625" style="26" customWidth="1"/>
    <col min="6653" max="6653" width="8.42578125" style="26" bestFit="1" customWidth="1"/>
    <col min="6654" max="6654" width="8" style="26" bestFit="1" customWidth="1"/>
    <col min="6655" max="6656" width="8" style="26" customWidth="1"/>
    <col min="6657" max="6657" width="8.28515625" style="26" bestFit="1" customWidth="1"/>
    <col min="6658" max="6658" width="8" style="26" bestFit="1" customWidth="1"/>
    <col min="6659" max="6661" width="8" style="26" customWidth="1"/>
    <col min="6662" max="6667" width="0" style="26" hidden="1" customWidth="1"/>
    <col min="6668" max="6668" width="7.85546875" style="26" customWidth="1"/>
    <col min="6669" max="6907" width="11.42578125" style="26"/>
    <col min="6908" max="6908" width="18.140625" style="26" customWidth="1"/>
    <col min="6909" max="6909" width="8.42578125" style="26" bestFit="1" customWidth="1"/>
    <col min="6910" max="6910" width="8" style="26" bestFit="1" customWidth="1"/>
    <col min="6911" max="6912" width="8" style="26" customWidth="1"/>
    <col min="6913" max="6913" width="8.28515625" style="26" bestFit="1" customWidth="1"/>
    <col min="6914" max="6914" width="8" style="26" bestFit="1" customWidth="1"/>
    <col min="6915" max="6917" width="8" style="26" customWidth="1"/>
    <col min="6918" max="6923" width="0" style="26" hidden="1" customWidth="1"/>
    <col min="6924" max="6924" width="7.85546875" style="26" customWidth="1"/>
    <col min="6925" max="7163" width="11.42578125" style="26"/>
    <col min="7164" max="7164" width="18.140625" style="26" customWidth="1"/>
    <col min="7165" max="7165" width="8.42578125" style="26" bestFit="1" customWidth="1"/>
    <col min="7166" max="7166" width="8" style="26" bestFit="1" customWidth="1"/>
    <col min="7167" max="7168" width="8" style="26" customWidth="1"/>
    <col min="7169" max="7169" width="8.28515625" style="26" bestFit="1" customWidth="1"/>
    <col min="7170" max="7170" width="8" style="26" bestFit="1" customWidth="1"/>
    <col min="7171" max="7173" width="8" style="26" customWidth="1"/>
    <col min="7174" max="7179" width="0" style="26" hidden="1" customWidth="1"/>
    <col min="7180" max="7180" width="7.85546875" style="26" customWidth="1"/>
    <col min="7181" max="7419" width="11.42578125" style="26"/>
    <col min="7420" max="7420" width="18.140625" style="26" customWidth="1"/>
    <col min="7421" max="7421" width="8.42578125" style="26" bestFit="1" customWidth="1"/>
    <col min="7422" max="7422" width="8" style="26" bestFit="1" customWidth="1"/>
    <col min="7423" max="7424" width="8" style="26" customWidth="1"/>
    <col min="7425" max="7425" width="8.28515625" style="26" bestFit="1" customWidth="1"/>
    <col min="7426" max="7426" width="8" style="26" bestFit="1" customWidth="1"/>
    <col min="7427" max="7429" width="8" style="26" customWidth="1"/>
    <col min="7430" max="7435" width="0" style="26" hidden="1" customWidth="1"/>
    <col min="7436" max="7436" width="7.85546875" style="26" customWidth="1"/>
    <col min="7437" max="7675" width="11.42578125" style="26"/>
    <col min="7676" max="7676" width="18.140625" style="26" customWidth="1"/>
    <col min="7677" max="7677" width="8.42578125" style="26" bestFit="1" customWidth="1"/>
    <col min="7678" max="7678" width="8" style="26" bestFit="1" customWidth="1"/>
    <col min="7679" max="7680" width="8" style="26" customWidth="1"/>
    <col min="7681" max="7681" width="8.28515625" style="26" bestFit="1" customWidth="1"/>
    <col min="7682" max="7682" width="8" style="26" bestFit="1" customWidth="1"/>
    <col min="7683" max="7685" width="8" style="26" customWidth="1"/>
    <col min="7686" max="7691" width="0" style="26" hidden="1" customWidth="1"/>
    <col min="7692" max="7692" width="7.85546875" style="26" customWidth="1"/>
    <col min="7693" max="7931" width="11.42578125" style="26"/>
    <col min="7932" max="7932" width="18.140625" style="26" customWidth="1"/>
    <col min="7933" max="7933" width="8.42578125" style="26" bestFit="1" customWidth="1"/>
    <col min="7934" max="7934" width="8" style="26" bestFit="1" customWidth="1"/>
    <col min="7935" max="7936" width="8" style="26" customWidth="1"/>
    <col min="7937" max="7937" width="8.28515625" style="26" bestFit="1" customWidth="1"/>
    <col min="7938" max="7938" width="8" style="26" bestFit="1" customWidth="1"/>
    <col min="7939" max="7941" width="8" style="26" customWidth="1"/>
    <col min="7942" max="7947" width="0" style="26" hidden="1" customWidth="1"/>
    <col min="7948" max="7948" width="7.85546875" style="26" customWidth="1"/>
    <col min="7949" max="8187" width="11.42578125" style="26"/>
    <col min="8188" max="8188" width="18.140625" style="26" customWidth="1"/>
    <col min="8189" max="8189" width="8.42578125" style="26" bestFit="1" customWidth="1"/>
    <col min="8190" max="8190" width="8" style="26" bestFit="1" customWidth="1"/>
    <col min="8191" max="8192" width="8" style="26" customWidth="1"/>
    <col min="8193" max="8193" width="8.28515625" style="26" bestFit="1" customWidth="1"/>
    <col min="8194" max="8194" width="8" style="26" bestFit="1" customWidth="1"/>
    <col min="8195" max="8197" width="8" style="26" customWidth="1"/>
    <col min="8198" max="8203" width="0" style="26" hidden="1" customWidth="1"/>
    <col min="8204" max="8204" width="7.85546875" style="26" customWidth="1"/>
    <col min="8205" max="8443" width="11.42578125" style="26"/>
    <col min="8444" max="8444" width="18.140625" style="26" customWidth="1"/>
    <col min="8445" max="8445" width="8.42578125" style="26" bestFit="1" customWidth="1"/>
    <col min="8446" max="8446" width="8" style="26" bestFit="1" customWidth="1"/>
    <col min="8447" max="8448" width="8" style="26" customWidth="1"/>
    <col min="8449" max="8449" width="8.28515625" style="26" bestFit="1" customWidth="1"/>
    <col min="8450" max="8450" width="8" style="26" bestFit="1" customWidth="1"/>
    <col min="8451" max="8453" width="8" style="26" customWidth="1"/>
    <col min="8454" max="8459" width="0" style="26" hidden="1" customWidth="1"/>
    <col min="8460" max="8460" width="7.85546875" style="26" customWidth="1"/>
    <col min="8461" max="8699" width="11.42578125" style="26"/>
    <col min="8700" max="8700" width="18.140625" style="26" customWidth="1"/>
    <col min="8701" max="8701" width="8.42578125" style="26" bestFit="1" customWidth="1"/>
    <col min="8702" max="8702" width="8" style="26" bestFit="1" customWidth="1"/>
    <col min="8703" max="8704" width="8" style="26" customWidth="1"/>
    <col min="8705" max="8705" width="8.28515625" style="26" bestFit="1" customWidth="1"/>
    <col min="8706" max="8706" width="8" style="26" bestFit="1" customWidth="1"/>
    <col min="8707" max="8709" width="8" style="26" customWidth="1"/>
    <col min="8710" max="8715" width="0" style="26" hidden="1" customWidth="1"/>
    <col min="8716" max="8716" width="7.85546875" style="26" customWidth="1"/>
    <col min="8717" max="8955" width="11.42578125" style="26"/>
    <col min="8956" max="8956" width="18.140625" style="26" customWidth="1"/>
    <col min="8957" max="8957" width="8.42578125" style="26" bestFit="1" customWidth="1"/>
    <col min="8958" max="8958" width="8" style="26" bestFit="1" customWidth="1"/>
    <col min="8959" max="8960" width="8" style="26" customWidth="1"/>
    <col min="8961" max="8961" width="8.28515625" style="26" bestFit="1" customWidth="1"/>
    <col min="8962" max="8962" width="8" style="26" bestFit="1" customWidth="1"/>
    <col min="8963" max="8965" width="8" style="26" customWidth="1"/>
    <col min="8966" max="8971" width="0" style="26" hidden="1" customWidth="1"/>
    <col min="8972" max="8972" width="7.85546875" style="26" customWidth="1"/>
    <col min="8973" max="9211" width="11.42578125" style="26"/>
    <col min="9212" max="9212" width="18.140625" style="26" customWidth="1"/>
    <col min="9213" max="9213" width="8.42578125" style="26" bestFit="1" customWidth="1"/>
    <col min="9214" max="9214" width="8" style="26" bestFit="1" customWidth="1"/>
    <col min="9215" max="9216" width="8" style="26" customWidth="1"/>
    <col min="9217" max="9217" width="8.28515625" style="26" bestFit="1" customWidth="1"/>
    <col min="9218" max="9218" width="8" style="26" bestFit="1" customWidth="1"/>
    <col min="9219" max="9221" width="8" style="26" customWidth="1"/>
    <col min="9222" max="9227" width="0" style="26" hidden="1" customWidth="1"/>
    <col min="9228" max="9228" width="7.85546875" style="26" customWidth="1"/>
    <col min="9229" max="9467" width="11.42578125" style="26"/>
    <col min="9468" max="9468" width="18.140625" style="26" customWidth="1"/>
    <col min="9469" max="9469" width="8.42578125" style="26" bestFit="1" customWidth="1"/>
    <col min="9470" max="9470" width="8" style="26" bestFit="1" customWidth="1"/>
    <col min="9471" max="9472" width="8" style="26" customWidth="1"/>
    <col min="9473" max="9473" width="8.28515625" style="26" bestFit="1" customWidth="1"/>
    <col min="9474" max="9474" width="8" style="26" bestFit="1" customWidth="1"/>
    <col min="9475" max="9477" width="8" style="26" customWidth="1"/>
    <col min="9478" max="9483" width="0" style="26" hidden="1" customWidth="1"/>
    <col min="9484" max="9484" width="7.85546875" style="26" customWidth="1"/>
    <col min="9485" max="9723" width="11.42578125" style="26"/>
    <col min="9724" max="9724" width="18.140625" style="26" customWidth="1"/>
    <col min="9725" max="9725" width="8.42578125" style="26" bestFit="1" customWidth="1"/>
    <col min="9726" max="9726" width="8" style="26" bestFit="1" customWidth="1"/>
    <col min="9727" max="9728" width="8" style="26" customWidth="1"/>
    <col min="9729" max="9729" width="8.28515625" style="26" bestFit="1" customWidth="1"/>
    <col min="9730" max="9730" width="8" style="26" bestFit="1" customWidth="1"/>
    <col min="9731" max="9733" width="8" style="26" customWidth="1"/>
    <col min="9734" max="9739" width="0" style="26" hidden="1" customWidth="1"/>
    <col min="9740" max="9740" width="7.85546875" style="26" customWidth="1"/>
    <col min="9741" max="9979" width="11.42578125" style="26"/>
    <col min="9980" max="9980" width="18.140625" style="26" customWidth="1"/>
    <col min="9981" max="9981" width="8.42578125" style="26" bestFit="1" customWidth="1"/>
    <col min="9982" max="9982" width="8" style="26" bestFit="1" customWidth="1"/>
    <col min="9983" max="9984" width="8" style="26" customWidth="1"/>
    <col min="9985" max="9985" width="8.28515625" style="26" bestFit="1" customWidth="1"/>
    <col min="9986" max="9986" width="8" style="26" bestFit="1" customWidth="1"/>
    <col min="9987" max="9989" width="8" style="26" customWidth="1"/>
    <col min="9990" max="9995" width="0" style="26" hidden="1" customWidth="1"/>
    <col min="9996" max="9996" width="7.85546875" style="26" customWidth="1"/>
    <col min="9997" max="10235" width="11.42578125" style="26"/>
    <col min="10236" max="10236" width="18.140625" style="26" customWidth="1"/>
    <col min="10237" max="10237" width="8.42578125" style="26" bestFit="1" customWidth="1"/>
    <col min="10238" max="10238" width="8" style="26" bestFit="1" customWidth="1"/>
    <col min="10239" max="10240" width="8" style="26" customWidth="1"/>
    <col min="10241" max="10241" width="8.28515625" style="26" bestFit="1" customWidth="1"/>
    <col min="10242" max="10242" width="8" style="26" bestFit="1" customWidth="1"/>
    <col min="10243" max="10245" width="8" style="26" customWidth="1"/>
    <col min="10246" max="10251" width="0" style="26" hidden="1" customWidth="1"/>
    <col min="10252" max="10252" width="7.85546875" style="26" customWidth="1"/>
    <col min="10253" max="10491" width="11.42578125" style="26"/>
    <col min="10492" max="10492" width="18.140625" style="26" customWidth="1"/>
    <col min="10493" max="10493" width="8.42578125" style="26" bestFit="1" customWidth="1"/>
    <col min="10494" max="10494" width="8" style="26" bestFit="1" customWidth="1"/>
    <col min="10495" max="10496" width="8" style="26" customWidth="1"/>
    <col min="10497" max="10497" width="8.28515625" style="26" bestFit="1" customWidth="1"/>
    <col min="10498" max="10498" width="8" style="26" bestFit="1" customWidth="1"/>
    <col min="10499" max="10501" width="8" style="26" customWidth="1"/>
    <col min="10502" max="10507" width="0" style="26" hidden="1" customWidth="1"/>
    <col min="10508" max="10508" width="7.85546875" style="26" customWidth="1"/>
    <col min="10509" max="10747" width="11.42578125" style="26"/>
    <col min="10748" max="10748" width="18.140625" style="26" customWidth="1"/>
    <col min="10749" max="10749" width="8.42578125" style="26" bestFit="1" customWidth="1"/>
    <col min="10750" max="10750" width="8" style="26" bestFit="1" customWidth="1"/>
    <col min="10751" max="10752" width="8" style="26" customWidth="1"/>
    <col min="10753" max="10753" width="8.28515625" style="26" bestFit="1" customWidth="1"/>
    <col min="10754" max="10754" width="8" style="26" bestFit="1" customWidth="1"/>
    <col min="10755" max="10757" width="8" style="26" customWidth="1"/>
    <col min="10758" max="10763" width="0" style="26" hidden="1" customWidth="1"/>
    <col min="10764" max="10764" width="7.85546875" style="26" customWidth="1"/>
    <col min="10765" max="11003" width="11.42578125" style="26"/>
    <col min="11004" max="11004" width="18.140625" style="26" customWidth="1"/>
    <col min="11005" max="11005" width="8.42578125" style="26" bestFit="1" customWidth="1"/>
    <col min="11006" max="11006" width="8" style="26" bestFit="1" customWidth="1"/>
    <col min="11007" max="11008" width="8" style="26" customWidth="1"/>
    <col min="11009" max="11009" width="8.28515625" style="26" bestFit="1" customWidth="1"/>
    <col min="11010" max="11010" width="8" style="26" bestFit="1" customWidth="1"/>
    <col min="11011" max="11013" width="8" style="26" customWidth="1"/>
    <col min="11014" max="11019" width="0" style="26" hidden="1" customWidth="1"/>
    <col min="11020" max="11020" width="7.85546875" style="26" customWidth="1"/>
    <col min="11021" max="11259" width="11.42578125" style="26"/>
    <col min="11260" max="11260" width="18.140625" style="26" customWidth="1"/>
    <col min="11261" max="11261" width="8.42578125" style="26" bestFit="1" customWidth="1"/>
    <col min="11262" max="11262" width="8" style="26" bestFit="1" customWidth="1"/>
    <col min="11263" max="11264" width="8" style="26" customWidth="1"/>
    <col min="11265" max="11265" width="8.28515625" style="26" bestFit="1" customWidth="1"/>
    <col min="11266" max="11266" width="8" style="26" bestFit="1" customWidth="1"/>
    <col min="11267" max="11269" width="8" style="26" customWidth="1"/>
    <col min="11270" max="11275" width="0" style="26" hidden="1" customWidth="1"/>
    <col min="11276" max="11276" width="7.85546875" style="26" customWidth="1"/>
    <col min="11277" max="11515" width="11.42578125" style="26"/>
    <col min="11516" max="11516" width="18.140625" style="26" customWidth="1"/>
    <col min="11517" max="11517" width="8.42578125" style="26" bestFit="1" customWidth="1"/>
    <col min="11518" max="11518" width="8" style="26" bestFit="1" customWidth="1"/>
    <col min="11519" max="11520" width="8" style="26" customWidth="1"/>
    <col min="11521" max="11521" width="8.28515625" style="26" bestFit="1" customWidth="1"/>
    <col min="11522" max="11522" width="8" style="26" bestFit="1" customWidth="1"/>
    <col min="11523" max="11525" width="8" style="26" customWidth="1"/>
    <col min="11526" max="11531" width="0" style="26" hidden="1" customWidth="1"/>
    <col min="11532" max="11532" width="7.85546875" style="26" customWidth="1"/>
    <col min="11533" max="11771" width="11.42578125" style="26"/>
    <col min="11772" max="11772" width="18.140625" style="26" customWidth="1"/>
    <col min="11773" max="11773" width="8.42578125" style="26" bestFit="1" customWidth="1"/>
    <col min="11774" max="11774" width="8" style="26" bestFit="1" customWidth="1"/>
    <col min="11775" max="11776" width="8" style="26" customWidth="1"/>
    <col min="11777" max="11777" width="8.28515625" style="26" bestFit="1" customWidth="1"/>
    <col min="11778" max="11778" width="8" style="26" bestFit="1" customWidth="1"/>
    <col min="11779" max="11781" width="8" style="26" customWidth="1"/>
    <col min="11782" max="11787" width="0" style="26" hidden="1" customWidth="1"/>
    <col min="11788" max="11788" width="7.85546875" style="26" customWidth="1"/>
    <col min="11789" max="12027" width="11.42578125" style="26"/>
    <col min="12028" max="12028" width="18.140625" style="26" customWidth="1"/>
    <col min="12029" max="12029" width="8.42578125" style="26" bestFit="1" customWidth="1"/>
    <col min="12030" max="12030" width="8" style="26" bestFit="1" customWidth="1"/>
    <col min="12031" max="12032" width="8" style="26" customWidth="1"/>
    <col min="12033" max="12033" width="8.28515625" style="26" bestFit="1" customWidth="1"/>
    <col min="12034" max="12034" width="8" style="26" bestFit="1" customWidth="1"/>
    <col min="12035" max="12037" width="8" style="26" customWidth="1"/>
    <col min="12038" max="12043" width="0" style="26" hidden="1" customWidth="1"/>
    <col min="12044" max="12044" width="7.85546875" style="26" customWidth="1"/>
    <col min="12045" max="12283" width="11.42578125" style="26"/>
    <col min="12284" max="12284" width="18.140625" style="26" customWidth="1"/>
    <col min="12285" max="12285" width="8.42578125" style="26" bestFit="1" customWidth="1"/>
    <col min="12286" max="12286" width="8" style="26" bestFit="1" customWidth="1"/>
    <col min="12287" max="12288" width="8" style="26" customWidth="1"/>
    <col min="12289" max="12289" width="8.28515625" style="26" bestFit="1" customWidth="1"/>
    <col min="12290" max="12290" width="8" style="26" bestFit="1" customWidth="1"/>
    <col min="12291" max="12293" width="8" style="26" customWidth="1"/>
    <col min="12294" max="12299" width="0" style="26" hidden="1" customWidth="1"/>
    <col min="12300" max="12300" width="7.85546875" style="26" customWidth="1"/>
    <col min="12301" max="12539" width="11.42578125" style="26"/>
    <col min="12540" max="12540" width="18.140625" style="26" customWidth="1"/>
    <col min="12541" max="12541" width="8.42578125" style="26" bestFit="1" customWidth="1"/>
    <col min="12542" max="12542" width="8" style="26" bestFit="1" customWidth="1"/>
    <col min="12543" max="12544" width="8" style="26" customWidth="1"/>
    <col min="12545" max="12545" width="8.28515625" style="26" bestFit="1" customWidth="1"/>
    <col min="12546" max="12546" width="8" style="26" bestFit="1" customWidth="1"/>
    <col min="12547" max="12549" width="8" style="26" customWidth="1"/>
    <col min="12550" max="12555" width="0" style="26" hidden="1" customWidth="1"/>
    <col min="12556" max="12556" width="7.85546875" style="26" customWidth="1"/>
    <col min="12557" max="12795" width="11.42578125" style="26"/>
    <col min="12796" max="12796" width="18.140625" style="26" customWidth="1"/>
    <col min="12797" max="12797" width="8.42578125" style="26" bestFit="1" customWidth="1"/>
    <col min="12798" max="12798" width="8" style="26" bestFit="1" customWidth="1"/>
    <col min="12799" max="12800" width="8" style="26" customWidth="1"/>
    <col min="12801" max="12801" width="8.28515625" style="26" bestFit="1" customWidth="1"/>
    <col min="12802" max="12802" width="8" style="26" bestFit="1" customWidth="1"/>
    <col min="12803" max="12805" width="8" style="26" customWidth="1"/>
    <col min="12806" max="12811" width="0" style="26" hidden="1" customWidth="1"/>
    <col min="12812" max="12812" width="7.85546875" style="26" customWidth="1"/>
    <col min="12813" max="13051" width="11.42578125" style="26"/>
    <col min="13052" max="13052" width="18.140625" style="26" customWidth="1"/>
    <col min="13053" max="13053" width="8.42578125" style="26" bestFit="1" customWidth="1"/>
    <col min="13054" max="13054" width="8" style="26" bestFit="1" customWidth="1"/>
    <col min="13055" max="13056" width="8" style="26" customWidth="1"/>
    <col min="13057" max="13057" width="8.28515625" style="26" bestFit="1" customWidth="1"/>
    <col min="13058" max="13058" width="8" style="26" bestFit="1" customWidth="1"/>
    <col min="13059" max="13061" width="8" style="26" customWidth="1"/>
    <col min="13062" max="13067" width="0" style="26" hidden="1" customWidth="1"/>
    <col min="13068" max="13068" width="7.85546875" style="26" customWidth="1"/>
    <col min="13069" max="13307" width="11.42578125" style="26"/>
    <col min="13308" max="13308" width="18.140625" style="26" customWidth="1"/>
    <col min="13309" max="13309" width="8.42578125" style="26" bestFit="1" customWidth="1"/>
    <col min="13310" max="13310" width="8" style="26" bestFit="1" customWidth="1"/>
    <col min="13311" max="13312" width="8" style="26" customWidth="1"/>
    <col min="13313" max="13313" width="8.28515625" style="26" bestFit="1" customWidth="1"/>
    <col min="13314" max="13314" width="8" style="26" bestFit="1" customWidth="1"/>
    <col min="13315" max="13317" width="8" style="26" customWidth="1"/>
    <col min="13318" max="13323" width="0" style="26" hidden="1" customWidth="1"/>
    <col min="13324" max="13324" width="7.85546875" style="26" customWidth="1"/>
    <col min="13325" max="13563" width="11.42578125" style="26"/>
    <col min="13564" max="13564" width="18.140625" style="26" customWidth="1"/>
    <col min="13565" max="13565" width="8.42578125" style="26" bestFit="1" customWidth="1"/>
    <col min="13566" max="13566" width="8" style="26" bestFit="1" customWidth="1"/>
    <col min="13567" max="13568" width="8" style="26" customWidth="1"/>
    <col min="13569" max="13569" width="8.28515625" style="26" bestFit="1" customWidth="1"/>
    <col min="13570" max="13570" width="8" style="26" bestFit="1" customWidth="1"/>
    <col min="13571" max="13573" width="8" style="26" customWidth="1"/>
    <col min="13574" max="13579" width="0" style="26" hidden="1" customWidth="1"/>
    <col min="13580" max="13580" width="7.85546875" style="26" customWidth="1"/>
    <col min="13581" max="13819" width="11.42578125" style="26"/>
    <col min="13820" max="13820" width="18.140625" style="26" customWidth="1"/>
    <col min="13821" max="13821" width="8.42578125" style="26" bestFit="1" customWidth="1"/>
    <col min="13822" max="13822" width="8" style="26" bestFit="1" customWidth="1"/>
    <col min="13823" max="13824" width="8" style="26" customWidth="1"/>
    <col min="13825" max="13825" width="8.28515625" style="26" bestFit="1" customWidth="1"/>
    <col min="13826" max="13826" width="8" style="26" bestFit="1" customWidth="1"/>
    <col min="13827" max="13829" width="8" style="26" customWidth="1"/>
    <col min="13830" max="13835" width="0" style="26" hidden="1" customWidth="1"/>
    <col min="13836" max="13836" width="7.85546875" style="26" customWidth="1"/>
    <col min="13837" max="14075" width="11.42578125" style="26"/>
    <col min="14076" max="14076" width="18.140625" style="26" customWidth="1"/>
    <col min="14077" max="14077" width="8.42578125" style="26" bestFit="1" customWidth="1"/>
    <col min="14078" max="14078" width="8" style="26" bestFit="1" customWidth="1"/>
    <col min="14079" max="14080" width="8" style="26" customWidth="1"/>
    <col min="14081" max="14081" width="8.28515625" style="26" bestFit="1" customWidth="1"/>
    <col min="14082" max="14082" width="8" style="26" bestFit="1" customWidth="1"/>
    <col min="14083" max="14085" width="8" style="26" customWidth="1"/>
    <col min="14086" max="14091" width="0" style="26" hidden="1" customWidth="1"/>
    <col min="14092" max="14092" width="7.85546875" style="26" customWidth="1"/>
    <col min="14093" max="14331" width="11.42578125" style="26"/>
    <col min="14332" max="14332" width="18.140625" style="26" customWidth="1"/>
    <col min="14333" max="14333" width="8.42578125" style="26" bestFit="1" customWidth="1"/>
    <col min="14334" max="14334" width="8" style="26" bestFit="1" customWidth="1"/>
    <col min="14335" max="14336" width="8" style="26" customWidth="1"/>
    <col min="14337" max="14337" width="8.28515625" style="26" bestFit="1" customWidth="1"/>
    <col min="14338" max="14338" width="8" style="26" bestFit="1" customWidth="1"/>
    <col min="14339" max="14341" width="8" style="26" customWidth="1"/>
    <col min="14342" max="14347" width="0" style="26" hidden="1" customWidth="1"/>
    <col min="14348" max="14348" width="7.85546875" style="26" customWidth="1"/>
    <col min="14349" max="14587" width="11.42578125" style="26"/>
    <col min="14588" max="14588" width="18.140625" style="26" customWidth="1"/>
    <col min="14589" max="14589" width="8.42578125" style="26" bestFit="1" customWidth="1"/>
    <col min="14590" max="14590" width="8" style="26" bestFit="1" customWidth="1"/>
    <col min="14591" max="14592" width="8" style="26" customWidth="1"/>
    <col min="14593" max="14593" width="8.28515625" style="26" bestFit="1" customWidth="1"/>
    <col min="14594" max="14594" width="8" style="26" bestFit="1" customWidth="1"/>
    <col min="14595" max="14597" width="8" style="26" customWidth="1"/>
    <col min="14598" max="14603" width="0" style="26" hidden="1" customWidth="1"/>
    <col min="14604" max="14604" width="7.85546875" style="26" customWidth="1"/>
    <col min="14605" max="14843" width="11.42578125" style="26"/>
    <col min="14844" max="14844" width="18.140625" style="26" customWidth="1"/>
    <col min="14845" max="14845" width="8.42578125" style="26" bestFit="1" customWidth="1"/>
    <col min="14846" max="14846" width="8" style="26" bestFit="1" customWidth="1"/>
    <col min="14847" max="14848" width="8" style="26" customWidth="1"/>
    <col min="14849" max="14849" width="8.28515625" style="26" bestFit="1" customWidth="1"/>
    <col min="14850" max="14850" width="8" style="26" bestFit="1" customWidth="1"/>
    <col min="14851" max="14853" width="8" style="26" customWidth="1"/>
    <col min="14854" max="14859" width="0" style="26" hidden="1" customWidth="1"/>
    <col min="14860" max="14860" width="7.85546875" style="26" customWidth="1"/>
    <col min="14861" max="15099" width="11.42578125" style="26"/>
    <col min="15100" max="15100" width="18.140625" style="26" customWidth="1"/>
    <col min="15101" max="15101" width="8.42578125" style="26" bestFit="1" customWidth="1"/>
    <col min="15102" max="15102" width="8" style="26" bestFit="1" customWidth="1"/>
    <col min="15103" max="15104" width="8" style="26" customWidth="1"/>
    <col min="15105" max="15105" width="8.28515625" style="26" bestFit="1" customWidth="1"/>
    <col min="15106" max="15106" width="8" style="26" bestFit="1" customWidth="1"/>
    <col min="15107" max="15109" width="8" style="26" customWidth="1"/>
    <col min="15110" max="15115" width="0" style="26" hidden="1" customWidth="1"/>
    <col min="15116" max="15116" width="7.85546875" style="26" customWidth="1"/>
    <col min="15117" max="15355" width="11.42578125" style="26"/>
    <col min="15356" max="15356" width="18.140625" style="26" customWidth="1"/>
    <col min="15357" max="15357" width="8.42578125" style="26" bestFit="1" customWidth="1"/>
    <col min="15358" max="15358" width="8" style="26" bestFit="1" customWidth="1"/>
    <col min="15359" max="15360" width="8" style="26" customWidth="1"/>
    <col min="15361" max="15361" width="8.28515625" style="26" bestFit="1" customWidth="1"/>
    <col min="15362" max="15362" width="8" style="26" bestFit="1" customWidth="1"/>
    <col min="15363" max="15365" width="8" style="26" customWidth="1"/>
    <col min="15366" max="15371" width="0" style="26" hidden="1" customWidth="1"/>
    <col min="15372" max="15372" width="7.85546875" style="26" customWidth="1"/>
    <col min="15373" max="15611" width="11.42578125" style="26"/>
    <col min="15612" max="15612" width="18.140625" style="26" customWidth="1"/>
    <col min="15613" max="15613" width="8.42578125" style="26" bestFit="1" customWidth="1"/>
    <col min="15614" max="15614" width="8" style="26" bestFit="1" customWidth="1"/>
    <col min="15615" max="15616" width="8" style="26" customWidth="1"/>
    <col min="15617" max="15617" width="8.28515625" style="26" bestFit="1" customWidth="1"/>
    <col min="15618" max="15618" width="8" style="26" bestFit="1" customWidth="1"/>
    <col min="15619" max="15621" width="8" style="26" customWidth="1"/>
    <col min="15622" max="15627" width="0" style="26" hidden="1" customWidth="1"/>
    <col min="15628" max="15628" width="7.85546875" style="26" customWidth="1"/>
    <col min="15629" max="15867" width="11.42578125" style="26"/>
    <col min="15868" max="15868" width="18.140625" style="26" customWidth="1"/>
    <col min="15869" max="15869" width="8.42578125" style="26" bestFit="1" customWidth="1"/>
    <col min="15870" max="15870" width="8" style="26" bestFit="1" customWidth="1"/>
    <col min="15871" max="15872" width="8" style="26" customWidth="1"/>
    <col min="15873" max="15873" width="8.28515625" style="26" bestFit="1" customWidth="1"/>
    <col min="15874" max="15874" width="8" style="26" bestFit="1" customWidth="1"/>
    <col min="15875" max="15877" width="8" style="26" customWidth="1"/>
    <col min="15878" max="15883" width="0" style="26" hidden="1" customWidth="1"/>
    <col min="15884" max="15884" width="7.85546875" style="26" customWidth="1"/>
    <col min="15885" max="16123" width="11.42578125" style="26"/>
    <col min="16124" max="16124" width="18.140625" style="26" customWidth="1"/>
    <col min="16125" max="16125" width="8.42578125" style="26" bestFit="1" customWidth="1"/>
    <col min="16126" max="16126" width="8" style="26" bestFit="1" customWidth="1"/>
    <col min="16127" max="16128" width="8" style="26" customWidth="1"/>
    <col min="16129" max="16129" width="8.28515625" style="26" bestFit="1" customWidth="1"/>
    <col min="16130" max="16130" width="8" style="26" bestFit="1" customWidth="1"/>
    <col min="16131" max="16133" width="8" style="26" customWidth="1"/>
    <col min="16134" max="16139" width="0" style="26" hidden="1" customWidth="1"/>
    <col min="16140" max="16140" width="7.85546875" style="26" customWidth="1"/>
    <col min="16141" max="16384" width="11.42578125" style="26"/>
  </cols>
  <sheetData>
    <row r="1" spans="1:16" s="27" customFormat="1" x14ac:dyDescent="0.2">
      <c r="B1" s="39"/>
      <c r="C1" s="39"/>
      <c r="D1" s="39"/>
      <c r="E1" s="39"/>
      <c r="F1" s="39"/>
      <c r="G1" s="39"/>
      <c r="H1" s="39"/>
      <c r="I1" s="39"/>
      <c r="J1" s="39"/>
      <c r="K1" s="39"/>
      <c r="L1" s="39"/>
    </row>
    <row r="2" spans="1:16" s="27" customFormat="1" x14ac:dyDescent="0.2">
      <c r="A2" s="47" t="s">
        <v>101</v>
      </c>
      <c r="B2" s="39"/>
      <c r="C2" s="39"/>
      <c r="D2" s="39"/>
      <c r="E2" s="39"/>
      <c r="F2" s="39"/>
      <c r="G2" s="39"/>
      <c r="H2" s="39"/>
      <c r="I2" s="39"/>
      <c r="K2" s="39"/>
      <c r="L2" s="39"/>
    </row>
    <row r="3" spans="1:16" s="27" customFormat="1" ht="15" x14ac:dyDescent="0.25">
      <c r="A3" s="47" t="s">
        <v>102</v>
      </c>
      <c r="B3" s="39"/>
      <c r="C3" s="39"/>
      <c r="D3" s="39"/>
      <c r="E3" s="39"/>
      <c r="F3" s="39"/>
      <c r="G3" s="39"/>
      <c r="H3" s="39"/>
      <c r="I3" s="39"/>
      <c r="J3" s="39"/>
      <c r="K3" s="95"/>
      <c r="L3" s="39"/>
    </row>
    <row r="4" spans="1:16" s="27" customFormat="1" x14ac:dyDescent="0.2">
      <c r="B4" s="39"/>
      <c r="C4" s="39"/>
      <c r="D4" s="39"/>
      <c r="E4" s="39"/>
      <c r="F4" s="39"/>
      <c r="G4" s="39"/>
      <c r="H4" s="39"/>
      <c r="I4" s="39"/>
      <c r="J4" s="39"/>
      <c r="K4" s="39"/>
      <c r="L4" s="39"/>
    </row>
    <row r="5" spans="1:16" s="27" customFormat="1" ht="12.75" x14ac:dyDescent="0.2">
      <c r="B5" s="369" t="s">
        <v>99</v>
      </c>
      <c r="C5" s="369"/>
      <c r="D5" s="369"/>
      <c r="E5" s="369"/>
      <c r="F5" s="369"/>
      <c r="G5" s="369"/>
      <c r="H5" s="369"/>
      <c r="I5" s="369"/>
      <c r="J5" s="369"/>
      <c r="K5" s="369"/>
      <c r="M5" s="122" t="s">
        <v>566</v>
      </c>
      <c r="O5" s="96"/>
    </row>
    <row r="6" spans="1:16" s="27" customFormat="1" ht="12.75" x14ac:dyDescent="0.2">
      <c r="B6" s="385" t="str">
        <f>'Solicitudes Regiones'!$B$6:$R$6</f>
        <v>Acumuladas de julio de 2008 a diciembre de 2021</v>
      </c>
      <c r="C6" s="385"/>
      <c r="D6" s="385"/>
      <c r="E6" s="385"/>
      <c r="F6" s="385"/>
      <c r="G6" s="385"/>
      <c r="H6" s="385"/>
      <c r="I6" s="385"/>
      <c r="J6" s="385"/>
      <c r="K6" s="385"/>
      <c r="L6" s="56"/>
    </row>
    <row r="7" spans="1:16" s="30" customFormat="1" x14ac:dyDescent="0.2">
      <c r="B7" s="28"/>
      <c r="C7" s="29"/>
      <c r="D7" s="29"/>
      <c r="E7" s="29"/>
      <c r="F7" s="29"/>
      <c r="G7" s="29"/>
      <c r="H7" s="29"/>
      <c r="I7" s="29"/>
      <c r="J7" s="29"/>
      <c r="K7" s="29"/>
      <c r="L7" s="29"/>
    </row>
    <row r="8" spans="1:16" ht="15" customHeight="1" x14ac:dyDescent="0.2">
      <c r="B8" s="399" t="s">
        <v>55</v>
      </c>
      <c r="C8" s="399"/>
      <c r="D8" s="399"/>
      <c r="E8" s="399"/>
      <c r="F8" s="399"/>
      <c r="G8" s="399"/>
      <c r="H8" s="399"/>
      <c r="I8" s="399"/>
      <c r="J8" s="399"/>
      <c r="K8" s="399"/>
      <c r="L8" s="399"/>
      <c r="M8" s="399"/>
    </row>
    <row r="9" spans="1:16" ht="20.25" customHeight="1" x14ac:dyDescent="0.2">
      <c r="B9" s="399" t="s">
        <v>56</v>
      </c>
      <c r="C9" s="397" t="s">
        <v>2</v>
      </c>
      <c r="D9" s="400"/>
      <c r="E9" s="400"/>
      <c r="F9" s="400"/>
      <c r="G9" s="400"/>
      <c r="H9" s="400"/>
      <c r="I9" s="400"/>
      <c r="J9" s="400"/>
      <c r="K9" s="398"/>
      <c r="L9" s="397"/>
      <c r="M9" s="398"/>
    </row>
    <row r="10" spans="1:16" ht="24" x14ac:dyDescent="0.2">
      <c r="B10" s="399"/>
      <c r="C10" s="23" t="s">
        <v>57</v>
      </c>
      <c r="D10" s="23" t="s">
        <v>58</v>
      </c>
      <c r="E10" s="23" t="s">
        <v>59</v>
      </c>
      <c r="F10" s="23" t="s">
        <v>60</v>
      </c>
      <c r="G10" s="23" t="s">
        <v>8</v>
      </c>
      <c r="H10" s="23" t="s">
        <v>61</v>
      </c>
      <c r="I10" s="23" t="s">
        <v>62</v>
      </c>
      <c r="J10" s="23" t="s">
        <v>63</v>
      </c>
      <c r="K10" s="261" t="s">
        <v>31</v>
      </c>
      <c r="L10" s="261" t="s">
        <v>584</v>
      </c>
      <c r="M10" s="261" t="s">
        <v>587</v>
      </c>
    </row>
    <row r="11" spans="1:16" x14ac:dyDescent="0.2">
      <c r="B11" s="18" t="s">
        <v>399</v>
      </c>
      <c r="C11" s="18">
        <v>3247</v>
      </c>
      <c r="D11" s="18">
        <v>1443</v>
      </c>
      <c r="E11" s="18">
        <f>C11+D11</f>
        <v>4690</v>
      </c>
      <c r="F11" s="19">
        <f>E11/$E$22</f>
        <v>0.72198275862068961</v>
      </c>
      <c r="G11" s="18">
        <v>13862</v>
      </c>
      <c r="H11" s="18">
        <v>776</v>
      </c>
      <c r="I11" s="18">
        <f>G11+H11</f>
        <v>14638</v>
      </c>
      <c r="J11" s="19">
        <f>I11/$I$22</f>
        <v>0.80155514182455367</v>
      </c>
      <c r="K11" s="18">
        <f t="shared" ref="K11:K21" si="0">E11+I11</f>
        <v>19328</v>
      </c>
      <c r="L11" s="18">
        <v>10</v>
      </c>
      <c r="M11" s="18">
        <f>K11+L11</f>
        <v>19338</v>
      </c>
      <c r="P11" s="61"/>
    </row>
    <row r="12" spans="1:16" x14ac:dyDescent="0.2">
      <c r="B12" s="18" t="s">
        <v>400</v>
      </c>
      <c r="C12" s="18">
        <v>2</v>
      </c>
      <c r="D12" s="18">
        <v>1</v>
      </c>
      <c r="E12" s="18">
        <f t="shared" ref="E12:E21" si="1">C12+D12</f>
        <v>3</v>
      </c>
      <c r="F12" s="19"/>
      <c r="G12" s="18">
        <v>11</v>
      </c>
      <c r="H12" s="18">
        <v>1</v>
      </c>
      <c r="I12" s="18">
        <f t="shared" ref="I12:I21" si="2">G12+H12</f>
        <v>12</v>
      </c>
      <c r="J12" s="19"/>
      <c r="K12" s="18">
        <f t="shared" si="0"/>
        <v>15</v>
      </c>
      <c r="L12" s="18">
        <v>0</v>
      </c>
      <c r="M12" s="18">
        <f t="shared" ref="M12:M22" si="3">K12+L12</f>
        <v>15</v>
      </c>
      <c r="P12" s="61"/>
    </row>
    <row r="13" spans="1:16" x14ac:dyDescent="0.2">
      <c r="B13" s="18" t="s">
        <v>401</v>
      </c>
      <c r="C13" s="18">
        <v>1</v>
      </c>
      <c r="D13" s="18">
        <v>0</v>
      </c>
      <c r="E13" s="18">
        <f t="shared" si="1"/>
        <v>1</v>
      </c>
      <c r="F13" s="19">
        <f t="shared" ref="F13:F20" si="4">E13/$E$22</f>
        <v>1.5394088669950739E-4</v>
      </c>
      <c r="G13" s="18">
        <v>7</v>
      </c>
      <c r="H13" s="18">
        <v>1</v>
      </c>
      <c r="I13" s="18">
        <f t="shared" si="2"/>
        <v>8</v>
      </c>
      <c r="J13" s="19">
        <f t="shared" ref="J13:J20" si="5">I13/$I$22</f>
        <v>4.3806811959259663E-4</v>
      </c>
      <c r="K13" s="18">
        <f t="shared" si="0"/>
        <v>9</v>
      </c>
      <c r="L13" s="18">
        <v>0</v>
      </c>
      <c r="M13" s="18">
        <f t="shared" si="3"/>
        <v>9</v>
      </c>
      <c r="P13" s="61"/>
    </row>
    <row r="14" spans="1:16" x14ac:dyDescent="0.2">
      <c r="B14" s="18" t="s">
        <v>402</v>
      </c>
      <c r="C14" s="18">
        <v>6</v>
      </c>
      <c r="D14" s="18">
        <v>0</v>
      </c>
      <c r="E14" s="18">
        <f t="shared" si="1"/>
        <v>6</v>
      </c>
      <c r="F14" s="19">
        <f t="shared" si="4"/>
        <v>9.2364532019704429E-4</v>
      </c>
      <c r="G14" s="18">
        <v>23</v>
      </c>
      <c r="H14" s="18">
        <v>1</v>
      </c>
      <c r="I14" s="18">
        <f t="shared" si="2"/>
        <v>24</v>
      </c>
      <c r="J14" s="19">
        <f t="shared" si="5"/>
        <v>1.3142043587777901E-3</v>
      </c>
      <c r="K14" s="18">
        <f t="shared" si="0"/>
        <v>30</v>
      </c>
      <c r="L14" s="18">
        <v>0</v>
      </c>
      <c r="M14" s="18">
        <f t="shared" si="3"/>
        <v>30</v>
      </c>
      <c r="P14" s="61"/>
    </row>
    <row r="15" spans="1:16" x14ac:dyDescent="0.2">
      <c r="B15" s="18" t="s">
        <v>403</v>
      </c>
      <c r="C15" s="18">
        <v>15</v>
      </c>
      <c r="D15" s="18">
        <v>9</v>
      </c>
      <c r="E15" s="18">
        <f t="shared" si="1"/>
        <v>24</v>
      </c>
      <c r="F15" s="19"/>
      <c r="G15" s="18">
        <v>70</v>
      </c>
      <c r="H15" s="18">
        <v>7</v>
      </c>
      <c r="I15" s="18">
        <f t="shared" si="2"/>
        <v>77</v>
      </c>
      <c r="J15" s="19"/>
      <c r="K15" s="18">
        <f t="shared" si="0"/>
        <v>101</v>
      </c>
      <c r="L15" s="18">
        <v>0</v>
      </c>
      <c r="M15" s="18">
        <f t="shared" si="3"/>
        <v>101</v>
      </c>
      <c r="P15" s="61"/>
    </row>
    <row r="16" spans="1:16" x14ac:dyDescent="0.2">
      <c r="B16" s="18" t="s">
        <v>404</v>
      </c>
      <c r="C16" s="18">
        <v>0</v>
      </c>
      <c r="D16" s="18">
        <v>0</v>
      </c>
      <c r="E16" s="18">
        <f t="shared" si="1"/>
        <v>0</v>
      </c>
      <c r="F16" s="19">
        <f t="shared" si="4"/>
        <v>0</v>
      </c>
      <c r="G16" s="18">
        <v>4</v>
      </c>
      <c r="H16" s="18">
        <v>0</v>
      </c>
      <c r="I16" s="18">
        <f t="shared" si="2"/>
        <v>4</v>
      </c>
      <c r="J16" s="19">
        <f t="shared" si="5"/>
        <v>2.1903405979629831E-4</v>
      </c>
      <c r="K16" s="18">
        <f t="shared" si="0"/>
        <v>4</v>
      </c>
      <c r="L16" s="18">
        <v>0</v>
      </c>
      <c r="M16" s="18">
        <f t="shared" si="3"/>
        <v>4</v>
      </c>
      <c r="P16" s="61"/>
    </row>
    <row r="17" spans="2:16" x14ac:dyDescent="0.2">
      <c r="B17" s="18" t="s">
        <v>405</v>
      </c>
      <c r="C17" s="18">
        <v>159</v>
      </c>
      <c r="D17" s="18">
        <v>59</v>
      </c>
      <c r="E17" s="18">
        <f t="shared" si="1"/>
        <v>218</v>
      </c>
      <c r="F17" s="19">
        <f t="shared" si="4"/>
        <v>3.3559113300492611E-2</v>
      </c>
      <c r="G17" s="18">
        <v>612</v>
      </c>
      <c r="H17" s="18">
        <v>34</v>
      </c>
      <c r="I17" s="18">
        <f t="shared" si="2"/>
        <v>646</v>
      </c>
      <c r="J17" s="19">
        <f t="shared" si="5"/>
        <v>3.5374000657102181E-2</v>
      </c>
      <c r="K17" s="18">
        <f t="shared" si="0"/>
        <v>864</v>
      </c>
      <c r="L17" s="18">
        <v>0</v>
      </c>
      <c r="M17" s="18">
        <f t="shared" si="3"/>
        <v>864</v>
      </c>
      <c r="P17" s="61"/>
    </row>
    <row r="18" spans="2:16" x14ac:dyDescent="0.2">
      <c r="B18" s="18" t="s">
        <v>406</v>
      </c>
      <c r="C18" s="18">
        <v>7</v>
      </c>
      <c r="D18" s="18">
        <v>5</v>
      </c>
      <c r="E18" s="18">
        <f t="shared" si="1"/>
        <v>12</v>
      </c>
      <c r="F18" s="19">
        <f t="shared" si="4"/>
        <v>1.8472906403940886E-3</v>
      </c>
      <c r="G18" s="18">
        <v>43</v>
      </c>
      <c r="H18" s="18">
        <v>2</v>
      </c>
      <c r="I18" s="18">
        <f t="shared" si="2"/>
        <v>45</v>
      </c>
      <c r="J18" s="19">
        <f t="shared" si="5"/>
        <v>2.4641331727083562E-3</v>
      </c>
      <c r="K18" s="18">
        <f t="shared" si="0"/>
        <v>57</v>
      </c>
      <c r="L18" s="18">
        <v>0</v>
      </c>
      <c r="M18" s="18">
        <f t="shared" si="3"/>
        <v>57</v>
      </c>
      <c r="P18" s="61"/>
    </row>
    <row r="19" spans="2:16" x14ac:dyDescent="0.2">
      <c r="B19" s="18" t="s">
        <v>407</v>
      </c>
      <c r="C19" s="18">
        <v>1</v>
      </c>
      <c r="D19" s="18">
        <v>0</v>
      </c>
      <c r="E19" s="18">
        <f t="shared" si="1"/>
        <v>1</v>
      </c>
      <c r="F19" s="19">
        <f t="shared" si="4"/>
        <v>1.5394088669950739E-4</v>
      </c>
      <c r="G19" s="18">
        <v>0</v>
      </c>
      <c r="H19" s="18">
        <v>0</v>
      </c>
      <c r="I19" s="18">
        <f t="shared" si="2"/>
        <v>0</v>
      </c>
      <c r="J19" s="19">
        <f t="shared" si="5"/>
        <v>0</v>
      </c>
      <c r="K19" s="18">
        <f t="shared" si="0"/>
        <v>1</v>
      </c>
      <c r="L19" s="18">
        <v>0</v>
      </c>
      <c r="M19" s="18">
        <f t="shared" si="3"/>
        <v>1</v>
      </c>
      <c r="P19" s="61"/>
    </row>
    <row r="20" spans="2:16" x14ac:dyDescent="0.2">
      <c r="B20" s="18" t="s">
        <v>408</v>
      </c>
      <c r="C20" s="18">
        <v>1128</v>
      </c>
      <c r="D20" s="18">
        <v>411</v>
      </c>
      <c r="E20" s="18">
        <f t="shared" si="1"/>
        <v>1539</v>
      </c>
      <c r="F20" s="19">
        <f t="shared" si="4"/>
        <v>0.23691502463054187</v>
      </c>
      <c r="G20" s="18">
        <v>2678</v>
      </c>
      <c r="H20" s="18">
        <v>126</v>
      </c>
      <c r="I20" s="18">
        <f t="shared" si="2"/>
        <v>2804</v>
      </c>
      <c r="J20" s="19">
        <f t="shared" si="5"/>
        <v>0.15354287591720511</v>
      </c>
      <c r="K20" s="18">
        <f t="shared" si="0"/>
        <v>4343</v>
      </c>
      <c r="L20" s="18">
        <v>0</v>
      </c>
      <c r="M20" s="18">
        <f t="shared" si="3"/>
        <v>4343</v>
      </c>
      <c r="P20" s="61"/>
    </row>
    <row r="21" spans="2:16" x14ac:dyDescent="0.2">
      <c r="B21" s="18" t="s">
        <v>409</v>
      </c>
      <c r="C21" s="18">
        <v>2</v>
      </c>
      <c r="D21" s="18">
        <v>0</v>
      </c>
      <c r="E21" s="18">
        <f t="shared" si="1"/>
        <v>2</v>
      </c>
      <c r="F21" s="19"/>
      <c r="G21" s="18">
        <v>4</v>
      </c>
      <c r="H21" s="18">
        <v>0</v>
      </c>
      <c r="I21" s="18">
        <f t="shared" si="2"/>
        <v>4</v>
      </c>
      <c r="J21" s="19"/>
      <c r="K21" s="18">
        <f t="shared" si="0"/>
        <v>6</v>
      </c>
      <c r="L21" s="18">
        <v>0</v>
      </c>
      <c r="M21" s="18">
        <f t="shared" si="3"/>
        <v>6</v>
      </c>
      <c r="P21" s="61"/>
    </row>
    <row r="22" spans="2:16" x14ac:dyDescent="0.2">
      <c r="B22" s="20" t="s">
        <v>49</v>
      </c>
      <c r="C22" s="18">
        <f t="shared" ref="C22:H22" si="6">SUM(C11:C21)</f>
        <v>4568</v>
      </c>
      <c r="D22" s="18">
        <f t="shared" si="6"/>
        <v>1928</v>
      </c>
      <c r="E22" s="20">
        <f t="shared" ref="E22" si="7">C22+D22</f>
        <v>6496</v>
      </c>
      <c r="F22" s="22">
        <f t="shared" ref="F22" si="8">E22/$E$22</f>
        <v>1</v>
      </c>
      <c r="G22" s="18">
        <f t="shared" si="6"/>
        <v>17314</v>
      </c>
      <c r="H22" s="18">
        <f t="shared" si="6"/>
        <v>948</v>
      </c>
      <c r="I22" s="20">
        <f t="shared" ref="I22" si="9">G22+H22</f>
        <v>18262</v>
      </c>
      <c r="J22" s="22">
        <f t="shared" ref="J22" si="10">I22/$I$22</f>
        <v>1</v>
      </c>
      <c r="K22" s="20">
        <f t="shared" ref="K22" si="11">E22+I22</f>
        <v>24758</v>
      </c>
      <c r="L22" s="18">
        <f t="shared" ref="L22" si="12">SUM(L11:L21)</f>
        <v>10</v>
      </c>
      <c r="M22" s="20">
        <f t="shared" si="3"/>
        <v>24768</v>
      </c>
    </row>
    <row r="23" spans="2:16" ht="25.5" customHeight="1" x14ac:dyDescent="0.2">
      <c r="B23" s="32" t="s">
        <v>64</v>
      </c>
      <c r="C23" s="33">
        <f>+C22/M22</f>
        <v>0.18443152454780362</v>
      </c>
      <c r="D23" s="33">
        <f>+D22/M22</f>
        <v>7.7842377260981907E-2</v>
      </c>
      <c r="E23" s="34">
        <f>+E22/M22</f>
        <v>0.26227390180878551</v>
      </c>
      <c r="F23" s="34"/>
      <c r="G23" s="33">
        <f>+G22/M22</f>
        <v>0.69904715762273906</v>
      </c>
      <c r="H23" s="33">
        <f>+H22/M22</f>
        <v>3.8275193798449611E-2</v>
      </c>
      <c r="I23" s="34">
        <f>+I22/M22</f>
        <v>0.73732235142118863</v>
      </c>
      <c r="J23" s="34"/>
      <c r="K23" s="34">
        <f>+K22/M22</f>
        <v>0.99959625322997414</v>
      </c>
      <c r="L23" s="34">
        <f>+L22/M22</f>
        <v>4.0374677002583977E-4</v>
      </c>
      <c r="M23" s="34">
        <f>K23+L23</f>
        <v>1</v>
      </c>
    </row>
    <row r="24" spans="2:16" x14ac:dyDescent="0.2">
      <c r="B24" s="25"/>
      <c r="C24" s="38"/>
      <c r="D24" s="38"/>
      <c r="E24" s="38"/>
      <c r="F24" s="38"/>
      <c r="G24" s="38"/>
      <c r="H24" s="38"/>
      <c r="I24" s="38"/>
      <c r="J24" s="38"/>
      <c r="K24" s="38"/>
    </row>
    <row r="25" spans="2:16" ht="12.75" x14ac:dyDescent="0.2">
      <c r="B25" s="369" t="s">
        <v>100</v>
      </c>
      <c r="C25" s="369"/>
      <c r="D25" s="369"/>
      <c r="E25" s="369"/>
      <c r="F25" s="369"/>
      <c r="G25" s="369"/>
      <c r="H25" s="369"/>
      <c r="I25" s="369"/>
      <c r="J25" s="369"/>
      <c r="K25" s="369"/>
    </row>
    <row r="26" spans="2:16" ht="12.75" x14ac:dyDescent="0.2">
      <c r="B26" s="385" t="str">
        <f>'Solicitudes Regiones'!$B$6:$R$6</f>
        <v>Acumuladas de julio de 2008 a diciembre de 2021</v>
      </c>
      <c r="C26" s="385"/>
      <c r="D26" s="385"/>
      <c r="E26" s="385"/>
      <c r="F26" s="385"/>
      <c r="G26" s="385"/>
      <c r="H26" s="385"/>
      <c r="I26" s="385"/>
      <c r="J26" s="385"/>
      <c r="K26" s="385"/>
    </row>
    <row r="28" spans="2:16" ht="15" customHeight="1" x14ac:dyDescent="0.2">
      <c r="B28" s="399" t="s">
        <v>65</v>
      </c>
      <c r="C28" s="399"/>
      <c r="D28" s="399"/>
      <c r="E28" s="399"/>
      <c r="F28" s="399"/>
      <c r="G28" s="399"/>
      <c r="H28" s="399"/>
      <c r="I28" s="399"/>
      <c r="J28" s="399"/>
      <c r="K28" s="399"/>
      <c r="L28" s="399"/>
      <c r="M28" s="399"/>
    </row>
    <row r="29" spans="2:16" ht="15" customHeight="1" x14ac:dyDescent="0.2">
      <c r="B29" s="399" t="s">
        <v>56</v>
      </c>
      <c r="C29" s="399" t="s">
        <v>2</v>
      </c>
      <c r="D29" s="399"/>
      <c r="E29" s="399"/>
      <c r="F29" s="399"/>
      <c r="G29" s="399"/>
      <c r="H29" s="399"/>
      <c r="I29" s="399"/>
      <c r="J29" s="399"/>
      <c r="K29" s="399"/>
      <c r="L29" s="397"/>
      <c r="M29" s="398"/>
    </row>
    <row r="30" spans="2:16" ht="24" x14ac:dyDescent="0.2">
      <c r="B30" s="399"/>
      <c r="C30" s="23" t="s">
        <v>57</v>
      </c>
      <c r="D30" s="23" t="s">
        <v>58</v>
      </c>
      <c r="E30" s="23" t="s">
        <v>59</v>
      </c>
      <c r="F30" s="23" t="s">
        <v>60</v>
      </c>
      <c r="G30" s="23" t="s">
        <v>8</v>
      </c>
      <c r="H30" s="23" t="s">
        <v>61</v>
      </c>
      <c r="I30" s="23" t="s">
        <v>62</v>
      </c>
      <c r="J30" s="23" t="s">
        <v>63</v>
      </c>
      <c r="K30" s="24" t="s">
        <v>31</v>
      </c>
      <c r="L30" s="261" t="s">
        <v>584</v>
      </c>
      <c r="M30" s="261" t="s">
        <v>587</v>
      </c>
    </row>
    <row r="31" spans="2:16" x14ac:dyDescent="0.2">
      <c r="B31" s="18" t="s">
        <v>399</v>
      </c>
      <c r="C31" s="18">
        <v>2823</v>
      </c>
      <c r="D31" s="18">
        <v>980</v>
      </c>
      <c r="E31" s="18">
        <f>C31+D31</f>
        <v>3803</v>
      </c>
      <c r="F31" s="19">
        <f>E31/$E$42</f>
        <v>0.71863189720332576</v>
      </c>
      <c r="G31" s="18">
        <v>11208</v>
      </c>
      <c r="H31" s="18">
        <v>656</v>
      </c>
      <c r="I31" s="18">
        <f>G31+H31</f>
        <v>11864</v>
      </c>
      <c r="J31" s="19">
        <f>I31/$I$42</f>
        <v>0.79682987440392239</v>
      </c>
      <c r="K31" s="18">
        <f t="shared" ref="K31:K41" si="13">E31+I31</f>
        <v>15667</v>
      </c>
      <c r="L31" s="18">
        <v>0</v>
      </c>
      <c r="M31" s="18">
        <f>K31+L31</f>
        <v>15667</v>
      </c>
    </row>
    <row r="32" spans="2:16" x14ac:dyDescent="0.2">
      <c r="B32" s="18" t="s">
        <v>400</v>
      </c>
      <c r="C32" s="18">
        <v>2</v>
      </c>
      <c r="D32" s="18">
        <v>0</v>
      </c>
      <c r="E32" s="18">
        <f t="shared" ref="E32:E41" si="14">C32+D32</f>
        <v>2</v>
      </c>
      <c r="F32" s="19"/>
      <c r="G32" s="18">
        <v>9</v>
      </c>
      <c r="H32" s="18">
        <v>1</v>
      </c>
      <c r="I32" s="18">
        <f t="shared" ref="I32:I41" si="15">G32+H32</f>
        <v>10</v>
      </c>
      <c r="J32" s="19"/>
      <c r="K32" s="18">
        <f t="shared" si="13"/>
        <v>12</v>
      </c>
      <c r="L32" s="18">
        <v>0</v>
      </c>
      <c r="M32" s="18">
        <f t="shared" ref="M32:M42" si="16">K32+L32</f>
        <v>12</v>
      </c>
    </row>
    <row r="33" spans="2:13" x14ac:dyDescent="0.2">
      <c r="B33" s="18" t="s">
        <v>401</v>
      </c>
      <c r="C33" s="18">
        <v>1</v>
      </c>
      <c r="D33" s="18">
        <v>0</v>
      </c>
      <c r="E33" s="18">
        <f t="shared" si="14"/>
        <v>1</v>
      </c>
      <c r="F33" s="19">
        <f t="shared" ref="F33:F40" si="17">E33/$E$42</f>
        <v>1.889644746787604E-4</v>
      </c>
      <c r="G33" s="18">
        <v>7</v>
      </c>
      <c r="H33" s="18">
        <v>1</v>
      </c>
      <c r="I33" s="18">
        <f t="shared" si="15"/>
        <v>8</v>
      </c>
      <c r="J33" s="19">
        <f t="shared" ref="J33:J40" si="18">I33/$I$42</f>
        <v>5.3730942306400703E-4</v>
      </c>
      <c r="K33" s="18">
        <f t="shared" si="13"/>
        <v>9</v>
      </c>
      <c r="L33" s="18">
        <v>0</v>
      </c>
      <c r="M33" s="18">
        <f t="shared" si="16"/>
        <v>9</v>
      </c>
    </row>
    <row r="34" spans="2:13" x14ac:dyDescent="0.2">
      <c r="B34" s="18" t="s">
        <v>402</v>
      </c>
      <c r="C34" s="18">
        <v>5</v>
      </c>
      <c r="D34" s="18">
        <v>0</v>
      </c>
      <c r="E34" s="18">
        <f t="shared" si="14"/>
        <v>5</v>
      </c>
      <c r="F34" s="19">
        <f t="shared" si="17"/>
        <v>9.4482237339380199E-4</v>
      </c>
      <c r="G34" s="18">
        <v>20</v>
      </c>
      <c r="H34" s="18">
        <v>0</v>
      </c>
      <c r="I34" s="18">
        <f t="shared" si="15"/>
        <v>20</v>
      </c>
      <c r="J34" s="19">
        <f t="shared" si="18"/>
        <v>1.3432735576600174E-3</v>
      </c>
      <c r="K34" s="18">
        <f t="shared" si="13"/>
        <v>25</v>
      </c>
      <c r="L34" s="18">
        <v>0</v>
      </c>
      <c r="M34" s="18">
        <f t="shared" si="16"/>
        <v>25</v>
      </c>
    </row>
    <row r="35" spans="2:13" x14ac:dyDescent="0.2">
      <c r="B35" s="18" t="s">
        <v>403</v>
      </c>
      <c r="C35" s="18">
        <v>13</v>
      </c>
      <c r="D35" s="18">
        <v>7</v>
      </c>
      <c r="E35" s="18">
        <f t="shared" si="14"/>
        <v>20</v>
      </c>
      <c r="F35" s="19"/>
      <c r="G35" s="18">
        <v>52</v>
      </c>
      <c r="H35" s="18">
        <v>3</v>
      </c>
      <c r="I35" s="18">
        <f t="shared" si="15"/>
        <v>55</v>
      </c>
      <c r="J35" s="19"/>
      <c r="K35" s="18">
        <f t="shared" si="13"/>
        <v>75</v>
      </c>
      <c r="L35" s="18">
        <v>0</v>
      </c>
      <c r="M35" s="18">
        <f t="shared" si="16"/>
        <v>75</v>
      </c>
    </row>
    <row r="36" spans="2:13" x14ac:dyDescent="0.2">
      <c r="B36" s="18" t="s">
        <v>404</v>
      </c>
      <c r="C36" s="18">
        <v>0</v>
      </c>
      <c r="D36" s="18">
        <v>0</v>
      </c>
      <c r="E36" s="18">
        <f t="shared" si="14"/>
        <v>0</v>
      </c>
      <c r="F36" s="19">
        <f t="shared" si="17"/>
        <v>0</v>
      </c>
      <c r="G36" s="18">
        <v>4</v>
      </c>
      <c r="H36" s="18">
        <v>0</v>
      </c>
      <c r="I36" s="18">
        <f t="shared" si="15"/>
        <v>4</v>
      </c>
      <c r="J36" s="19">
        <f t="shared" si="18"/>
        <v>2.6865471153200352E-4</v>
      </c>
      <c r="K36" s="18">
        <f t="shared" si="13"/>
        <v>4</v>
      </c>
      <c r="L36" s="18">
        <v>0</v>
      </c>
      <c r="M36" s="18">
        <f t="shared" si="16"/>
        <v>4</v>
      </c>
    </row>
    <row r="37" spans="2:13" x14ac:dyDescent="0.2">
      <c r="B37" s="18" t="s">
        <v>405</v>
      </c>
      <c r="C37" s="18">
        <v>143</v>
      </c>
      <c r="D37" s="18">
        <v>35</v>
      </c>
      <c r="E37" s="18">
        <f t="shared" si="14"/>
        <v>178</v>
      </c>
      <c r="F37" s="19">
        <f t="shared" si="17"/>
        <v>3.3635676492819351E-2</v>
      </c>
      <c r="G37" s="18">
        <v>511</v>
      </c>
      <c r="H37" s="18">
        <v>27</v>
      </c>
      <c r="I37" s="18">
        <f t="shared" si="15"/>
        <v>538</v>
      </c>
      <c r="J37" s="19">
        <f t="shared" si="18"/>
        <v>3.6134058701054468E-2</v>
      </c>
      <c r="K37" s="18">
        <f t="shared" si="13"/>
        <v>716</v>
      </c>
      <c r="L37" s="18">
        <v>0</v>
      </c>
      <c r="M37" s="18">
        <f t="shared" si="16"/>
        <v>716</v>
      </c>
    </row>
    <row r="38" spans="2:13" x14ac:dyDescent="0.2">
      <c r="B38" s="18" t="s">
        <v>406</v>
      </c>
      <c r="C38" s="18">
        <v>2</v>
      </c>
      <c r="D38" s="18">
        <v>5</v>
      </c>
      <c r="E38" s="18">
        <f t="shared" si="14"/>
        <v>7</v>
      </c>
      <c r="F38" s="19">
        <f t="shared" si="17"/>
        <v>1.3227513227513227E-3</v>
      </c>
      <c r="G38" s="18">
        <v>36</v>
      </c>
      <c r="H38" s="18">
        <v>1</v>
      </c>
      <c r="I38" s="18">
        <f t="shared" si="15"/>
        <v>37</v>
      </c>
      <c r="J38" s="19">
        <f t="shared" si="18"/>
        <v>2.4850560816710322E-3</v>
      </c>
      <c r="K38" s="18">
        <f t="shared" si="13"/>
        <v>44</v>
      </c>
      <c r="L38" s="18">
        <v>0</v>
      </c>
      <c r="M38" s="18">
        <f t="shared" si="16"/>
        <v>44</v>
      </c>
    </row>
    <row r="39" spans="2:13" x14ac:dyDescent="0.2">
      <c r="B39" s="18" t="s">
        <v>407</v>
      </c>
      <c r="C39" s="18">
        <v>1</v>
      </c>
      <c r="D39" s="18">
        <v>0</v>
      </c>
      <c r="E39" s="18">
        <f t="shared" si="14"/>
        <v>1</v>
      </c>
      <c r="F39" s="19">
        <f t="shared" si="17"/>
        <v>1.889644746787604E-4</v>
      </c>
      <c r="G39" s="18">
        <v>0</v>
      </c>
      <c r="H39" s="18">
        <v>0</v>
      </c>
      <c r="I39" s="18">
        <f t="shared" si="15"/>
        <v>0</v>
      </c>
      <c r="J39" s="19">
        <f t="shared" si="18"/>
        <v>0</v>
      </c>
      <c r="K39" s="18">
        <f t="shared" si="13"/>
        <v>1</v>
      </c>
      <c r="L39" s="18">
        <v>0</v>
      </c>
      <c r="M39" s="18">
        <f t="shared" si="16"/>
        <v>1</v>
      </c>
    </row>
    <row r="40" spans="2:13" x14ac:dyDescent="0.2">
      <c r="B40" s="18" t="s">
        <v>408</v>
      </c>
      <c r="C40" s="18">
        <v>1020</v>
      </c>
      <c r="D40" s="18">
        <v>254</v>
      </c>
      <c r="E40" s="18">
        <f t="shared" si="14"/>
        <v>1274</v>
      </c>
      <c r="F40" s="19">
        <f t="shared" si="17"/>
        <v>0.24074074074074073</v>
      </c>
      <c r="G40" s="18">
        <v>2251</v>
      </c>
      <c r="H40" s="18">
        <v>99</v>
      </c>
      <c r="I40" s="18">
        <f t="shared" si="15"/>
        <v>2350</v>
      </c>
      <c r="J40" s="19">
        <f t="shared" si="18"/>
        <v>0.15783464302505204</v>
      </c>
      <c r="K40" s="18">
        <f t="shared" si="13"/>
        <v>3624</v>
      </c>
      <c r="L40" s="18">
        <v>0</v>
      </c>
      <c r="M40" s="18">
        <f t="shared" si="16"/>
        <v>3624</v>
      </c>
    </row>
    <row r="41" spans="2:13" x14ac:dyDescent="0.2">
      <c r="B41" s="18" t="s">
        <v>409</v>
      </c>
      <c r="C41" s="18">
        <v>1</v>
      </c>
      <c r="D41" s="18">
        <v>0</v>
      </c>
      <c r="E41" s="18">
        <f t="shared" si="14"/>
        <v>1</v>
      </c>
      <c r="F41" s="19"/>
      <c r="G41" s="18">
        <v>3</v>
      </c>
      <c r="H41" s="18">
        <v>0</v>
      </c>
      <c r="I41" s="18">
        <f t="shared" si="15"/>
        <v>3</v>
      </c>
      <c r="J41" s="19"/>
      <c r="K41" s="18">
        <f t="shared" si="13"/>
        <v>4</v>
      </c>
      <c r="L41" s="18">
        <v>0</v>
      </c>
      <c r="M41" s="18">
        <f t="shared" si="16"/>
        <v>4</v>
      </c>
    </row>
    <row r="42" spans="2:13" x14ac:dyDescent="0.2">
      <c r="B42" s="20" t="s">
        <v>49</v>
      </c>
      <c r="C42" s="18">
        <f t="shared" ref="C42:H42" si="19">SUM(C31:C41)</f>
        <v>4011</v>
      </c>
      <c r="D42" s="18">
        <f t="shared" si="19"/>
        <v>1281</v>
      </c>
      <c r="E42" s="20">
        <f t="shared" ref="E42" si="20">C42+D42</f>
        <v>5292</v>
      </c>
      <c r="F42" s="22">
        <f t="shared" ref="F42" si="21">E42/$E$42</f>
        <v>1</v>
      </c>
      <c r="G42" s="18">
        <f t="shared" si="19"/>
        <v>14101</v>
      </c>
      <c r="H42" s="18">
        <f t="shared" si="19"/>
        <v>788</v>
      </c>
      <c r="I42" s="20">
        <f t="shared" ref="I42" si="22">G42+H42</f>
        <v>14889</v>
      </c>
      <c r="J42" s="22">
        <f t="shared" ref="J42" si="23">I42/$I$42</f>
        <v>1</v>
      </c>
      <c r="K42" s="20">
        <f t="shared" ref="K42" si="24">E42+I42</f>
        <v>20181</v>
      </c>
      <c r="L42" s="18">
        <f t="shared" ref="L42" si="25">SUM(L31:L41)</f>
        <v>0</v>
      </c>
      <c r="M42" s="20">
        <f t="shared" si="16"/>
        <v>20181</v>
      </c>
    </row>
    <row r="43" spans="2:13" ht="24" x14ac:dyDescent="0.2">
      <c r="B43" s="32" t="s">
        <v>66</v>
      </c>
      <c r="C43" s="33">
        <f>+C42/M42</f>
        <v>0.19875130072840791</v>
      </c>
      <c r="D43" s="33">
        <f>+D42/M42</f>
        <v>6.3475546305931316E-2</v>
      </c>
      <c r="E43" s="34">
        <f>+E42/M42</f>
        <v>0.26222684703433924</v>
      </c>
      <c r="F43" s="34"/>
      <c r="G43" s="33">
        <f>+G42/M42</f>
        <v>0.69872652494920962</v>
      </c>
      <c r="H43" s="33">
        <f>+H42/M42</f>
        <v>3.9046628016451118E-2</v>
      </c>
      <c r="I43" s="34">
        <f>+I42/M42</f>
        <v>0.73777315296566082</v>
      </c>
      <c r="J43" s="34"/>
      <c r="K43" s="34">
        <f>+K42/M42</f>
        <v>1</v>
      </c>
      <c r="L43" s="34">
        <f>+L42/M42</f>
        <v>0</v>
      </c>
      <c r="M43" s="34">
        <f>K43+L43</f>
        <v>1</v>
      </c>
    </row>
    <row r="44" spans="2:13" x14ac:dyDescent="0.2">
      <c r="B44" s="25" t="s">
        <v>129</v>
      </c>
    </row>
    <row r="45" spans="2:13" x14ac:dyDescent="0.2">
      <c r="B45" s="25" t="s">
        <v>130</v>
      </c>
    </row>
  </sheetData>
  <mergeCells count="12">
    <mergeCell ref="L29:M29"/>
    <mergeCell ref="B28:M28"/>
    <mergeCell ref="B6:K6"/>
    <mergeCell ref="B5:K5"/>
    <mergeCell ref="B25:K25"/>
    <mergeCell ref="B26:K26"/>
    <mergeCell ref="B8:M8"/>
    <mergeCell ref="L9:M9"/>
    <mergeCell ref="B29:B30"/>
    <mergeCell ref="C29:K29"/>
    <mergeCell ref="B9:B10"/>
    <mergeCell ref="C9:K9"/>
  </mergeCells>
  <hyperlinks>
    <hyperlink ref="M5" location="'Índice Pensiones Solidarias'!A1" display="Volver Sistema de Pensiones Solidadias" xr:uid="{00000000-0004-0000-1500-000000000000}"/>
  </hyperlinks>
  <pageMargins left="0.74803149606299213" right="0.74803149606299213" top="0.98425196850393704" bottom="0.98425196850393704" header="0" footer="0"/>
  <pageSetup scale="90" orientation="portrait"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Hoja32"/>
  <dimension ref="A1:P127"/>
  <sheetViews>
    <sheetView showGridLines="0" zoomScaleNormal="100" workbookViewId="0">
      <selection sqref="A1:XFD1048576"/>
    </sheetView>
  </sheetViews>
  <sheetFormatPr baseColWidth="10" defaultRowHeight="12" x14ac:dyDescent="0.2"/>
  <cols>
    <col min="1" max="1" width="6" style="26" customWidth="1"/>
    <col min="2" max="2" width="18.140625" style="26" customWidth="1"/>
    <col min="3" max="3" width="8.42578125" style="26" customWidth="1"/>
    <col min="4" max="4" width="7.42578125" style="26" bestFit="1" customWidth="1"/>
    <col min="5" max="6" width="7.42578125" style="26" customWidth="1"/>
    <col min="7" max="7" width="8" style="26" bestFit="1" customWidth="1"/>
    <col min="8" max="8" width="7.42578125" style="26" bestFit="1" customWidth="1"/>
    <col min="9" max="11" width="7.42578125" style="26" customWidth="1"/>
    <col min="12" max="12" width="7.85546875" style="26" customWidth="1"/>
    <col min="13" max="251" width="11.42578125" style="26"/>
    <col min="252" max="252" width="18.140625" style="26" customWidth="1"/>
    <col min="253" max="253" width="8" style="26" bestFit="1" customWidth="1"/>
    <col min="254" max="254" width="7.42578125" style="26" bestFit="1" customWidth="1"/>
    <col min="255" max="256" width="7.42578125" style="26" customWidth="1"/>
    <col min="257" max="257" width="8" style="26" bestFit="1" customWidth="1"/>
    <col min="258" max="258" width="7.42578125" style="26" bestFit="1" customWidth="1"/>
    <col min="259" max="261" width="7.42578125" style="26" customWidth="1"/>
    <col min="262" max="267" width="0" style="26" hidden="1" customWidth="1"/>
    <col min="268" max="268" width="7.85546875" style="26" customWidth="1"/>
    <col min="269" max="507" width="11.42578125" style="26"/>
    <col min="508" max="508" width="18.140625" style="26" customWidth="1"/>
    <col min="509" max="509" width="8" style="26" bestFit="1" customWidth="1"/>
    <col min="510" max="510" width="7.42578125" style="26" bestFit="1" customWidth="1"/>
    <col min="511" max="512" width="7.42578125" style="26" customWidth="1"/>
    <col min="513" max="513" width="8" style="26" bestFit="1" customWidth="1"/>
    <col min="514" max="514" width="7.42578125" style="26" bestFit="1" customWidth="1"/>
    <col min="515" max="517" width="7.42578125" style="26" customWidth="1"/>
    <col min="518" max="523" width="0" style="26" hidden="1" customWidth="1"/>
    <col min="524" max="524" width="7.85546875" style="26" customWidth="1"/>
    <col min="525" max="763" width="11.42578125" style="26"/>
    <col min="764" max="764" width="18.140625" style="26" customWidth="1"/>
    <col min="765" max="765" width="8" style="26" bestFit="1" customWidth="1"/>
    <col min="766" max="766" width="7.42578125" style="26" bestFit="1" customWidth="1"/>
    <col min="767" max="768" width="7.42578125" style="26" customWidth="1"/>
    <col min="769" max="769" width="8" style="26" bestFit="1" customWidth="1"/>
    <col min="770" max="770" width="7.42578125" style="26" bestFit="1" customWidth="1"/>
    <col min="771" max="773" width="7.42578125" style="26" customWidth="1"/>
    <col min="774" max="779" width="0" style="26" hidden="1" customWidth="1"/>
    <col min="780" max="780" width="7.85546875" style="26" customWidth="1"/>
    <col min="781" max="1019" width="11.42578125" style="26"/>
    <col min="1020" max="1020" width="18.140625" style="26" customWidth="1"/>
    <col min="1021" max="1021" width="8" style="26" bestFit="1" customWidth="1"/>
    <col min="1022" max="1022" width="7.42578125" style="26" bestFit="1" customWidth="1"/>
    <col min="1023" max="1024" width="7.42578125" style="26" customWidth="1"/>
    <col min="1025" max="1025" width="8" style="26" bestFit="1" customWidth="1"/>
    <col min="1026" max="1026" width="7.42578125" style="26" bestFit="1" customWidth="1"/>
    <col min="1027" max="1029" width="7.42578125" style="26" customWidth="1"/>
    <col min="1030" max="1035" width="0" style="26" hidden="1" customWidth="1"/>
    <col min="1036" max="1036" width="7.85546875" style="26" customWidth="1"/>
    <col min="1037" max="1275" width="11.42578125" style="26"/>
    <col min="1276" max="1276" width="18.140625" style="26" customWidth="1"/>
    <col min="1277" max="1277" width="8" style="26" bestFit="1" customWidth="1"/>
    <col min="1278" max="1278" width="7.42578125" style="26" bestFit="1" customWidth="1"/>
    <col min="1279" max="1280" width="7.42578125" style="26" customWidth="1"/>
    <col min="1281" max="1281" width="8" style="26" bestFit="1" customWidth="1"/>
    <col min="1282" max="1282" width="7.42578125" style="26" bestFit="1" customWidth="1"/>
    <col min="1283" max="1285" width="7.42578125" style="26" customWidth="1"/>
    <col min="1286" max="1291" width="0" style="26" hidden="1" customWidth="1"/>
    <col min="1292" max="1292" width="7.85546875" style="26" customWidth="1"/>
    <col min="1293" max="1531" width="11.42578125" style="26"/>
    <col min="1532" max="1532" width="18.140625" style="26" customWidth="1"/>
    <col min="1533" max="1533" width="8" style="26" bestFit="1" customWidth="1"/>
    <col min="1534" max="1534" width="7.42578125" style="26" bestFit="1" customWidth="1"/>
    <col min="1535" max="1536" width="7.42578125" style="26" customWidth="1"/>
    <col min="1537" max="1537" width="8" style="26" bestFit="1" customWidth="1"/>
    <col min="1538" max="1538" width="7.42578125" style="26" bestFit="1" customWidth="1"/>
    <col min="1539" max="1541" width="7.42578125" style="26" customWidth="1"/>
    <col min="1542" max="1547" width="0" style="26" hidden="1" customWidth="1"/>
    <col min="1548" max="1548" width="7.85546875" style="26" customWidth="1"/>
    <col min="1549" max="1787" width="11.42578125" style="26"/>
    <col min="1788" max="1788" width="18.140625" style="26" customWidth="1"/>
    <col min="1789" max="1789" width="8" style="26" bestFit="1" customWidth="1"/>
    <col min="1790" max="1790" width="7.42578125" style="26" bestFit="1" customWidth="1"/>
    <col min="1791" max="1792" width="7.42578125" style="26" customWidth="1"/>
    <col min="1793" max="1793" width="8" style="26" bestFit="1" customWidth="1"/>
    <col min="1794" max="1794" width="7.42578125" style="26" bestFit="1" customWidth="1"/>
    <col min="1795" max="1797" width="7.42578125" style="26" customWidth="1"/>
    <col min="1798" max="1803" width="0" style="26" hidden="1" customWidth="1"/>
    <col min="1804" max="1804" width="7.85546875" style="26" customWidth="1"/>
    <col min="1805" max="2043" width="11.42578125" style="26"/>
    <col min="2044" max="2044" width="18.140625" style="26" customWidth="1"/>
    <col min="2045" max="2045" width="8" style="26" bestFit="1" customWidth="1"/>
    <col min="2046" max="2046" width="7.42578125" style="26" bestFit="1" customWidth="1"/>
    <col min="2047" max="2048" width="7.42578125" style="26" customWidth="1"/>
    <col min="2049" max="2049" width="8" style="26" bestFit="1" customWidth="1"/>
    <col min="2050" max="2050" width="7.42578125" style="26" bestFit="1" customWidth="1"/>
    <col min="2051" max="2053" width="7.42578125" style="26" customWidth="1"/>
    <col min="2054" max="2059" width="0" style="26" hidden="1" customWidth="1"/>
    <col min="2060" max="2060" width="7.85546875" style="26" customWidth="1"/>
    <col min="2061" max="2299" width="11.42578125" style="26"/>
    <col min="2300" max="2300" width="18.140625" style="26" customWidth="1"/>
    <col min="2301" max="2301" width="8" style="26" bestFit="1" customWidth="1"/>
    <col min="2302" max="2302" width="7.42578125" style="26" bestFit="1" customWidth="1"/>
    <col min="2303" max="2304" width="7.42578125" style="26" customWidth="1"/>
    <col min="2305" max="2305" width="8" style="26" bestFit="1" customWidth="1"/>
    <col min="2306" max="2306" width="7.42578125" style="26" bestFit="1" customWidth="1"/>
    <col min="2307" max="2309" width="7.42578125" style="26" customWidth="1"/>
    <col min="2310" max="2315" width="0" style="26" hidden="1" customWidth="1"/>
    <col min="2316" max="2316" width="7.85546875" style="26" customWidth="1"/>
    <col min="2317" max="2555" width="11.42578125" style="26"/>
    <col min="2556" max="2556" width="18.140625" style="26" customWidth="1"/>
    <col min="2557" max="2557" width="8" style="26" bestFit="1" customWidth="1"/>
    <col min="2558" max="2558" width="7.42578125" style="26" bestFit="1" customWidth="1"/>
    <col min="2559" max="2560" width="7.42578125" style="26" customWidth="1"/>
    <col min="2561" max="2561" width="8" style="26" bestFit="1" customWidth="1"/>
    <col min="2562" max="2562" width="7.42578125" style="26" bestFit="1" customWidth="1"/>
    <col min="2563" max="2565" width="7.42578125" style="26" customWidth="1"/>
    <col min="2566" max="2571" width="0" style="26" hidden="1" customWidth="1"/>
    <col min="2572" max="2572" width="7.85546875" style="26" customWidth="1"/>
    <col min="2573" max="2811" width="11.42578125" style="26"/>
    <col min="2812" max="2812" width="18.140625" style="26" customWidth="1"/>
    <col min="2813" max="2813" width="8" style="26" bestFit="1" customWidth="1"/>
    <col min="2814" max="2814" width="7.42578125" style="26" bestFit="1" customWidth="1"/>
    <col min="2815" max="2816" width="7.42578125" style="26" customWidth="1"/>
    <col min="2817" max="2817" width="8" style="26" bestFit="1" customWidth="1"/>
    <col min="2818" max="2818" width="7.42578125" style="26" bestFit="1" customWidth="1"/>
    <col min="2819" max="2821" width="7.42578125" style="26" customWidth="1"/>
    <col min="2822" max="2827" width="0" style="26" hidden="1" customWidth="1"/>
    <col min="2828" max="2828" width="7.85546875" style="26" customWidth="1"/>
    <col min="2829" max="3067" width="11.42578125" style="26"/>
    <col min="3068" max="3068" width="18.140625" style="26" customWidth="1"/>
    <col min="3069" max="3069" width="8" style="26" bestFit="1" customWidth="1"/>
    <col min="3070" max="3070" width="7.42578125" style="26" bestFit="1" customWidth="1"/>
    <col min="3071" max="3072" width="7.42578125" style="26" customWidth="1"/>
    <col min="3073" max="3073" width="8" style="26" bestFit="1" customWidth="1"/>
    <col min="3074" max="3074" width="7.42578125" style="26" bestFit="1" customWidth="1"/>
    <col min="3075" max="3077" width="7.42578125" style="26" customWidth="1"/>
    <col min="3078" max="3083" width="0" style="26" hidden="1" customWidth="1"/>
    <col min="3084" max="3084" width="7.85546875" style="26" customWidth="1"/>
    <col min="3085" max="3323" width="11.42578125" style="26"/>
    <col min="3324" max="3324" width="18.140625" style="26" customWidth="1"/>
    <col min="3325" max="3325" width="8" style="26" bestFit="1" customWidth="1"/>
    <col min="3326" max="3326" width="7.42578125" style="26" bestFit="1" customWidth="1"/>
    <col min="3327" max="3328" width="7.42578125" style="26" customWidth="1"/>
    <col min="3329" max="3329" width="8" style="26" bestFit="1" customWidth="1"/>
    <col min="3330" max="3330" width="7.42578125" style="26" bestFit="1" customWidth="1"/>
    <col min="3331" max="3333" width="7.42578125" style="26" customWidth="1"/>
    <col min="3334" max="3339" width="0" style="26" hidden="1" customWidth="1"/>
    <col min="3340" max="3340" width="7.85546875" style="26" customWidth="1"/>
    <col min="3341" max="3579" width="11.42578125" style="26"/>
    <col min="3580" max="3580" width="18.140625" style="26" customWidth="1"/>
    <col min="3581" max="3581" width="8" style="26" bestFit="1" customWidth="1"/>
    <col min="3582" max="3582" width="7.42578125" style="26" bestFit="1" customWidth="1"/>
    <col min="3583" max="3584" width="7.42578125" style="26" customWidth="1"/>
    <col min="3585" max="3585" width="8" style="26" bestFit="1" customWidth="1"/>
    <col min="3586" max="3586" width="7.42578125" style="26" bestFit="1" customWidth="1"/>
    <col min="3587" max="3589" width="7.42578125" style="26" customWidth="1"/>
    <col min="3590" max="3595" width="0" style="26" hidden="1" customWidth="1"/>
    <col min="3596" max="3596" width="7.85546875" style="26" customWidth="1"/>
    <col min="3597" max="3835" width="11.42578125" style="26"/>
    <col min="3836" max="3836" width="18.140625" style="26" customWidth="1"/>
    <col min="3837" max="3837" width="8" style="26" bestFit="1" customWidth="1"/>
    <col min="3838" max="3838" width="7.42578125" style="26" bestFit="1" customWidth="1"/>
    <col min="3839" max="3840" width="7.42578125" style="26" customWidth="1"/>
    <col min="3841" max="3841" width="8" style="26" bestFit="1" customWidth="1"/>
    <col min="3842" max="3842" width="7.42578125" style="26" bestFit="1" customWidth="1"/>
    <col min="3843" max="3845" width="7.42578125" style="26" customWidth="1"/>
    <col min="3846" max="3851" width="0" style="26" hidden="1" customWidth="1"/>
    <col min="3852" max="3852" width="7.85546875" style="26" customWidth="1"/>
    <col min="3853" max="4091" width="11.42578125" style="26"/>
    <col min="4092" max="4092" width="18.140625" style="26" customWidth="1"/>
    <col min="4093" max="4093" width="8" style="26" bestFit="1" customWidth="1"/>
    <col min="4094" max="4094" width="7.42578125" style="26" bestFit="1" customWidth="1"/>
    <col min="4095" max="4096" width="7.42578125" style="26" customWidth="1"/>
    <col min="4097" max="4097" width="8" style="26" bestFit="1" customWidth="1"/>
    <col min="4098" max="4098" width="7.42578125" style="26" bestFit="1" customWidth="1"/>
    <col min="4099" max="4101" width="7.42578125" style="26" customWidth="1"/>
    <col min="4102" max="4107" width="0" style="26" hidden="1" customWidth="1"/>
    <col min="4108" max="4108" width="7.85546875" style="26" customWidth="1"/>
    <col min="4109" max="4347" width="11.42578125" style="26"/>
    <col min="4348" max="4348" width="18.140625" style="26" customWidth="1"/>
    <col min="4349" max="4349" width="8" style="26" bestFit="1" customWidth="1"/>
    <col min="4350" max="4350" width="7.42578125" style="26" bestFit="1" customWidth="1"/>
    <col min="4351" max="4352" width="7.42578125" style="26" customWidth="1"/>
    <col min="4353" max="4353" width="8" style="26" bestFit="1" customWidth="1"/>
    <col min="4354" max="4354" width="7.42578125" style="26" bestFit="1" customWidth="1"/>
    <col min="4355" max="4357" width="7.42578125" style="26" customWidth="1"/>
    <col min="4358" max="4363" width="0" style="26" hidden="1" customWidth="1"/>
    <col min="4364" max="4364" width="7.85546875" style="26" customWidth="1"/>
    <col min="4365" max="4603" width="11.42578125" style="26"/>
    <col min="4604" max="4604" width="18.140625" style="26" customWidth="1"/>
    <col min="4605" max="4605" width="8" style="26" bestFit="1" customWidth="1"/>
    <col min="4606" max="4606" width="7.42578125" style="26" bestFit="1" customWidth="1"/>
    <col min="4607" max="4608" width="7.42578125" style="26" customWidth="1"/>
    <col min="4609" max="4609" width="8" style="26" bestFit="1" customWidth="1"/>
    <col min="4610" max="4610" width="7.42578125" style="26" bestFit="1" customWidth="1"/>
    <col min="4611" max="4613" width="7.42578125" style="26" customWidth="1"/>
    <col min="4614" max="4619" width="0" style="26" hidden="1" customWidth="1"/>
    <col min="4620" max="4620" width="7.85546875" style="26" customWidth="1"/>
    <col min="4621" max="4859" width="11.42578125" style="26"/>
    <col min="4860" max="4860" width="18.140625" style="26" customWidth="1"/>
    <col min="4861" max="4861" width="8" style="26" bestFit="1" customWidth="1"/>
    <col min="4862" max="4862" width="7.42578125" style="26" bestFit="1" customWidth="1"/>
    <col min="4863" max="4864" width="7.42578125" style="26" customWidth="1"/>
    <col min="4865" max="4865" width="8" style="26" bestFit="1" customWidth="1"/>
    <col min="4866" max="4866" width="7.42578125" style="26" bestFit="1" customWidth="1"/>
    <col min="4867" max="4869" width="7.42578125" style="26" customWidth="1"/>
    <col min="4870" max="4875" width="0" style="26" hidden="1" customWidth="1"/>
    <col min="4876" max="4876" width="7.85546875" style="26" customWidth="1"/>
    <col min="4877" max="5115" width="11.42578125" style="26"/>
    <col min="5116" max="5116" width="18.140625" style="26" customWidth="1"/>
    <col min="5117" max="5117" width="8" style="26" bestFit="1" customWidth="1"/>
    <col min="5118" max="5118" width="7.42578125" style="26" bestFit="1" customWidth="1"/>
    <col min="5119" max="5120" width="7.42578125" style="26" customWidth="1"/>
    <col min="5121" max="5121" width="8" style="26" bestFit="1" customWidth="1"/>
    <col min="5122" max="5122" width="7.42578125" style="26" bestFit="1" customWidth="1"/>
    <col min="5123" max="5125" width="7.42578125" style="26" customWidth="1"/>
    <col min="5126" max="5131" width="0" style="26" hidden="1" customWidth="1"/>
    <col min="5132" max="5132" width="7.85546875" style="26" customWidth="1"/>
    <col min="5133" max="5371" width="11.42578125" style="26"/>
    <col min="5372" max="5372" width="18.140625" style="26" customWidth="1"/>
    <col min="5373" max="5373" width="8" style="26" bestFit="1" customWidth="1"/>
    <col min="5374" max="5374" width="7.42578125" style="26" bestFit="1" customWidth="1"/>
    <col min="5375" max="5376" width="7.42578125" style="26" customWidth="1"/>
    <col min="5377" max="5377" width="8" style="26" bestFit="1" customWidth="1"/>
    <col min="5378" max="5378" width="7.42578125" style="26" bestFit="1" customWidth="1"/>
    <col min="5379" max="5381" width="7.42578125" style="26" customWidth="1"/>
    <col min="5382" max="5387" width="0" style="26" hidden="1" customWidth="1"/>
    <col min="5388" max="5388" width="7.85546875" style="26" customWidth="1"/>
    <col min="5389" max="5627" width="11.42578125" style="26"/>
    <col min="5628" max="5628" width="18.140625" style="26" customWidth="1"/>
    <col min="5629" max="5629" width="8" style="26" bestFit="1" customWidth="1"/>
    <col min="5630" max="5630" width="7.42578125" style="26" bestFit="1" customWidth="1"/>
    <col min="5631" max="5632" width="7.42578125" style="26" customWidth="1"/>
    <col min="5633" max="5633" width="8" style="26" bestFit="1" customWidth="1"/>
    <col min="5634" max="5634" width="7.42578125" style="26" bestFit="1" customWidth="1"/>
    <col min="5635" max="5637" width="7.42578125" style="26" customWidth="1"/>
    <col min="5638" max="5643" width="0" style="26" hidden="1" customWidth="1"/>
    <col min="5644" max="5644" width="7.85546875" style="26" customWidth="1"/>
    <col min="5645" max="5883" width="11.42578125" style="26"/>
    <col min="5884" max="5884" width="18.140625" style="26" customWidth="1"/>
    <col min="5885" max="5885" width="8" style="26" bestFit="1" customWidth="1"/>
    <col min="5886" max="5886" width="7.42578125" style="26" bestFit="1" customWidth="1"/>
    <col min="5887" max="5888" width="7.42578125" style="26" customWidth="1"/>
    <col min="5889" max="5889" width="8" style="26" bestFit="1" customWidth="1"/>
    <col min="5890" max="5890" width="7.42578125" style="26" bestFit="1" customWidth="1"/>
    <col min="5891" max="5893" width="7.42578125" style="26" customWidth="1"/>
    <col min="5894" max="5899" width="0" style="26" hidden="1" customWidth="1"/>
    <col min="5900" max="5900" width="7.85546875" style="26" customWidth="1"/>
    <col min="5901" max="6139" width="11.42578125" style="26"/>
    <col min="6140" max="6140" width="18.140625" style="26" customWidth="1"/>
    <col min="6141" max="6141" width="8" style="26" bestFit="1" customWidth="1"/>
    <col min="6142" max="6142" width="7.42578125" style="26" bestFit="1" customWidth="1"/>
    <col min="6143" max="6144" width="7.42578125" style="26" customWidth="1"/>
    <col min="6145" max="6145" width="8" style="26" bestFit="1" customWidth="1"/>
    <col min="6146" max="6146" width="7.42578125" style="26" bestFit="1" customWidth="1"/>
    <col min="6147" max="6149" width="7.42578125" style="26" customWidth="1"/>
    <col min="6150" max="6155" width="0" style="26" hidden="1" customWidth="1"/>
    <col min="6156" max="6156" width="7.85546875" style="26" customWidth="1"/>
    <col min="6157" max="6395" width="11.42578125" style="26"/>
    <col min="6396" max="6396" width="18.140625" style="26" customWidth="1"/>
    <col min="6397" max="6397" width="8" style="26" bestFit="1" customWidth="1"/>
    <col min="6398" max="6398" width="7.42578125" style="26" bestFit="1" customWidth="1"/>
    <col min="6399" max="6400" width="7.42578125" style="26" customWidth="1"/>
    <col min="6401" max="6401" width="8" style="26" bestFit="1" customWidth="1"/>
    <col min="6402" max="6402" width="7.42578125" style="26" bestFit="1" customWidth="1"/>
    <col min="6403" max="6405" width="7.42578125" style="26" customWidth="1"/>
    <col min="6406" max="6411" width="0" style="26" hidden="1" customWidth="1"/>
    <col min="6412" max="6412" width="7.85546875" style="26" customWidth="1"/>
    <col min="6413" max="6651" width="11.42578125" style="26"/>
    <col min="6652" max="6652" width="18.140625" style="26" customWidth="1"/>
    <col min="6653" max="6653" width="8" style="26" bestFit="1" customWidth="1"/>
    <col min="6654" max="6654" width="7.42578125" style="26" bestFit="1" customWidth="1"/>
    <col min="6655" max="6656" width="7.42578125" style="26" customWidth="1"/>
    <col min="6657" max="6657" width="8" style="26" bestFit="1" customWidth="1"/>
    <col min="6658" max="6658" width="7.42578125" style="26" bestFit="1" customWidth="1"/>
    <col min="6659" max="6661" width="7.42578125" style="26" customWidth="1"/>
    <col min="6662" max="6667" width="0" style="26" hidden="1" customWidth="1"/>
    <col min="6668" max="6668" width="7.85546875" style="26" customWidth="1"/>
    <col min="6669" max="6907" width="11.42578125" style="26"/>
    <col min="6908" max="6908" width="18.140625" style="26" customWidth="1"/>
    <col min="6909" max="6909" width="8" style="26" bestFit="1" customWidth="1"/>
    <col min="6910" max="6910" width="7.42578125" style="26" bestFit="1" customWidth="1"/>
    <col min="6911" max="6912" width="7.42578125" style="26" customWidth="1"/>
    <col min="6913" max="6913" width="8" style="26" bestFit="1" customWidth="1"/>
    <col min="6914" max="6914" width="7.42578125" style="26" bestFit="1" customWidth="1"/>
    <col min="6915" max="6917" width="7.42578125" style="26" customWidth="1"/>
    <col min="6918" max="6923" width="0" style="26" hidden="1" customWidth="1"/>
    <col min="6924" max="6924" width="7.85546875" style="26" customWidth="1"/>
    <col min="6925" max="7163" width="11.42578125" style="26"/>
    <col min="7164" max="7164" width="18.140625" style="26" customWidth="1"/>
    <col min="7165" max="7165" width="8" style="26" bestFit="1" customWidth="1"/>
    <col min="7166" max="7166" width="7.42578125" style="26" bestFit="1" customWidth="1"/>
    <col min="7167" max="7168" width="7.42578125" style="26" customWidth="1"/>
    <col min="7169" max="7169" width="8" style="26" bestFit="1" customWidth="1"/>
    <col min="7170" max="7170" width="7.42578125" style="26" bestFit="1" customWidth="1"/>
    <col min="7171" max="7173" width="7.42578125" style="26" customWidth="1"/>
    <col min="7174" max="7179" width="0" style="26" hidden="1" customWidth="1"/>
    <col min="7180" max="7180" width="7.85546875" style="26" customWidth="1"/>
    <col min="7181" max="7419" width="11.42578125" style="26"/>
    <col min="7420" max="7420" width="18.140625" style="26" customWidth="1"/>
    <col min="7421" max="7421" width="8" style="26" bestFit="1" customWidth="1"/>
    <col min="7422" max="7422" width="7.42578125" style="26" bestFit="1" customWidth="1"/>
    <col min="7423" max="7424" width="7.42578125" style="26" customWidth="1"/>
    <col min="7425" max="7425" width="8" style="26" bestFit="1" customWidth="1"/>
    <col min="7426" max="7426" width="7.42578125" style="26" bestFit="1" customWidth="1"/>
    <col min="7427" max="7429" width="7.42578125" style="26" customWidth="1"/>
    <col min="7430" max="7435" width="0" style="26" hidden="1" customWidth="1"/>
    <col min="7436" max="7436" width="7.85546875" style="26" customWidth="1"/>
    <col min="7437" max="7675" width="11.42578125" style="26"/>
    <col min="7676" max="7676" width="18.140625" style="26" customWidth="1"/>
    <col min="7677" max="7677" width="8" style="26" bestFit="1" customWidth="1"/>
    <col min="7678" max="7678" width="7.42578125" style="26" bestFit="1" customWidth="1"/>
    <col min="7679" max="7680" width="7.42578125" style="26" customWidth="1"/>
    <col min="7681" max="7681" width="8" style="26" bestFit="1" customWidth="1"/>
    <col min="7682" max="7682" width="7.42578125" style="26" bestFit="1" customWidth="1"/>
    <col min="7683" max="7685" width="7.42578125" style="26" customWidth="1"/>
    <col min="7686" max="7691" width="0" style="26" hidden="1" customWidth="1"/>
    <col min="7692" max="7692" width="7.85546875" style="26" customWidth="1"/>
    <col min="7693" max="7931" width="11.42578125" style="26"/>
    <col min="7932" max="7932" width="18.140625" style="26" customWidth="1"/>
    <col min="7933" max="7933" width="8" style="26" bestFit="1" customWidth="1"/>
    <col min="7934" max="7934" width="7.42578125" style="26" bestFit="1" customWidth="1"/>
    <col min="7935" max="7936" width="7.42578125" style="26" customWidth="1"/>
    <col min="7937" max="7937" width="8" style="26" bestFit="1" customWidth="1"/>
    <col min="7938" max="7938" width="7.42578125" style="26" bestFit="1" customWidth="1"/>
    <col min="7939" max="7941" width="7.42578125" style="26" customWidth="1"/>
    <col min="7942" max="7947" width="0" style="26" hidden="1" customWidth="1"/>
    <col min="7948" max="7948" width="7.85546875" style="26" customWidth="1"/>
    <col min="7949" max="8187" width="11.42578125" style="26"/>
    <col min="8188" max="8188" width="18.140625" style="26" customWidth="1"/>
    <col min="8189" max="8189" width="8" style="26" bestFit="1" customWidth="1"/>
    <col min="8190" max="8190" width="7.42578125" style="26" bestFit="1" customWidth="1"/>
    <col min="8191" max="8192" width="7.42578125" style="26" customWidth="1"/>
    <col min="8193" max="8193" width="8" style="26" bestFit="1" customWidth="1"/>
    <col min="8194" max="8194" width="7.42578125" style="26" bestFit="1" customWidth="1"/>
    <col min="8195" max="8197" width="7.42578125" style="26" customWidth="1"/>
    <col min="8198" max="8203" width="0" style="26" hidden="1" customWidth="1"/>
    <col min="8204" max="8204" width="7.85546875" style="26" customWidth="1"/>
    <col min="8205" max="8443" width="11.42578125" style="26"/>
    <col min="8444" max="8444" width="18.140625" style="26" customWidth="1"/>
    <col min="8445" max="8445" width="8" style="26" bestFit="1" customWidth="1"/>
    <col min="8446" max="8446" width="7.42578125" style="26" bestFit="1" customWidth="1"/>
    <col min="8447" max="8448" width="7.42578125" style="26" customWidth="1"/>
    <col min="8449" max="8449" width="8" style="26" bestFit="1" customWidth="1"/>
    <col min="8450" max="8450" width="7.42578125" style="26" bestFit="1" customWidth="1"/>
    <col min="8451" max="8453" width="7.42578125" style="26" customWidth="1"/>
    <col min="8454" max="8459" width="0" style="26" hidden="1" customWidth="1"/>
    <col min="8460" max="8460" width="7.85546875" style="26" customWidth="1"/>
    <col min="8461" max="8699" width="11.42578125" style="26"/>
    <col min="8700" max="8700" width="18.140625" style="26" customWidth="1"/>
    <col min="8701" max="8701" width="8" style="26" bestFit="1" customWidth="1"/>
    <col min="8702" max="8702" width="7.42578125" style="26" bestFit="1" customWidth="1"/>
    <col min="8703" max="8704" width="7.42578125" style="26" customWidth="1"/>
    <col min="8705" max="8705" width="8" style="26" bestFit="1" customWidth="1"/>
    <col min="8706" max="8706" width="7.42578125" style="26" bestFit="1" customWidth="1"/>
    <col min="8707" max="8709" width="7.42578125" style="26" customWidth="1"/>
    <col min="8710" max="8715" width="0" style="26" hidden="1" customWidth="1"/>
    <col min="8716" max="8716" width="7.85546875" style="26" customWidth="1"/>
    <col min="8717" max="8955" width="11.42578125" style="26"/>
    <col min="8956" max="8956" width="18.140625" style="26" customWidth="1"/>
    <col min="8957" max="8957" width="8" style="26" bestFit="1" customWidth="1"/>
    <col min="8958" max="8958" width="7.42578125" style="26" bestFit="1" customWidth="1"/>
    <col min="8959" max="8960" width="7.42578125" style="26" customWidth="1"/>
    <col min="8961" max="8961" width="8" style="26" bestFit="1" customWidth="1"/>
    <col min="8962" max="8962" width="7.42578125" style="26" bestFit="1" customWidth="1"/>
    <col min="8963" max="8965" width="7.42578125" style="26" customWidth="1"/>
    <col min="8966" max="8971" width="0" style="26" hidden="1" customWidth="1"/>
    <col min="8972" max="8972" width="7.85546875" style="26" customWidth="1"/>
    <col min="8973" max="9211" width="11.42578125" style="26"/>
    <col min="9212" max="9212" width="18.140625" style="26" customWidth="1"/>
    <col min="9213" max="9213" width="8" style="26" bestFit="1" customWidth="1"/>
    <col min="9214" max="9214" width="7.42578125" style="26" bestFit="1" customWidth="1"/>
    <col min="9215" max="9216" width="7.42578125" style="26" customWidth="1"/>
    <col min="9217" max="9217" width="8" style="26" bestFit="1" customWidth="1"/>
    <col min="9218" max="9218" width="7.42578125" style="26" bestFit="1" customWidth="1"/>
    <col min="9219" max="9221" width="7.42578125" style="26" customWidth="1"/>
    <col min="9222" max="9227" width="0" style="26" hidden="1" customWidth="1"/>
    <col min="9228" max="9228" width="7.85546875" style="26" customWidth="1"/>
    <col min="9229" max="9467" width="11.42578125" style="26"/>
    <col min="9468" max="9468" width="18.140625" style="26" customWidth="1"/>
    <col min="9469" max="9469" width="8" style="26" bestFit="1" customWidth="1"/>
    <col min="9470" max="9470" width="7.42578125" style="26" bestFit="1" customWidth="1"/>
    <col min="9471" max="9472" width="7.42578125" style="26" customWidth="1"/>
    <col min="9473" max="9473" width="8" style="26" bestFit="1" customWidth="1"/>
    <col min="9474" max="9474" width="7.42578125" style="26" bestFit="1" customWidth="1"/>
    <col min="9475" max="9477" width="7.42578125" style="26" customWidth="1"/>
    <col min="9478" max="9483" width="0" style="26" hidden="1" customWidth="1"/>
    <col min="9484" max="9484" width="7.85546875" style="26" customWidth="1"/>
    <col min="9485" max="9723" width="11.42578125" style="26"/>
    <col min="9724" max="9724" width="18.140625" style="26" customWidth="1"/>
    <col min="9725" max="9725" width="8" style="26" bestFit="1" customWidth="1"/>
    <col min="9726" max="9726" width="7.42578125" style="26" bestFit="1" customWidth="1"/>
    <col min="9727" max="9728" width="7.42578125" style="26" customWidth="1"/>
    <col min="9729" max="9729" width="8" style="26" bestFit="1" customWidth="1"/>
    <col min="9730" max="9730" width="7.42578125" style="26" bestFit="1" customWidth="1"/>
    <col min="9731" max="9733" width="7.42578125" style="26" customWidth="1"/>
    <col min="9734" max="9739" width="0" style="26" hidden="1" customWidth="1"/>
    <col min="9740" max="9740" width="7.85546875" style="26" customWidth="1"/>
    <col min="9741" max="9979" width="11.42578125" style="26"/>
    <col min="9980" max="9980" width="18.140625" style="26" customWidth="1"/>
    <col min="9981" max="9981" width="8" style="26" bestFit="1" customWidth="1"/>
    <col min="9982" max="9982" width="7.42578125" style="26" bestFit="1" customWidth="1"/>
    <col min="9983" max="9984" width="7.42578125" style="26" customWidth="1"/>
    <col min="9985" max="9985" width="8" style="26" bestFit="1" customWidth="1"/>
    <col min="9986" max="9986" width="7.42578125" style="26" bestFit="1" customWidth="1"/>
    <col min="9987" max="9989" width="7.42578125" style="26" customWidth="1"/>
    <col min="9990" max="9995" width="0" style="26" hidden="1" customWidth="1"/>
    <col min="9996" max="9996" width="7.85546875" style="26" customWidth="1"/>
    <col min="9997" max="10235" width="11.42578125" style="26"/>
    <col min="10236" max="10236" width="18.140625" style="26" customWidth="1"/>
    <col min="10237" max="10237" width="8" style="26" bestFit="1" customWidth="1"/>
    <col min="10238" max="10238" width="7.42578125" style="26" bestFit="1" customWidth="1"/>
    <col min="10239" max="10240" width="7.42578125" style="26" customWidth="1"/>
    <col min="10241" max="10241" width="8" style="26" bestFit="1" customWidth="1"/>
    <col min="10242" max="10242" width="7.42578125" style="26" bestFit="1" customWidth="1"/>
    <col min="10243" max="10245" width="7.42578125" style="26" customWidth="1"/>
    <col min="10246" max="10251" width="0" style="26" hidden="1" customWidth="1"/>
    <col min="10252" max="10252" width="7.85546875" style="26" customWidth="1"/>
    <col min="10253" max="10491" width="11.42578125" style="26"/>
    <col min="10492" max="10492" width="18.140625" style="26" customWidth="1"/>
    <col min="10493" max="10493" width="8" style="26" bestFit="1" customWidth="1"/>
    <col min="10494" max="10494" width="7.42578125" style="26" bestFit="1" customWidth="1"/>
    <col min="10495" max="10496" width="7.42578125" style="26" customWidth="1"/>
    <col min="10497" max="10497" width="8" style="26" bestFit="1" customWidth="1"/>
    <col min="10498" max="10498" width="7.42578125" style="26" bestFit="1" customWidth="1"/>
    <col min="10499" max="10501" width="7.42578125" style="26" customWidth="1"/>
    <col min="10502" max="10507" width="0" style="26" hidden="1" customWidth="1"/>
    <col min="10508" max="10508" width="7.85546875" style="26" customWidth="1"/>
    <col min="10509" max="10747" width="11.42578125" style="26"/>
    <col min="10748" max="10748" width="18.140625" style="26" customWidth="1"/>
    <col min="10749" max="10749" width="8" style="26" bestFit="1" customWidth="1"/>
    <col min="10750" max="10750" width="7.42578125" style="26" bestFit="1" customWidth="1"/>
    <col min="10751" max="10752" width="7.42578125" style="26" customWidth="1"/>
    <col min="10753" max="10753" width="8" style="26" bestFit="1" customWidth="1"/>
    <col min="10754" max="10754" width="7.42578125" style="26" bestFit="1" customWidth="1"/>
    <col min="10755" max="10757" width="7.42578125" style="26" customWidth="1"/>
    <col min="10758" max="10763" width="0" style="26" hidden="1" customWidth="1"/>
    <col min="10764" max="10764" width="7.85546875" style="26" customWidth="1"/>
    <col min="10765" max="11003" width="11.42578125" style="26"/>
    <col min="11004" max="11004" width="18.140625" style="26" customWidth="1"/>
    <col min="11005" max="11005" width="8" style="26" bestFit="1" customWidth="1"/>
    <col min="11006" max="11006" width="7.42578125" style="26" bestFit="1" customWidth="1"/>
    <col min="11007" max="11008" width="7.42578125" style="26" customWidth="1"/>
    <col min="11009" max="11009" width="8" style="26" bestFit="1" customWidth="1"/>
    <col min="11010" max="11010" width="7.42578125" style="26" bestFit="1" customWidth="1"/>
    <col min="11011" max="11013" width="7.42578125" style="26" customWidth="1"/>
    <col min="11014" max="11019" width="0" style="26" hidden="1" customWidth="1"/>
    <col min="11020" max="11020" width="7.85546875" style="26" customWidth="1"/>
    <col min="11021" max="11259" width="11.42578125" style="26"/>
    <col min="11260" max="11260" width="18.140625" style="26" customWidth="1"/>
    <col min="11261" max="11261" width="8" style="26" bestFit="1" customWidth="1"/>
    <col min="11262" max="11262" width="7.42578125" style="26" bestFit="1" customWidth="1"/>
    <col min="11263" max="11264" width="7.42578125" style="26" customWidth="1"/>
    <col min="11265" max="11265" width="8" style="26" bestFit="1" customWidth="1"/>
    <col min="11266" max="11266" width="7.42578125" style="26" bestFit="1" customWidth="1"/>
    <col min="11267" max="11269" width="7.42578125" style="26" customWidth="1"/>
    <col min="11270" max="11275" width="0" style="26" hidden="1" customWidth="1"/>
    <col min="11276" max="11276" width="7.85546875" style="26" customWidth="1"/>
    <col min="11277" max="11515" width="11.42578125" style="26"/>
    <col min="11516" max="11516" width="18.140625" style="26" customWidth="1"/>
    <col min="11517" max="11517" width="8" style="26" bestFit="1" customWidth="1"/>
    <col min="11518" max="11518" width="7.42578125" style="26" bestFit="1" customWidth="1"/>
    <col min="11519" max="11520" width="7.42578125" style="26" customWidth="1"/>
    <col min="11521" max="11521" width="8" style="26" bestFit="1" customWidth="1"/>
    <col min="11522" max="11522" width="7.42578125" style="26" bestFit="1" customWidth="1"/>
    <col min="11523" max="11525" width="7.42578125" style="26" customWidth="1"/>
    <col min="11526" max="11531" width="0" style="26" hidden="1" customWidth="1"/>
    <col min="11532" max="11532" width="7.85546875" style="26" customWidth="1"/>
    <col min="11533" max="11771" width="11.42578125" style="26"/>
    <col min="11772" max="11772" width="18.140625" style="26" customWidth="1"/>
    <col min="11773" max="11773" width="8" style="26" bestFit="1" customWidth="1"/>
    <col min="11774" max="11774" width="7.42578125" style="26" bestFit="1" customWidth="1"/>
    <col min="11775" max="11776" width="7.42578125" style="26" customWidth="1"/>
    <col min="11777" max="11777" width="8" style="26" bestFit="1" customWidth="1"/>
    <col min="11778" max="11778" width="7.42578125" style="26" bestFit="1" customWidth="1"/>
    <col min="11779" max="11781" width="7.42578125" style="26" customWidth="1"/>
    <col min="11782" max="11787" width="0" style="26" hidden="1" customWidth="1"/>
    <col min="11788" max="11788" width="7.85546875" style="26" customWidth="1"/>
    <col min="11789" max="12027" width="11.42578125" style="26"/>
    <col min="12028" max="12028" width="18.140625" style="26" customWidth="1"/>
    <col min="12029" max="12029" width="8" style="26" bestFit="1" customWidth="1"/>
    <col min="12030" max="12030" width="7.42578125" style="26" bestFit="1" customWidth="1"/>
    <col min="12031" max="12032" width="7.42578125" style="26" customWidth="1"/>
    <col min="12033" max="12033" width="8" style="26" bestFit="1" customWidth="1"/>
    <col min="12034" max="12034" width="7.42578125" style="26" bestFit="1" customWidth="1"/>
    <col min="12035" max="12037" width="7.42578125" style="26" customWidth="1"/>
    <col min="12038" max="12043" width="0" style="26" hidden="1" customWidth="1"/>
    <col min="12044" max="12044" width="7.85546875" style="26" customWidth="1"/>
    <col min="12045" max="12283" width="11.42578125" style="26"/>
    <col min="12284" max="12284" width="18.140625" style="26" customWidth="1"/>
    <col min="12285" max="12285" width="8" style="26" bestFit="1" customWidth="1"/>
    <col min="12286" max="12286" width="7.42578125" style="26" bestFit="1" customWidth="1"/>
    <col min="12287" max="12288" width="7.42578125" style="26" customWidth="1"/>
    <col min="12289" max="12289" width="8" style="26" bestFit="1" customWidth="1"/>
    <col min="12290" max="12290" width="7.42578125" style="26" bestFit="1" customWidth="1"/>
    <col min="12291" max="12293" width="7.42578125" style="26" customWidth="1"/>
    <col min="12294" max="12299" width="0" style="26" hidden="1" customWidth="1"/>
    <col min="12300" max="12300" width="7.85546875" style="26" customWidth="1"/>
    <col min="12301" max="12539" width="11.42578125" style="26"/>
    <col min="12540" max="12540" width="18.140625" style="26" customWidth="1"/>
    <col min="12541" max="12541" width="8" style="26" bestFit="1" customWidth="1"/>
    <col min="12542" max="12542" width="7.42578125" style="26" bestFit="1" customWidth="1"/>
    <col min="12543" max="12544" width="7.42578125" style="26" customWidth="1"/>
    <col min="12545" max="12545" width="8" style="26" bestFit="1" customWidth="1"/>
    <col min="12546" max="12546" width="7.42578125" style="26" bestFit="1" customWidth="1"/>
    <col min="12547" max="12549" width="7.42578125" style="26" customWidth="1"/>
    <col min="12550" max="12555" width="0" style="26" hidden="1" customWidth="1"/>
    <col min="12556" max="12556" width="7.85546875" style="26" customWidth="1"/>
    <col min="12557" max="12795" width="11.42578125" style="26"/>
    <col min="12796" max="12796" width="18.140625" style="26" customWidth="1"/>
    <col min="12797" max="12797" width="8" style="26" bestFit="1" customWidth="1"/>
    <col min="12798" max="12798" width="7.42578125" style="26" bestFit="1" customWidth="1"/>
    <col min="12799" max="12800" width="7.42578125" style="26" customWidth="1"/>
    <col min="12801" max="12801" width="8" style="26" bestFit="1" customWidth="1"/>
    <col min="12802" max="12802" width="7.42578125" style="26" bestFit="1" customWidth="1"/>
    <col min="12803" max="12805" width="7.42578125" style="26" customWidth="1"/>
    <col min="12806" max="12811" width="0" style="26" hidden="1" customWidth="1"/>
    <col min="12812" max="12812" width="7.85546875" style="26" customWidth="1"/>
    <col min="12813" max="13051" width="11.42578125" style="26"/>
    <col min="13052" max="13052" width="18.140625" style="26" customWidth="1"/>
    <col min="13053" max="13053" width="8" style="26" bestFit="1" customWidth="1"/>
    <col min="13054" max="13054" width="7.42578125" style="26" bestFit="1" customWidth="1"/>
    <col min="13055" max="13056" width="7.42578125" style="26" customWidth="1"/>
    <col min="13057" max="13057" width="8" style="26" bestFit="1" customWidth="1"/>
    <col min="13058" max="13058" width="7.42578125" style="26" bestFit="1" customWidth="1"/>
    <col min="13059" max="13061" width="7.42578125" style="26" customWidth="1"/>
    <col min="13062" max="13067" width="0" style="26" hidden="1" customWidth="1"/>
    <col min="13068" max="13068" width="7.85546875" style="26" customWidth="1"/>
    <col min="13069" max="13307" width="11.42578125" style="26"/>
    <col min="13308" max="13308" width="18.140625" style="26" customWidth="1"/>
    <col min="13309" max="13309" width="8" style="26" bestFit="1" customWidth="1"/>
    <col min="13310" max="13310" width="7.42578125" style="26" bestFit="1" customWidth="1"/>
    <col min="13311" max="13312" width="7.42578125" style="26" customWidth="1"/>
    <col min="13313" max="13313" width="8" style="26" bestFit="1" customWidth="1"/>
    <col min="13314" max="13314" width="7.42578125" style="26" bestFit="1" customWidth="1"/>
    <col min="13315" max="13317" width="7.42578125" style="26" customWidth="1"/>
    <col min="13318" max="13323" width="0" style="26" hidden="1" customWidth="1"/>
    <col min="13324" max="13324" width="7.85546875" style="26" customWidth="1"/>
    <col min="13325" max="13563" width="11.42578125" style="26"/>
    <col min="13564" max="13564" width="18.140625" style="26" customWidth="1"/>
    <col min="13565" max="13565" width="8" style="26" bestFit="1" customWidth="1"/>
    <col min="13566" max="13566" width="7.42578125" style="26" bestFit="1" customWidth="1"/>
    <col min="13567" max="13568" width="7.42578125" style="26" customWidth="1"/>
    <col min="13569" max="13569" width="8" style="26" bestFit="1" customWidth="1"/>
    <col min="13570" max="13570" width="7.42578125" style="26" bestFit="1" customWidth="1"/>
    <col min="13571" max="13573" width="7.42578125" style="26" customWidth="1"/>
    <col min="13574" max="13579" width="0" style="26" hidden="1" customWidth="1"/>
    <col min="13580" max="13580" width="7.85546875" style="26" customWidth="1"/>
    <col min="13581" max="13819" width="11.42578125" style="26"/>
    <col min="13820" max="13820" width="18.140625" style="26" customWidth="1"/>
    <col min="13821" max="13821" width="8" style="26" bestFit="1" customWidth="1"/>
    <col min="13822" max="13822" width="7.42578125" style="26" bestFit="1" customWidth="1"/>
    <col min="13823" max="13824" width="7.42578125" style="26" customWidth="1"/>
    <col min="13825" max="13825" width="8" style="26" bestFit="1" customWidth="1"/>
    <col min="13826" max="13826" width="7.42578125" style="26" bestFit="1" customWidth="1"/>
    <col min="13827" max="13829" width="7.42578125" style="26" customWidth="1"/>
    <col min="13830" max="13835" width="0" style="26" hidden="1" customWidth="1"/>
    <col min="13836" max="13836" width="7.85546875" style="26" customWidth="1"/>
    <col min="13837" max="14075" width="11.42578125" style="26"/>
    <col min="14076" max="14076" width="18.140625" style="26" customWidth="1"/>
    <col min="14077" max="14077" width="8" style="26" bestFit="1" customWidth="1"/>
    <col min="14078" max="14078" width="7.42578125" style="26" bestFit="1" customWidth="1"/>
    <col min="14079" max="14080" width="7.42578125" style="26" customWidth="1"/>
    <col min="14081" max="14081" width="8" style="26" bestFit="1" customWidth="1"/>
    <col min="14082" max="14082" width="7.42578125" style="26" bestFit="1" customWidth="1"/>
    <col min="14083" max="14085" width="7.42578125" style="26" customWidth="1"/>
    <col min="14086" max="14091" width="0" style="26" hidden="1" customWidth="1"/>
    <col min="14092" max="14092" width="7.85546875" style="26" customWidth="1"/>
    <col min="14093" max="14331" width="11.42578125" style="26"/>
    <col min="14332" max="14332" width="18.140625" style="26" customWidth="1"/>
    <col min="14333" max="14333" width="8" style="26" bestFit="1" customWidth="1"/>
    <col min="14334" max="14334" width="7.42578125" style="26" bestFit="1" customWidth="1"/>
    <col min="14335" max="14336" width="7.42578125" style="26" customWidth="1"/>
    <col min="14337" max="14337" width="8" style="26" bestFit="1" customWidth="1"/>
    <col min="14338" max="14338" width="7.42578125" style="26" bestFit="1" customWidth="1"/>
    <col min="14339" max="14341" width="7.42578125" style="26" customWidth="1"/>
    <col min="14342" max="14347" width="0" style="26" hidden="1" customWidth="1"/>
    <col min="14348" max="14348" width="7.85546875" style="26" customWidth="1"/>
    <col min="14349" max="14587" width="11.42578125" style="26"/>
    <col min="14588" max="14588" width="18.140625" style="26" customWidth="1"/>
    <col min="14589" max="14589" width="8" style="26" bestFit="1" customWidth="1"/>
    <col min="14590" max="14590" width="7.42578125" style="26" bestFit="1" customWidth="1"/>
    <col min="14591" max="14592" width="7.42578125" style="26" customWidth="1"/>
    <col min="14593" max="14593" width="8" style="26" bestFit="1" customWidth="1"/>
    <col min="14594" max="14594" width="7.42578125" style="26" bestFit="1" customWidth="1"/>
    <col min="14595" max="14597" width="7.42578125" style="26" customWidth="1"/>
    <col min="14598" max="14603" width="0" style="26" hidden="1" customWidth="1"/>
    <col min="14604" max="14604" width="7.85546875" style="26" customWidth="1"/>
    <col min="14605" max="14843" width="11.42578125" style="26"/>
    <col min="14844" max="14844" width="18.140625" style="26" customWidth="1"/>
    <col min="14845" max="14845" width="8" style="26" bestFit="1" customWidth="1"/>
    <col min="14846" max="14846" width="7.42578125" style="26" bestFit="1" customWidth="1"/>
    <col min="14847" max="14848" width="7.42578125" style="26" customWidth="1"/>
    <col min="14849" max="14849" width="8" style="26" bestFit="1" customWidth="1"/>
    <col min="14850" max="14850" width="7.42578125" style="26" bestFit="1" customWidth="1"/>
    <col min="14851" max="14853" width="7.42578125" style="26" customWidth="1"/>
    <col min="14854" max="14859" width="0" style="26" hidden="1" customWidth="1"/>
    <col min="14860" max="14860" width="7.85546875" style="26" customWidth="1"/>
    <col min="14861" max="15099" width="11.42578125" style="26"/>
    <col min="15100" max="15100" width="18.140625" style="26" customWidth="1"/>
    <col min="15101" max="15101" width="8" style="26" bestFit="1" customWidth="1"/>
    <col min="15102" max="15102" width="7.42578125" style="26" bestFit="1" customWidth="1"/>
    <col min="15103" max="15104" width="7.42578125" style="26" customWidth="1"/>
    <col min="15105" max="15105" width="8" style="26" bestFit="1" customWidth="1"/>
    <col min="15106" max="15106" width="7.42578125" style="26" bestFit="1" customWidth="1"/>
    <col min="15107" max="15109" width="7.42578125" style="26" customWidth="1"/>
    <col min="15110" max="15115" width="0" style="26" hidden="1" customWidth="1"/>
    <col min="15116" max="15116" width="7.85546875" style="26" customWidth="1"/>
    <col min="15117" max="15355" width="11.42578125" style="26"/>
    <col min="15356" max="15356" width="18.140625" style="26" customWidth="1"/>
    <col min="15357" max="15357" width="8" style="26" bestFit="1" customWidth="1"/>
    <col min="15358" max="15358" width="7.42578125" style="26" bestFit="1" customWidth="1"/>
    <col min="15359" max="15360" width="7.42578125" style="26" customWidth="1"/>
    <col min="15361" max="15361" width="8" style="26" bestFit="1" customWidth="1"/>
    <col min="15362" max="15362" width="7.42578125" style="26" bestFit="1" customWidth="1"/>
    <col min="15363" max="15365" width="7.42578125" style="26" customWidth="1"/>
    <col min="15366" max="15371" width="0" style="26" hidden="1" customWidth="1"/>
    <col min="15372" max="15372" width="7.85546875" style="26" customWidth="1"/>
    <col min="15373" max="15611" width="11.42578125" style="26"/>
    <col min="15612" max="15612" width="18.140625" style="26" customWidth="1"/>
    <col min="15613" max="15613" width="8" style="26" bestFit="1" customWidth="1"/>
    <col min="15614" max="15614" width="7.42578125" style="26" bestFit="1" customWidth="1"/>
    <col min="15615" max="15616" width="7.42578125" style="26" customWidth="1"/>
    <col min="15617" max="15617" width="8" style="26" bestFit="1" customWidth="1"/>
    <col min="15618" max="15618" width="7.42578125" style="26" bestFit="1" customWidth="1"/>
    <col min="15619" max="15621" width="7.42578125" style="26" customWidth="1"/>
    <col min="15622" max="15627" width="0" style="26" hidden="1" customWidth="1"/>
    <col min="15628" max="15628" width="7.85546875" style="26" customWidth="1"/>
    <col min="15629" max="15867" width="11.42578125" style="26"/>
    <col min="15868" max="15868" width="18.140625" style="26" customWidth="1"/>
    <col min="15869" max="15869" width="8" style="26" bestFit="1" customWidth="1"/>
    <col min="15870" max="15870" width="7.42578125" style="26" bestFit="1" customWidth="1"/>
    <col min="15871" max="15872" width="7.42578125" style="26" customWidth="1"/>
    <col min="15873" max="15873" width="8" style="26" bestFit="1" customWidth="1"/>
    <col min="15874" max="15874" width="7.42578125" style="26" bestFit="1" customWidth="1"/>
    <col min="15875" max="15877" width="7.42578125" style="26" customWidth="1"/>
    <col min="15878" max="15883" width="0" style="26" hidden="1" customWidth="1"/>
    <col min="15884" max="15884" width="7.85546875" style="26" customWidth="1"/>
    <col min="15885" max="16123" width="11.42578125" style="26"/>
    <col min="16124" max="16124" width="18.140625" style="26" customWidth="1"/>
    <col min="16125" max="16125" width="8" style="26" bestFit="1" customWidth="1"/>
    <col min="16126" max="16126" width="7.42578125" style="26" bestFit="1" customWidth="1"/>
    <col min="16127" max="16128" width="7.42578125" style="26" customWidth="1"/>
    <col min="16129" max="16129" width="8" style="26" bestFit="1" customWidth="1"/>
    <col min="16130" max="16130" width="7.42578125" style="26" bestFit="1" customWidth="1"/>
    <col min="16131" max="16133" width="7.42578125" style="26" customWidth="1"/>
    <col min="16134" max="16139" width="0" style="26" hidden="1" customWidth="1"/>
    <col min="16140" max="16140" width="7.85546875" style="26" customWidth="1"/>
    <col min="16141" max="16384" width="11.42578125" style="26"/>
  </cols>
  <sheetData>
    <row r="1" spans="1:16" s="27" customFormat="1" ht="14.25" customHeight="1" x14ac:dyDescent="0.2">
      <c r="B1" s="39"/>
      <c r="C1" s="39"/>
      <c r="D1" s="39"/>
      <c r="E1" s="39"/>
      <c r="F1" s="39"/>
      <c r="G1" s="39"/>
      <c r="H1" s="39"/>
      <c r="I1" s="39"/>
      <c r="J1" s="39"/>
      <c r="K1" s="39"/>
      <c r="L1" s="39"/>
    </row>
    <row r="2" spans="1:16" s="27" customFormat="1" x14ac:dyDescent="0.2">
      <c r="A2" s="47" t="s">
        <v>101</v>
      </c>
      <c r="B2" s="39"/>
      <c r="C2" s="39"/>
      <c r="D2" s="39"/>
      <c r="E2" s="39"/>
      <c r="F2" s="39"/>
      <c r="G2" s="39"/>
      <c r="H2" s="39"/>
      <c r="I2" s="39"/>
      <c r="K2" s="39"/>
      <c r="L2" s="39"/>
    </row>
    <row r="3" spans="1:16" s="27" customFormat="1" x14ac:dyDescent="0.2">
      <c r="A3" s="47" t="s">
        <v>102</v>
      </c>
      <c r="B3" s="39"/>
      <c r="C3" s="39"/>
      <c r="D3" s="39"/>
      <c r="E3" s="39"/>
      <c r="F3" s="39"/>
      <c r="G3" s="39"/>
      <c r="H3" s="39"/>
      <c r="I3" s="39"/>
      <c r="J3" s="39"/>
      <c r="K3" s="39"/>
      <c r="L3" s="39"/>
    </row>
    <row r="4" spans="1:16" s="27" customFormat="1" ht="15" x14ac:dyDescent="0.25">
      <c r="B4" s="39"/>
      <c r="C4" s="39"/>
      <c r="D4" s="39"/>
      <c r="E4" s="39"/>
      <c r="F4" s="39"/>
      <c r="G4" s="39"/>
      <c r="H4" s="39"/>
      <c r="I4" s="39"/>
      <c r="J4" s="39"/>
      <c r="K4" s="39"/>
      <c r="L4" s="95"/>
    </row>
    <row r="5" spans="1:16" s="27" customFormat="1" ht="12.75" x14ac:dyDescent="0.2">
      <c r="B5" s="369" t="s">
        <v>122</v>
      </c>
      <c r="C5" s="369"/>
      <c r="D5" s="369"/>
      <c r="E5" s="369"/>
      <c r="F5" s="369"/>
      <c r="G5" s="369"/>
      <c r="H5" s="369"/>
      <c r="I5" s="369"/>
      <c r="J5" s="369"/>
      <c r="K5" s="369"/>
      <c r="M5" s="122" t="s">
        <v>566</v>
      </c>
      <c r="O5" s="96"/>
    </row>
    <row r="6" spans="1:16" s="27" customFormat="1" ht="12.75" x14ac:dyDescent="0.2">
      <c r="B6" s="385" t="str">
        <f>'Solicitudes Regiones'!$B$6:$R$6</f>
        <v>Acumuladas de julio de 2008 a diciembre de 2021</v>
      </c>
      <c r="C6" s="385"/>
      <c r="D6" s="385"/>
      <c r="E6" s="385"/>
      <c r="F6" s="385"/>
      <c r="G6" s="385"/>
      <c r="H6" s="385"/>
      <c r="I6" s="385"/>
      <c r="J6" s="385"/>
      <c r="K6" s="385"/>
      <c r="L6" s="56"/>
    </row>
    <row r="7" spans="1:16" x14ac:dyDescent="0.2">
      <c r="B7" s="28"/>
    </row>
    <row r="8" spans="1:16" ht="15" customHeight="1" x14ac:dyDescent="0.2">
      <c r="B8" s="399" t="s">
        <v>55</v>
      </c>
      <c r="C8" s="399"/>
      <c r="D8" s="399"/>
      <c r="E8" s="399"/>
      <c r="F8" s="399"/>
      <c r="G8" s="399"/>
      <c r="H8" s="399"/>
      <c r="I8" s="399"/>
      <c r="J8" s="399"/>
      <c r="K8" s="399"/>
      <c r="L8" s="399"/>
      <c r="M8" s="399"/>
    </row>
    <row r="9" spans="1:16" ht="20.25" customHeight="1" x14ac:dyDescent="0.2">
      <c r="B9" s="399" t="s">
        <v>56</v>
      </c>
      <c r="C9" s="397" t="s">
        <v>2</v>
      </c>
      <c r="D9" s="400"/>
      <c r="E9" s="400"/>
      <c r="F9" s="400"/>
      <c r="G9" s="400"/>
      <c r="H9" s="400"/>
      <c r="I9" s="400"/>
      <c r="J9" s="400"/>
      <c r="K9" s="398"/>
      <c r="L9" s="397"/>
      <c r="M9" s="398"/>
    </row>
    <row r="10" spans="1:16" ht="24" x14ac:dyDescent="0.2">
      <c r="B10" s="399"/>
      <c r="C10" s="23" t="s">
        <v>57</v>
      </c>
      <c r="D10" s="23" t="s">
        <v>58</v>
      </c>
      <c r="E10" s="23" t="s">
        <v>59</v>
      </c>
      <c r="F10" s="23" t="s">
        <v>60</v>
      </c>
      <c r="G10" s="23" t="s">
        <v>8</v>
      </c>
      <c r="H10" s="23" t="s">
        <v>61</v>
      </c>
      <c r="I10" s="23" t="s">
        <v>62</v>
      </c>
      <c r="J10" s="23" t="s">
        <v>63</v>
      </c>
      <c r="K10" s="261" t="s">
        <v>31</v>
      </c>
      <c r="L10" s="261" t="s">
        <v>584</v>
      </c>
      <c r="M10" s="261" t="s">
        <v>587</v>
      </c>
    </row>
    <row r="11" spans="1:16" ht="12.75" customHeight="1" x14ac:dyDescent="0.2">
      <c r="B11" s="20" t="s">
        <v>410</v>
      </c>
      <c r="C11" s="18">
        <v>6235</v>
      </c>
      <c r="D11" s="18">
        <v>1995</v>
      </c>
      <c r="E11" s="18">
        <f>C11+D11</f>
        <v>8230</v>
      </c>
      <c r="F11" s="19">
        <f>E11/$E$63</f>
        <v>3.066730261883114E-2</v>
      </c>
      <c r="G11" s="18">
        <v>25023</v>
      </c>
      <c r="H11" s="18">
        <v>1201</v>
      </c>
      <c r="I11" s="18">
        <f>G11+H11</f>
        <v>26224</v>
      </c>
      <c r="J11" s="19">
        <f>I11/$I$63</f>
        <v>3.8083675458074409E-2</v>
      </c>
      <c r="K11" s="18">
        <f t="shared" ref="K11:K62" si="0">E11+I11</f>
        <v>34454</v>
      </c>
      <c r="L11" s="18">
        <v>21</v>
      </c>
      <c r="M11" s="18">
        <f>K11+L11</f>
        <v>34475</v>
      </c>
      <c r="P11" s="31"/>
    </row>
    <row r="12" spans="1:16" ht="12.75" customHeight="1" x14ac:dyDescent="0.2">
      <c r="B12" s="20" t="s">
        <v>411</v>
      </c>
      <c r="C12" s="18">
        <v>2482</v>
      </c>
      <c r="D12" s="18">
        <v>1476</v>
      </c>
      <c r="E12" s="18">
        <f t="shared" ref="E12:E62" si="1">C12+D12</f>
        <v>3958</v>
      </c>
      <c r="F12" s="19">
        <f t="shared" ref="F12:F62" si="2">E12/$E$63</f>
        <v>1.4748625001863141E-2</v>
      </c>
      <c r="G12" s="18">
        <v>8864</v>
      </c>
      <c r="H12" s="18">
        <v>439</v>
      </c>
      <c r="I12" s="18">
        <f t="shared" ref="I12:I62" si="3">G12+H12</f>
        <v>9303</v>
      </c>
      <c r="J12" s="19">
        <f t="shared" ref="J12:J62" si="4">I12/$I$63</f>
        <v>1.3510236149575435E-2</v>
      </c>
      <c r="K12" s="18">
        <f t="shared" si="0"/>
        <v>13261</v>
      </c>
      <c r="L12" s="18">
        <v>2</v>
      </c>
      <c r="M12" s="18">
        <f t="shared" ref="M12:M63" si="5">K12+L12</f>
        <v>13263</v>
      </c>
      <c r="P12" s="31"/>
    </row>
    <row r="13" spans="1:16" ht="12.75" customHeight="1" x14ac:dyDescent="0.2">
      <c r="B13" s="20" t="s">
        <v>412</v>
      </c>
      <c r="C13" s="18">
        <v>5999</v>
      </c>
      <c r="D13" s="18">
        <v>3027</v>
      </c>
      <c r="E13" s="18">
        <f t="shared" si="1"/>
        <v>9026</v>
      </c>
      <c r="F13" s="19">
        <f t="shared" si="2"/>
        <v>3.3633423260944088E-2</v>
      </c>
      <c r="G13" s="18">
        <v>18250</v>
      </c>
      <c r="H13" s="18">
        <v>1066</v>
      </c>
      <c r="I13" s="18">
        <f t="shared" si="3"/>
        <v>19316</v>
      </c>
      <c r="J13" s="19">
        <f t="shared" si="4"/>
        <v>2.8051566318950782E-2</v>
      </c>
      <c r="K13" s="18">
        <f t="shared" si="0"/>
        <v>28342</v>
      </c>
      <c r="L13" s="18">
        <v>1</v>
      </c>
      <c r="M13" s="18">
        <f t="shared" si="5"/>
        <v>28343</v>
      </c>
      <c r="P13" s="31"/>
    </row>
    <row r="14" spans="1:16" ht="12.75" customHeight="1" x14ac:dyDescent="0.2">
      <c r="B14" s="20" t="s">
        <v>413</v>
      </c>
      <c r="C14" s="18">
        <v>2639</v>
      </c>
      <c r="D14" s="18">
        <v>1401</v>
      </c>
      <c r="E14" s="18">
        <f t="shared" si="1"/>
        <v>4040</v>
      </c>
      <c r="F14" s="19">
        <f t="shared" si="2"/>
        <v>1.5054180143387339E-2</v>
      </c>
      <c r="G14" s="18">
        <v>8165</v>
      </c>
      <c r="H14" s="18">
        <v>464</v>
      </c>
      <c r="I14" s="18">
        <f t="shared" si="3"/>
        <v>8629</v>
      </c>
      <c r="J14" s="19">
        <f t="shared" si="4"/>
        <v>1.2531422953314678E-2</v>
      </c>
      <c r="K14" s="18">
        <f t="shared" si="0"/>
        <v>12669</v>
      </c>
      <c r="L14" s="18">
        <v>2</v>
      </c>
      <c r="M14" s="18">
        <f t="shared" si="5"/>
        <v>12671</v>
      </c>
      <c r="P14" s="31"/>
    </row>
    <row r="15" spans="1:16" ht="12.75" customHeight="1" x14ac:dyDescent="0.2">
      <c r="B15" s="20" t="s">
        <v>414</v>
      </c>
      <c r="C15" s="18">
        <v>2686</v>
      </c>
      <c r="D15" s="18">
        <v>855</v>
      </c>
      <c r="E15" s="18">
        <f t="shared" si="1"/>
        <v>3541</v>
      </c>
      <c r="F15" s="19">
        <f t="shared" si="2"/>
        <v>1.3194765318746181E-2</v>
      </c>
      <c r="G15" s="18">
        <v>10015</v>
      </c>
      <c r="H15" s="18">
        <v>392</v>
      </c>
      <c r="I15" s="18">
        <f t="shared" si="3"/>
        <v>10407</v>
      </c>
      <c r="J15" s="19">
        <f t="shared" si="4"/>
        <v>1.5113514738109381E-2</v>
      </c>
      <c r="K15" s="18">
        <f t="shared" si="0"/>
        <v>13948</v>
      </c>
      <c r="L15" s="18">
        <v>2</v>
      </c>
      <c r="M15" s="18">
        <f t="shared" si="5"/>
        <v>13950</v>
      </c>
      <c r="P15" s="31"/>
    </row>
    <row r="16" spans="1:16" ht="12.75" customHeight="1" x14ac:dyDescent="0.2">
      <c r="B16" s="20" t="s">
        <v>415</v>
      </c>
      <c r="C16" s="18">
        <v>3380</v>
      </c>
      <c r="D16" s="18">
        <v>1126</v>
      </c>
      <c r="E16" s="18">
        <f t="shared" si="1"/>
        <v>4506</v>
      </c>
      <c r="F16" s="19">
        <f t="shared" si="2"/>
        <v>1.6790627654976076E-2</v>
      </c>
      <c r="G16" s="18">
        <v>10349</v>
      </c>
      <c r="H16" s="18">
        <v>440</v>
      </c>
      <c r="I16" s="18">
        <f t="shared" si="3"/>
        <v>10789</v>
      </c>
      <c r="J16" s="19">
        <f t="shared" si="4"/>
        <v>1.5668272365663698E-2</v>
      </c>
      <c r="K16" s="18">
        <f t="shared" si="0"/>
        <v>15295</v>
      </c>
      <c r="L16" s="18">
        <v>6</v>
      </c>
      <c r="M16" s="18">
        <f t="shared" si="5"/>
        <v>15301</v>
      </c>
      <c r="P16" s="31"/>
    </row>
    <row r="17" spans="2:16" ht="12.75" customHeight="1" x14ac:dyDescent="0.2">
      <c r="B17" s="20" t="s">
        <v>416</v>
      </c>
      <c r="C17" s="18">
        <v>5727</v>
      </c>
      <c r="D17" s="18">
        <v>3563</v>
      </c>
      <c r="E17" s="18">
        <f t="shared" si="1"/>
        <v>9290</v>
      </c>
      <c r="F17" s="19">
        <f t="shared" si="2"/>
        <v>3.4617161765363461E-2</v>
      </c>
      <c r="G17" s="18">
        <v>17211</v>
      </c>
      <c r="H17" s="18">
        <v>1261</v>
      </c>
      <c r="I17" s="18">
        <f t="shared" si="3"/>
        <v>18472</v>
      </c>
      <c r="J17" s="19">
        <f t="shared" si="4"/>
        <v>2.6825871455977368E-2</v>
      </c>
      <c r="K17" s="18">
        <f t="shared" si="0"/>
        <v>27762</v>
      </c>
      <c r="L17" s="18">
        <v>6</v>
      </c>
      <c r="M17" s="18">
        <f t="shared" si="5"/>
        <v>27768</v>
      </c>
      <c r="P17" s="31"/>
    </row>
    <row r="18" spans="2:16" ht="12.75" customHeight="1" x14ac:dyDescent="0.2">
      <c r="B18" s="20" t="s">
        <v>417</v>
      </c>
      <c r="C18" s="18">
        <v>4577</v>
      </c>
      <c r="D18" s="18">
        <v>975</v>
      </c>
      <c r="E18" s="18">
        <f t="shared" si="1"/>
        <v>5552</v>
      </c>
      <c r="F18" s="19">
        <f t="shared" si="2"/>
        <v>2.0688318850516463E-2</v>
      </c>
      <c r="G18" s="18">
        <v>17728</v>
      </c>
      <c r="H18" s="18">
        <v>487</v>
      </c>
      <c r="I18" s="18">
        <f t="shared" si="3"/>
        <v>18215</v>
      </c>
      <c r="J18" s="19">
        <f t="shared" si="4"/>
        <v>2.6452644465711769E-2</v>
      </c>
      <c r="K18" s="18">
        <f t="shared" si="0"/>
        <v>23767</v>
      </c>
      <c r="L18" s="18">
        <v>43</v>
      </c>
      <c r="M18" s="18">
        <f t="shared" si="5"/>
        <v>23810</v>
      </c>
      <c r="P18" s="31"/>
    </row>
    <row r="19" spans="2:16" ht="12.75" customHeight="1" x14ac:dyDescent="0.2">
      <c r="B19" s="20" t="s">
        <v>418</v>
      </c>
      <c r="C19" s="18">
        <v>1041</v>
      </c>
      <c r="D19" s="18">
        <v>423</v>
      </c>
      <c r="E19" s="18">
        <f t="shared" si="1"/>
        <v>1464</v>
      </c>
      <c r="F19" s="19">
        <f t="shared" si="2"/>
        <v>5.4552771608710558E-3</v>
      </c>
      <c r="G19" s="18">
        <v>3653</v>
      </c>
      <c r="H19" s="18">
        <v>181</v>
      </c>
      <c r="I19" s="18">
        <f t="shared" si="3"/>
        <v>3834</v>
      </c>
      <c r="J19" s="19">
        <f t="shared" si="4"/>
        <v>5.5679077069195121E-3</v>
      </c>
      <c r="K19" s="18">
        <f t="shared" si="0"/>
        <v>5298</v>
      </c>
      <c r="L19" s="18">
        <v>12</v>
      </c>
      <c r="M19" s="18">
        <f t="shared" si="5"/>
        <v>5310</v>
      </c>
      <c r="P19" s="31"/>
    </row>
    <row r="20" spans="2:16" ht="12.75" customHeight="1" x14ac:dyDescent="0.2">
      <c r="B20" s="20" t="s">
        <v>419</v>
      </c>
      <c r="C20" s="18">
        <v>3908</v>
      </c>
      <c r="D20" s="18">
        <v>1580</v>
      </c>
      <c r="E20" s="18">
        <f t="shared" si="1"/>
        <v>5488</v>
      </c>
      <c r="F20" s="19">
        <f t="shared" si="2"/>
        <v>2.0449836788839038E-2</v>
      </c>
      <c r="G20" s="18">
        <v>13519</v>
      </c>
      <c r="H20" s="18">
        <v>622</v>
      </c>
      <c r="I20" s="18">
        <f t="shared" si="3"/>
        <v>14141</v>
      </c>
      <c r="J20" s="19">
        <f t="shared" si="4"/>
        <v>2.0536197935197918E-2</v>
      </c>
      <c r="K20" s="18">
        <f t="shared" si="0"/>
        <v>19629</v>
      </c>
      <c r="L20" s="18">
        <v>5</v>
      </c>
      <c r="M20" s="18">
        <f t="shared" si="5"/>
        <v>19634</v>
      </c>
      <c r="P20" s="31"/>
    </row>
    <row r="21" spans="2:16" ht="12.75" customHeight="1" x14ac:dyDescent="0.2">
      <c r="B21" s="20" t="s">
        <v>420</v>
      </c>
      <c r="C21" s="18">
        <v>3649</v>
      </c>
      <c r="D21" s="18">
        <v>1105</v>
      </c>
      <c r="E21" s="18">
        <f t="shared" si="1"/>
        <v>4754</v>
      </c>
      <c r="F21" s="19">
        <f t="shared" si="2"/>
        <v>1.7714745643976092E-2</v>
      </c>
      <c r="G21" s="18">
        <v>14072</v>
      </c>
      <c r="H21" s="18">
        <v>508</v>
      </c>
      <c r="I21" s="18">
        <f t="shared" si="3"/>
        <v>14580</v>
      </c>
      <c r="J21" s="19">
        <f t="shared" si="4"/>
        <v>2.1173733533355891E-2</v>
      </c>
      <c r="K21" s="18">
        <f t="shared" si="0"/>
        <v>19334</v>
      </c>
      <c r="L21" s="18">
        <v>12</v>
      </c>
      <c r="M21" s="18">
        <f t="shared" si="5"/>
        <v>19346</v>
      </c>
      <c r="P21" s="31"/>
    </row>
    <row r="22" spans="2:16" ht="22.5" customHeight="1" x14ac:dyDescent="0.2">
      <c r="B22" s="20" t="s">
        <v>421</v>
      </c>
      <c r="C22" s="18">
        <v>4379</v>
      </c>
      <c r="D22" s="18">
        <v>2006</v>
      </c>
      <c r="E22" s="18">
        <f t="shared" si="1"/>
        <v>6385</v>
      </c>
      <c r="F22" s="19">
        <f t="shared" si="2"/>
        <v>2.3792311934536674E-2</v>
      </c>
      <c r="G22" s="18">
        <v>14998</v>
      </c>
      <c r="H22" s="18">
        <v>737</v>
      </c>
      <c r="I22" s="18">
        <f t="shared" si="3"/>
        <v>15735</v>
      </c>
      <c r="J22" s="19">
        <f t="shared" si="4"/>
        <v>2.2851076621903631E-2</v>
      </c>
      <c r="K22" s="18">
        <f t="shared" si="0"/>
        <v>22120</v>
      </c>
      <c r="L22" s="18">
        <v>1</v>
      </c>
      <c r="M22" s="18">
        <f t="shared" si="5"/>
        <v>22121</v>
      </c>
      <c r="P22" s="31"/>
    </row>
    <row r="23" spans="2:16" ht="12.75" customHeight="1" x14ac:dyDescent="0.2">
      <c r="B23" s="20" t="s">
        <v>422</v>
      </c>
      <c r="C23" s="18">
        <v>6152</v>
      </c>
      <c r="D23" s="18">
        <v>3107</v>
      </c>
      <c r="E23" s="18">
        <f t="shared" si="1"/>
        <v>9259</v>
      </c>
      <c r="F23" s="19">
        <f t="shared" si="2"/>
        <v>3.4501647016738461E-2</v>
      </c>
      <c r="G23" s="18">
        <v>22751</v>
      </c>
      <c r="H23" s="18">
        <v>1160</v>
      </c>
      <c r="I23" s="18">
        <f t="shared" si="3"/>
        <v>23911</v>
      </c>
      <c r="J23" s="19">
        <f t="shared" si="4"/>
        <v>3.4724632545684003E-2</v>
      </c>
      <c r="K23" s="18">
        <f t="shared" si="0"/>
        <v>33170</v>
      </c>
      <c r="L23" s="18">
        <v>10</v>
      </c>
      <c r="M23" s="18">
        <f t="shared" si="5"/>
        <v>33180</v>
      </c>
      <c r="P23" s="31"/>
    </row>
    <row r="24" spans="2:16" ht="12.75" customHeight="1" x14ac:dyDescent="0.2">
      <c r="B24" s="20" t="s">
        <v>423</v>
      </c>
      <c r="C24" s="18">
        <v>4116</v>
      </c>
      <c r="D24" s="18">
        <v>1428</v>
      </c>
      <c r="E24" s="18">
        <f t="shared" si="1"/>
        <v>5544</v>
      </c>
      <c r="F24" s="19">
        <f t="shared" si="2"/>
        <v>2.0658508592806785E-2</v>
      </c>
      <c r="G24" s="18">
        <v>14243</v>
      </c>
      <c r="H24" s="18">
        <v>568</v>
      </c>
      <c r="I24" s="18">
        <f t="shared" si="3"/>
        <v>14811</v>
      </c>
      <c r="J24" s="19">
        <f t="shared" si="4"/>
        <v>2.150920215106544E-2</v>
      </c>
      <c r="K24" s="18">
        <f t="shared" si="0"/>
        <v>20355</v>
      </c>
      <c r="L24" s="18">
        <v>8</v>
      </c>
      <c r="M24" s="18">
        <f t="shared" si="5"/>
        <v>20363</v>
      </c>
      <c r="P24" s="31"/>
    </row>
    <row r="25" spans="2:16" ht="12.75" customHeight="1" x14ac:dyDescent="0.2">
      <c r="B25" s="20" t="s">
        <v>424</v>
      </c>
      <c r="C25" s="18">
        <v>4354</v>
      </c>
      <c r="D25" s="18">
        <v>2411</v>
      </c>
      <c r="E25" s="18">
        <f t="shared" si="1"/>
        <v>6765</v>
      </c>
      <c r="F25" s="19">
        <f t="shared" si="2"/>
        <v>2.5208299175746376E-2</v>
      </c>
      <c r="G25" s="18">
        <v>15257</v>
      </c>
      <c r="H25" s="18">
        <v>865</v>
      </c>
      <c r="I25" s="18">
        <f t="shared" si="3"/>
        <v>16122</v>
      </c>
      <c r="J25" s="19">
        <f t="shared" si="4"/>
        <v>2.3413095474949498E-2</v>
      </c>
      <c r="K25" s="18">
        <f t="shared" si="0"/>
        <v>22887</v>
      </c>
      <c r="L25" s="18">
        <v>2</v>
      </c>
      <c r="M25" s="18">
        <f t="shared" si="5"/>
        <v>22889</v>
      </c>
      <c r="P25" s="31"/>
    </row>
    <row r="26" spans="2:16" ht="12.75" customHeight="1" x14ac:dyDescent="0.2">
      <c r="B26" s="20" t="s">
        <v>425</v>
      </c>
      <c r="C26" s="18">
        <v>3725</v>
      </c>
      <c r="D26" s="18">
        <v>1645</v>
      </c>
      <c r="E26" s="18">
        <f t="shared" si="1"/>
        <v>5370</v>
      </c>
      <c r="F26" s="19">
        <f t="shared" si="2"/>
        <v>2.0010135487621289E-2</v>
      </c>
      <c r="G26" s="18">
        <v>13416</v>
      </c>
      <c r="H26" s="18">
        <v>617</v>
      </c>
      <c r="I26" s="18">
        <f t="shared" si="3"/>
        <v>14033</v>
      </c>
      <c r="J26" s="19">
        <f t="shared" si="4"/>
        <v>2.037935546458047E-2</v>
      </c>
      <c r="K26" s="18">
        <f t="shared" si="0"/>
        <v>19403</v>
      </c>
      <c r="L26" s="18">
        <v>3</v>
      </c>
      <c r="M26" s="18">
        <f t="shared" si="5"/>
        <v>19406</v>
      </c>
      <c r="P26" s="31"/>
    </row>
    <row r="27" spans="2:16" ht="12.75" customHeight="1" x14ac:dyDescent="0.2">
      <c r="B27" s="20" t="s">
        <v>426</v>
      </c>
      <c r="C27" s="18">
        <v>12172</v>
      </c>
      <c r="D27" s="18">
        <v>5819</v>
      </c>
      <c r="E27" s="18">
        <f t="shared" si="1"/>
        <v>17991</v>
      </c>
      <c r="F27" s="19">
        <f t="shared" si="2"/>
        <v>6.7039543306851884E-2</v>
      </c>
      <c r="G27" s="18">
        <v>44755</v>
      </c>
      <c r="H27" s="18">
        <v>2288</v>
      </c>
      <c r="I27" s="18">
        <f t="shared" si="3"/>
        <v>47043</v>
      </c>
      <c r="J27" s="19">
        <f t="shared" si="4"/>
        <v>6.8317966159784721E-2</v>
      </c>
      <c r="K27" s="18">
        <f t="shared" si="0"/>
        <v>65034</v>
      </c>
      <c r="L27" s="18">
        <v>15</v>
      </c>
      <c r="M27" s="18">
        <f t="shared" si="5"/>
        <v>65049</v>
      </c>
      <c r="P27" s="31"/>
    </row>
    <row r="28" spans="2:16" ht="12.75" customHeight="1" x14ac:dyDescent="0.2">
      <c r="B28" s="20" t="s">
        <v>427</v>
      </c>
      <c r="C28" s="18">
        <v>517</v>
      </c>
      <c r="D28" s="18">
        <v>219</v>
      </c>
      <c r="E28" s="18">
        <f t="shared" si="1"/>
        <v>736</v>
      </c>
      <c r="F28" s="19">
        <f t="shared" si="2"/>
        <v>2.742543709290367E-3</v>
      </c>
      <c r="G28" s="18">
        <v>1447</v>
      </c>
      <c r="H28" s="18">
        <v>57</v>
      </c>
      <c r="I28" s="18">
        <f t="shared" si="3"/>
        <v>1504</v>
      </c>
      <c r="J28" s="19">
        <f t="shared" si="4"/>
        <v>2.1841766278578368E-3</v>
      </c>
      <c r="K28" s="18">
        <f t="shared" si="0"/>
        <v>2240</v>
      </c>
      <c r="L28" s="18">
        <v>1</v>
      </c>
      <c r="M28" s="18">
        <f t="shared" si="5"/>
        <v>2241</v>
      </c>
      <c r="P28" s="31"/>
    </row>
    <row r="29" spans="2:16" ht="12.75" customHeight="1" x14ac:dyDescent="0.2">
      <c r="B29" s="20" t="s">
        <v>428</v>
      </c>
      <c r="C29" s="18">
        <v>1630</v>
      </c>
      <c r="D29" s="18">
        <v>1252</v>
      </c>
      <c r="E29" s="18">
        <f t="shared" si="1"/>
        <v>2882</v>
      </c>
      <c r="F29" s="19">
        <f t="shared" si="2"/>
        <v>1.0739145339911464E-2</v>
      </c>
      <c r="G29" s="18">
        <v>4665</v>
      </c>
      <c r="H29" s="18">
        <v>318</v>
      </c>
      <c r="I29" s="18">
        <f t="shared" si="3"/>
        <v>4983</v>
      </c>
      <c r="J29" s="19">
        <f t="shared" si="4"/>
        <v>7.2365373248773944E-3</v>
      </c>
      <c r="K29" s="18">
        <f t="shared" si="0"/>
        <v>7865</v>
      </c>
      <c r="L29" s="18">
        <v>1</v>
      </c>
      <c r="M29" s="18">
        <f t="shared" si="5"/>
        <v>7866</v>
      </c>
      <c r="P29" s="31"/>
    </row>
    <row r="30" spans="2:16" ht="12.75" customHeight="1" x14ac:dyDescent="0.2">
      <c r="B30" s="20" t="s">
        <v>429</v>
      </c>
      <c r="C30" s="18">
        <v>526</v>
      </c>
      <c r="D30" s="18">
        <v>265</v>
      </c>
      <c r="E30" s="18">
        <f t="shared" si="1"/>
        <v>791</v>
      </c>
      <c r="F30" s="19">
        <f t="shared" si="2"/>
        <v>2.9474892310444025E-3</v>
      </c>
      <c r="G30" s="18">
        <v>1543</v>
      </c>
      <c r="H30" s="18">
        <v>100</v>
      </c>
      <c r="I30" s="18">
        <f t="shared" si="3"/>
        <v>1643</v>
      </c>
      <c r="J30" s="19">
        <f t="shared" si="4"/>
        <v>2.3860386965228898E-3</v>
      </c>
      <c r="K30" s="18">
        <f t="shared" si="0"/>
        <v>2434</v>
      </c>
      <c r="L30" s="18">
        <v>2</v>
      </c>
      <c r="M30" s="18">
        <f t="shared" si="5"/>
        <v>2436</v>
      </c>
      <c r="P30" s="31"/>
    </row>
    <row r="31" spans="2:16" ht="12.75" customHeight="1" x14ac:dyDescent="0.2">
      <c r="B31" s="20" t="s">
        <v>430</v>
      </c>
      <c r="C31" s="18">
        <v>1860</v>
      </c>
      <c r="D31" s="18">
        <v>871</v>
      </c>
      <c r="E31" s="18">
        <f t="shared" si="1"/>
        <v>2731</v>
      </c>
      <c r="F31" s="19">
        <f t="shared" si="2"/>
        <v>1.0176476725641294E-2</v>
      </c>
      <c r="G31" s="18">
        <v>8082</v>
      </c>
      <c r="H31" s="18">
        <v>452</v>
      </c>
      <c r="I31" s="18">
        <f t="shared" si="3"/>
        <v>8534</v>
      </c>
      <c r="J31" s="19">
        <f t="shared" si="4"/>
        <v>1.2393459668975253E-2</v>
      </c>
      <c r="K31" s="18">
        <f t="shared" si="0"/>
        <v>11265</v>
      </c>
      <c r="L31" s="18">
        <v>6</v>
      </c>
      <c r="M31" s="18">
        <f t="shared" si="5"/>
        <v>11271</v>
      </c>
      <c r="P31" s="31"/>
    </row>
    <row r="32" spans="2:16" ht="12.75" customHeight="1" x14ac:dyDescent="0.2">
      <c r="B32" s="20" t="s">
        <v>431</v>
      </c>
      <c r="C32" s="18">
        <v>501</v>
      </c>
      <c r="D32" s="18">
        <v>235</v>
      </c>
      <c r="E32" s="18">
        <f t="shared" si="1"/>
        <v>736</v>
      </c>
      <c r="F32" s="19">
        <f t="shared" si="2"/>
        <v>2.742543709290367E-3</v>
      </c>
      <c r="G32" s="18">
        <v>1874</v>
      </c>
      <c r="H32" s="18">
        <v>123</v>
      </c>
      <c r="I32" s="18">
        <f t="shared" si="3"/>
        <v>1997</v>
      </c>
      <c r="J32" s="19">
        <f t="shared" si="4"/>
        <v>2.9001334613245346E-3</v>
      </c>
      <c r="K32" s="18">
        <f t="shared" si="0"/>
        <v>2733</v>
      </c>
      <c r="L32" s="18">
        <v>2</v>
      </c>
      <c r="M32" s="18">
        <f t="shared" si="5"/>
        <v>2735</v>
      </c>
      <c r="P32" s="31"/>
    </row>
    <row r="33" spans="2:16" ht="12.75" customHeight="1" x14ac:dyDescent="0.2">
      <c r="B33" s="20" t="s">
        <v>432</v>
      </c>
      <c r="C33" s="18">
        <v>166</v>
      </c>
      <c r="D33" s="18">
        <v>91</v>
      </c>
      <c r="E33" s="18">
        <f t="shared" si="1"/>
        <v>257</v>
      </c>
      <c r="F33" s="19">
        <f t="shared" si="2"/>
        <v>9.5765452892340253E-4</v>
      </c>
      <c r="G33" s="18">
        <v>568</v>
      </c>
      <c r="H33" s="18">
        <v>21</v>
      </c>
      <c r="I33" s="18">
        <f t="shared" si="3"/>
        <v>589</v>
      </c>
      <c r="J33" s="19">
        <f t="shared" si="4"/>
        <v>8.5537236290443206E-4</v>
      </c>
      <c r="K33" s="18">
        <f t="shared" si="0"/>
        <v>846</v>
      </c>
      <c r="L33" s="18">
        <v>0</v>
      </c>
      <c r="M33" s="18">
        <f t="shared" si="5"/>
        <v>846</v>
      </c>
      <c r="P33" s="31"/>
    </row>
    <row r="34" spans="2:16" ht="12.75" customHeight="1" x14ac:dyDescent="0.2">
      <c r="B34" s="20" t="s">
        <v>433</v>
      </c>
      <c r="C34" s="18">
        <v>1122</v>
      </c>
      <c r="D34" s="18">
        <v>430</v>
      </c>
      <c r="E34" s="18">
        <f t="shared" si="1"/>
        <v>1552</v>
      </c>
      <c r="F34" s="19">
        <f t="shared" si="2"/>
        <v>5.7831899956775129E-3</v>
      </c>
      <c r="G34" s="18">
        <v>3116</v>
      </c>
      <c r="H34" s="18">
        <v>181</v>
      </c>
      <c r="I34" s="18">
        <f t="shared" si="3"/>
        <v>3297</v>
      </c>
      <c r="J34" s="19">
        <f t="shared" si="4"/>
        <v>4.7880520891271858E-3</v>
      </c>
      <c r="K34" s="18">
        <f t="shared" si="0"/>
        <v>4849</v>
      </c>
      <c r="L34" s="18">
        <v>3</v>
      </c>
      <c r="M34" s="18">
        <f t="shared" si="5"/>
        <v>4852</v>
      </c>
      <c r="P34" s="31"/>
    </row>
    <row r="35" spans="2:16" ht="12.75" customHeight="1" x14ac:dyDescent="0.2">
      <c r="B35" s="20" t="s">
        <v>434</v>
      </c>
      <c r="C35" s="18">
        <v>470</v>
      </c>
      <c r="D35" s="18">
        <v>232</v>
      </c>
      <c r="E35" s="18">
        <f t="shared" si="1"/>
        <v>702</v>
      </c>
      <c r="F35" s="19">
        <f t="shared" si="2"/>
        <v>2.6158501140242357E-3</v>
      </c>
      <c r="G35" s="18">
        <v>896</v>
      </c>
      <c r="H35" s="18">
        <v>65</v>
      </c>
      <c r="I35" s="18">
        <f t="shared" si="3"/>
        <v>961</v>
      </c>
      <c r="J35" s="19">
        <f t="shared" si="4"/>
        <v>1.3956075394756524E-3</v>
      </c>
      <c r="K35" s="18">
        <f t="shared" si="0"/>
        <v>1663</v>
      </c>
      <c r="L35" s="18">
        <v>1</v>
      </c>
      <c r="M35" s="18">
        <f t="shared" si="5"/>
        <v>1664</v>
      </c>
      <c r="P35" s="31"/>
    </row>
    <row r="36" spans="2:16" ht="12.75" customHeight="1" x14ac:dyDescent="0.2">
      <c r="B36" s="20" t="s">
        <v>435</v>
      </c>
      <c r="C36" s="18">
        <v>1111</v>
      </c>
      <c r="D36" s="18">
        <v>545</v>
      </c>
      <c r="E36" s="18">
        <f t="shared" si="1"/>
        <v>1656</v>
      </c>
      <c r="F36" s="19">
        <f t="shared" si="2"/>
        <v>6.1707233459033254E-3</v>
      </c>
      <c r="G36" s="18">
        <v>3196</v>
      </c>
      <c r="H36" s="18">
        <v>182</v>
      </c>
      <c r="I36" s="18">
        <f t="shared" si="3"/>
        <v>3378</v>
      </c>
      <c r="J36" s="19">
        <f t="shared" si="4"/>
        <v>4.9056839420902748E-3</v>
      </c>
      <c r="K36" s="18">
        <f t="shared" si="0"/>
        <v>5034</v>
      </c>
      <c r="L36" s="18">
        <v>0</v>
      </c>
      <c r="M36" s="18">
        <f t="shared" si="5"/>
        <v>5034</v>
      </c>
      <c r="P36" s="31"/>
    </row>
    <row r="37" spans="2:16" ht="12.75" customHeight="1" x14ac:dyDescent="0.2">
      <c r="B37" s="20" t="s">
        <v>436</v>
      </c>
      <c r="C37" s="18">
        <v>1431</v>
      </c>
      <c r="D37" s="18">
        <v>728</v>
      </c>
      <c r="E37" s="18">
        <f t="shared" si="1"/>
        <v>2159</v>
      </c>
      <c r="F37" s="19">
        <f t="shared" si="2"/>
        <v>8.045043299399323E-3</v>
      </c>
      <c r="G37" s="18">
        <v>5435</v>
      </c>
      <c r="H37" s="18">
        <v>303</v>
      </c>
      <c r="I37" s="18">
        <f t="shared" si="3"/>
        <v>5738</v>
      </c>
      <c r="J37" s="19">
        <f t="shared" si="4"/>
        <v>8.3329823741012422E-3</v>
      </c>
      <c r="K37" s="18">
        <f t="shared" si="0"/>
        <v>7897</v>
      </c>
      <c r="L37" s="18">
        <v>2</v>
      </c>
      <c r="M37" s="18">
        <f t="shared" si="5"/>
        <v>7899</v>
      </c>
      <c r="P37" s="31"/>
    </row>
    <row r="38" spans="2:16" ht="12.75" customHeight="1" x14ac:dyDescent="0.2">
      <c r="B38" s="20" t="s">
        <v>437</v>
      </c>
      <c r="C38" s="18">
        <v>2258</v>
      </c>
      <c r="D38" s="18">
        <v>970</v>
      </c>
      <c r="E38" s="18">
        <f t="shared" si="1"/>
        <v>3228</v>
      </c>
      <c r="F38" s="19">
        <f t="shared" si="2"/>
        <v>1.2028438985855032E-2</v>
      </c>
      <c r="G38" s="18">
        <v>9342</v>
      </c>
      <c r="H38" s="18">
        <v>512</v>
      </c>
      <c r="I38" s="18">
        <f t="shared" si="3"/>
        <v>9854</v>
      </c>
      <c r="J38" s="19">
        <f t="shared" si="4"/>
        <v>1.4310423198744099E-2</v>
      </c>
      <c r="K38" s="18">
        <f t="shared" si="0"/>
        <v>13082</v>
      </c>
      <c r="L38" s="18">
        <v>2</v>
      </c>
      <c r="M38" s="18">
        <f t="shared" si="5"/>
        <v>13084</v>
      </c>
      <c r="P38" s="31"/>
    </row>
    <row r="39" spans="2:16" ht="12.75" customHeight="1" x14ac:dyDescent="0.2">
      <c r="B39" s="20" t="s">
        <v>438</v>
      </c>
      <c r="C39" s="18">
        <v>2941</v>
      </c>
      <c r="D39" s="18">
        <v>1686</v>
      </c>
      <c r="E39" s="18">
        <f t="shared" si="1"/>
        <v>4627</v>
      </c>
      <c r="F39" s="19">
        <f t="shared" si="2"/>
        <v>1.7241507802834954E-2</v>
      </c>
      <c r="G39" s="18">
        <v>11040</v>
      </c>
      <c r="H39" s="18">
        <v>787</v>
      </c>
      <c r="I39" s="18">
        <f t="shared" si="3"/>
        <v>11827</v>
      </c>
      <c r="J39" s="19">
        <f t="shared" si="4"/>
        <v>1.71757027777092E-2</v>
      </c>
      <c r="K39" s="18">
        <f t="shared" si="0"/>
        <v>16454</v>
      </c>
      <c r="L39" s="18">
        <v>6</v>
      </c>
      <c r="M39" s="18">
        <f t="shared" si="5"/>
        <v>16460</v>
      </c>
      <c r="P39" s="31"/>
    </row>
    <row r="40" spans="2:16" ht="12.75" customHeight="1" x14ac:dyDescent="0.2">
      <c r="B40" s="20" t="s">
        <v>439</v>
      </c>
      <c r="C40" s="18">
        <v>4983</v>
      </c>
      <c r="D40" s="18">
        <v>2837</v>
      </c>
      <c r="E40" s="18">
        <f t="shared" si="1"/>
        <v>7820</v>
      </c>
      <c r="F40" s="19">
        <f t="shared" si="2"/>
        <v>2.9139526911210148E-2</v>
      </c>
      <c r="G40" s="18">
        <v>17076</v>
      </c>
      <c r="H40" s="18">
        <v>1058</v>
      </c>
      <c r="I40" s="18">
        <f t="shared" si="3"/>
        <v>18134</v>
      </c>
      <c r="J40" s="19">
        <f t="shared" si="4"/>
        <v>2.633501261274868E-2</v>
      </c>
      <c r="K40" s="18">
        <f t="shared" si="0"/>
        <v>25954</v>
      </c>
      <c r="L40" s="18">
        <v>2</v>
      </c>
      <c r="M40" s="18">
        <f t="shared" si="5"/>
        <v>25956</v>
      </c>
      <c r="P40" s="31"/>
    </row>
    <row r="41" spans="2:16" ht="12.75" customHeight="1" x14ac:dyDescent="0.2">
      <c r="B41" s="20" t="s">
        <v>440</v>
      </c>
      <c r="C41" s="18">
        <v>5475</v>
      </c>
      <c r="D41" s="18">
        <v>1900</v>
      </c>
      <c r="E41" s="18">
        <f t="shared" si="1"/>
        <v>7375</v>
      </c>
      <c r="F41" s="19">
        <f t="shared" si="2"/>
        <v>2.7481331326109314E-2</v>
      </c>
      <c r="G41" s="18">
        <v>17976</v>
      </c>
      <c r="H41" s="18">
        <v>892</v>
      </c>
      <c r="I41" s="18">
        <f t="shared" si="3"/>
        <v>18868</v>
      </c>
      <c r="J41" s="19">
        <f t="shared" si="4"/>
        <v>2.7400960514908021E-2</v>
      </c>
      <c r="K41" s="18">
        <f t="shared" si="0"/>
        <v>26243</v>
      </c>
      <c r="L41" s="18">
        <v>4</v>
      </c>
      <c r="M41" s="18">
        <f t="shared" si="5"/>
        <v>26247</v>
      </c>
      <c r="P41" s="31"/>
    </row>
    <row r="42" spans="2:16" ht="12.75" customHeight="1" x14ac:dyDescent="0.2">
      <c r="B42" s="20" t="s">
        <v>441</v>
      </c>
      <c r="C42" s="18">
        <v>5599</v>
      </c>
      <c r="D42" s="18">
        <v>2192</v>
      </c>
      <c r="E42" s="18">
        <f t="shared" si="1"/>
        <v>7791</v>
      </c>
      <c r="F42" s="19">
        <f t="shared" si="2"/>
        <v>2.9031464727012565E-2</v>
      </c>
      <c r="G42" s="18">
        <v>19016</v>
      </c>
      <c r="H42" s="18">
        <v>908</v>
      </c>
      <c r="I42" s="18">
        <f t="shared" si="3"/>
        <v>19924</v>
      </c>
      <c r="J42" s="19">
        <f t="shared" si="4"/>
        <v>2.8934531338723098E-2</v>
      </c>
      <c r="K42" s="18">
        <f t="shared" si="0"/>
        <v>27715</v>
      </c>
      <c r="L42" s="18">
        <v>5</v>
      </c>
      <c r="M42" s="18">
        <f t="shared" si="5"/>
        <v>27720</v>
      </c>
      <c r="P42" s="31"/>
    </row>
    <row r="43" spans="2:16" ht="12.75" customHeight="1" x14ac:dyDescent="0.2">
      <c r="B43" s="20" t="s">
        <v>442</v>
      </c>
      <c r="C43" s="18">
        <v>2277</v>
      </c>
      <c r="D43" s="18">
        <v>2091</v>
      </c>
      <c r="E43" s="18">
        <f t="shared" si="1"/>
        <v>4368</v>
      </c>
      <c r="F43" s="19">
        <f t="shared" si="2"/>
        <v>1.6276400709484135E-2</v>
      </c>
      <c r="G43" s="18">
        <v>7546</v>
      </c>
      <c r="H43" s="18">
        <v>550</v>
      </c>
      <c r="I43" s="18">
        <f t="shared" si="3"/>
        <v>8096</v>
      </c>
      <c r="J43" s="19">
        <f t="shared" si="4"/>
        <v>1.1757376315915591E-2</v>
      </c>
      <c r="K43" s="18">
        <f t="shared" si="0"/>
        <v>12464</v>
      </c>
      <c r="L43" s="18">
        <v>2</v>
      </c>
      <c r="M43" s="18">
        <f t="shared" si="5"/>
        <v>12466</v>
      </c>
      <c r="P43" s="31"/>
    </row>
    <row r="44" spans="2:16" ht="12.75" customHeight="1" x14ac:dyDescent="0.2">
      <c r="B44" s="20" t="s">
        <v>443</v>
      </c>
      <c r="C44" s="18">
        <v>3285</v>
      </c>
      <c r="D44" s="18">
        <v>941</v>
      </c>
      <c r="E44" s="18">
        <f t="shared" si="1"/>
        <v>4226</v>
      </c>
      <c r="F44" s="19">
        <f t="shared" si="2"/>
        <v>1.5747268635137351E-2</v>
      </c>
      <c r="G44" s="18">
        <v>10681</v>
      </c>
      <c r="H44" s="18">
        <v>424</v>
      </c>
      <c r="I44" s="18">
        <f t="shared" si="3"/>
        <v>11105</v>
      </c>
      <c r="J44" s="19">
        <f t="shared" si="4"/>
        <v>1.6127181816729574E-2</v>
      </c>
      <c r="K44" s="18">
        <f t="shared" si="0"/>
        <v>15331</v>
      </c>
      <c r="L44" s="18">
        <v>6</v>
      </c>
      <c r="M44" s="18">
        <f t="shared" si="5"/>
        <v>15337</v>
      </c>
      <c r="P44" s="31"/>
    </row>
    <row r="45" spans="2:16" ht="12.75" customHeight="1" x14ac:dyDescent="0.2">
      <c r="B45" s="20" t="s">
        <v>444</v>
      </c>
      <c r="C45" s="18">
        <v>3879</v>
      </c>
      <c r="D45" s="18">
        <v>1619</v>
      </c>
      <c r="E45" s="18">
        <f t="shared" si="1"/>
        <v>5498</v>
      </c>
      <c r="F45" s="19">
        <f t="shared" si="2"/>
        <v>2.0487099610976136E-2</v>
      </c>
      <c r="G45" s="18">
        <v>11202</v>
      </c>
      <c r="H45" s="18">
        <v>568</v>
      </c>
      <c r="I45" s="18">
        <f t="shared" si="3"/>
        <v>11770</v>
      </c>
      <c r="J45" s="19">
        <f t="shared" si="4"/>
        <v>1.7092924807105545E-2</v>
      </c>
      <c r="K45" s="18">
        <f t="shared" si="0"/>
        <v>17268</v>
      </c>
      <c r="L45" s="18">
        <v>0</v>
      </c>
      <c r="M45" s="18">
        <f t="shared" si="5"/>
        <v>17268</v>
      </c>
      <c r="P45" s="31"/>
    </row>
    <row r="46" spans="2:16" ht="12.75" customHeight="1" x14ac:dyDescent="0.2">
      <c r="B46" s="20" t="s">
        <v>445</v>
      </c>
      <c r="C46" s="18">
        <v>4460</v>
      </c>
      <c r="D46" s="18">
        <v>2008</v>
      </c>
      <c r="E46" s="18">
        <f t="shared" si="1"/>
        <v>6468</v>
      </c>
      <c r="F46" s="19">
        <f t="shared" si="2"/>
        <v>2.4101593358274581E-2</v>
      </c>
      <c r="G46" s="18">
        <v>14368</v>
      </c>
      <c r="H46" s="18">
        <v>745</v>
      </c>
      <c r="I46" s="18">
        <f t="shared" si="3"/>
        <v>15113</v>
      </c>
      <c r="J46" s="19">
        <f t="shared" si="4"/>
        <v>2.194778017075498E-2</v>
      </c>
      <c r="K46" s="18">
        <f t="shared" si="0"/>
        <v>21581</v>
      </c>
      <c r="L46" s="18">
        <v>4</v>
      </c>
      <c r="M46" s="18">
        <f t="shared" si="5"/>
        <v>21585</v>
      </c>
      <c r="P46" s="31"/>
    </row>
    <row r="47" spans="2:16" ht="12.75" customHeight="1" x14ac:dyDescent="0.2">
      <c r="B47" s="20" t="s">
        <v>446</v>
      </c>
      <c r="C47" s="18">
        <v>4014</v>
      </c>
      <c r="D47" s="18">
        <v>2262</v>
      </c>
      <c r="E47" s="18">
        <f t="shared" si="1"/>
        <v>6276</v>
      </c>
      <c r="F47" s="19">
        <f t="shared" si="2"/>
        <v>2.3386147173242312E-2</v>
      </c>
      <c r="G47" s="18">
        <v>12062</v>
      </c>
      <c r="H47" s="18">
        <v>733</v>
      </c>
      <c r="I47" s="18">
        <f t="shared" si="3"/>
        <v>12795</v>
      </c>
      <c r="J47" s="19">
        <f t="shared" si="4"/>
        <v>1.858147603287302E-2</v>
      </c>
      <c r="K47" s="18">
        <f t="shared" si="0"/>
        <v>19071</v>
      </c>
      <c r="L47" s="18">
        <v>1</v>
      </c>
      <c r="M47" s="18">
        <f t="shared" si="5"/>
        <v>19072</v>
      </c>
      <c r="P47" s="31"/>
    </row>
    <row r="48" spans="2:16" ht="12.75" customHeight="1" x14ac:dyDescent="0.2">
      <c r="B48" s="20" t="s">
        <v>447</v>
      </c>
      <c r="C48" s="18">
        <v>608</v>
      </c>
      <c r="D48" s="18">
        <v>281</v>
      </c>
      <c r="E48" s="18">
        <f t="shared" si="1"/>
        <v>889</v>
      </c>
      <c r="F48" s="19">
        <f t="shared" si="2"/>
        <v>3.3126648879879565E-3</v>
      </c>
      <c r="G48" s="18">
        <v>1944</v>
      </c>
      <c r="H48" s="18">
        <v>93</v>
      </c>
      <c r="I48" s="18">
        <f t="shared" si="3"/>
        <v>2037</v>
      </c>
      <c r="J48" s="19">
        <f t="shared" si="4"/>
        <v>2.9582232652569239E-3</v>
      </c>
      <c r="K48" s="18">
        <f t="shared" si="0"/>
        <v>2926</v>
      </c>
      <c r="L48" s="18">
        <v>2</v>
      </c>
      <c r="M48" s="18">
        <f t="shared" si="5"/>
        <v>2928</v>
      </c>
      <c r="P48" s="31"/>
    </row>
    <row r="49" spans="2:16" ht="12.75" customHeight="1" x14ac:dyDescent="0.2">
      <c r="B49" s="20" t="s">
        <v>448</v>
      </c>
      <c r="C49" s="18">
        <v>1627</v>
      </c>
      <c r="D49" s="18">
        <v>853</v>
      </c>
      <c r="E49" s="18">
        <f t="shared" si="1"/>
        <v>2480</v>
      </c>
      <c r="F49" s="19">
        <f t="shared" si="2"/>
        <v>9.2411798900001486E-3</v>
      </c>
      <c r="G49" s="18">
        <v>6069</v>
      </c>
      <c r="H49" s="18">
        <v>303</v>
      </c>
      <c r="I49" s="18">
        <f t="shared" si="3"/>
        <v>6372</v>
      </c>
      <c r="J49" s="19">
        <f t="shared" si="4"/>
        <v>9.2537057664296117E-3</v>
      </c>
      <c r="K49" s="18">
        <f t="shared" si="0"/>
        <v>8852</v>
      </c>
      <c r="L49" s="18">
        <v>2</v>
      </c>
      <c r="M49" s="18">
        <f t="shared" si="5"/>
        <v>8854</v>
      </c>
      <c r="P49" s="31"/>
    </row>
    <row r="50" spans="2:16" ht="12.75" customHeight="1" x14ac:dyDescent="0.2">
      <c r="B50" s="20" t="s">
        <v>449</v>
      </c>
      <c r="C50" s="18">
        <v>7651</v>
      </c>
      <c r="D50" s="18">
        <v>4222</v>
      </c>
      <c r="E50" s="18">
        <f t="shared" si="1"/>
        <v>11873</v>
      </c>
      <c r="F50" s="19">
        <f t="shared" si="2"/>
        <v>4.4242148723375715E-2</v>
      </c>
      <c r="G50" s="18">
        <v>25672</v>
      </c>
      <c r="H50" s="18">
        <v>1724</v>
      </c>
      <c r="I50" s="18">
        <f t="shared" si="3"/>
        <v>27396</v>
      </c>
      <c r="J50" s="19">
        <f t="shared" si="4"/>
        <v>3.9785706713293414E-2</v>
      </c>
      <c r="K50" s="18">
        <f t="shared" si="0"/>
        <v>39269</v>
      </c>
      <c r="L50" s="18">
        <v>5</v>
      </c>
      <c r="M50" s="18">
        <f t="shared" si="5"/>
        <v>39274</v>
      </c>
      <c r="P50" s="31"/>
    </row>
    <row r="51" spans="2:16" ht="12.75" customHeight="1" x14ac:dyDescent="0.2">
      <c r="B51" s="20" t="s">
        <v>450</v>
      </c>
      <c r="C51" s="18">
        <v>4699</v>
      </c>
      <c r="D51" s="18">
        <v>2058</v>
      </c>
      <c r="E51" s="18">
        <f t="shared" si="1"/>
        <v>6757</v>
      </c>
      <c r="F51" s="19">
        <f t="shared" si="2"/>
        <v>2.5178488918036698E-2</v>
      </c>
      <c r="G51" s="18">
        <v>16256</v>
      </c>
      <c r="H51" s="18">
        <v>827</v>
      </c>
      <c r="I51" s="18">
        <f t="shared" si="3"/>
        <v>17083</v>
      </c>
      <c r="J51" s="19">
        <f t="shared" si="4"/>
        <v>2.480870301442515E-2</v>
      </c>
      <c r="K51" s="18">
        <f t="shared" si="0"/>
        <v>23840</v>
      </c>
      <c r="L51" s="18">
        <v>4</v>
      </c>
      <c r="M51" s="18">
        <f t="shared" si="5"/>
        <v>23844</v>
      </c>
      <c r="P51" s="31"/>
    </row>
    <row r="52" spans="2:16" ht="12.75" customHeight="1" x14ac:dyDescent="0.2">
      <c r="B52" s="20" t="s">
        <v>451</v>
      </c>
      <c r="C52" s="18">
        <v>5426</v>
      </c>
      <c r="D52" s="18">
        <v>3473</v>
      </c>
      <c r="E52" s="18">
        <f t="shared" si="1"/>
        <v>8899</v>
      </c>
      <c r="F52" s="19">
        <f t="shared" si="2"/>
        <v>3.3160185419802951E-2</v>
      </c>
      <c r="G52" s="18">
        <v>20295</v>
      </c>
      <c r="H52" s="18">
        <v>1257</v>
      </c>
      <c r="I52" s="18">
        <f t="shared" si="3"/>
        <v>21552</v>
      </c>
      <c r="J52" s="19">
        <f t="shared" si="4"/>
        <v>3.1298786358771341E-2</v>
      </c>
      <c r="K52" s="18">
        <f t="shared" si="0"/>
        <v>30451</v>
      </c>
      <c r="L52" s="18">
        <v>2</v>
      </c>
      <c r="M52" s="18">
        <f t="shared" si="5"/>
        <v>30453</v>
      </c>
      <c r="P52" s="31"/>
    </row>
    <row r="53" spans="2:16" ht="12.75" customHeight="1" x14ac:dyDescent="0.2">
      <c r="B53" s="20" t="s">
        <v>452</v>
      </c>
      <c r="C53" s="18">
        <v>12548</v>
      </c>
      <c r="D53" s="18">
        <v>5266</v>
      </c>
      <c r="E53" s="18">
        <f t="shared" si="1"/>
        <v>17814</v>
      </c>
      <c r="F53" s="19">
        <f t="shared" si="2"/>
        <v>6.6379991355025258E-2</v>
      </c>
      <c r="G53" s="18">
        <v>48787</v>
      </c>
      <c r="H53" s="18">
        <v>2080</v>
      </c>
      <c r="I53" s="18">
        <f t="shared" si="3"/>
        <v>50867</v>
      </c>
      <c r="J53" s="19">
        <f t="shared" si="4"/>
        <v>7.387135141572114E-2</v>
      </c>
      <c r="K53" s="18">
        <f t="shared" si="0"/>
        <v>68681</v>
      </c>
      <c r="L53" s="18">
        <v>35</v>
      </c>
      <c r="M53" s="18">
        <f t="shared" si="5"/>
        <v>68716</v>
      </c>
      <c r="P53" s="31"/>
    </row>
    <row r="54" spans="2:16" ht="12.75" customHeight="1" x14ac:dyDescent="0.2">
      <c r="B54" s="20" t="s">
        <v>453</v>
      </c>
      <c r="C54" s="18">
        <v>1694</v>
      </c>
      <c r="D54" s="18">
        <v>870</v>
      </c>
      <c r="E54" s="18">
        <f t="shared" si="1"/>
        <v>2564</v>
      </c>
      <c r="F54" s="19">
        <f t="shared" si="2"/>
        <v>9.5541875959517675E-3</v>
      </c>
      <c r="G54" s="18">
        <v>6958</v>
      </c>
      <c r="H54" s="18">
        <v>429</v>
      </c>
      <c r="I54" s="18">
        <f t="shared" si="3"/>
        <v>7387</v>
      </c>
      <c r="J54" s="19">
        <f t="shared" si="4"/>
        <v>1.0727734541213989E-2</v>
      </c>
      <c r="K54" s="18">
        <f t="shared" si="0"/>
        <v>9951</v>
      </c>
      <c r="L54" s="18">
        <v>2</v>
      </c>
      <c r="M54" s="18">
        <f t="shared" si="5"/>
        <v>9953</v>
      </c>
      <c r="P54" s="31"/>
    </row>
    <row r="55" spans="2:16" ht="12.75" customHeight="1" x14ac:dyDescent="0.2">
      <c r="B55" s="20" t="s">
        <v>454</v>
      </c>
      <c r="C55" s="18">
        <v>807</v>
      </c>
      <c r="D55" s="18">
        <v>440</v>
      </c>
      <c r="E55" s="18">
        <f t="shared" si="1"/>
        <v>1247</v>
      </c>
      <c r="F55" s="19">
        <f t="shared" si="2"/>
        <v>4.6466739204960427E-3</v>
      </c>
      <c r="G55" s="18">
        <v>3541</v>
      </c>
      <c r="H55" s="18">
        <v>230</v>
      </c>
      <c r="I55" s="18">
        <f t="shared" si="3"/>
        <v>3771</v>
      </c>
      <c r="J55" s="19">
        <f t="shared" si="4"/>
        <v>5.4764162657259989E-3</v>
      </c>
      <c r="K55" s="18">
        <f t="shared" si="0"/>
        <v>5018</v>
      </c>
      <c r="L55" s="18">
        <v>0</v>
      </c>
      <c r="M55" s="18">
        <f t="shared" si="5"/>
        <v>5018</v>
      </c>
      <c r="P55" s="31"/>
    </row>
    <row r="56" spans="2:16" ht="12.75" customHeight="1" x14ac:dyDescent="0.2">
      <c r="B56" s="20" t="s">
        <v>455</v>
      </c>
      <c r="C56" s="18">
        <v>4242</v>
      </c>
      <c r="D56" s="18">
        <v>1935</v>
      </c>
      <c r="E56" s="18">
        <f t="shared" si="1"/>
        <v>6177</v>
      </c>
      <c r="F56" s="19">
        <f t="shared" si="2"/>
        <v>2.3017245234085049E-2</v>
      </c>
      <c r="G56" s="18">
        <v>13573</v>
      </c>
      <c r="H56" s="18">
        <v>905</v>
      </c>
      <c r="I56" s="18">
        <f t="shared" si="3"/>
        <v>14478</v>
      </c>
      <c r="J56" s="19">
        <f t="shared" si="4"/>
        <v>2.1025604533328298E-2</v>
      </c>
      <c r="K56" s="18">
        <f t="shared" si="0"/>
        <v>20655</v>
      </c>
      <c r="L56" s="18">
        <v>1</v>
      </c>
      <c r="M56" s="18">
        <f t="shared" si="5"/>
        <v>20656</v>
      </c>
      <c r="P56" s="31"/>
    </row>
    <row r="57" spans="2:16" ht="12.75" customHeight="1" x14ac:dyDescent="0.2">
      <c r="B57" s="20" t="s">
        <v>456</v>
      </c>
      <c r="C57" s="18">
        <v>441</v>
      </c>
      <c r="D57" s="18">
        <v>278</v>
      </c>
      <c r="E57" s="18">
        <f t="shared" si="1"/>
        <v>719</v>
      </c>
      <c r="F57" s="19">
        <f t="shared" si="2"/>
        <v>2.6791969116573013E-3</v>
      </c>
      <c r="G57" s="18">
        <v>1341</v>
      </c>
      <c r="H57" s="18">
        <v>101</v>
      </c>
      <c r="I57" s="18">
        <f t="shared" si="3"/>
        <v>1442</v>
      </c>
      <c r="J57" s="19">
        <f t="shared" si="4"/>
        <v>2.0941374317626333E-3</v>
      </c>
      <c r="K57" s="18">
        <f t="shared" si="0"/>
        <v>2161</v>
      </c>
      <c r="L57" s="18">
        <v>0</v>
      </c>
      <c r="M57" s="18">
        <f t="shared" si="5"/>
        <v>2161</v>
      </c>
      <c r="P57" s="31"/>
    </row>
    <row r="58" spans="2:16" ht="12.75" customHeight="1" x14ac:dyDescent="0.2">
      <c r="B58" s="20" t="s">
        <v>457</v>
      </c>
      <c r="C58" s="18">
        <v>2205</v>
      </c>
      <c r="D58" s="18">
        <v>381</v>
      </c>
      <c r="E58" s="18">
        <f t="shared" si="1"/>
        <v>2586</v>
      </c>
      <c r="F58" s="19">
        <f t="shared" si="2"/>
        <v>9.6361658046533807E-3</v>
      </c>
      <c r="G58" s="18">
        <v>8319</v>
      </c>
      <c r="H58" s="18">
        <v>200</v>
      </c>
      <c r="I58" s="18">
        <f t="shared" si="3"/>
        <v>8519</v>
      </c>
      <c r="J58" s="19">
        <f t="shared" si="4"/>
        <v>1.2371675992500606E-2</v>
      </c>
      <c r="K58" s="18">
        <f t="shared" si="0"/>
        <v>11105</v>
      </c>
      <c r="L58" s="18">
        <v>13</v>
      </c>
      <c r="M58" s="18">
        <f t="shared" si="5"/>
        <v>11118</v>
      </c>
      <c r="P58" s="31"/>
    </row>
    <row r="59" spans="2:16" ht="12.75" customHeight="1" x14ac:dyDescent="0.2">
      <c r="B59" s="20" t="s">
        <v>458</v>
      </c>
      <c r="C59" s="18">
        <v>981</v>
      </c>
      <c r="D59" s="18">
        <v>127</v>
      </c>
      <c r="E59" s="18">
        <f t="shared" si="1"/>
        <v>1108</v>
      </c>
      <c r="F59" s="19">
        <f t="shared" si="2"/>
        <v>4.1287206927903891E-3</v>
      </c>
      <c r="G59" s="18">
        <v>2917</v>
      </c>
      <c r="H59" s="18">
        <v>79</v>
      </c>
      <c r="I59" s="18">
        <f t="shared" si="3"/>
        <v>2996</v>
      </c>
      <c r="J59" s="19">
        <f t="shared" si="4"/>
        <v>4.3509263145359569E-3</v>
      </c>
      <c r="K59" s="18">
        <f t="shared" si="0"/>
        <v>4104</v>
      </c>
      <c r="L59" s="18">
        <v>14</v>
      </c>
      <c r="M59" s="18">
        <f t="shared" si="5"/>
        <v>4118</v>
      </c>
      <c r="P59" s="31"/>
    </row>
    <row r="60" spans="2:16" ht="12.75" customHeight="1" x14ac:dyDescent="0.2">
      <c r="B60" s="20" t="s">
        <v>459</v>
      </c>
      <c r="C60" s="18">
        <v>4367</v>
      </c>
      <c r="D60" s="18">
        <v>944</v>
      </c>
      <c r="E60" s="18">
        <f t="shared" si="1"/>
        <v>5311</v>
      </c>
      <c r="F60" s="19">
        <f t="shared" si="2"/>
        <v>1.9790284837012416E-2</v>
      </c>
      <c r="G60" s="18">
        <v>18960</v>
      </c>
      <c r="H60" s="18">
        <v>582</v>
      </c>
      <c r="I60" s="18">
        <f t="shared" si="3"/>
        <v>19542</v>
      </c>
      <c r="J60" s="19">
        <f t="shared" si="4"/>
        <v>2.8379773711168781E-2</v>
      </c>
      <c r="K60" s="18">
        <f t="shared" si="0"/>
        <v>24853</v>
      </c>
      <c r="L60" s="18">
        <v>29</v>
      </c>
      <c r="M60" s="18">
        <f t="shared" si="5"/>
        <v>24882</v>
      </c>
      <c r="P60" s="31"/>
    </row>
    <row r="61" spans="2:16" ht="12.75" customHeight="1" x14ac:dyDescent="0.2">
      <c r="B61" s="20" t="s">
        <v>460</v>
      </c>
      <c r="C61" s="18">
        <v>1739</v>
      </c>
      <c r="D61" s="18">
        <v>436</v>
      </c>
      <c r="E61" s="18">
        <f t="shared" si="1"/>
        <v>2175</v>
      </c>
      <c r="F61" s="19">
        <f t="shared" si="2"/>
        <v>8.1046638148186793E-3</v>
      </c>
      <c r="G61" s="18">
        <v>6846</v>
      </c>
      <c r="H61" s="18">
        <v>233</v>
      </c>
      <c r="I61" s="18">
        <f t="shared" si="3"/>
        <v>7079</v>
      </c>
      <c r="J61" s="19">
        <f t="shared" si="4"/>
        <v>1.0280443050934592E-2</v>
      </c>
      <c r="K61" s="18">
        <f t="shared" si="0"/>
        <v>9254</v>
      </c>
      <c r="L61" s="18">
        <v>17</v>
      </c>
      <c r="M61" s="18">
        <f t="shared" si="5"/>
        <v>9271</v>
      </c>
      <c r="P61" s="31"/>
    </row>
    <row r="62" spans="2:16" ht="12.75" customHeight="1" x14ac:dyDescent="0.2">
      <c r="B62" s="20" t="s">
        <v>461</v>
      </c>
      <c r="C62" s="18">
        <v>11370</v>
      </c>
      <c r="D62" s="18">
        <v>3353</v>
      </c>
      <c r="E62" s="18">
        <f t="shared" si="1"/>
        <v>14723</v>
      </c>
      <c r="F62" s="19">
        <f t="shared" si="2"/>
        <v>5.4862053032448468E-2</v>
      </c>
      <c r="G62" s="18">
        <v>40844</v>
      </c>
      <c r="H62" s="18">
        <v>1549</v>
      </c>
      <c r="I62" s="18">
        <f t="shared" si="3"/>
        <v>42393</v>
      </c>
      <c r="J62" s="19">
        <f t="shared" si="4"/>
        <v>6.1565026452644465E-2</v>
      </c>
      <c r="K62" s="18">
        <f t="shared" si="0"/>
        <v>57116</v>
      </c>
      <c r="L62" s="18">
        <v>20</v>
      </c>
      <c r="M62" s="18">
        <f t="shared" si="5"/>
        <v>57136</v>
      </c>
      <c r="P62" s="31"/>
    </row>
    <row r="63" spans="2:16" x14ac:dyDescent="0.2">
      <c r="B63" s="20" t="s">
        <v>49</v>
      </c>
      <c r="C63" s="18">
        <f t="shared" ref="C63:H63" si="6">SUM(C11:C62)</f>
        <v>186131</v>
      </c>
      <c r="D63" s="18">
        <f t="shared" si="6"/>
        <v>82233</v>
      </c>
      <c r="E63" s="20">
        <f t="shared" ref="E63" si="7">C63+D63</f>
        <v>268364</v>
      </c>
      <c r="F63" s="22">
        <f t="shared" ref="F63" si="8">E63/$E$63</f>
        <v>1</v>
      </c>
      <c r="G63" s="18">
        <f t="shared" si="6"/>
        <v>655722</v>
      </c>
      <c r="H63" s="18">
        <f t="shared" si="6"/>
        <v>32867</v>
      </c>
      <c r="I63" s="20">
        <f t="shared" ref="I63" si="9">G63+H63</f>
        <v>688589</v>
      </c>
      <c r="J63" s="22">
        <f t="shared" ref="J63" si="10">I63/$I$63</f>
        <v>1</v>
      </c>
      <c r="K63" s="20">
        <f t="shared" ref="K63" si="11">E63+I63</f>
        <v>956953</v>
      </c>
      <c r="L63" s="18">
        <f t="shared" ref="L63" si="12">SUM(L11:L62)</f>
        <v>347</v>
      </c>
      <c r="M63" s="20">
        <f t="shared" si="5"/>
        <v>957300</v>
      </c>
      <c r="P63" s="31"/>
    </row>
    <row r="64" spans="2:16" ht="25.5" customHeight="1" x14ac:dyDescent="0.2">
      <c r="B64" s="32" t="s">
        <v>64</v>
      </c>
      <c r="C64" s="33">
        <f>+C63/M63</f>
        <v>0.19443330199519482</v>
      </c>
      <c r="D64" s="33">
        <f>+D63/M63</f>
        <v>8.5900971482293947E-2</v>
      </c>
      <c r="E64" s="34">
        <f>+E63/M63</f>
        <v>0.28033427347748879</v>
      </c>
      <c r="F64" s="34"/>
      <c r="G64" s="33">
        <f>+G63/M63</f>
        <v>0.68497022876841118</v>
      </c>
      <c r="H64" s="33">
        <f>+H63/M63</f>
        <v>3.4333019951948186E-2</v>
      </c>
      <c r="I64" s="34">
        <f>+I63/M63</f>
        <v>0.71930324872035933</v>
      </c>
      <c r="J64" s="34"/>
      <c r="K64" s="34">
        <f>+K63/M63</f>
        <v>0.99963752219784807</v>
      </c>
      <c r="L64" s="34">
        <f>+L63/M63</f>
        <v>3.6247780215188549E-4</v>
      </c>
      <c r="M64" s="34">
        <f>K64+L64</f>
        <v>1</v>
      </c>
    </row>
    <row r="65" spans="2:13" x14ac:dyDescent="0.2">
      <c r="B65" s="25"/>
      <c r="C65" s="38"/>
      <c r="D65" s="38"/>
      <c r="E65" s="38"/>
      <c r="F65" s="38"/>
      <c r="G65" s="38"/>
      <c r="H65" s="38"/>
      <c r="I65" s="38"/>
      <c r="J65" s="38"/>
      <c r="K65" s="38"/>
    </row>
    <row r="66" spans="2:13" ht="12.75" x14ac:dyDescent="0.2">
      <c r="B66" s="369" t="s">
        <v>123</v>
      </c>
      <c r="C66" s="369"/>
      <c r="D66" s="369"/>
      <c r="E66" s="369"/>
      <c r="F66" s="369"/>
      <c r="G66" s="369"/>
      <c r="H66" s="369"/>
      <c r="I66" s="369"/>
      <c r="J66" s="369"/>
      <c r="K66" s="369"/>
    </row>
    <row r="67" spans="2:13" ht="12.75" x14ac:dyDescent="0.2">
      <c r="B67" s="385" t="str">
        <f>'Solicitudes Regiones'!$B$6:$R$6</f>
        <v>Acumuladas de julio de 2008 a diciembre de 2021</v>
      </c>
      <c r="C67" s="385"/>
      <c r="D67" s="385"/>
      <c r="E67" s="385"/>
      <c r="F67" s="385"/>
      <c r="G67" s="385"/>
      <c r="H67" s="385"/>
      <c r="I67" s="385"/>
      <c r="J67" s="385"/>
      <c r="K67" s="385"/>
    </row>
    <row r="69" spans="2:13" ht="15" customHeight="1" x14ac:dyDescent="0.2">
      <c r="B69" s="399" t="s">
        <v>65</v>
      </c>
      <c r="C69" s="399"/>
      <c r="D69" s="399"/>
      <c r="E69" s="399"/>
      <c r="F69" s="399"/>
      <c r="G69" s="399"/>
      <c r="H69" s="399"/>
      <c r="I69" s="399"/>
      <c r="J69" s="399"/>
      <c r="K69" s="399"/>
      <c r="L69" s="399"/>
      <c r="M69" s="399"/>
    </row>
    <row r="70" spans="2:13" ht="15" customHeight="1" x14ac:dyDescent="0.2">
      <c r="B70" s="399" t="s">
        <v>56</v>
      </c>
      <c r="C70" s="399" t="s">
        <v>2</v>
      </c>
      <c r="D70" s="399"/>
      <c r="E70" s="399"/>
      <c r="F70" s="399"/>
      <c r="G70" s="399"/>
      <c r="H70" s="399"/>
      <c r="I70" s="399"/>
      <c r="J70" s="399"/>
      <c r="K70" s="399"/>
      <c r="L70" s="397"/>
      <c r="M70" s="398"/>
    </row>
    <row r="71" spans="2:13" ht="24" x14ac:dyDescent="0.2">
      <c r="B71" s="399"/>
      <c r="C71" s="24" t="s">
        <v>57</v>
      </c>
      <c r="D71" s="24" t="s">
        <v>58</v>
      </c>
      <c r="E71" s="24" t="s">
        <v>59</v>
      </c>
      <c r="F71" s="24" t="s">
        <v>60</v>
      </c>
      <c r="G71" s="24" t="s">
        <v>8</v>
      </c>
      <c r="H71" s="24" t="s">
        <v>61</v>
      </c>
      <c r="I71" s="24" t="s">
        <v>62</v>
      </c>
      <c r="J71" s="24" t="s">
        <v>63</v>
      </c>
      <c r="K71" s="24" t="s">
        <v>31</v>
      </c>
      <c r="L71" s="261" t="s">
        <v>584</v>
      </c>
      <c r="M71" s="261" t="s">
        <v>587</v>
      </c>
    </row>
    <row r="72" spans="2:13" ht="12.75" customHeight="1" x14ac:dyDescent="0.2">
      <c r="B72" s="20" t="s">
        <v>410</v>
      </c>
      <c r="C72" s="57">
        <v>5306</v>
      </c>
      <c r="D72" s="57">
        <v>1289</v>
      </c>
      <c r="E72" s="57">
        <f>C72+D72</f>
        <v>6595</v>
      </c>
      <c r="F72" s="58">
        <f>E72/$E$124</f>
        <v>3.0501623361607267E-2</v>
      </c>
      <c r="G72" s="57">
        <v>20356</v>
      </c>
      <c r="H72" s="57">
        <v>1019</v>
      </c>
      <c r="I72" s="57">
        <f>G72+H72</f>
        <v>21375</v>
      </c>
      <c r="J72" s="58">
        <f>I72/$I$124</f>
        <v>3.6432526960069954E-2</v>
      </c>
      <c r="K72" s="57">
        <f t="shared" ref="K72:K123" si="13">E72+I72</f>
        <v>27970</v>
      </c>
      <c r="L72" s="57">
        <v>2</v>
      </c>
      <c r="M72" s="57">
        <f>K72+L72</f>
        <v>27972</v>
      </c>
    </row>
    <row r="73" spans="2:13" ht="12.75" customHeight="1" x14ac:dyDescent="0.2">
      <c r="B73" s="20" t="s">
        <v>411</v>
      </c>
      <c r="C73" s="57">
        <v>2143</v>
      </c>
      <c r="D73" s="57">
        <v>918</v>
      </c>
      <c r="E73" s="57">
        <f t="shared" ref="E73:E123" si="14">C73+D73</f>
        <v>3061</v>
      </c>
      <c r="F73" s="58">
        <f t="shared" ref="F73:F123" si="15">E73/$E$124</f>
        <v>1.4157008204682311E-2</v>
      </c>
      <c r="G73" s="57">
        <v>7495</v>
      </c>
      <c r="H73" s="57">
        <v>350</v>
      </c>
      <c r="I73" s="57">
        <f t="shared" ref="I73:I123" si="16">G73+H73</f>
        <v>7845</v>
      </c>
      <c r="J73" s="58">
        <f t="shared" ref="J73:J123" si="17">I73/$I$124</f>
        <v>1.3371376561485323E-2</v>
      </c>
      <c r="K73" s="57">
        <f t="shared" si="13"/>
        <v>10906</v>
      </c>
      <c r="L73" s="57">
        <v>0</v>
      </c>
      <c r="M73" s="57">
        <f t="shared" ref="M73:M124" si="18">K73+L73</f>
        <v>10906</v>
      </c>
    </row>
    <row r="74" spans="2:13" ht="12.75" customHeight="1" x14ac:dyDescent="0.2">
      <c r="B74" s="20" t="s">
        <v>412</v>
      </c>
      <c r="C74" s="57">
        <v>5338</v>
      </c>
      <c r="D74" s="57">
        <v>1892</v>
      </c>
      <c r="E74" s="57">
        <f t="shared" si="14"/>
        <v>7230</v>
      </c>
      <c r="F74" s="58">
        <f t="shared" si="15"/>
        <v>3.3438474132588408E-2</v>
      </c>
      <c r="G74" s="57">
        <v>15854</v>
      </c>
      <c r="H74" s="57">
        <v>937</v>
      </c>
      <c r="I74" s="57">
        <f t="shared" si="16"/>
        <v>16791</v>
      </c>
      <c r="J74" s="58">
        <f t="shared" si="17"/>
        <v>2.8619347844984072E-2</v>
      </c>
      <c r="K74" s="57">
        <f t="shared" si="13"/>
        <v>24021</v>
      </c>
      <c r="L74" s="57">
        <v>0</v>
      </c>
      <c r="M74" s="57">
        <f t="shared" si="18"/>
        <v>24021</v>
      </c>
    </row>
    <row r="75" spans="2:13" ht="12.75" customHeight="1" x14ac:dyDescent="0.2">
      <c r="B75" s="20" t="s">
        <v>413</v>
      </c>
      <c r="C75" s="57">
        <v>2230</v>
      </c>
      <c r="D75" s="57">
        <v>854</v>
      </c>
      <c r="E75" s="57">
        <f t="shared" si="14"/>
        <v>3084</v>
      </c>
      <c r="F75" s="58">
        <f t="shared" si="15"/>
        <v>1.4263382327095802E-2</v>
      </c>
      <c r="G75" s="57">
        <v>6850</v>
      </c>
      <c r="H75" s="57">
        <v>398</v>
      </c>
      <c r="I75" s="57">
        <f t="shared" si="16"/>
        <v>7248</v>
      </c>
      <c r="J75" s="58">
        <f t="shared" si="17"/>
        <v>1.2353822475161966E-2</v>
      </c>
      <c r="K75" s="57">
        <f t="shared" si="13"/>
        <v>10332</v>
      </c>
      <c r="L75" s="57">
        <v>0</v>
      </c>
      <c r="M75" s="57">
        <f t="shared" si="18"/>
        <v>10332</v>
      </c>
    </row>
    <row r="76" spans="2:13" ht="12.75" customHeight="1" x14ac:dyDescent="0.2">
      <c r="B76" s="20" t="s">
        <v>414</v>
      </c>
      <c r="C76" s="57">
        <v>2366</v>
      </c>
      <c r="D76" s="57">
        <v>568</v>
      </c>
      <c r="E76" s="57">
        <f t="shared" si="14"/>
        <v>2934</v>
      </c>
      <c r="F76" s="58">
        <f t="shared" si="15"/>
        <v>1.3569638050486084E-2</v>
      </c>
      <c r="G76" s="57">
        <v>8575</v>
      </c>
      <c r="H76" s="57">
        <v>338</v>
      </c>
      <c r="I76" s="57">
        <f t="shared" si="16"/>
        <v>8913</v>
      </c>
      <c r="J76" s="58">
        <f t="shared" si="17"/>
        <v>1.5191724575209519E-2</v>
      </c>
      <c r="K76" s="57">
        <f t="shared" si="13"/>
        <v>11847</v>
      </c>
      <c r="L76" s="57">
        <v>0</v>
      </c>
      <c r="M76" s="57">
        <f t="shared" si="18"/>
        <v>11847</v>
      </c>
    </row>
    <row r="77" spans="2:13" ht="12.75" customHeight="1" x14ac:dyDescent="0.2">
      <c r="B77" s="20" t="s">
        <v>415</v>
      </c>
      <c r="C77" s="57">
        <v>3043</v>
      </c>
      <c r="D77" s="57">
        <v>692</v>
      </c>
      <c r="E77" s="57">
        <f t="shared" si="14"/>
        <v>3735</v>
      </c>
      <c r="F77" s="58">
        <f t="shared" si="15"/>
        <v>1.7274232487581979E-2</v>
      </c>
      <c r="G77" s="57">
        <v>8946</v>
      </c>
      <c r="H77" s="57">
        <v>369</v>
      </c>
      <c r="I77" s="57">
        <f t="shared" si="16"/>
        <v>9315</v>
      </c>
      <c r="J77" s="58">
        <f t="shared" si="17"/>
        <v>1.5876911748914695E-2</v>
      </c>
      <c r="K77" s="57">
        <f t="shared" si="13"/>
        <v>13050</v>
      </c>
      <c r="L77" s="57">
        <v>2</v>
      </c>
      <c r="M77" s="57">
        <f t="shared" si="18"/>
        <v>13052</v>
      </c>
    </row>
    <row r="78" spans="2:13" ht="12.75" customHeight="1" x14ac:dyDescent="0.2">
      <c r="B78" s="20" t="s">
        <v>416</v>
      </c>
      <c r="C78" s="57">
        <v>5270</v>
      </c>
      <c r="D78" s="57">
        <v>2293</v>
      </c>
      <c r="E78" s="57">
        <f t="shared" si="14"/>
        <v>7563</v>
      </c>
      <c r="F78" s="58">
        <f t="shared" si="15"/>
        <v>3.4978586426661983E-2</v>
      </c>
      <c r="G78" s="57">
        <v>15450</v>
      </c>
      <c r="H78" s="57">
        <v>1100</v>
      </c>
      <c r="I78" s="57">
        <f t="shared" si="16"/>
        <v>16550</v>
      </c>
      <c r="J78" s="58">
        <f t="shared" si="17"/>
        <v>2.8208576429902113E-2</v>
      </c>
      <c r="K78" s="57">
        <f t="shared" si="13"/>
        <v>24113</v>
      </c>
      <c r="L78" s="57">
        <v>0</v>
      </c>
      <c r="M78" s="57">
        <f t="shared" si="18"/>
        <v>24113</v>
      </c>
    </row>
    <row r="79" spans="2:13" ht="12.75" customHeight="1" x14ac:dyDescent="0.2">
      <c r="B79" s="20" t="s">
        <v>417</v>
      </c>
      <c r="C79" s="57">
        <v>3428</v>
      </c>
      <c r="D79" s="57">
        <v>754</v>
      </c>
      <c r="E79" s="57">
        <f t="shared" si="14"/>
        <v>4182</v>
      </c>
      <c r="F79" s="58">
        <f t="shared" si="15"/>
        <v>1.9341590431878938E-2</v>
      </c>
      <c r="G79" s="57">
        <v>12321</v>
      </c>
      <c r="H79" s="57">
        <v>390</v>
      </c>
      <c r="I79" s="57">
        <f t="shared" si="16"/>
        <v>12711</v>
      </c>
      <c r="J79" s="58">
        <f t="shared" si="17"/>
        <v>2.1665209365588262E-2</v>
      </c>
      <c r="K79" s="57">
        <f t="shared" si="13"/>
        <v>16893</v>
      </c>
      <c r="L79" s="57">
        <v>0</v>
      </c>
      <c r="M79" s="57">
        <f t="shared" si="18"/>
        <v>16893</v>
      </c>
    </row>
    <row r="80" spans="2:13" ht="12.75" customHeight="1" x14ac:dyDescent="0.2">
      <c r="B80" s="20" t="s">
        <v>418</v>
      </c>
      <c r="C80" s="57">
        <v>878</v>
      </c>
      <c r="D80" s="57">
        <v>280</v>
      </c>
      <c r="E80" s="57">
        <f t="shared" si="14"/>
        <v>1158</v>
      </c>
      <c r="F80" s="58">
        <f t="shared" si="15"/>
        <v>5.3557058154270224E-3</v>
      </c>
      <c r="G80" s="57">
        <v>3076</v>
      </c>
      <c r="H80" s="57">
        <v>144</v>
      </c>
      <c r="I80" s="57">
        <f t="shared" si="16"/>
        <v>3220</v>
      </c>
      <c r="J80" s="58">
        <f t="shared" si="17"/>
        <v>5.4883151724643385E-3</v>
      </c>
      <c r="K80" s="57">
        <f t="shared" si="13"/>
        <v>4378</v>
      </c>
      <c r="L80" s="57">
        <v>1</v>
      </c>
      <c r="M80" s="57">
        <f t="shared" si="18"/>
        <v>4379</v>
      </c>
    </row>
    <row r="81" spans="2:13" ht="12.75" customHeight="1" x14ac:dyDescent="0.2">
      <c r="B81" s="20" t="s">
        <v>419</v>
      </c>
      <c r="C81" s="57">
        <v>3512</v>
      </c>
      <c r="D81" s="57">
        <v>987</v>
      </c>
      <c r="E81" s="57">
        <f t="shared" si="14"/>
        <v>4499</v>
      </c>
      <c r="F81" s="58">
        <f t="shared" si="15"/>
        <v>2.0807703336447474E-2</v>
      </c>
      <c r="G81" s="57">
        <v>11656</v>
      </c>
      <c r="H81" s="57">
        <v>502</v>
      </c>
      <c r="I81" s="57">
        <f t="shared" si="16"/>
        <v>12158</v>
      </c>
      <c r="J81" s="58">
        <f t="shared" si="17"/>
        <v>2.0722650890317214E-2</v>
      </c>
      <c r="K81" s="57">
        <f t="shared" si="13"/>
        <v>16657</v>
      </c>
      <c r="L81" s="57">
        <v>0</v>
      </c>
      <c r="M81" s="57">
        <f t="shared" si="18"/>
        <v>16657</v>
      </c>
    </row>
    <row r="82" spans="2:13" ht="12.75" customHeight="1" x14ac:dyDescent="0.2">
      <c r="B82" s="20" t="s">
        <v>420</v>
      </c>
      <c r="C82" s="57">
        <v>3212</v>
      </c>
      <c r="D82" s="57">
        <v>742</v>
      </c>
      <c r="E82" s="57">
        <f t="shared" si="14"/>
        <v>3954</v>
      </c>
      <c r="F82" s="58">
        <f t="shared" si="15"/>
        <v>1.8287099131432165E-2</v>
      </c>
      <c r="G82" s="57">
        <v>12039</v>
      </c>
      <c r="H82" s="57">
        <v>436</v>
      </c>
      <c r="I82" s="57">
        <f t="shared" si="16"/>
        <v>12475</v>
      </c>
      <c r="J82" s="58">
        <f t="shared" si="17"/>
        <v>2.1262960179034975E-2</v>
      </c>
      <c r="K82" s="57">
        <f t="shared" si="13"/>
        <v>16429</v>
      </c>
      <c r="L82" s="57">
        <v>0</v>
      </c>
      <c r="M82" s="57">
        <f t="shared" si="18"/>
        <v>16429</v>
      </c>
    </row>
    <row r="83" spans="2:13" ht="24" customHeight="1" x14ac:dyDescent="0.2">
      <c r="B83" s="20" t="s">
        <v>421</v>
      </c>
      <c r="C83" s="57">
        <v>3940</v>
      </c>
      <c r="D83" s="57">
        <v>1220</v>
      </c>
      <c r="E83" s="57">
        <f t="shared" si="14"/>
        <v>5160</v>
      </c>
      <c r="F83" s="58">
        <f t="shared" si="15"/>
        <v>2.3864803115374297E-2</v>
      </c>
      <c r="G83" s="57">
        <v>13100</v>
      </c>
      <c r="H83" s="57">
        <v>606</v>
      </c>
      <c r="I83" s="57">
        <f t="shared" si="16"/>
        <v>13706</v>
      </c>
      <c r="J83" s="58">
        <f t="shared" si="17"/>
        <v>2.3361132842793859E-2</v>
      </c>
      <c r="K83" s="57">
        <f t="shared" si="13"/>
        <v>18866</v>
      </c>
      <c r="L83" s="57">
        <v>0</v>
      </c>
      <c r="M83" s="57">
        <f t="shared" si="18"/>
        <v>18866</v>
      </c>
    </row>
    <row r="84" spans="2:13" ht="12.75" customHeight="1" x14ac:dyDescent="0.2">
      <c r="B84" s="20" t="s">
        <v>422</v>
      </c>
      <c r="C84" s="57">
        <v>5470</v>
      </c>
      <c r="D84" s="57">
        <v>1918</v>
      </c>
      <c r="E84" s="57">
        <f t="shared" si="14"/>
        <v>7388</v>
      </c>
      <c r="F84" s="58">
        <f t="shared" si="15"/>
        <v>3.4169218103950641E-2</v>
      </c>
      <c r="G84" s="57">
        <v>19903</v>
      </c>
      <c r="H84" s="57">
        <v>986</v>
      </c>
      <c r="I84" s="57">
        <f t="shared" si="16"/>
        <v>20889</v>
      </c>
      <c r="J84" s="58">
        <f t="shared" si="17"/>
        <v>3.5604166347083098E-2</v>
      </c>
      <c r="K84" s="57">
        <f t="shared" si="13"/>
        <v>28277</v>
      </c>
      <c r="L84" s="57">
        <v>0</v>
      </c>
      <c r="M84" s="57">
        <f t="shared" si="18"/>
        <v>28277</v>
      </c>
    </row>
    <row r="85" spans="2:13" ht="12.75" customHeight="1" x14ac:dyDescent="0.2">
      <c r="B85" s="20" t="s">
        <v>423</v>
      </c>
      <c r="C85" s="57">
        <v>3730</v>
      </c>
      <c r="D85" s="57">
        <v>947</v>
      </c>
      <c r="E85" s="57">
        <f t="shared" si="14"/>
        <v>4677</v>
      </c>
      <c r="F85" s="58">
        <f t="shared" si="15"/>
        <v>2.1630946544691006E-2</v>
      </c>
      <c r="G85" s="57">
        <v>12471</v>
      </c>
      <c r="H85" s="57">
        <v>466</v>
      </c>
      <c r="I85" s="57">
        <f t="shared" si="16"/>
        <v>12937</v>
      </c>
      <c r="J85" s="58">
        <f t="shared" si="17"/>
        <v>2.2050414095084209E-2</v>
      </c>
      <c r="K85" s="57">
        <f t="shared" si="13"/>
        <v>17614</v>
      </c>
      <c r="L85" s="57">
        <v>1</v>
      </c>
      <c r="M85" s="57">
        <f t="shared" si="18"/>
        <v>17615</v>
      </c>
    </row>
    <row r="86" spans="2:13" ht="12.75" customHeight="1" x14ac:dyDescent="0.2">
      <c r="B86" s="20" t="s">
        <v>424</v>
      </c>
      <c r="C86" s="57">
        <v>3953</v>
      </c>
      <c r="D86" s="57">
        <v>1511</v>
      </c>
      <c r="E86" s="57">
        <f t="shared" si="14"/>
        <v>5464</v>
      </c>
      <c r="F86" s="58">
        <f t="shared" si="15"/>
        <v>2.5270791515969993E-2</v>
      </c>
      <c r="G86" s="57">
        <v>13463</v>
      </c>
      <c r="H86" s="57">
        <v>735</v>
      </c>
      <c r="I86" s="57">
        <f t="shared" si="16"/>
        <v>14198</v>
      </c>
      <c r="J86" s="58">
        <f t="shared" si="17"/>
        <v>2.4199720130015118E-2</v>
      </c>
      <c r="K86" s="57">
        <f t="shared" si="13"/>
        <v>19662</v>
      </c>
      <c r="L86" s="57">
        <v>0</v>
      </c>
      <c r="M86" s="57">
        <f t="shared" si="18"/>
        <v>19662</v>
      </c>
    </row>
    <row r="87" spans="2:13" ht="12.75" customHeight="1" x14ac:dyDescent="0.2">
      <c r="B87" s="20" t="s">
        <v>425</v>
      </c>
      <c r="C87" s="57">
        <v>3415</v>
      </c>
      <c r="D87" s="57">
        <v>969</v>
      </c>
      <c r="E87" s="57">
        <f t="shared" si="14"/>
        <v>4384</v>
      </c>
      <c r="F87" s="58">
        <f t="shared" si="15"/>
        <v>2.0275832724380025E-2</v>
      </c>
      <c r="G87" s="57">
        <v>11881</v>
      </c>
      <c r="H87" s="57">
        <v>513</v>
      </c>
      <c r="I87" s="57">
        <f t="shared" si="16"/>
        <v>12394</v>
      </c>
      <c r="J87" s="58">
        <f t="shared" si="17"/>
        <v>2.1124900076870502E-2</v>
      </c>
      <c r="K87" s="57">
        <f t="shared" si="13"/>
        <v>16778</v>
      </c>
      <c r="L87" s="57">
        <v>0</v>
      </c>
      <c r="M87" s="57">
        <f t="shared" si="18"/>
        <v>16778</v>
      </c>
    </row>
    <row r="88" spans="2:13" ht="12.75" customHeight="1" x14ac:dyDescent="0.2">
      <c r="B88" s="20" t="s">
        <v>426</v>
      </c>
      <c r="C88" s="57">
        <v>10791</v>
      </c>
      <c r="D88" s="57">
        <v>4011</v>
      </c>
      <c r="E88" s="57">
        <f t="shared" si="14"/>
        <v>14802</v>
      </c>
      <c r="F88" s="58">
        <f t="shared" si="15"/>
        <v>6.8458685215846971E-2</v>
      </c>
      <c r="G88" s="57">
        <v>39119</v>
      </c>
      <c r="H88" s="57">
        <v>2022</v>
      </c>
      <c r="I88" s="57">
        <f t="shared" si="16"/>
        <v>41141</v>
      </c>
      <c r="J88" s="58">
        <f t="shared" si="17"/>
        <v>7.0122600779613464E-2</v>
      </c>
      <c r="K88" s="57">
        <f t="shared" si="13"/>
        <v>55943</v>
      </c>
      <c r="L88" s="57">
        <v>0</v>
      </c>
      <c r="M88" s="57">
        <f t="shared" si="18"/>
        <v>55943</v>
      </c>
    </row>
    <row r="89" spans="2:13" ht="12.75" customHeight="1" x14ac:dyDescent="0.2">
      <c r="B89" s="20" t="s">
        <v>427</v>
      </c>
      <c r="C89" s="57">
        <v>452</v>
      </c>
      <c r="D89" s="57">
        <v>139</v>
      </c>
      <c r="E89" s="57">
        <f t="shared" si="14"/>
        <v>591</v>
      </c>
      <c r="F89" s="58">
        <f t="shared" si="15"/>
        <v>2.7333524498422889E-3</v>
      </c>
      <c r="G89" s="57">
        <v>1198</v>
      </c>
      <c r="H89" s="57">
        <v>46</v>
      </c>
      <c r="I89" s="57">
        <f t="shared" si="16"/>
        <v>1244</v>
      </c>
      <c r="J89" s="58">
        <f t="shared" si="17"/>
        <v>2.1203304579334279E-3</v>
      </c>
      <c r="K89" s="57">
        <f t="shared" si="13"/>
        <v>1835</v>
      </c>
      <c r="L89" s="57">
        <v>0</v>
      </c>
      <c r="M89" s="57">
        <f t="shared" si="18"/>
        <v>1835</v>
      </c>
    </row>
    <row r="90" spans="2:13" ht="12.75" customHeight="1" x14ac:dyDescent="0.2">
      <c r="B90" s="20" t="s">
        <v>428</v>
      </c>
      <c r="C90" s="57">
        <v>1495</v>
      </c>
      <c r="D90" s="57">
        <v>765</v>
      </c>
      <c r="E90" s="57">
        <f t="shared" si="14"/>
        <v>2260</v>
      </c>
      <c r="F90" s="58">
        <f t="shared" si="15"/>
        <v>1.0452413767586417E-2</v>
      </c>
      <c r="G90" s="57">
        <v>4164</v>
      </c>
      <c r="H90" s="57">
        <v>280</v>
      </c>
      <c r="I90" s="57">
        <f t="shared" si="16"/>
        <v>4444</v>
      </c>
      <c r="J90" s="58">
        <f t="shared" si="17"/>
        <v>7.5745567162830811E-3</v>
      </c>
      <c r="K90" s="57">
        <f t="shared" si="13"/>
        <v>6704</v>
      </c>
      <c r="L90" s="57">
        <v>0</v>
      </c>
      <c r="M90" s="57">
        <f t="shared" si="18"/>
        <v>6704</v>
      </c>
    </row>
    <row r="91" spans="2:13" ht="12.75" customHeight="1" x14ac:dyDescent="0.2">
      <c r="B91" s="20" t="s">
        <v>429</v>
      </c>
      <c r="C91" s="57">
        <v>455</v>
      </c>
      <c r="D91" s="57">
        <v>146</v>
      </c>
      <c r="E91" s="57">
        <f t="shared" si="14"/>
        <v>601</v>
      </c>
      <c r="F91" s="58">
        <f t="shared" si="15"/>
        <v>2.7796020682829365E-3</v>
      </c>
      <c r="G91" s="57">
        <v>1392</v>
      </c>
      <c r="H91" s="57">
        <v>80</v>
      </c>
      <c r="I91" s="57">
        <f t="shared" si="16"/>
        <v>1472</v>
      </c>
      <c r="J91" s="58">
        <f t="shared" si="17"/>
        <v>2.5089440788408405E-3</v>
      </c>
      <c r="K91" s="57">
        <f t="shared" si="13"/>
        <v>2073</v>
      </c>
      <c r="L91" s="57">
        <v>0</v>
      </c>
      <c r="M91" s="57">
        <f t="shared" si="18"/>
        <v>2073</v>
      </c>
    </row>
    <row r="92" spans="2:13" ht="12.75" customHeight="1" x14ac:dyDescent="0.2">
      <c r="B92" s="20" t="s">
        <v>430</v>
      </c>
      <c r="C92" s="57">
        <v>1640</v>
      </c>
      <c r="D92" s="57">
        <v>599</v>
      </c>
      <c r="E92" s="57">
        <f t="shared" si="14"/>
        <v>2239</v>
      </c>
      <c r="F92" s="58">
        <f t="shared" si="15"/>
        <v>1.0355289568861057E-2</v>
      </c>
      <c r="G92" s="57">
        <v>7048</v>
      </c>
      <c r="H92" s="57">
        <v>377</v>
      </c>
      <c r="I92" s="57">
        <f t="shared" si="16"/>
        <v>7425</v>
      </c>
      <c r="J92" s="58">
        <f t="shared" si="17"/>
        <v>1.2655509365076929E-2</v>
      </c>
      <c r="K92" s="57">
        <f t="shared" si="13"/>
        <v>9664</v>
      </c>
      <c r="L92" s="57">
        <v>0</v>
      </c>
      <c r="M92" s="57">
        <f t="shared" si="18"/>
        <v>9664</v>
      </c>
    </row>
    <row r="93" spans="2:13" ht="12.75" customHeight="1" x14ac:dyDescent="0.2">
      <c r="B93" s="20" t="s">
        <v>431</v>
      </c>
      <c r="C93" s="57">
        <v>428</v>
      </c>
      <c r="D93" s="57">
        <v>137</v>
      </c>
      <c r="E93" s="57">
        <f t="shared" si="14"/>
        <v>565</v>
      </c>
      <c r="F93" s="58">
        <f t="shared" si="15"/>
        <v>2.6131034418966042E-3</v>
      </c>
      <c r="G93" s="57">
        <v>1624</v>
      </c>
      <c r="H93" s="57">
        <v>101</v>
      </c>
      <c r="I93" s="57">
        <f t="shared" si="16"/>
        <v>1725</v>
      </c>
      <c r="J93" s="58">
        <f t="shared" si="17"/>
        <v>2.94016884239161E-3</v>
      </c>
      <c r="K93" s="57">
        <f t="shared" si="13"/>
        <v>2290</v>
      </c>
      <c r="L93" s="57">
        <v>0</v>
      </c>
      <c r="M93" s="57">
        <f t="shared" si="18"/>
        <v>2290</v>
      </c>
    </row>
    <row r="94" spans="2:13" ht="12.75" customHeight="1" x14ac:dyDescent="0.2">
      <c r="B94" s="20" t="s">
        <v>432</v>
      </c>
      <c r="C94" s="57">
        <v>157</v>
      </c>
      <c r="D94" s="57">
        <v>54</v>
      </c>
      <c r="E94" s="57">
        <f t="shared" si="14"/>
        <v>211</v>
      </c>
      <c r="F94" s="58">
        <f t="shared" si="15"/>
        <v>9.7586694909766996E-4</v>
      </c>
      <c r="G94" s="57">
        <v>515</v>
      </c>
      <c r="H94" s="57">
        <v>16</v>
      </c>
      <c r="I94" s="57">
        <f t="shared" si="16"/>
        <v>531</v>
      </c>
      <c r="J94" s="58">
        <f t="shared" si="17"/>
        <v>9.0506066974489557E-4</v>
      </c>
      <c r="K94" s="57">
        <f t="shared" si="13"/>
        <v>742</v>
      </c>
      <c r="L94" s="57">
        <v>0</v>
      </c>
      <c r="M94" s="57">
        <f t="shared" si="18"/>
        <v>742</v>
      </c>
    </row>
    <row r="95" spans="2:13" ht="12.75" customHeight="1" x14ac:dyDescent="0.2">
      <c r="B95" s="20" t="s">
        <v>433</v>
      </c>
      <c r="C95" s="57">
        <v>984</v>
      </c>
      <c r="D95" s="57">
        <v>249</v>
      </c>
      <c r="E95" s="57">
        <f t="shared" si="14"/>
        <v>1233</v>
      </c>
      <c r="F95" s="58">
        <f t="shared" si="15"/>
        <v>5.702577953731882E-3</v>
      </c>
      <c r="G95" s="57">
        <v>2735</v>
      </c>
      <c r="H95" s="57">
        <v>136</v>
      </c>
      <c r="I95" s="57">
        <f t="shared" si="16"/>
        <v>2871</v>
      </c>
      <c r="J95" s="58">
        <f t="shared" si="17"/>
        <v>4.89346362116308E-3</v>
      </c>
      <c r="K95" s="57">
        <f t="shared" si="13"/>
        <v>4104</v>
      </c>
      <c r="L95" s="57">
        <v>0</v>
      </c>
      <c r="M95" s="57">
        <f t="shared" si="18"/>
        <v>4104</v>
      </c>
    </row>
    <row r="96" spans="2:13" ht="12.75" customHeight="1" x14ac:dyDescent="0.2">
      <c r="B96" s="20" t="s">
        <v>434</v>
      </c>
      <c r="C96" s="57">
        <v>425</v>
      </c>
      <c r="D96" s="57">
        <v>113</v>
      </c>
      <c r="E96" s="57">
        <f t="shared" si="14"/>
        <v>538</v>
      </c>
      <c r="F96" s="58">
        <f t="shared" si="15"/>
        <v>2.4882294721068551E-3</v>
      </c>
      <c r="G96" s="57">
        <v>786</v>
      </c>
      <c r="H96" s="57">
        <v>54</v>
      </c>
      <c r="I96" s="57">
        <f t="shared" si="16"/>
        <v>840</v>
      </c>
      <c r="J96" s="58">
        <f t="shared" si="17"/>
        <v>1.4317343928167839E-3</v>
      </c>
      <c r="K96" s="57">
        <f t="shared" si="13"/>
        <v>1378</v>
      </c>
      <c r="L96" s="57">
        <v>0</v>
      </c>
      <c r="M96" s="57">
        <f t="shared" si="18"/>
        <v>1378</v>
      </c>
    </row>
    <row r="97" spans="2:13" ht="12.75" customHeight="1" x14ac:dyDescent="0.2">
      <c r="B97" s="20" t="s">
        <v>435</v>
      </c>
      <c r="C97" s="57">
        <v>985</v>
      </c>
      <c r="D97" s="57">
        <v>318</v>
      </c>
      <c r="E97" s="57">
        <f t="shared" si="14"/>
        <v>1303</v>
      </c>
      <c r="F97" s="58">
        <f t="shared" si="15"/>
        <v>6.0263252828164169E-3</v>
      </c>
      <c r="G97" s="57">
        <v>2839</v>
      </c>
      <c r="H97" s="57">
        <v>157</v>
      </c>
      <c r="I97" s="57">
        <f t="shared" si="16"/>
        <v>2996</v>
      </c>
      <c r="J97" s="58">
        <f t="shared" si="17"/>
        <v>5.1065193343798627E-3</v>
      </c>
      <c r="K97" s="57">
        <f t="shared" si="13"/>
        <v>4299</v>
      </c>
      <c r="L97" s="57">
        <v>0</v>
      </c>
      <c r="M97" s="57">
        <f t="shared" si="18"/>
        <v>4299</v>
      </c>
    </row>
    <row r="98" spans="2:13" ht="12.75" customHeight="1" x14ac:dyDescent="0.2">
      <c r="B98" s="20" t="s">
        <v>436</v>
      </c>
      <c r="C98" s="57">
        <v>1250</v>
      </c>
      <c r="D98" s="57">
        <v>429</v>
      </c>
      <c r="E98" s="57">
        <f t="shared" si="14"/>
        <v>1679</v>
      </c>
      <c r="F98" s="58">
        <f t="shared" si="15"/>
        <v>7.7653109361847765E-3</v>
      </c>
      <c r="G98" s="57">
        <v>4754</v>
      </c>
      <c r="H98" s="57">
        <v>244</v>
      </c>
      <c r="I98" s="57">
        <f t="shared" si="16"/>
        <v>4998</v>
      </c>
      <c r="J98" s="58">
        <f t="shared" si="17"/>
        <v>8.5188196372598651E-3</v>
      </c>
      <c r="K98" s="57">
        <f t="shared" si="13"/>
        <v>6677</v>
      </c>
      <c r="L98" s="57">
        <v>0</v>
      </c>
      <c r="M98" s="57">
        <f t="shared" si="18"/>
        <v>6677</v>
      </c>
    </row>
    <row r="99" spans="2:13" ht="12.75" customHeight="1" x14ac:dyDescent="0.2">
      <c r="B99" s="20" t="s">
        <v>437</v>
      </c>
      <c r="C99" s="57">
        <v>1948</v>
      </c>
      <c r="D99" s="57">
        <v>627</v>
      </c>
      <c r="E99" s="57">
        <f t="shared" si="14"/>
        <v>2575</v>
      </c>
      <c r="F99" s="58">
        <f t="shared" si="15"/>
        <v>1.1909276748466825E-2</v>
      </c>
      <c r="G99" s="57">
        <v>7830</v>
      </c>
      <c r="H99" s="57">
        <v>401</v>
      </c>
      <c r="I99" s="57">
        <f t="shared" si="16"/>
        <v>8231</v>
      </c>
      <c r="J99" s="58">
        <f t="shared" si="17"/>
        <v>1.4029292603898749E-2</v>
      </c>
      <c r="K99" s="57">
        <f t="shared" si="13"/>
        <v>10806</v>
      </c>
      <c r="L99" s="57">
        <v>0</v>
      </c>
      <c r="M99" s="57">
        <f t="shared" si="18"/>
        <v>10806</v>
      </c>
    </row>
    <row r="100" spans="2:13" ht="12.75" customHeight="1" x14ac:dyDescent="0.2">
      <c r="B100" s="20" t="s">
        <v>438</v>
      </c>
      <c r="C100" s="57">
        <v>2638</v>
      </c>
      <c r="D100" s="57">
        <v>1166</v>
      </c>
      <c r="E100" s="57">
        <f t="shared" si="14"/>
        <v>3804</v>
      </c>
      <c r="F100" s="58">
        <f t="shared" si="15"/>
        <v>1.7593354854822447E-2</v>
      </c>
      <c r="G100" s="57">
        <v>9594</v>
      </c>
      <c r="H100" s="57">
        <v>653</v>
      </c>
      <c r="I100" s="57">
        <f t="shared" si="16"/>
        <v>10247</v>
      </c>
      <c r="J100" s="58">
        <f t="shared" si="17"/>
        <v>1.746545514665903E-2</v>
      </c>
      <c r="K100" s="57">
        <f t="shared" si="13"/>
        <v>14051</v>
      </c>
      <c r="L100" s="57">
        <v>0</v>
      </c>
      <c r="M100" s="57">
        <f t="shared" si="18"/>
        <v>14051</v>
      </c>
    </row>
    <row r="101" spans="2:13" ht="12.75" customHeight="1" x14ac:dyDescent="0.2">
      <c r="B101" s="20" t="s">
        <v>439</v>
      </c>
      <c r="C101" s="57">
        <v>4616</v>
      </c>
      <c r="D101" s="57">
        <v>1691</v>
      </c>
      <c r="E101" s="57">
        <f t="shared" si="14"/>
        <v>6307</v>
      </c>
      <c r="F101" s="58">
        <f t="shared" si="15"/>
        <v>2.9169634350516609E-2</v>
      </c>
      <c r="G101" s="57">
        <v>15306</v>
      </c>
      <c r="H101" s="57">
        <v>857</v>
      </c>
      <c r="I101" s="57">
        <f t="shared" si="16"/>
        <v>16163</v>
      </c>
      <c r="J101" s="58">
        <f t="shared" si="17"/>
        <v>2.7548955941782954E-2</v>
      </c>
      <c r="K101" s="57">
        <f t="shared" si="13"/>
        <v>22470</v>
      </c>
      <c r="L101" s="57">
        <v>0</v>
      </c>
      <c r="M101" s="57">
        <f t="shared" si="18"/>
        <v>22470</v>
      </c>
    </row>
    <row r="102" spans="2:13" ht="12.75" customHeight="1" x14ac:dyDescent="0.2">
      <c r="B102" s="20" t="s">
        <v>440</v>
      </c>
      <c r="C102" s="57">
        <v>4813</v>
      </c>
      <c r="D102" s="57">
        <v>1226</v>
      </c>
      <c r="E102" s="57">
        <f t="shared" si="14"/>
        <v>6039</v>
      </c>
      <c r="F102" s="58">
        <f t="shared" si="15"/>
        <v>2.7930144576307245E-2</v>
      </c>
      <c r="G102" s="57">
        <v>15286</v>
      </c>
      <c r="H102" s="57">
        <v>711</v>
      </c>
      <c r="I102" s="57">
        <f t="shared" si="16"/>
        <v>15997</v>
      </c>
      <c r="J102" s="58">
        <f t="shared" si="17"/>
        <v>2.7266017954631065E-2</v>
      </c>
      <c r="K102" s="57">
        <f t="shared" si="13"/>
        <v>22036</v>
      </c>
      <c r="L102" s="57">
        <v>1</v>
      </c>
      <c r="M102" s="57">
        <f t="shared" si="18"/>
        <v>22037</v>
      </c>
    </row>
    <row r="103" spans="2:13" ht="12.75" customHeight="1" x14ac:dyDescent="0.2">
      <c r="B103" s="20" t="s">
        <v>441</v>
      </c>
      <c r="C103" s="57">
        <v>5006</v>
      </c>
      <c r="D103" s="57">
        <v>1439</v>
      </c>
      <c r="E103" s="57">
        <f t="shared" si="14"/>
        <v>6445</v>
      </c>
      <c r="F103" s="58">
        <f t="shared" si="15"/>
        <v>2.980787908499755E-2</v>
      </c>
      <c r="G103" s="57">
        <v>16364</v>
      </c>
      <c r="H103" s="57">
        <v>779</v>
      </c>
      <c r="I103" s="57">
        <f t="shared" si="16"/>
        <v>17143</v>
      </c>
      <c r="J103" s="58">
        <f t="shared" si="17"/>
        <v>2.9219312733402534E-2</v>
      </c>
      <c r="K103" s="57">
        <f t="shared" si="13"/>
        <v>23588</v>
      </c>
      <c r="L103" s="57">
        <v>0</v>
      </c>
      <c r="M103" s="57">
        <f t="shared" si="18"/>
        <v>23588</v>
      </c>
    </row>
    <row r="104" spans="2:13" ht="12.75" customHeight="1" x14ac:dyDescent="0.2">
      <c r="B104" s="20" t="s">
        <v>442</v>
      </c>
      <c r="C104" s="57">
        <v>2040</v>
      </c>
      <c r="D104" s="57">
        <v>1161</v>
      </c>
      <c r="E104" s="57">
        <f t="shared" si="14"/>
        <v>3201</v>
      </c>
      <c r="F104" s="58">
        <f t="shared" si="15"/>
        <v>1.4804502862851381E-2</v>
      </c>
      <c r="G104" s="57">
        <v>6668</v>
      </c>
      <c r="H104" s="57">
        <v>454</v>
      </c>
      <c r="I104" s="57">
        <f t="shared" si="16"/>
        <v>7122</v>
      </c>
      <c r="J104" s="58">
        <f t="shared" si="17"/>
        <v>1.2139062316239447E-2</v>
      </c>
      <c r="K104" s="57">
        <f t="shared" si="13"/>
        <v>10323</v>
      </c>
      <c r="L104" s="57">
        <v>0</v>
      </c>
      <c r="M104" s="57">
        <f t="shared" si="18"/>
        <v>10323</v>
      </c>
    </row>
    <row r="105" spans="2:13" ht="12.75" customHeight="1" x14ac:dyDescent="0.2">
      <c r="B105" s="20" t="s">
        <v>443</v>
      </c>
      <c r="C105" s="57">
        <v>2965</v>
      </c>
      <c r="D105" s="57">
        <v>603</v>
      </c>
      <c r="E105" s="57">
        <f t="shared" si="14"/>
        <v>3568</v>
      </c>
      <c r="F105" s="58">
        <f t="shared" si="15"/>
        <v>1.6501863859623159E-2</v>
      </c>
      <c r="G105" s="57">
        <v>9112</v>
      </c>
      <c r="H105" s="57">
        <v>337</v>
      </c>
      <c r="I105" s="57">
        <f t="shared" si="16"/>
        <v>9449</v>
      </c>
      <c r="J105" s="58">
        <f t="shared" si="17"/>
        <v>1.6105307473483085E-2</v>
      </c>
      <c r="K105" s="57">
        <f t="shared" si="13"/>
        <v>13017</v>
      </c>
      <c r="L105" s="57">
        <v>0</v>
      </c>
      <c r="M105" s="57">
        <f t="shared" si="18"/>
        <v>13017</v>
      </c>
    </row>
    <row r="106" spans="2:13" ht="12.75" customHeight="1" x14ac:dyDescent="0.2">
      <c r="B106" s="20" t="s">
        <v>444</v>
      </c>
      <c r="C106" s="57">
        <v>3582</v>
      </c>
      <c r="D106" s="57">
        <v>1038</v>
      </c>
      <c r="E106" s="57">
        <f t="shared" si="14"/>
        <v>4620</v>
      </c>
      <c r="F106" s="58">
        <f t="shared" si="15"/>
        <v>2.1367323719579313E-2</v>
      </c>
      <c r="G106" s="57">
        <v>10147</v>
      </c>
      <c r="H106" s="57">
        <v>477</v>
      </c>
      <c r="I106" s="57">
        <f t="shared" si="16"/>
        <v>10624</v>
      </c>
      <c r="J106" s="58">
        <f t="shared" si="17"/>
        <v>1.8108031177720849E-2</v>
      </c>
      <c r="K106" s="57">
        <f t="shared" si="13"/>
        <v>15244</v>
      </c>
      <c r="L106" s="57">
        <v>0</v>
      </c>
      <c r="M106" s="57">
        <f t="shared" si="18"/>
        <v>15244</v>
      </c>
    </row>
    <row r="107" spans="2:13" ht="12.75" customHeight="1" x14ac:dyDescent="0.2">
      <c r="B107" s="20" t="s">
        <v>445</v>
      </c>
      <c r="C107" s="57">
        <v>3967</v>
      </c>
      <c r="D107" s="57">
        <v>1264</v>
      </c>
      <c r="E107" s="57">
        <f t="shared" si="14"/>
        <v>5231</v>
      </c>
      <c r="F107" s="58">
        <f t="shared" si="15"/>
        <v>2.4193175406302898E-2</v>
      </c>
      <c r="G107" s="57">
        <v>12517</v>
      </c>
      <c r="H107" s="57">
        <v>617</v>
      </c>
      <c r="I107" s="57">
        <f t="shared" si="16"/>
        <v>13134</v>
      </c>
      <c r="J107" s="58">
        <f t="shared" si="17"/>
        <v>2.2386189899113857E-2</v>
      </c>
      <c r="K107" s="57">
        <f t="shared" si="13"/>
        <v>18365</v>
      </c>
      <c r="L107" s="57">
        <v>1</v>
      </c>
      <c r="M107" s="57">
        <f t="shared" si="18"/>
        <v>18366</v>
      </c>
    </row>
    <row r="108" spans="2:13" ht="12.75" customHeight="1" x14ac:dyDescent="0.2">
      <c r="B108" s="20" t="s">
        <v>446</v>
      </c>
      <c r="C108" s="57">
        <v>3645</v>
      </c>
      <c r="D108" s="57">
        <v>1366</v>
      </c>
      <c r="E108" s="57">
        <f t="shared" si="14"/>
        <v>5011</v>
      </c>
      <c r="F108" s="58">
        <f t="shared" si="15"/>
        <v>2.3175683800608644E-2</v>
      </c>
      <c r="G108" s="57">
        <v>10801</v>
      </c>
      <c r="H108" s="57">
        <v>624</v>
      </c>
      <c r="I108" s="57">
        <f t="shared" si="16"/>
        <v>11425</v>
      </c>
      <c r="J108" s="58">
        <f t="shared" si="17"/>
        <v>1.9473292188013996E-2</v>
      </c>
      <c r="K108" s="57">
        <f t="shared" si="13"/>
        <v>16436</v>
      </c>
      <c r="L108" s="57">
        <v>0</v>
      </c>
      <c r="M108" s="57">
        <f t="shared" si="18"/>
        <v>16436</v>
      </c>
    </row>
    <row r="109" spans="2:13" ht="12.75" customHeight="1" x14ac:dyDescent="0.2">
      <c r="B109" s="20" t="s">
        <v>447</v>
      </c>
      <c r="C109" s="57">
        <v>541</v>
      </c>
      <c r="D109" s="57">
        <v>168</v>
      </c>
      <c r="E109" s="57">
        <f t="shared" si="14"/>
        <v>709</v>
      </c>
      <c r="F109" s="58">
        <f t="shared" si="15"/>
        <v>3.2790979474419334E-3</v>
      </c>
      <c r="G109" s="57">
        <v>1690</v>
      </c>
      <c r="H109" s="57">
        <v>75</v>
      </c>
      <c r="I109" s="57">
        <f t="shared" si="16"/>
        <v>1765</v>
      </c>
      <c r="J109" s="58">
        <f t="shared" si="17"/>
        <v>3.0083466706209809E-3</v>
      </c>
      <c r="K109" s="57">
        <f t="shared" si="13"/>
        <v>2474</v>
      </c>
      <c r="L109" s="57">
        <v>0</v>
      </c>
      <c r="M109" s="57">
        <f t="shared" si="18"/>
        <v>2474</v>
      </c>
    </row>
    <row r="110" spans="2:13" ht="12.75" customHeight="1" x14ac:dyDescent="0.2">
      <c r="B110" s="20" t="s">
        <v>448</v>
      </c>
      <c r="C110" s="57">
        <v>1478</v>
      </c>
      <c r="D110" s="57">
        <v>561</v>
      </c>
      <c r="E110" s="57">
        <f t="shared" si="14"/>
        <v>2039</v>
      </c>
      <c r="F110" s="58">
        <f t="shared" si="15"/>
        <v>9.4302972000481003E-3</v>
      </c>
      <c r="G110" s="57">
        <v>5379</v>
      </c>
      <c r="H110" s="57">
        <v>260</v>
      </c>
      <c r="I110" s="57">
        <f t="shared" si="16"/>
        <v>5639</v>
      </c>
      <c r="J110" s="58">
        <f t="shared" si="17"/>
        <v>9.6113693346355292E-3</v>
      </c>
      <c r="K110" s="57">
        <f t="shared" si="13"/>
        <v>7678</v>
      </c>
      <c r="L110" s="57">
        <v>1</v>
      </c>
      <c r="M110" s="57">
        <f t="shared" si="18"/>
        <v>7679</v>
      </c>
    </row>
    <row r="111" spans="2:13" ht="12.75" customHeight="1" x14ac:dyDescent="0.2">
      <c r="B111" s="20" t="s">
        <v>449</v>
      </c>
      <c r="C111" s="57">
        <v>6850</v>
      </c>
      <c r="D111" s="57">
        <v>2681</v>
      </c>
      <c r="E111" s="57">
        <f t="shared" si="14"/>
        <v>9531</v>
      </c>
      <c r="F111" s="58">
        <f t="shared" si="15"/>
        <v>4.4080511335781482E-2</v>
      </c>
      <c r="G111" s="57">
        <v>22373</v>
      </c>
      <c r="H111" s="57">
        <v>1511</v>
      </c>
      <c r="I111" s="57">
        <f t="shared" si="16"/>
        <v>23884</v>
      </c>
      <c r="J111" s="58">
        <f t="shared" si="17"/>
        <v>4.0708981235757224E-2</v>
      </c>
      <c r="K111" s="57">
        <f t="shared" si="13"/>
        <v>33415</v>
      </c>
      <c r="L111" s="57">
        <v>0</v>
      </c>
      <c r="M111" s="57">
        <f t="shared" si="18"/>
        <v>33415</v>
      </c>
    </row>
    <row r="112" spans="2:13" ht="12.75" customHeight="1" x14ac:dyDescent="0.2">
      <c r="B112" s="20" t="s">
        <v>450</v>
      </c>
      <c r="C112" s="57">
        <v>4221</v>
      </c>
      <c r="D112" s="57">
        <v>1262</v>
      </c>
      <c r="E112" s="57">
        <f t="shared" si="14"/>
        <v>5483</v>
      </c>
      <c r="F112" s="58">
        <f t="shared" si="15"/>
        <v>2.5358665791007224E-2</v>
      </c>
      <c r="G112" s="57">
        <v>13935</v>
      </c>
      <c r="H112" s="57">
        <v>666</v>
      </c>
      <c r="I112" s="57">
        <f t="shared" si="16"/>
        <v>14601</v>
      </c>
      <c r="J112" s="58">
        <f t="shared" si="17"/>
        <v>2.4886611749426028E-2</v>
      </c>
      <c r="K112" s="57">
        <f t="shared" si="13"/>
        <v>20084</v>
      </c>
      <c r="L112" s="57">
        <v>0</v>
      </c>
      <c r="M112" s="57">
        <f t="shared" si="18"/>
        <v>20084</v>
      </c>
    </row>
    <row r="113" spans="2:13" ht="12.75" customHeight="1" x14ac:dyDescent="0.2">
      <c r="B113" s="20" t="s">
        <v>451</v>
      </c>
      <c r="C113" s="57">
        <v>4882</v>
      </c>
      <c r="D113" s="57">
        <v>2070</v>
      </c>
      <c r="E113" s="57">
        <f t="shared" si="14"/>
        <v>6952</v>
      </c>
      <c r="F113" s="58">
        <f t="shared" si="15"/>
        <v>3.2152734739938398E-2</v>
      </c>
      <c r="G113" s="57">
        <v>17780</v>
      </c>
      <c r="H113" s="57">
        <v>1044</v>
      </c>
      <c r="I113" s="57">
        <f t="shared" si="16"/>
        <v>18824</v>
      </c>
      <c r="J113" s="58">
        <f t="shared" si="17"/>
        <v>3.2084485964741838E-2</v>
      </c>
      <c r="K113" s="57">
        <f t="shared" si="13"/>
        <v>25776</v>
      </c>
      <c r="L113" s="57">
        <v>0</v>
      </c>
      <c r="M113" s="57">
        <f t="shared" si="18"/>
        <v>25776</v>
      </c>
    </row>
    <row r="114" spans="2:13" ht="12.75" customHeight="1" x14ac:dyDescent="0.2">
      <c r="B114" s="20" t="s">
        <v>452</v>
      </c>
      <c r="C114" s="57">
        <v>10573</v>
      </c>
      <c r="D114" s="57">
        <v>3311</v>
      </c>
      <c r="E114" s="57">
        <f t="shared" si="14"/>
        <v>13884</v>
      </c>
      <c r="F114" s="58">
        <f t="shared" si="15"/>
        <v>6.4212970242995493E-2</v>
      </c>
      <c r="G114" s="57">
        <v>40363</v>
      </c>
      <c r="H114" s="57">
        <v>1739</v>
      </c>
      <c r="I114" s="57">
        <f t="shared" si="16"/>
        <v>42102</v>
      </c>
      <c r="J114" s="58">
        <f t="shared" si="17"/>
        <v>7.1760573102824091E-2</v>
      </c>
      <c r="K114" s="57">
        <f t="shared" si="13"/>
        <v>55986</v>
      </c>
      <c r="L114" s="57">
        <v>0</v>
      </c>
      <c r="M114" s="57">
        <f t="shared" si="18"/>
        <v>55986</v>
      </c>
    </row>
    <row r="115" spans="2:13" ht="12.75" customHeight="1" x14ac:dyDescent="0.2">
      <c r="B115" s="20" t="s">
        <v>453</v>
      </c>
      <c r="C115" s="57">
        <v>1483</v>
      </c>
      <c r="D115" s="57">
        <v>526</v>
      </c>
      <c r="E115" s="57">
        <f t="shared" si="14"/>
        <v>2009</v>
      </c>
      <c r="F115" s="58">
        <f t="shared" si="15"/>
        <v>9.2915483447261558E-3</v>
      </c>
      <c r="G115" s="57">
        <v>6029</v>
      </c>
      <c r="H115" s="57">
        <v>314</v>
      </c>
      <c r="I115" s="57">
        <f t="shared" si="16"/>
        <v>6343</v>
      </c>
      <c r="J115" s="58">
        <f t="shared" si="17"/>
        <v>1.0811299111472454E-2</v>
      </c>
      <c r="K115" s="57">
        <f t="shared" si="13"/>
        <v>8352</v>
      </c>
      <c r="L115" s="57">
        <v>1</v>
      </c>
      <c r="M115" s="57">
        <f t="shared" si="18"/>
        <v>8353</v>
      </c>
    </row>
    <row r="116" spans="2:13" ht="12.75" customHeight="1" x14ac:dyDescent="0.2">
      <c r="B116" s="20" t="s">
        <v>454</v>
      </c>
      <c r="C116" s="57">
        <v>716</v>
      </c>
      <c r="D116" s="57">
        <v>260</v>
      </c>
      <c r="E116" s="57">
        <f t="shared" si="14"/>
        <v>976</v>
      </c>
      <c r="F116" s="58">
        <f t="shared" si="15"/>
        <v>4.5139627598072317E-3</v>
      </c>
      <c r="G116" s="57">
        <v>3199</v>
      </c>
      <c r="H116" s="57">
        <v>195</v>
      </c>
      <c r="I116" s="57">
        <f t="shared" si="16"/>
        <v>3394</v>
      </c>
      <c r="J116" s="58">
        <f t="shared" si="17"/>
        <v>5.7848887252621014E-3</v>
      </c>
      <c r="K116" s="57">
        <f t="shared" si="13"/>
        <v>4370</v>
      </c>
      <c r="L116" s="57">
        <v>0</v>
      </c>
      <c r="M116" s="57">
        <f t="shared" si="18"/>
        <v>4370</v>
      </c>
    </row>
    <row r="117" spans="2:13" ht="12.75" customHeight="1" x14ac:dyDescent="0.2">
      <c r="B117" s="20" t="s">
        <v>455</v>
      </c>
      <c r="C117" s="57">
        <v>3757</v>
      </c>
      <c r="D117" s="57">
        <v>1131</v>
      </c>
      <c r="E117" s="57">
        <f t="shared" si="14"/>
        <v>4888</v>
      </c>
      <c r="F117" s="58">
        <f t="shared" si="15"/>
        <v>2.2606813493788677E-2</v>
      </c>
      <c r="G117" s="57">
        <v>11699</v>
      </c>
      <c r="H117" s="57">
        <v>671</v>
      </c>
      <c r="I117" s="57">
        <f t="shared" si="16"/>
        <v>12370</v>
      </c>
      <c r="J117" s="58">
        <f t="shared" si="17"/>
        <v>2.1083993379932879E-2</v>
      </c>
      <c r="K117" s="57">
        <f t="shared" si="13"/>
        <v>17258</v>
      </c>
      <c r="L117" s="57">
        <v>0</v>
      </c>
      <c r="M117" s="57">
        <f t="shared" si="18"/>
        <v>17258</v>
      </c>
    </row>
    <row r="118" spans="2:13" ht="12.75" customHeight="1" x14ac:dyDescent="0.2">
      <c r="B118" s="20" t="s">
        <v>456</v>
      </c>
      <c r="C118" s="57">
        <v>368</v>
      </c>
      <c r="D118" s="57">
        <v>131</v>
      </c>
      <c r="E118" s="57">
        <f t="shared" si="14"/>
        <v>499</v>
      </c>
      <c r="F118" s="58">
        <f t="shared" si="15"/>
        <v>2.3078559601883283E-3</v>
      </c>
      <c r="G118" s="57">
        <v>1124</v>
      </c>
      <c r="H118" s="57">
        <v>70</v>
      </c>
      <c r="I118" s="57">
        <f t="shared" si="16"/>
        <v>1194</v>
      </c>
      <c r="J118" s="58">
        <f t="shared" si="17"/>
        <v>2.0351081726467145E-3</v>
      </c>
      <c r="K118" s="57">
        <f t="shared" si="13"/>
        <v>1693</v>
      </c>
      <c r="L118" s="57">
        <v>0</v>
      </c>
      <c r="M118" s="57">
        <f t="shared" si="18"/>
        <v>1693</v>
      </c>
    </row>
    <row r="119" spans="2:13" ht="12.75" customHeight="1" x14ac:dyDescent="0.2">
      <c r="B119" s="20" t="s">
        <v>457</v>
      </c>
      <c r="C119" s="57">
        <v>1825</v>
      </c>
      <c r="D119" s="57">
        <v>292</v>
      </c>
      <c r="E119" s="57">
        <f t="shared" si="14"/>
        <v>2117</v>
      </c>
      <c r="F119" s="58">
        <f t="shared" si="15"/>
        <v>9.7910442238851522E-3</v>
      </c>
      <c r="G119" s="57">
        <v>6281</v>
      </c>
      <c r="H119" s="57">
        <v>169</v>
      </c>
      <c r="I119" s="57">
        <f t="shared" si="16"/>
        <v>6450</v>
      </c>
      <c r="J119" s="58">
        <f t="shared" si="17"/>
        <v>1.0993674801986019E-2</v>
      </c>
      <c r="K119" s="57">
        <f t="shared" si="13"/>
        <v>8567</v>
      </c>
      <c r="L119" s="57">
        <v>0</v>
      </c>
      <c r="M119" s="57">
        <f t="shared" si="18"/>
        <v>8567</v>
      </c>
    </row>
    <row r="120" spans="2:13" ht="12.75" customHeight="1" x14ac:dyDescent="0.2">
      <c r="B120" s="20" t="s">
        <v>458</v>
      </c>
      <c r="C120" s="57">
        <v>734</v>
      </c>
      <c r="D120" s="57">
        <v>106</v>
      </c>
      <c r="E120" s="57">
        <f t="shared" si="14"/>
        <v>840</v>
      </c>
      <c r="F120" s="58">
        <f t="shared" si="15"/>
        <v>3.8849679490144205E-3</v>
      </c>
      <c r="G120" s="57">
        <v>2058</v>
      </c>
      <c r="H120" s="57">
        <v>69</v>
      </c>
      <c r="I120" s="57">
        <f t="shared" si="16"/>
        <v>2127</v>
      </c>
      <c r="J120" s="58">
        <f t="shared" si="17"/>
        <v>3.6253560160967851E-3</v>
      </c>
      <c r="K120" s="57">
        <f t="shared" si="13"/>
        <v>2967</v>
      </c>
      <c r="L120" s="57">
        <v>1</v>
      </c>
      <c r="M120" s="57">
        <f t="shared" si="18"/>
        <v>2968</v>
      </c>
    </row>
    <row r="121" spans="2:13" ht="12.75" customHeight="1" x14ac:dyDescent="0.2">
      <c r="B121" s="20" t="s">
        <v>459</v>
      </c>
      <c r="C121" s="57">
        <v>3811</v>
      </c>
      <c r="D121" s="57">
        <v>705</v>
      </c>
      <c r="E121" s="57">
        <f t="shared" si="14"/>
        <v>4516</v>
      </c>
      <c r="F121" s="58">
        <f t="shared" si="15"/>
        <v>2.0886327687796576E-2</v>
      </c>
      <c r="G121" s="57">
        <v>15247</v>
      </c>
      <c r="H121" s="57">
        <v>494</v>
      </c>
      <c r="I121" s="57">
        <f t="shared" si="16"/>
        <v>15741</v>
      </c>
      <c r="J121" s="58">
        <f t="shared" si="17"/>
        <v>2.6829679853963093E-2</v>
      </c>
      <c r="K121" s="57">
        <f t="shared" si="13"/>
        <v>20257</v>
      </c>
      <c r="L121" s="57">
        <v>2</v>
      </c>
      <c r="M121" s="57">
        <f t="shared" si="18"/>
        <v>20259</v>
      </c>
    </row>
    <row r="122" spans="2:13" ht="12.75" customHeight="1" x14ac:dyDescent="0.2">
      <c r="B122" s="20" t="s">
        <v>460</v>
      </c>
      <c r="C122" s="57">
        <v>1518</v>
      </c>
      <c r="D122" s="57">
        <v>348</v>
      </c>
      <c r="E122" s="57">
        <f t="shared" si="14"/>
        <v>1866</v>
      </c>
      <c r="F122" s="58">
        <f t="shared" si="15"/>
        <v>8.630178801024891E-3</v>
      </c>
      <c r="G122" s="57">
        <v>5575</v>
      </c>
      <c r="H122" s="57">
        <v>203</v>
      </c>
      <c r="I122" s="57">
        <f t="shared" si="16"/>
        <v>5778</v>
      </c>
      <c r="J122" s="58">
        <f t="shared" si="17"/>
        <v>9.8482872877325937E-3</v>
      </c>
      <c r="K122" s="57">
        <f t="shared" si="13"/>
        <v>7644</v>
      </c>
      <c r="L122" s="57">
        <v>0</v>
      </c>
      <c r="M122" s="57">
        <f t="shared" si="18"/>
        <v>7644</v>
      </c>
    </row>
    <row r="123" spans="2:13" ht="12.75" customHeight="1" x14ac:dyDescent="0.2">
      <c r="B123" s="20" t="s">
        <v>461</v>
      </c>
      <c r="C123" s="57">
        <v>9721</v>
      </c>
      <c r="D123" s="57">
        <v>2297</v>
      </c>
      <c r="E123" s="57">
        <f t="shared" si="14"/>
        <v>12018</v>
      </c>
      <c r="F123" s="58">
        <f t="shared" si="15"/>
        <v>5.5582791441970605E-2</v>
      </c>
      <c r="G123" s="57">
        <v>33268</v>
      </c>
      <c r="H123" s="57">
        <v>1274</v>
      </c>
      <c r="I123" s="57">
        <f t="shared" si="16"/>
        <v>34542</v>
      </c>
      <c r="J123" s="58">
        <f t="shared" si="17"/>
        <v>5.8874963567473043E-2</v>
      </c>
      <c r="K123" s="57">
        <f t="shared" si="13"/>
        <v>46560</v>
      </c>
      <c r="L123" s="57">
        <v>1</v>
      </c>
      <c r="M123" s="57">
        <f t="shared" si="18"/>
        <v>46561</v>
      </c>
    </row>
    <row r="124" spans="2:13" ht="12.75" customHeight="1" x14ac:dyDescent="0.2">
      <c r="B124" s="20" t="s">
        <v>49</v>
      </c>
      <c r="C124" s="57">
        <f t="shared" ref="C124:H124" si="19">SUM(C72:C123)</f>
        <v>163994</v>
      </c>
      <c r="D124" s="57">
        <f t="shared" si="19"/>
        <v>52224</v>
      </c>
      <c r="E124" s="59">
        <f t="shared" ref="E124" si="20">C124+D124</f>
        <v>216218</v>
      </c>
      <c r="F124" s="60">
        <f t="shared" ref="F124" si="21">E124/$E$124</f>
        <v>1</v>
      </c>
      <c r="G124" s="57">
        <f t="shared" si="19"/>
        <v>559235</v>
      </c>
      <c r="H124" s="57">
        <f t="shared" si="19"/>
        <v>27466</v>
      </c>
      <c r="I124" s="59">
        <f t="shared" ref="I124" si="22">G124+H124</f>
        <v>586701</v>
      </c>
      <c r="J124" s="60">
        <f t="shared" ref="J124" si="23">I124/$I$124</f>
        <v>1</v>
      </c>
      <c r="K124" s="59">
        <f t="shared" ref="K124" si="24">E124+I124</f>
        <v>802919</v>
      </c>
      <c r="L124" s="57">
        <f t="shared" ref="L124" si="25">SUM(L72:L123)</f>
        <v>14</v>
      </c>
      <c r="M124" s="59">
        <f t="shared" si="18"/>
        <v>802933</v>
      </c>
    </row>
    <row r="125" spans="2:13" ht="24" x14ac:dyDescent="0.2">
      <c r="B125" s="32" t="s">
        <v>66</v>
      </c>
      <c r="C125" s="33">
        <f>+C124/M124</f>
        <v>0.20424369156579689</v>
      </c>
      <c r="D125" s="33">
        <f>+D124/M124</f>
        <v>6.5041541448663837E-2</v>
      </c>
      <c r="E125" s="34">
        <f>+E124/M124</f>
        <v>0.26928523301446072</v>
      </c>
      <c r="F125" s="34"/>
      <c r="G125" s="33">
        <f>+G124/M124</f>
        <v>0.69649024264789217</v>
      </c>
      <c r="H125" s="33">
        <f>+H124/M124</f>
        <v>3.4207088262657032E-2</v>
      </c>
      <c r="I125" s="34">
        <f>+I124/M124</f>
        <v>0.73069733091054923</v>
      </c>
      <c r="J125" s="34"/>
      <c r="K125" s="34">
        <f>+K124/M124</f>
        <v>0.99998256392500995</v>
      </c>
      <c r="L125" s="34">
        <f>+L124/M124</f>
        <v>1.7436074990067663E-5</v>
      </c>
      <c r="M125" s="34">
        <f>K125+L125</f>
        <v>1</v>
      </c>
    </row>
    <row r="126" spans="2:13" x14ac:dyDescent="0.2">
      <c r="B126" s="25" t="s">
        <v>129</v>
      </c>
    </row>
    <row r="127" spans="2:13" x14ac:dyDescent="0.2">
      <c r="B127" s="25" t="s">
        <v>130</v>
      </c>
    </row>
  </sheetData>
  <mergeCells count="12">
    <mergeCell ref="L70:M70"/>
    <mergeCell ref="B69:M69"/>
    <mergeCell ref="B6:K6"/>
    <mergeCell ref="B5:K5"/>
    <mergeCell ref="B67:K67"/>
    <mergeCell ref="B66:K66"/>
    <mergeCell ref="B8:M8"/>
    <mergeCell ref="L9:M9"/>
    <mergeCell ref="B70:B71"/>
    <mergeCell ref="C70:K70"/>
    <mergeCell ref="B9:B10"/>
    <mergeCell ref="C9:K9"/>
  </mergeCells>
  <hyperlinks>
    <hyperlink ref="M5" location="'Índice Pensiones Solidarias'!A1" display="Volver Sistema de Pensiones Solidadias" xr:uid="{00000000-0004-0000-1600-000000000000}"/>
  </hyperlinks>
  <pageMargins left="0.74803149606299213" right="0.74803149606299213" top="0.98425196850393704" bottom="0.98425196850393704" header="0" footer="0"/>
  <pageSetup scale="74" fitToHeight="2" orientation="portrait" r:id="rId1"/>
  <headerFooter alignWithMargins="0"/>
  <rowBreaks count="1" manualBreakCount="1">
    <brk id="69" min="1" max="12"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8" tint="-0.249977111117893"/>
  </sheetPr>
  <dimension ref="A2:N13"/>
  <sheetViews>
    <sheetView showGridLines="0" workbookViewId="0"/>
  </sheetViews>
  <sheetFormatPr baseColWidth="10" defaultRowHeight="15" x14ac:dyDescent="0.25"/>
  <cols>
    <col min="1" max="1" width="6" customWidth="1"/>
  </cols>
  <sheetData>
    <row r="2" spans="1:14" x14ac:dyDescent="0.25">
      <c r="A2" s="47" t="s">
        <v>101</v>
      </c>
    </row>
    <row r="3" spans="1:14" x14ac:dyDescent="0.25">
      <c r="A3" s="47" t="s">
        <v>102</v>
      </c>
    </row>
    <row r="5" spans="1:14" x14ac:dyDescent="0.25">
      <c r="B5" s="105" t="s">
        <v>562</v>
      </c>
      <c r="C5" s="94"/>
      <c r="D5" s="94"/>
      <c r="N5" s="121" t="s">
        <v>570</v>
      </c>
    </row>
    <row r="7" spans="1:14" x14ac:dyDescent="0.25">
      <c r="B7" s="107" t="s">
        <v>124</v>
      </c>
      <c r="C7" s="108"/>
      <c r="D7" s="108"/>
      <c r="E7" s="108"/>
      <c r="F7" s="108"/>
      <c r="G7" s="108"/>
      <c r="H7" s="108"/>
      <c r="I7" s="108"/>
      <c r="J7" s="108"/>
      <c r="K7" s="108"/>
      <c r="L7" s="108"/>
      <c r="M7" s="108"/>
      <c r="N7" s="109"/>
    </row>
    <row r="8" spans="1:14" ht="27" customHeight="1" x14ac:dyDescent="0.25">
      <c r="B8" s="404" t="s">
        <v>611</v>
      </c>
      <c r="C8" s="405"/>
      <c r="D8" s="405"/>
      <c r="E8" s="405"/>
      <c r="F8" s="405"/>
      <c r="G8" s="405"/>
      <c r="H8" s="405"/>
      <c r="I8" s="405"/>
      <c r="J8" s="405"/>
      <c r="K8" s="405"/>
      <c r="L8" s="405"/>
      <c r="M8" s="405"/>
      <c r="N8" s="406"/>
    </row>
    <row r="10" spans="1:14" x14ac:dyDescent="0.25">
      <c r="B10" s="114" t="s">
        <v>522</v>
      </c>
    </row>
    <row r="11" spans="1:14" x14ac:dyDescent="0.25">
      <c r="B11" s="366" t="s">
        <v>612</v>
      </c>
      <c r="C11" s="366"/>
      <c r="D11" s="366"/>
      <c r="E11" s="366"/>
      <c r="F11" s="366"/>
      <c r="G11" s="366"/>
      <c r="H11" s="366"/>
    </row>
    <row r="12" spans="1:14" x14ac:dyDescent="0.25">
      <c r="B12" s="366" t="s">
        <v>613</v>
      </c>
      <c r="C12" s="366"/>
      <c r="D12" s="366"/>
      <c r="E12" s="366"/>
      <c r="F12" s="366"/>
      <c r="G12" s="366"/>
      <c r="H12" s="366"/>
    </row>
    <row r="13" spans="1:14" x14ac:dyDescent="0.25">
      <c r="B13" s="366" t="s">
        <v>614</v>
      </c>
      <c r="C13" s="366"/>
      <c r="D13" s="366"/>
      <c r="E13" s="366"/>
      <c r="F13" s="366"/>
      <c r="G13" s="366"/>
      <c r="H13" s="366"/>
    </row>
  </sheetData>
  <mergeCells count="4">
    <mergeCell ref="B8:N8"/>
    <mergeCell ref="B11:H11"/>
    <mergeCell ref="B12:H12"/>
    <mergeCell ref="B13:H13"/>
  </mergeCells>
  <hyperlinks>
    <hyperlink ref="B11" location="'Concesiones Mensuales BxH'!A1" display="Concesiones de Bono por Hijo a nivel nacional, por mes, desde Agosto 2009 a marzo 2018" xr:uid="{00000000-0004-0000-1700-000000000000}"/>
    <hyperlink ref="B12" location="'Solicitudes y Rechazos BxH'!A1" display="Solicitudes, Rechazos y concesiones a nivel nacional, por mes, desde Agosto 2009 a marzo 2018" xr:uid="{00000000-0004-0000-1700-000001000000}"/>
    <hyperlink ref="B13" location="'Concesiones Mensuales Regional'!A1" display="Concesiones de Bono por Hijo a nivel regional en el mes de marzo de 2018" xr:uid="{00000000-0004-0000-1700-000002000000}"/>
    <hyperlink ref="N5" location="Índice!A1" display="Volver" xr:uid="{00000000-0004-0000-1700-000003000000}"/>
  </hyperlinks>
  <pageMargins left="0.7" right="0.7" top="0.75" bottom="0.75" header="0.3" footer="0.3"/>
  <pageSetup orientation="portrait" verticalDpi="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2:M135"/>
  <sheetViews>
    <sheetView showGridLines="0" zoomScale="90" zoomScaleNormal="90" workbookViewId="0">
      <pane xSplit="2" ySplit="10" topLeftCell="C11" activePane="bottomRight" state="frozen"/>
      <selection activeCell="A6" sqref="A6:XFD6"/>
      <selection pane="topRight" activeCell="A6" sqref="A6:XFD6"/>
      <selection pane="bottomLeft" activeCell="A6" sqref="A6:XFD6"/>
      <selection pane="bottomRight" activeCell="L26" sqref="L26"/>
    </sheetView>
  </sheetViews>
  <sheetFormatPr baseColWidth="10" defaultRowHeight="12" x14ac:dyDescent="0.2"/>
  <cols>
    <col min="1" max="1" width="6" style="25" customWidth="1"/>
    <col min="2" max="2" width="14.85546875" style="25" customWidth="1"/>
    <col min="3" max="11" width="11.42578125" style="25"/>
    <col min="12" max="12" width="15.7109375" style="48" customWidth="1"/>
    <col min="13" max="252" width="11.42578125" style="25"/>
    <col min="253" max="253" width="4.5703125" style="25" customWidth="1"/>
    <col min="254" max="254" width="12.5703125" style="25" customWidth="1"/>
    <col min="255" max="256" width="11.42578125" style="25"/>
    <col min="257" max="257" width="11.42578125" style="25" customWidth="1"/>
    <col min="258" max="259" width="11.42578125" style="25"/>
    <col min="260" max="260" width="11.42578125" style="25" customWidth="1"/>
    <col min="261" max="262" width="11.42578125" style="25"/>
    <col min="263" max="263" width="0" style="25" hidden="1" customWidth="1"/>
    <col min="264" max="265" width="11.42578125" style="25"/>
    <col min="266" max="266" width="0" style="25" hidden="1" customWidth="1"/>
    <col min="267" max="267" width="11.42578125" style="25"/>
    <col min="268" max="268" width="15.7109375" style="25" customWidth="1"/>
    <col min="269" max="508" width="11.42578125" style="25"/>
    <col min="509" max="509" width="4.5703125" style="25" customWidth="1"/>
    <col min="510" max="510" width="12.5703125" style="25" customWidth="1"/>
    <col min="511" max="512" width="11.42578125" style="25"/>
    <col min="513" max="513" width="11.42578125" style="25" customWidth="1"/>
    <col min="514" max="515" width="11.42578125" style="25"/>
    <col min="516" max="516" width="11.42578125" style="25" customWidth="1"/>
    <col min="517" max="518" width="11.42578125" style="25"/>
    <col min="519" max="519" width="0" style="25" hidden="1" customWidth="1"/>
    <col min="520" max="521" width="11.42578125" style="25"/>
    <col min="522" max="522" width="0" style="25" hidden="1" customWidth="1"/>
    <col min="523" max="523" width="11.42578125" style="25"/>
    <col min="524" max="524" width="15.7109375" style="25" customWidth="1"/>
    <col min="525" max="764" width="11.42578125" style="25"/>
    <col min="765" max="765" width="4.5703125" style="25" customWidth="1"/>
    <col min="766" max="766" width="12.5703125" style="25" customWidth="1"/>
    <col min="767" max="768" width="11.42578125" style="25"/>
    <col min="769" max="769" width="11.42578125" style="25" customWidth="1"/>
    <col min="770" max="771" width="11.42578125" style="25"/>
    <col min="772" max="772" width="11.42578125" style="25" customWidth="1"/>
    <col min="773" max="774" width="11.42578125" style="25"/>
    <col min="775" max="775" width="0" style="25" hidden="1" customWidth="1"/>
    <col min="776" max="777" width="11.42578125" style="25"/>
    <col min="778" max="778" width="0" style="25" hidden="1" customWidth="1"/>
    <col min="779" max="779" width="11.42578125" style="25"/>
    <col min="780" max="780" width="15.7109375" style="25" customWidth="1"/>
    <col min="781" max="1020" width="11.42578125" style="25"/>
    <col min="1021" max="1021" width="4.5703125" style="25" customWidth="1"/>
    <col min="1022" max="1022" width="12.5703125" style="25" customWidth="1"/>
    <col min="1023" max="1024" width="11.42578125" style="25"/>
    <col min="1025" max="1025" width="11.42578125" style="25" customWidth="1"/>
    <col min="1026" max="1027" width="11.42578125" style="25"/>
    <col min="1028" max="1028" width="11.42578125" style="25" customWidth="1"/>
    <col min="1029" max="1030" width="11.42578125" style="25"/>
    <col min="1031" max="1031" width="0" style="25" hidden="1" customWidth="1"/>
    <col min="1032" max="1033" width="11.42578125" style="25"/>
    <col min="1034" max="1034" width="0" style="25" hidden="1" customWidth="1"/>
    <col min="1035" max="1035" width="11.42578125" style="25"/>
    <col min="1036" max="1036" width="15.7109375" style="25" customWidth="1"/>
    <col min="1037" max="1276" width="11.42578125" style="25"/>
    <col min="1277" max="1277" width="4.5703125" style="25" customWidth="1"/>
    <col min="1278" max="1278" width="12.5703125" style="25" customWidth="1"/>
    <col min="1279" max="1280" width="11.42578125" style="25"/>
    <col min="1281" max="1281" width="11.42578125" style="25" customWidth="1"/>
    <col min="1282" max="1283" width="11.42578125" style="25"/>
    <col min="1284" max="1284" width="11.42578125" style="25" customWidth="1"/>
    <col min="1285" max="1286" width="11.42578125" style="25"/>
    <col min="1287" max="1287" width="0" style="25" hidden="1" customWidth="1"/>
    <col min="1288" max="1289" width="11.42578125" style="25"/>
    <col min="1290" max="1290" width="0" style="25" hidden="1" customWidth="1"/>
    <col min="1291" max="1291" width="11.42578125" style="25"/>
    <col min="1292" max="1292" width="15.7109375" style="25" customWidth="1"/>
    <col min="1293" max="1532" width="11.42578125" style="25"/>
    <col min="1533" max="1533" width="4.5703125" style="25" customWidth="1"/>
    <col min="1534" max="1534" width="12.5703125" style="25" customWidth="1"/>
    <col min="1535" max="1536" width="11.42578125" style="25"/>
    <col min="1537" max="1537" width="11.42578125" style="25" customWidth="1"/>
    <col min="1538" max="1539" width="11.42578125" style="25"/>
    <col min="1540" max="1540" width="11.42578125" style="25" customWidth="1"/>
    <col min="1541" max="1542" width="11.42578125" style="25"/>
    <col min="1543" max="1543" width="0" style="25" hidden="1" customWidth="1"/>
    <col min="1544" max="1545" width="11.42578125" style="25"/>
    <col min="1546" max="1546" width="0" style="25" hidden="1" customWidth="1"/>
    <col min="1547" max="1547" width="11.42578125" style="25"/>
    <col min="1548" max="1548" width="15.7109375" style="25" customWidth="1"/>
    <col min="1549" max="1788" width="11.42578125" style="25"/>
    <col min="1789" max="1789" width="4.5703125" style="25" customWidth="1"/>
    <col min="1790" max="1790" width="12.5703125" style="25" customWidth="1"/>
    <col min="1791" max="1792" width="11.42578125" style="25"/>
    <col min="1793" max="1793" width="11.42578125" style="25" customWidth="1"/>
    <col min="1794" max="1795" width="11.42578125" style="25"/>
    <col min="1796" max="1796" width="11.42578125" style="25" customWidth="1"/>
    <col min="1797" max="1798" width="11.42578125" style="25"/>
    <col min="1799" max="1799" width="0" style="25" hidden="1" customWidth="1"/>
    <col min="1800" max="1801" width="11.42578125" style="25"/>
    <col min="1802" max="1802" width="0" style="25" hidden="1" customWidth="1"/>
    <col min="1803" max="1803" width="11.42578125" style="25"/>
    <col min="1804" max="1804" width="15.7109375" style="25" customWidth="1"/>
    <col min="1805" max="2044" width="11.42578125" style="25"/>
    <col min="2045" max="2045" width="4.5703125" style="25" customWidth="1"/>
    <col min="2046" max="2046" width="12.5703125" style="25" customWidth="1"/>
    <col min="2047" max="2048" width="11.42578125" style="25"/>
    <col min="2049" max="2049" width="11.42578125" style="25" customWidth="1"/>
    <col min="2050" max="2051" width="11.42578125" style="25"/>
    <col min="2052" max="2052" width="11.42578125" style="25" customWidth="1"/>
    <col min="2053" max="2054" width="11.42578125" style="25"/>
    <col min="2055" max="2055" width="0" style="25" hidden="1" customWidth="1"/>
    <col min="2056" max="2057" width="11.42578125" style="25"/>
    <col min="2058" max="2058" width="0" style="25" hidden="1" customWidth="1"/>
    <col min="2059" max="2059" width="11.42578125" style="25"/>
    <col min="2060" max="2060" width="15.7109375" style="25" customWidth="1"/>
    <col min="2061" max="2300" width="11.42578125" style="25"/>
    <col min="2301" max="2301" width="4.5703125" style="25" customWidth="1"/>
    <col min="2302" max="2302" width="12.5703125" style="25" customWidth="1"/>
    <col min="2303" max="2304" width="11.42578125" style="25"/>
    <col min="2305" max="2305" width="11.42578125" style="25" customWidth="1"/>
    <col min="2306" max="2307" width="11.42578125" style="25"/>
    <col min="2308" max="2308" width="11.42578125" style="25" customWidth="1"/>
    <col min="2309" max="2310" width="11.42578125" style="25"/>
    <col min="2311" max="2311" width="0" style="25" hidden="1" customWidth="1"/>
    <col min="2312" max="2313" width="11.42578125" style="25"/>
    <col min="2314" max="2314" width="0" style="25" hidden="1" customWidth="1"/>
    <col min="2315" max="2315" width="11.42578125" style="25"/>
    <col min="2316" max="2316" width="15.7109375" style="25" customWidth="1"/>
    <col min="2317" max="2556" width="11.42578125" style="25"/>
    <col min="2557" max="2557" width="4.5703125" style="25" customWidth="1"/>
    <col min="2558" max="2558" width="12.5703125" style="25" customWidth="1"/>
    <col min="2559" max="2560" width="11.42578125" style="25"/>
    <col min="2561" max="2561" width="11.42578125" style="25" customWidth="1"/>
    <col min="2562" max="2563" width="11.42578125" style="25"/>
    <col min="2564" max="2564" width="11.42578125" style="25" customWidth="1"/>
    <col min="2565" max="2566" width="11.42578125" style="25"/>
    <col min="2567" max="2567" width="0" style="25" hidden="1" customWidth="1"/>
    <col min="2568" max="2569" width="11.42578125" style="25"/>
    <col min="2570" max="2570" width="0" style="25" hidden="1" customWidth="1"/>
    <col min="2571" max="2571" width="11.42578125" style="25"/>
    <col min="2572" max="2572" width="15.7109375" style="25" customWidth="1"/>
    <col min="2573" max="2812" width="11.42578125" style="25"/>
    <col min="2813" max="2813" width="4.5703125" style="25" customWidth="1"/>
    <col min="2814" max="2814" width="12.5703125" style="25" customWidth="1"/>
    <col min="2815" max="2816" width="11.42578125" style="25"/>
    <col min="2817" max="2817" width="11.42578125" style="25" customWidth="1"/>
    <col min="2818" max="2819" width="11.42578125" style="25"/>
    <col min="2820" max="2820" width="11.42578125" style="25" customWidth="1"/>
    <col min="2821" max="2822" width="11.42578125" style="25"/>
    <col min="2823" max="2823" width="0" style="25" hidden="1" customWidth="1"/>
    <col min="2824" max="2825" width="11.42578125" style="25"/>
    <col min="2826" max="2826" width="0" style="25" hidden="1" customWidth="1"/>
    <col min="2827" max="2827" width="11.42578125" style="25"/>
    <col min="2828" max="2828" width="15.7109375" style="25" customWidth="1"/>
    <col min="2829" max="3068" width="11.42578125" style="25"/>
    <col min="3069" max="3069" width="4.5703125" style="25" customWidth="1"/>
    <col min="3070" max="3070" width="12.5703125" style="25" customWidth="1"/>
    <col min="3071" max="3072" width="11.42578125" style="25"/>
    <col min="3073" max="3073" width="11.42578125" style="25" customWidth="1"/>
    <col min="3074" max="3075" width="11.42578125" style="25"/>
    <col min="3076" max="3076" width="11.42578125" style="25" customWidth="1"/>
    <col min="3077" max="3078" width="11.42578125" style="25"/>
    <col min="3079" max="3079" width="0" style="25" hidden="1" customWidth="1"/>
    <col min="3080" max="3081" width="11.42578125" style="25"/>
    <col min="3082" max="3082" width="0" style="25" hidden="1" customWidth="1"/>
    <col min="3083" max="3083" width="11.42578125" style="25"/>
    <col min="3084" max="3084" width="15.7109375" style="25" customWidth="1"/>
    <col min="3085" max="3324" width="11.42578125" style="25"/>
    <col min="3325" max="3325" width="4.5703125" style="25" customWidth="1"/>
    <col min="3326" max="3326" width="12.5703125" style="25" customWidth="1"/>
    <col min="3327" max="3328" width="11.42578125" style="25"/>
    <col min="3329" max="3329" width="11.42578125" style="25" customWidth="1"/>
    <col min="3330" max="3331" width="11.42578125" style="25"/>
    <col min="3332" max="3332" width="11.42578125" style="25" customWidth="1"/>
    <col min="3333" max="3334" width="11.42578125" style="25"/>
    <col min="3335" max="3335" width="0" style="25" hidden="1" customWidth="1"/>
    <col min="3336" max="3337" width="11.42578125" style="25"/>
    <col min="3338" max="3338" width="0" style="25" hidden="1" customWidth="1"/>
    <col min="3339" max="3339" width="11.42578125" style="25"/>
    <col min="3340" max="3340" width="15.7109375" style="25" customWidth="1"/>
    <col min="3341" max="3580" width="11.42578125" style="25"/>
    <col min="3581" max="3581" width="4.5703125" style="25" customWidth="1"/>
    <col min="3582" max="3582" width="12.5703125" style="25" customWidth="1"/>
    <col min="3583" max="3584" width="11.42578125" style="25"/>
    <col min="3585" max="3585" width="11.42578125" style="25" customWidth="1"/>
    <col min="3586" max="3587" width="11.42578125" style="25"/>
    <col min="3588" max="3588" width="11.42578125" style="25" customWidth="1"/>
    <col min="3589" max="3590" width="11.42578125" style="25"/>
    <col min="3591" max="3591" width="0" style="25" hidden="1" customWidth="1"/>
    <col min="3592" max="3593" width="11.42578125" style="25"/>
    <col min="3594" max="3594" width="0" style="25" hidden="1" customWidth="1"/>
    <col min="3595" max="3595" width="11.42578125" style="25"/>
    <col min="3596" max="3596" width="15.7109375" style="25" customWidth="1"/>
    <col min="3597" max="3836" width="11.42578125" style="25"/>
    <col min="3837" max="3837" width="4.5703125" style="25" customWidth="1"/>
    <col min="3838" max="3838" width="12.5703125" style="25" customWidth="1"/>
    <col min="3839" max="3840" width="11.42578125" style="25"/>
    <col min="3841" max="3841" width="11.42578125" style="25" customWidth="1"/>
    <col min="3842" max="3843" width="11.42578125" style="25"/>
    <col min="3844" max="3844" width="11.42578125" style="25" customWidth="1"/>
    <col min="3845" max="3846" width="11.42578125" style="25"/>
    <col min="3847" max="3847" width="0" style="25" hidden="1" customWidth="1"/>
    <col min="3848" max="3849" width="11.42578125" style="25"/>
    <col min="3850" max="3850" width="0" style="25" hidden="1" customWidth="1"/>
    <col min="3851" max="3851" width="11.42578125" style="25"/>
    <col min="3852" max="3852" width="15.7109375" style="25" customWidth="1"/>
    <col min="3853" max="4092" width="11.42578125" style="25"/>
    <col min="4093" max="4093" width="4.5703125" style="25" customWidth="1"/>
    <col min="4094" max="4094" width="12.5703125" style="25" customWidth="1"/>
    <col min="4095" max="4096" width="11.42578125" style="25"/>
    <col min="4097" max="4097" width="11.42578125" style="25" customWidth="1"/>
    <col min="4098" max="4099" width="11.42578125" style="25"/>
    <col min="4100" max="4100" width="11.42578125" style="25" customWidth="1"/>
    <col min="4101" max="4102" width="11.42578125" style="25"/>
    <col min="4103" max="4103" width="0" style="25" hidden="1" customWidth="1"/>
    <col min="4104" max="4105" width="11.42578125" style="25"/>
    <col min="4106" max="4106" width="0" style="25" hidden="1" customWidth="1"/>
    <col min="4107" max="4107" width="11.42578125" style="25"/>
    <col min="4108" max="4108" width="15.7109375" style="25" customWidth="1"/>
    <col min="4109" max="4348" width="11.42578125" style="25"/>
    <col min="4349" max="4349" width="4.5703125" style="25" customWidth="1"/>
    <col min="4350" max="4350" width="12.5703125" style="25" customWidth="1"/>
    <col min="4351" max="4352" width="11.42578125" style="25"/>
    <col min="4353" max="4353" width="11.42578125" style="25" customWidth="1"/>
    <col min="4354" max="4355" width="11.42578125" style="25"/>
    <col min="4356" max="4356" width="11.42578125" style="25" customWidth="1"/>
    <col min="4357" max="4358" width="11.42578125" style="25"/>
    <col min="4359" max="4359" width="0" style="25" hidden="1" customWidth="1"/>
    <col min="4360" max="4361" width="11.42578125" style="25"/>
    <col min="4362" max="4362" width="0" style="25" hidden="1" customWidth="1"/>
    <col min="4363" max="4363" width="11.42578125" style="25"/>
    <col min="4364" max="4364" width="15.7109375" style="25" customWidth="1"/>
    <col min="4365" max="4604" width="11.42578125" style="25"/>
    <col min="4605" max="4605" width="4.5703125" style="25" customWidth="1"/>
    <col min="4606" max="4606" width="12.5703125" style="25" customWidth="1"/>
    <col min="4607" max="4608" width="11.42578125" style="25"/>
    <col min="4609" max="4609" width="11.42578125" style="25" customWidth="1"/>
    <col min="4610" max="4611" width="11.42578125" style="25"/>
    <col min="4612" max="4612" width="11.42578125" style="25" customWidth="1"/>
    <col min="4613" max="4614" width="11.42578125" style="25"/>
    <col min="4615" max="4615" width="0" style="25" hidden="1" customWidth="1"/>
    <col min="4616" max="4617" width="11.42578125" style="25"/>
    <col min="4618" max="4618" width="0" style="25" hidden="1" customWidth="1"/>
    <col min="4619" max="4619" width="11.42578125" style="25"/>
    <col min="4620" max="4620" width="15.7109375" style="25" customWidth="1"/>
    <col min="4621" max="4860" width="11.42578125" style="25"/>
    <col min="4861" max="4861" width="4.5703125" style="25" customWidth="1"/>
    <col min="4862" max="4862" width="12.5703125" style="25" customWidth="1"/>
    <col min="4863" max="4864" width="11.42578125" style="25"/>
    <col min="4865" max="4865" width="11.42578125" style="25" customWidth="1"/>
    <col min="4866" max="4867" width="11.42578125" style="25"/>
    <col min="4868" max="4868" width="11.42578125" style="25" customWidth="1"/>
    <col min="4869" max="4870" width="11.42578125" style="25"/>
    <col min="4871" max="4871" width="0" style="25" hidden="1" customWidth="1"/>
    <col min="4872" max="4873" width="11.42578125" style="25"/>
    <col min="4874" max="4874" width="0" style="25" hidden="1" customWidth="1"/>
    <col min="4875" max="4875" width="11.42578125" style="25"/>
    <col min="4876" max="4876" width="15.7109375" style="25" customWidth="1"/>
    <col min="4877" max="5116" width="11.42578125" style="25"/>
    <col min="5117" max="5117" width="4.5703125" style="25" customWidth="1"/>
    <col min="5118" max="5118" width="12.5703125" style="25" customWidth="1"/>
    <col min="5119" max="5120" width="11.42578125" style="25"/>
    <col min="5121" max="5121" width="11.42578125" style="25" customWidth="1"/>
    <col min="5122" max="5123" width="11.42578125" style="25"/>
    <col min="5124" max="5124" width="11.42578125" style="25" customWidth="1"/>
    <col min="5125" max="5126" width="11.42578125" style="25"/>
    <col min="5127" max="5127" width="0" style="25" hidden="1" customWidth="1"/>
    <col min="5128" max="5129" width="11.42578125" style="25"/>
    <col min="5130" max="5130" width="0" style="25" hidden="1" customWidth="1"/>
    <col min="5131" max="5131" width="11.42578125" style="25"/>
    <col min="5132" max="5132" width="15.7109375" style="25" customWidth="1"/>
    <col min="5133" max="5372" width="11.42578125" style="25"/>
    <col min="5373" max="5373" width="4.5703125" style="25" customWidth="1"/>
    <col min="5374" max="5374" width="12.5703125" style="25" customWidth="1"/>
    <col min="5375" max="5376" width="11.42578125" style="25"/>
    <col min="5377" max="5377" width="11.42578125" style="25" customWidth="1"/>
    <col min="5378" max="5379" width="11.42578125" style="25"/>
    <col min="5380" max="5380" width="11.42578125" style="25" customWidth="1"/>
    <col min="5381" max="5382" width="11.42578125" style="25"/>
    <col min="5383" max="5383" width="0" style="25" hidden="1" customWidth="1"/>
    <col min="5384" max="5385" width="11.42578125" style="25"/>
    <col min="5386" max="5386" width="0" style="25" hidden="1" customWidth="1"/>
    <col min="5387" max="5387" width="11.42578125" style="25"/>
    <col min="5388" max="5388" width="15.7109375" style="25" customWidth="1"/>
    <col min="5389" max="5628" width="11.42578125" style="25"/>
    <col min="5629" max="5629" width="4.5703125" style="25" customWidth="1"/>
    <col min="5630" max="5630" width="12.5703125" style="25" customWidth="1"/>
    <col min="5631" max="5632" width="11.42578125" style="25"/>
    <col min="5633" max="5633" width="11.42578125" style="25" customWidth="1"/>
    <col min="5634" max="5635" width="11.42578125" style="25"/>
    <col min="5636" max="5636" width="11.42578125" style="25" customWidth="1"/>
    <col min="5637" max="5638" width="11.42578125" style="25"/>
    <col min="5639" max="5639" width="0" style="25" hidden="1" customWidth="1"/>
    <col min="5640" max="5641" width="11.42578125" style="25"/>
    <col min="5642" max="5642" width="0" style="25" hidden="1" customWidth="1"/>
    <col min="5643" max="5643" width="11.42578125" style="25"/>
    <col min="5644" max="5644" width="15.7109375" style="25" customWidth="1"/>
    <col min="5645" max="5884" width="11.42578125" style="25"/>
    <col min="5885" max="5885" width="4.5703125" style="25" customWidth="1"/>
    <col min="5886" max="5886" width="12.5703125" style="25" customWidth="1"/>
    <col min="5887" max="5888" width="11.42578125" style="25"/>
    <col min="5889" max="5889" width="11.42578125" style="25" customWidth="1"/>
    <col min="5890" max="5891" width="11.42578125" style="25"/>
    <col min="5892" max="5892" width="11.42578125" style="25" customWidth="1"/>
    <col min="5893" max="5894" width="11.42578125" style="25"/>
    <col min="5895" max="5895" width="0" style="25" hidden="1" customWidth="1"/>
    <col min="5896" max="5897" width="11.42578125" style="25"/>
    <col min="5898" max="5898" width="0" style="25" hidden="1" customWidth="1"/>
    <col min="5899" max="5899" width="11.42578125" style="25"/>
    <col min="5900" max="5900" width="15.7109375" style="25" customWidth="1"/>
    <col min="5901" max="6140" width="11.42578125" style="25"/>
    <col min="6141" max="6141" width="4.5703125" style="25" customWidth="1"/>
    <col min="6142" max="6142" width="12.5703125" style="25" customWidth="1"/>
    <col min="6143" max="6144" width="11.42578125" style="25"/>
    <col min="6145" max="6145" width="11.42578125" style="25" customWidth="1"/>
    <col min="6146" max="6147" width="11.42578125" style="25"/>
    <col min="6148" max="6148" width="11.42578125" style="25" customWidth="1"/>
    <col min="6149" max="6150" width="11.42578125" style="25"/>
    <col min="6151" max="6151" width="0" style="25" hidden="1" customWidth="1"/>
    <col min="6152" max="6153" width="11.42578125" style="25"/>
    <col min="6154" max="6154" width="0" style="25" hidden="1" customWidth="1"/>
    <col min="6155" max="6155" width="11.42578125" style="25"/>
    <col min="6156" max="6156" width="15.7109375" style="25" customWidth="1"/>
    <col min="6157" max="6396" width="11.42578125" style="25"/>
    <col min="6397" max="6397" width="4.5703125" style="25" customWidth="1"/>
    <col min="6398" max="6398" width="12.5703125" style="25" customWidth="1"/>
    <col min="6399" max="6400" width="11.42578125" style="25"/>
    <col min="6401" max="6401" width="11.42578125" style="25" customWidth="1"/>
    <col min="6402" max="6403" width="11.42578125" style="25"/>
    <col min="6404" max="6404" width="11.42578125" style="25" customWidth="1"/>
    <col min="6405" max="6406" width="11.42578125" style="25"/>
    <col min="6407" max="6407" width="0" style="25" hidden="1" customWidth="1"/>
    <col min="6408" max="6409" width="11.42578125" style="25"/>
    <col min="6410" max="6410" width="0" style="25" hidden="1" customWidth="1"/>
    <col min="6411" max="6411" width="11.42578125" style="25"/>
    <col min="6412" max="6412" width="15.7109375" style="25" customWidth="1"/>
    <col min="6413" max="6652" width="11.42578125" style="25"/>
    <col min="6653" max="6653" width="4.5703125" style="25" customWidth="1"/>
    <col min="6654" max="6654" width="12.5703125" style="25" customWidth="1"/>
    <col min="6655" max="6656" width="11.42578125" style="25"/>
    <col min="6657" max="6657" width="11.42578125" style="25" customWidth="1"/>
    <col min="6658" max="6659" width="11.42578125" style="25"/>
    <col min="6660" max="6660" width="11.42578125" style="25" customWidth="1"/>
    <col min="6661" max="6662" width="11.42578125" style="25"/>
    <col min="6663" max="6663" width="0" style="25" hidden="1" customWidth="1"/>
    <col min="6664" max="6665" width="11.42578125" style="25"/>
    <col min="6666" max="6666" width="0" style="25" hidden="1" customWidth="1"/>
    <col min="6667" max="6667" width="11.42578125" style="25"/>
    <col min="6668" max="6668" width="15.7109375" style="25" customWidth="1"/>
    <col min="6669" max="6908" width="11.42578125" style="25"/>
    <col min="6909" max="6909" width="4.5703125" style="25" customWidth="1"/>
    <col min="6910" max="6910" width="12.5703125" style="25" customWidth="1"/>
    <col min="6911" max="6912" width="11.42578125" style="25"/>
    <col min="6913" max="6913" width="11.42578125" style="25" customWidth="1"/>
    <col min="6914" max="6915" width="11.42578125" style="25"/>
    <col min="6916" max="6916" width="11.42578125" style="25" customWidth="1"/>
    <col min="6917" max="6918" width="11.42578125" style="25"/>
    <col min="6919" max="6919" width="0" style="25" hidden="1" customWidth="1"/>
    <col min="6920" max="6921" width="11.42578125" style="25"/>
    <col min="6922" max="6922" width="0" style="25" hidden="1" customWidth="1"/>
    <col min="6923" max="6923" width="11.42578125" style="25"/>
    <col min="6924" max="6924" width="15.7109375" style="25" customWidth="1"/>
    <col min="6925" max="7164" width="11.42578125" style="25"/>
    <col min="7165" max="7165" width="4.5703125" style="25" customWidth="1"/>
    <col min="7166" max="7166" width="12.5703125" style="25" customWidth="1"/>
    <col min="7167" max="7168" width="11.42578125" style="25"/>
    <col min="7169" max="7169" width="11.42578125" style="25" customWidth="1"/>
    <col min="7170" max="7171" width="11.42578125" style="25"/>
    <col min="7172" max="7172" width="11.42578125" style="25" customWidth="1"/>
    <col min="7173" max="7174" width="11.42578125" style="25"/>
    <col min="7175" max="7175" width="0" style="25" hidden="1" customWidth="1"/>
    <col min="7176" max="7177" width="11.42578125" style="25"/>
    <col min="7178" max="7178" width="0" style="25" hidden="1" customWidth="1"/>
    <col min="7179" max="7179" width="11.42578125" style="25"/>
    <col min="7180" max="7180" width="15.7109375" style="25" customWidth="1"/>
    <col min="7181" max="7420" width="11.42578125" style="25"/>
    <col min="7421" max="7421" width="4.5703125" style="25" customWidth="1"/>
    <col min="7422" max="7422" width="12.5703125" style="25" customWidth="1"/>
    <col min="7423" max="7424" width="11.42578125" style="25"/>
    <col min="7425" max="7425" width="11.42578125" style="25" customWidth="1"/>
    <col min="7426" max="7427" width="11.42578125" style="25"/>
    <col min="7428" max="7428" width="11.42578125" style="25" customWidth="1"/>
    <col min="7429" max="7430" width="11.42578125" style="25"/>
    <col min="7431" max="7431" width="0" style="25" hidden="1" customWidth="1"/>
    <col min="7432" max="7433" width="11.42578125" style="25"/>
    <col min="7434" max="7434" width="0" style="25" hidden="1" customWidth="1"/>
    <col min="7435" max="7435" width="11.42578125" style="25"/>
    <col min="7436" max="7436" width="15.7109375" style="25" customWidth="1"/>
    <col min="7437" max="7676" width="11.42578125" style="25"/>
    <col min="7677" max="7677" width="4.5703125" style="25" customWidth="1"/>
    <col min="7678" max="7678" width="12.5703125" style="25" customWidth="1"/>
    <col min="7679" max="7680" width="11.42578125" style="25"/>
    <col min="7681" max="7681" width="11.42578125" style="25" customWidth="1"/>
    <col min="7682" max="7683" width="11.42578125" style="25"/>
    <col min="7684" max="7684" width="11.42578125" style="25" customWidth="1"/>
    <col min="7685" max="7686" width="11.42578125" style="25"/>
    <col min="7687" max="7687" width="0" style="25" hidden="1" customWidth="1"/>
    <col min="7688" max="7689" width="11.42578125" style="25"/>
    <col min="7690" max="7690" width="0" style="25" hidden="1" customWidth="1"/>
    <col min="7691" max="7691" width="11.42578125" style="25"/>
    <col min="7692" max="7692" width="15.7109375" style="25" customWidth="1"/>
    <col min="7693" max="7932" width="11.42578125" style="25"/>
    <col min="7933" max="7933" width="4.5703125" style="25" customWidth="1"/>
    <col min="7934" max="7934" width="12.5703125" style="25" customWidth="1"/>
    <col min="7935" max="7936" width="11.42578125" style="25"/>
    <col min="7937" max="7937" width="11.42578125" style="25" customWidth="1"/>
    <col min="7938" max="7939" width="11.42578125" style="25"/>
    <col min="7940" max="7940" width="11.42578125" style="25" customWidth="1"/>
    <col min="7941" max="7942" width="11.42578125" style="25"/>
    <col min="7943" max="7943" width="0" style="25" hidden="1" customWidth="1"/>
    <col min="7944" max="7945" width="11.42578125" style="25"/>
    <col min="7946" max="7946" width="0" style="25" hidden="1" customWidth="1"/>
    <col min="7947" max="7947" width="11.42578125" style="25"/>
    <col min="7948" max="7948" width="15.7109375" style="25" customWidth="1"/>
    <col min="7949" max="8188" width="11.42578125" style="25"/>
    <col min="8189" max="8189" width="4.5703125" style="25" customWidth="1"/>
    <col min="8190" max="8190" width="12.5703125" style="25" customWidth="1"/>
    <col min="8191" max="8192" width="11.42578125" style="25"/>
    <col min="8193" max="8193" width="11.42578125" style="25" customWidth="1"/>
    <col min="8194" max="8195" width="11.42578125" style="25"/>
    <col min="8196" max="8196" width="11.42578125" style="25" customWidth="1"/>
    <col min="8197" max="8198" width="11.42578125" style="25"/>
    <col min="8199" max="8199" width="0" style="25" hidden="1" customWidth="1"/>
    <col min="8200" max="8201" width="11.42578125" style="25"/>
    <col min="8202" max="8202" width="0" style="25" hidden="1" customWidth="1"/>
    <col min="8203" max="8203" width="11.42578125" style="25"/>
    <col min="8204" max="8204" width="15.7109375" style="25" customWidth="1"/>
    <col min="8205" max="8444" width="11.42578125" style="25"/>
    <col min="8445" max="8445" width="4.5703125" style="25" customWidth="1"/>
    <col min="8446" max="8446" width="12.5703125" style="25" customWidth="1"/>
    <col min="8447" max="8448" width="11.42578125" style="25"/>
    <col min="8449" max="8449" width="11.42578125" style="25" customWidth="1"/>
    <col min="8450" max="8451" width="11.42578125" style="25"/>
    <col min="8452" max="8452" width="11.42578125" style="25" customWidth="1"/>
    <col min="8453" max="8454" width="11.42578125" style="25"/>
    <col min="8455" max="8455" width="0" style="25" hidden="1" customWidth="1"/>
    <col min="8456" max="8457" width="11.42578125" style="25"/>
    <col min="8458" max="8458" width="0" style="25" hidden="1" customWidth="1"/>
    <col min="8459" max="8459" width="11.42578125" style="25"/>
    <col min="8460" max="8460" width="15.7109375" style="25" customWidth="1"/>
    <col min="8461" max="8700" width="11.42578125" style="25"/>
    <col min="8701" max="8701" width="4.5703125" style="25" customWidth="1"/>
    <col min="8702" max="8702" width="12.5703125" style="25" customWidth="1"/>
    <col min="8703" max="8704" width="11.42578125" style="25"/>
    <col min="8705" max="8705" width="11.42578125" style="25" customWidth="1"/>
    <col min="8706" max="8707" width="11.42578125" style="25"/>
    <col min="8708" max="8708" width="11.42578125" style="25" customWidth="1"/>
    <col min="8709" max="8710" width="11.42578125" style="25"/>
    <col min="8711" max="8711" width="0" style="25" hidden="1" customWidth="1"/>
    <col min="8712" max="8713" width="11.42578125" style="25"/>
    <col min="8714" max="8714" width="0" style="25" hidden="1" customWidth="1"/>
    <col min="8715" max="8715" width="11.42578125" style="25"/>
    <col min="8716" max="8716" width="15.7109375" style="25" customWidth="1"/>
    <col min="8717" max="8956" width="11.42578125" style="25"/>
    <col min="8957" max="8957" width="4.5703125" style="25" customWidth="1"/>
    <col min="8958" max="8958" width="12.5703125" style="25" customWidth="1"/>
    <col min="8959" max="8960" width="11.42578125" style="25"/>
    <col min="8961" max="8961" width="11.42578125" style="25" customWidth="1"/>
    <col min="8962" max="8963" width="11.42578125" style="25"/>
    <col min="8964" max="8964" width="11.42578125" style="25" customWidth="1"/>
    <col min="8965" max="8966" width="11.42578125" style="25"/>
    <col min="8967" max="8967" width="0" style="25" hidden="1" customWidth="1"/>
    <col min="8968" max="8969" width="11.42578125" style="25"/>
    <col min="8970" max="8970" width="0" style="25" hidden="1" customWidth="1"/>
    <col min="8971" max="8971" width="11.42578125" style="25"/>
    <col min="8972" max="8972" width="15.7109375" style="25" customWidth="1"/>
    <col min="8973" max="9212" width="11.42578125" style="25"/>
    <col min="9213" max="9213" width="4.5703125" style="25" customWidth="1"/>
    <col min="9214" max="9214" width="12.5703125" style="25" customWidth="1"/>
    <col min="9215" max="9216" width="11.42578125" style="25"/>
    <col min="9217" max="9217" width="11.42578125" style="25" customWidth="1"/>
    <col min="9218" max="9219" width="11.42578125" style="25"/>
    <col min="9220" max="9220" width="11.42578125" style="25" customWidth="1"/>
    <col min="9221" max="9222" width="11.42578125" style="25"/>
    <col min="9223" max="9223" width="0" style="25" hidden="1" customWidth="1"/>
    <col min="9224" max="9225" width="11.42578125" style="25"/>
    <col min="9226" max="9226" width="0" style="25" hidden="1" customWidth="1"/>
    <col min="9227" max="9227" width="11.42578125" style="25"/>
    <col min="9228" max="9228" width="15.7109375" style="25" customWidth="1"/>
    <col min="9229" max="9468" width="11.42578125" style="25"/>
    <col min="9469" max="9469" width="4.5703125" style="25" customWidth="1"/>
    <col min="9470" max="9470" width="12.5703125" style="25" customWidth="1"/>
    <col min="9471" max="9472" width="11.42578125" style="25"/>
    <col min="9473" max="9473" width="11.42578125" style="25" customWidth="1"/>
    <col min="9474" max="9475" width="11.42578125" style="25"/>
    <col min="9476" max="9476" width="11.42578125" style="25" customWidth="1"/>
    <col min="9477" max="9478" width="11.42578125" style="25"/>
    <col min="9479" max="9479" width="0" style="25" hidden="1" customWidth="1"/>
    <col min="9480" max="9481" width="11.42578125" style="25"/>
    <col min="9482" max="9482" width="0" style="25" hidden="1" customWidth="1"/>
    <col min="9483" max="9483" width="11.42578125" style="25"/>
    <col min="9484" max="9484" width="15.7109375" style="25" customWidth="1"/>
    <col min="9485" max="9724" width="11.42578125" style="25"/>
    <col min="9725" max="9725" width="4.5703125" style="25" customWidth="1"/>
    <col min="9726" max="9726" width="12.5703125" style="25" customWidth="1"/>
    <col min="9727" max="9728" width="11.42578125" style="25"/>
    <col min="9729" max="9729" width="11.42578125" style="25" customWidth="1"/>
    <col min="9730" max="9731" width="11.42578125" style="25"/>
    <col min="9732" max="9732" width="11.42578125" style="25" customWidth="1"/>
    <col min="9733" max="9734" width="11.42578125" style="25"/>
    <col min="9735" max="9735" width="0" style="25" hidden="1" customWidth="1"/>
    <col min="9736" max="9737" width="11.42578125" style="25"/>
    <col min="9738" max="9738" width="0" style="25" hidden="1" customWidth="1"/>
    <col min="9739" max="9739" width="11.42578125" style="25"/>
    <col min="9740" max="9740" width="15.7109375" style="25" customWidth="1"/>
    <col min="9741" max="9980" width="11.42578125" style="25"/>
    <col min="9981" max="9981" width="4.5703125" style="25" customWidth="1"/>
    <col min="9982" max="9982" width="12.5703125" style="25" customWidth="1"/>
    <col min="9983" max="9984" width="11.42578125" style="25"/>
    <col min="9985" max="9985" width="11.42578125" style="25" customWidth="1"/>
    <col min="9986" max="9987" width="11.42578125" style="25"/>
    <col min="9988" max="9988" width="11.42578125" style="25" customWidth="1"/>
    <col min="9989" max="9990" width="11.42578125" style="25"/>
    <col min="9991" max="9991" width="0" style="25" hidden="1" customWidth="1"/>
    <col min="9992" max="9993" width="11.42578125" style="25"/>
    <col min="9994" max="9994" width="0" style="25" hidden="1" customWidth="1"/>
    <col min="9995" max="9995" width="11.42578125" style="25"/>
    <col min="9996" max="9996" width="15.7109375" style="25" customWidth="1"/>
    <col min="9997" max="10236" width="11.42578125" style="25"/>
    <col min="10237" max="10237" width="4.5703125" style="25" customWidth="1"/>
    <col min="10238" max="10238" width="12.5703125" style="25" customWidth="1"/>
    <col min="10239" max="10240" width="11.42578125" style="25"/>
    <col min="10241" max="10241" width="11.42578125" style="25" customWidth="1"/>
    <col min="10242" max="10243" width="11.42578125" style="25"/>
    <col min="10244" max="10244" width="11.42578125" style="25" customWidth="1"/>
    <col min="10245" max="10246" width="11.42578125" style="25"/>
    <col min="10247" max="10247" width="0" style="25" hidden="1" customWidth="1"/>
    <col min="10248" max="10249" width="11.42578125" style="25"/>
    <col min="10250" max="10250" width="0" style="25" hidden="1" customWidth="1"/>
    <col min="10251" max="10251" width="11.42578125" style="25"/>
    <col min="10252" max="10252" width="15.7109375" style="25" customWidth="1"/>
    <col min="10253" max="10492" width="11.42578125" style="25"/>
    <col min="10493" max="10493" width="4.5703125" style="25" customWidth="1"/>
    <col min="10494" max="10494" width="12.5703125" style="25" customWidth="1"/>
    <col min="10495" max="10496" width="11.42578125" style="25"/>
    <col min="10497" max="10497" width="11.42578125" style="25" customWidth="1"/>
    <col min="10498" max="10499" width="11.42578125" style="25"/>
    <col min="10500" max="10500" width="11.42578125" style="25" customWidth="1"/>
    <col min="10501" max="10502" width="11.42578125" style="25"/>
    <col min="10503" max="10503" width="0" style="25" hidden="1" customWidth="1"/>
    <col min="10504" max="10505" width="11.42578125" style="25"/>
    <col min="10506" max="10506" width="0" style="25" hidden="1" customWidth="1"/>
    <col min="10507" max="10507" width="11.42578125" style="25"/>
    <col min="10508" max="10508" width="15.7109375" style="25" customWidth="1"/>
    <col min="10509" max="10748" width="11.42578125" style="25"/>
    <col min="10749" max="10749" width="4.5703125" style="25" customWidth="1"/>
    <col min="10750" max="10750" width="12.5703125" style="25" customWidth="1"/>
    <col min="10751" max="10752" width="11.42578125" style="25"/>
    <col min="10753" max="10753" width="11.42578125" style="25" customWidth="1"/>
    <col min="10754" max="10755" width="11.42578125" style="25"/>
    <col min="10756" max="10756" width="11.42578125" style="25" customWidth="1"/>
    <col min="10757" max="10758" width="11.42578125" style="25"/>
    <col min="10759" max="10759" width="0" style="25" hidden="1" customWidth="1"/>
    <col min="10760" max="10761" width="11.42578125" style="25"/>
    <col min="10762" max="10762" width="0" style="25" hidden="1" customWidth="1"/>
    <col min="10763" max="10763" width="11.42578125" style="25"/>
    <col min="10764" max="10764" width="15.7109375" style="25" customWidth="1"/>
    <col min="10765" max="11004" width="11.42578125" style="25"/>
    <col min="11005" max="11005" width="4.5703125" style="25" customWidth="1"/>
    <col min="11006" max="11006" width="12.5703125" style="25" customWidth="1"/>
    <col min="11007" max="11008" width="11.42578125" style="25"/>
    <col min="11009" max="11009" width="11.42578125" style="25" customWidth="1"/>
    <col min="11010" max="11011" width="11.42578125" style="25"/>
    <col min="11012" max="11012" width="11.42578125" style="25" customWidth="1"/>
    <col min="11013" max="11014" width="11.42578125" style="25"/>
    <col min="11015" max="11015" width="0" style="25" hidden="1" customWidth="1"/>
    <col min="11016" max="11017" width="11.42578125" style="25"/>
    <col min="11018" max="11018" width="0" style="25" hidden="1" customWidth="1"/>
    <col min="11019" max="11019" width="11.42578125" style="25"/>
    <col min="11020" max="11020" width="15.7109375" style="25" customWidth="1"/>
    <col min="11021" max="11260" width="11.42578125" style="25"/>
    <col min="11261" max="11261" width="4.5703125" style="25" customWidth="1"/>
    <col min="11262" max="11262" width="12.5703125" style="25" customWidth="1"/>
    <col min="11263" max="11264" width="11.42578125" style="25"/>
    <col min="11265" max="11265" width="11.42578125" style="25" customWidth="1"/>
    <col min="11266" max="11267" width="11.42578125" style="25"/>
    <col min="11268" max="11268" width="11.42578125" style="25" customWidth="1"/>
    <col min="11269" max="11270" width="11.42578125" style="25"/>
    <col min="11271" max="11271" width="0" style="25" hidden="1" customWidth="1"/>
    <col min="11272" max="11273" width="11.42578125" style="25"/>
    <col min="11274" max="11274" width="0" style="25" hidden="1" customWidth="1"/>
    <col min="11275" max="11275" width="11.42578125" style="25"/>
    <col min="11276" max="11276" width="15.7109375" style="25" customWidth="1"/>
    <col min="11277" max="11516" width="11.42578125" style="25"/>
    <col min="11517" max="11517" width="4.5703125" style="25" customWidth="1"/>
    <col min="11518" max="11518" width="12.5703125" style="25" customWidth="1"/>
    <col min="11519" max="11520" width="11.42578125" style="25"/>
    <col min="11521" max="11521" width="11.42578125" style="25" customWidth="1"/>
    <col min="11522" max="11523" width="11.42578125" style="25"/>
    <col min="11524" max="11524" width="11.42578125" style="25" customWidth="1"/>
    <col min="11525" max="11526" width="11.42578125" style="25"/>
    <col min="11527" max="11527" width="0" style="25" hidden="1" customWidth="1"/>
    <col min="11528" max="11529" width="11.42578125" style="25"/>
    <col min="11530" max="11530" width="0" style="25" hidden="1" customWidth="1"/>
    <col min="11531" max="11531" width="11.42578125" style="25"/>
    <col min="11532" max="11532" width="15.7109375" style="25" customWidth="1"/>
    <col min="11533" max="11772" width="11.42578125" style="25"/>
    <col min="11773" max="11773" width="4.5703125" style="25" customWidth="1"/>
    <col min="11774" max="11774" width="12.5703125" style="25" customWidth="1"/>
    <col min="11775" max="11776" width="11.42578125" style="25"/>
    <col min="11777" max="11777" width="11.42578125" style="25" customWidth="1"/>
    <col min="11778" max="11779" width="11.42578125" style="25"/>
    <col min="11780" max="11780" width="11.42578125" style="25" customWidth="1"/>
    <col min="11781" max="11782" width="11.42578125" style="25"/>
    <col min="11783" max="11783" width="0" style="25" hidden="1" customWidth="1"/>
    <col min="11784" max="11785" width="11.42578125" style="25"/>
    <col min="11786" max="11786" width="0" style="25" hidden="1" customWidth="1"/>
    <col min="11787" max="11787" width="11.42578125" style="25"/>
    <col min="11788" max="11788" width="15.7109375" style="25" customWidth="1"/>
    <col min="11789" max="12028" width="11.42578125" style="25"/>
    <col min="12029" max="12029" width="4.5703125" style="25" customWidth="1"/>
    <col min="12030" max="12030" width="12.5703125" style="25" customWidth="1"/>
    <col min="12031" max="12032" width="11.42578125" style="25"/>
    <col min="12033" max="12033" width="11.42578125" style="25" customWidth="1"/>
    <col min="12034" max="12035" width="11.42578125" style="25"/>
    <col min="12036" max="12036" width="11.42578125" style="25" customWidth="1"/>
    <col min="12037" max="12038" width="11.42578125" style="25"/>
    <col min="12039" max="12039" width="0" style="25" hidden="1" customWidth="1"/>
    <col min="12040" max="12041" width="11.42578125" style="25"/>
    <col min="12042" max="12042" width="0" style="25" hidden="1" customWidth="1"/>
    <col min="12043" max="12043" width="11.42578125" style="25"/>
    <col min="12044" max="12044" width="15.7109375" style="25" customWidth="1"/>
    <col min="12045" max="12284" width="11.42578125" style="25"/>
    <col min="12285" max="12285" width="4.5703125" style="25" customWidth="1"/>
    <col min="12286" max="12286" width="12.5703125" style="25" customWidth="1"/>
    <col min="12287" max="12288" width="11.42578125" style="25"/>
    <col min="12289" max="12289" width="11.42578125" style="25" customWidth="1"/>
    <col min="12290" max="12291" width="11.42578125" style="25"/>
    <col min="12292" max="12292" width="11.42578125" style="25" customWidth="1"/>
    <col min="12293" max="12294" width="11.42578125" style="25"/>
    <col min="12295" max="12295" width="0" style="25" hidden="1" customWidth="1"/>
    <col min="12296" max="12297" width="11.42578125" style="25"/>
    <col min="12298" max="12298" width="0" style="25" hidden="1" customWidth="1"/>
    <col min="12299" max="12299" width="11.42578125" style="25"/>
    <col min="12300" max="12300" width="15.7109375" style="25" customWidth="1"/>
    <col min="12301" max="12540" width="11.42578125" style="25"/>
    <col min="12541" max="12541" width="4.5703125" style="25" customWidth="1"/>
    <col min="12542" max="12542" width="12.5703125" style="25" customWidth="1"/>
    <col min="12543" max="12544" width="11.42578125" style="25"/>
    <col min="12545" max="12545" width="11.42578125" style="25" customWidth="1"/>
    <col min="12546" max="12547" width="11.42578125" style="25"/>
    <col min="12548" max="12548" width="11.42578125" style="25" customWidth="1"/>
    <col min="12549" max="12550" width="11.42578125" style="25"/>
    <col min="12551" max="12551" width="0" style="25" hidden="1" customWidth="1"/>
    <col min="12552" max="12553" width="11.42578125" style="25"/>
    <col min="12554" max="12554" width="0" style="25" hidden="1" customWidth="1"/>
    <col min="12555" max="12555" width="11.42578125" style="25"/>
    <col min="12556" max="12556" width="15.7109375" style="25" customWidth="1"/>
    <col min="12557" max="12796" width="11.42578125" style="25"/>
    <col min="12797" max="12797" width="4.5703125" style="25" customWidth="1"/>
    <col min="12798" max="12798" width="12.5703125" style="25" customWidth="1"/>
    <col min="12799" max="12800" width="11.42578125" style="25"/>
    <col min="12801" max="12801" width="11.42578125" style="25" customWidth="1"/>
    <col min="12802" max="12803" width="11.42578125" style="25"/>
    <col min="12804" max="12804" width="11.42578125" style="25" customWidth="1"/>
    <col min="12805" max="12806" width="11.42578125" style="25"/>
    <col min="12807" max="12807" width="0" style="25" hidden="1" customWidth="1"/>
    <col min="12808" max="12809" width="11.42578125" style="25"/>
    <col min="12810" max="12810" width="0" style="25" hidden="1" customWidth="1"/>
    <col min="12811" max="12811" width="11.42578125" style="25"/>
    <col min="12812" max="12812" width="15.7109375" style="25" customWidth="1"/>
    <col min="12813" max="13052" width="11.42578125" style="25"/>
    <col min="13053" max="13053" width="4.5703125" style="25" customWidth="1"/>
    <col min="13054" max="13054" width="12.5703125" style="25" customWidth="1"/>
    <col min="13055" max="13056" width="11.42578125" style="25"/>
    <col min="13057" max="13057" width="11.42578125" style="25" customWidth="1"/>
    <col min="13058" max="13059" width="11.42578125" style="25"/>
    <col min="13060" max="13060" width="11.42578125" style="25" customWidth="1"/>
    <col min="13061" max="13062" width="11.42578125" style="25"/>
    <col min="13063" max="13063" width="0" style="25" hidden="1" customWidth="1"/>
    <col min="13064" max="13065" width="11.42578125" style="25"/>
    <col min="13066" max="13066" width="0" style="25" hidden="1" customWidth="1"/>
    <col min="13067" max="13067" width="11.42578125" style="25"/>
    <col min="13068" max="13068" width="15.7109375" style="25" customWidth="1"/>
    <col min="13069" max="13308" width="11.42578125" style="25"/>
    <col min="13309" max="13309" width="4.5703125" style="25" customWidth="1"/>
    <col min="13310" max="13310" width="12.5703125" style="25" customWidth="1"/>
    <col min="13311" max="13312" width="11.42578125" style="25"/>
    <col min="13313" max="13313" width="11.42578125" style="25" customWidth="1"/>
    <col min="13314" max="13315" width="11.42578125" style="25"/>
    <col min="13316" max="13316" width="11.42578125" style="25" customWidth="1"/>
    <col min="13317" max="13318" width="11.42578125" style="25"/>
    <col min="13319" max="13319" width="0" style="25" hidden="1" customWidth="1"/>
    <col min="13320" max="13321" width="11.42578125" style="25"/>
    <col min="13322" max="13322" width="0" style="25" hidden="1" customWidth="1"/>
    <col min="13323" max="13323" width="11.42578125" style="25"/>
    <col min="13324" max="13324" width="15.7109375" style="25" customWidth="1"/>
    <col min="13325" max="13564" width="11.42578125" style="25"/>
    <col min="13565" max="13565" width="4.5703125" style="25" customWidth="1"/>
    <col min="13566" max="13566" width="12.5703125" style="25" customWidth="1"/>
    <col min="13567" max="13568" width="11.42578125" style="25"/>
    <col min="13569" max="13569" width="11.42578125" style="25" customWidth="1"/>
    <col min="13570" max="13571" width="11.42578125" style="25"/>
    <col min="13572" max="13572" width="11.42578125" style="25" customWidth="1"/>
    <col min="13573" max="13574" width="11.42578125" style="25"/>
    <col min="13575" max="13575" width="0" style="25" hidden="1" customWidth="1"/>
    <col min="13576" max="13577" width="11.42578125" style="25"/>
    <col min="13578" max="13578" width="0" style="25" hidden="1" customWidth="1"/>
    <col min="13579" max="13579" width="11.42578125" style="25"/>
    <col min="13580" max="13580" width="15.7109375" style="25" customWidth="1"/>
    <col min="13581" max="13820" width="11.42578125" style="25"/>
    <col min="13821" max="13821" width="4.5703125" style="25" customWidth="1"/>
    <col min="13822" max="13822" width="12.5703125" style="25" customWidth="1"/>
    <col min="13823" max="13824" width="11.42578125" style="25"/>
    <col min="13825" max="13825" width="11.42578125" style="25" customWidth="1"/>
    <col min="13826" max="13827" width="11.42578125" style="25"/>
    <col min="13828" max="13828" width="11.42578125" style="25" customWidth="1"/>
    <col min="13829" max="13830" width="11.42578125" style="25"/>
    <col min="13831" max="13831" width="0" style="25" hidden="1" customWidth="1"/>
    <col min="13832" max="13833" width="11.42578125" style="25"/>
    <col min="13834" max="13834" width="0" style="25" hidden="1" customWidth="1"/>
    <col min="13835" max="13835" width="11.42578125" style="25"/>
    <col min="13836" max="13836" width="15.7109375" style="25" customWidth="1"/>
    <col min="13837" max="14076" width="11.42578125" style="25"/>
    <col min="14077" max="14077" width="4.5703125" style="25" customWidth="1"/>
    <col min="14078" max="14078" width="12.5703125" style="25" customWidth="1"/>
    <col min="14079" max="14080" width="11.42578125" style="25"/>
    <col min="14081" max="14081" width="11.42578125" style="25" customWidth="1"/>
    <col min="14082" max="14083" width="11.42578125" style="25"/>
    <col min="14084" max="14084" width="11.42578125" style="25" customWidth="1"/>
    <col min="14085" max="14086" width="11.42578125" style="25"/>
    <col min="14087" max="14087" width="0" style="25" hidden="1" customWidth="1"/>
    <col min="14088" max="14089" width="11.42578125" style="25"/>
    <col min="14090" max="14090" width="0" style="25" hidden="1" customWidth="1"/>
    <col min="14091" max="14091" width="11.42578125" style="25"/>
    <col min="14092" max="14092" width="15.7109375" style="25" customWidth="1"/>
    <col min="14093" max="14332" width="11.42578125" style="25"/>
    <col min="14333" max="14333" width="4.5703125" style="25" customWidth="1"/>
    <col min="14334" max="14334" width="12.5703125" style="25" customWidth="1"/>
    <col min="14335" max="14336" width="11.42578125" style="25"/>
    <col min="14337" max="14337" width="11.42578125" style="25" customWidth="1"/>
    <col min="14338" max="14339" width="11.42578125" style="25"/>
    <col min="14340" max="14340" width="11.42578125" style="25" customWidth="1"/>
    <col min="14341" max="14342" width="11.42578125" style="25"/>
    <col min="14343" max="14343" width="0" style="25" hidden="1" customWidth="1"/>
    <col min="14344" max="14345" width="11.42578125" style="25"/>
    <col min="14346" max="14346" width="0" style="25" hidden="1" customWidth="1"/>
    <col min="14347" max="14347" width="11.42578125" style="25"/>
    <col min="14348" max="14348" width="15.7109375" style="25" customWidth="1"/>
    <col min="14349" max="14588" width="11.42578125" style="25"/>
    <col min="14589" max="14589" width="4.5703125" style="25" customWidth="1"/>
    <col min="14590" max="14590" width="12.5703125" style="25" customWidth="1"/>
    <col min="14591" max="14592" width="11.42578125" style="25"/>
    <col min="14593" max="14593" width="11.42578125" style="25" customWidth="1"/>
    <col min="14594" max="14595" width="11.42578125" style="25"/>
    <col min="14596" max="14596" width="11.42578125" style="25" customWidth="1"/>
    <col min="14597" max="14598" width="11.42578125" style="25"/>
    <col min="14599" max="14599" width="0" style="25" hidden="1" customWidth="1"/>
    <col min="14600" max="14601" width="11.42578125" style="25"/>
    <col min="14602" max="14602" width="0" style="25" hidden="1" customWidth="1"/>
    <col min="14603" max="14603" width="11.42578125" style="25"/>
    <col min="14604" max="14604" width="15.7109375" style="25" customWidth="1"/>
    <col min="14605" max="14844" width="11.42578125" style="25"/>
    <col min="14845" max="14845" width="4.5703125" style="25" customWidth="1"/>
    <col min="14846" max="14846" width="12.5703125" style="25" customWidth="1"/>
    <col min="14847" max="14848" width="11.42578125" style="25"/>
    <col min="14849" max="14849" width="11.42578125" style="25" customWidth="1"/>
    <col min="14850" max="14851" width="11.42578125" style="25"/>
    <col min="14852" max="14852" width="11.42578125" style="25" customWidth="1"/>
    <col min="14853" max="14854" width="11.42578125" style="25"/>
    <col min="14855" max="14855" width="0" style="25" hidden="1" customWidth="1"/>
    <col min="14856" max="14857" width="11.42578125" style="25"/>
    <col min="14858" max="14858" width="0" style="25" hidden="1" customWidth="1"/>
    <col min="14859" max="14859" width="11.42578125" style="25"/>
    <col min="14860" max="14860" width="15.7109375" style="25" customWidth="1"/>
    <col min="14861" max="15100" width="11.42578125" style="25"/>
    <col min="15101" max="15101" width="4.5703125" style="25" customWidth="1"/>
    <col min="15102" max="15102" width="12.5703125" style="25" customWidth="1"/>
    <col min="15103" max="15104" width="11.42578125" style="25"/>
    <col min="15105" max="15105" width="11.42578125" style="25" customWidth="1"/>
    <col min="15106" max="15107" width="11.42578125" style="25"/>
    <col min="15108" max="15108" width="11.42578125" style="25" customWidth="1"/>
    <col min="15109" max="15110" width="11.42578125" style="25"/>
    <col min="15111" max="15111" width="0" style="25" hidden="1" customWidth="1"/>
    <col min="15112" max="15113" width="11.42578125" style="25"/>
    <col min="15114" max="15114" width="0" style="25" hidden="1" customWidth="1"/>
    <col min="15115" max="15115" width="11.42578125" style="25"/>
    <col min="15116" max="15116" width="15.7109375" style="25" customWidth="1"/>
    <col min="15117" max="15356" width="11.42578125" style="25"/>
    <col min="15357" max="15357" width="4.5703125" style="25" customWidth="1"/>
    <col min="15358" max="15358" width="12.5703125" style="25" customWidth="1"/>
    <col min="15359" max="15360" width="11.42578125" style="25"/>
    <col min="15361" max="15361" width="11.42578125" style="25" customWidth="1"/>
    <col min="15362" max="15363" width="11.42578125" style="25"/>
    <col min="15364" max="15364" width="11.42578125" style="25" customWidth="1"/>
    <col min="15365" max="15366" width="11.42578125" style="25"/>
    <col min="15367" max="15367" width="0" style="25" hidden="1" customWidth="1"/>
    <col min="15368" max="15369" width="11.42578125" style="25"/>
    <col min="15370" max="15370" width="0" style="25" hidden="1" customWidth="1"/>
    <col min="15371" max="15371" width="11.42578125" style="25"/>
    <col min="15372" max="15372" width="15.7109375" style="25" customWidth="1"/>
    <col min="15373" max="15612" width="11.42578125" style="25"/>
    <col min="15613" max="15613" width="4.5703125" style="25" customWidth="1"/>
    <col min="15614" max="15614" width="12.5703125" style="25" customWidth="1"/>
    <col min="15615" max="15616" width="11.42578125" style="25"/>
    <col min="15617" max="15617" width="11.42578125" style="25" customWidth="1"/>
    <col min="15618" max="15619" width="11.42578125" style="25"/>
    <col min="15620" max="15620" width="11.42578125" style="25" customWidth="1"/>
    <col min="15621" max="15622" width="11.42578125" style="25"/>
    <col min="15623" max="15623" width="0" style="25" hidden="1" customWidth="1"/>
    <col min="15624" max="15625" width="11.42578125" style="25"/>
    <col min="15626" max="15626" width="0" style="25" hidden="1" customWidth="1"/>
    <col min="15627" max="15627" width="11.42578125" style="25"/>
    <col min="15628" max="15628" width="15.7109375" style="25" customWidth="1"/>
    <col min="15629" max="15868" width="11.42578125" style="25"/>
    <col min="15869" max="15869" width="4.5703125" style="25" customWidth="1"/>
    <col min="15870" max="15870" width="12.5703125" style="25" customWidth="1"/>
    <col min="15871" max="15872" width="11.42578125" style="25"/>
    <col min="15873" max="15873" width="11.42578125" style="25" customWidth="1"/>
    <col min="15874" max="15875" width="11.42578125" style="25"/>
    <col min="15876" max="15876" width="11.42578125" style="25" customWidth="1"/>
    <col min="15877" max="15878" width="11.42578125" style="25"/>
    <col min="15879" max="15879" width="0" style="25" hidden="1" customWidth="1"/>
    <col min="15880" max="15881" width="11.42578125" style="25"/>
    <col min="15882" max="15882" width="0" style="25" hidden="1" customWidth="1"/>
    <col min="15883" max="15883" width="11.42578125" style="25"/>
    <col min="15884" max="15884" width="15.7109375" style="25" customWidth="1"/>
    <col min="15885" max="16124" width="11.42578125" style="25"/>
    <col min="16125" max="16125" width="4.5703125" style="25" customWidth="1"/>
    <col min="16126" max="16126" width="12.5703125" style="25" customWidth="1"/>
    <col min="16127" max="16128" width="11.42578125" style="25"/>
    <col min="16129" max="16129" width="11.42578125" style="25" customWidth="1"/>
    <col min="16130" max="16131" width="11.42578125" style="25"/>
    <col min="16132" max="16132" width="11.42578125" style="25" customWidth="1"/>
    <col min="16133" max="16134" width="11.42578125" style="25"/>
    <col min="16135" max="16135" width="0" style="25" hidden="1" customWidth="1"/>
    <col min="16136" max="16137" width="11.42578125" style="25"/>
    <col min="16138" max="16138" width="0" style="25" hidden="1" customWidth="1"/>
    <col min="16139" max="16139" width="11.42578125" style="25"/>
    <col min="16140" max="16140" width="15.7109375" style="25" customWidth="1"/>
    <col min="16141" max="16384" width="11.42578125" style="25"/>
  </cols>
  <sheetData>
    <row r="2" spans="1:12" x14ac:dyDescent="0.2">
      <c r="A2" s="47" t="s">
        <v>101</v>
      </c>
    </row>
    <row r="3" spans="1:12" x14ac:dyDescent="0.2">
      <c r="A3" s="47" t="s">
        <v>102</v>
      </c>
    </row>
    <row r="5" spans="1:12" ht="12.75" x14ac:dyDescent="0.2">
      <c r="B5" s="369" t="s">
        <v>464</v>
      </c>
      <c r="C5" s="369"/>
      <c r="D5" s="369"/>
      <c r="E5" s="369"/>
      <c r="F5" s="369"/>
      <c r="G5" s="369"/>
      <c r="H5" s="369"/>
      <c r="I5" s="369"/>
      <c r="J5" s="369"/>
      <c r="L5" s="113" t="s">
        <v>567</v>
      </c>
    </row>
    <row r="6" spans="1:12" ht="12.75" x14ac:dyDescent="0.2">
      <c r="B6" s="369" t="s">
        <v>615</v>
      </c>
      <c r="C6" s="369"/>
      <c r="D6" s="369"/>
      <c r="E6" s="369"/>
      <c r="F6" s="369"/>
      <c r="G6" s="369"/>
      <c r="H6" s="369"/>
      <c r="I6" s="369"/>
      <c r="J6" s="369"/>
    </row>
    <row r="8" spans="1:12" x14ac:dyDescent="0.2">
      <c r="B8" s="408" t="s">
        <v>463</v>
      </c>
      <c r="C8" s="411" t="s">
        <v>465</v>
      </c>
      <c r="D8" s="412"/>
      <c r="E8" s="412"/>
      <c r="F8" s="412"/>
      <c r="G8" s="412"/>
      <c r="H8" s="412"/>
      <c r="I8" s="412"/>
      <c r="J8" s="413"/>
    </row>
    <row r="9" spans="1:12" x14ac:dyDescent="0.2">
      <c r="B9" s="409"/>
      <c r="C9" s="411" t="s">
        <v>466</v>
      </c>
      <c r="D9" s="413"/>
      <c r="E9" s="411" t="s">
        <v>467</v>
      </c>
      <c r="F9" s="413"/>
      <c r="G9" s="411" t="s">
        <v>468</v>
      </c>
      <c r="H9" s="413"/>
      <c r="I9" s="411" t="s">
        <v>28</v>
      </c>
      <c r="J9" s="413"/>
    </row>
    <row r="10" spans="1:12" ht="22.5" x14ac:dyDescent="0.2">
      <c r="B10" s="410"/>
      <c r="C10" s="195" t="s">
        <v>469</v>
      </c>
      <c r="D10" s="195" t="s">
        <v>470</v>
      </c>
      <c r="E10" s="195" t="s">
        <v>469</v>
      </c>
      <c r="F10" s="195" t="s">
        <v>470</v>
      </c>
      <c r="G10" s="195" t="s">
        <v>469</v>
      </c>
      <c r="H10" s="195" t="s">
        <v>470</v>
      </c>
      <c r="I10" s="195" t="s">
        <v>469</v>
      </c>
      <c r="J10" s="195" t="s">
        <v>471</v>
      </c>
    </row>
    <row r="11" spans="1:12" x14ac:dyDescent="0.2">
      <c r="B11" s="145" t="s">
        <v>472</v>
      </c>
      <c r="C11" s="146"/>
      <c r="D11" s="146"/>
      <c r="E11" s="146"/>
      <c r="F11" s="146"/>
      <c r="G11" s="146"/>
      <c r="H11" s="146"/>
      <c r="I11" s="147">
        <v>23671</v>
      </c>
      <c r="J11" s="147">
        <v>102602</v>
      </c>
    </row>
    <row r="12" spans="1:12" x14ac:dyDescent="0.2">
      <c r="B12" s="145">
        <v>2010</v>
      </c>
      <c r="C12" s="146"/>
      <c r="D12" s="146"/>
      <c r="E12" s="146"/>
      <c r="F12" s="146"/>
      <c r="G12" s="146"/>
      <c r="H12" s="146"/>
      <c r="I12" s="147">
        <v>90591</v>
      </c>
      <c r="J12" s="147">
        <v>283345</v>
      </c>
    </row>
    <row r="13" spans="1:12" x14ac:dyDescent="0.2">
      <c r="B13" s="145">
        <v>2011</v>
      </c>
      <c r="C13" s="146"/>
      <c r="D13" s="146"/>
      <c r="E13" s="146"/>
      <c r="F13" s="146"/>
      <c r="G13" s="146"/>
      <c r="H13" s="146"/>
      <c r="I13" s="147">
        <v>105822</v>
      </c>
      <c r="J13" s="147">
        <v>430659</v>
      </c>
    </row>
    <row r="14" spans="1:12" x14ac:dyDescent="0.2">
      <c r="B14" s="145">
        <v>2012</v>
      </c>
      <c r="C14" s="146"/>
      <c r="D14" s="146"/>
      <c r="E14" s="146"/>
      <c r="F14" s="146"/>
      <c r="G14" s="146"/>
      <c r="H14" s="146"/>
      <c r="I14" s="147">
        <v>54727</v>
      </c>
      <c r="J14" s="147">
        <v>214792</v>
      </c>
    </row>
    <row r="15" spans="1:12" x14ac:dyDescent="0.2">
      <c r="B15" s="148">
        <v>41275</v>
      </c>
      <c r="C15" s="130">
        <v>1344</v>
      </c>
      <c r="D15" s="130">
        <v>5074</v>
      </c>
      <c r="E15" s="149">
        <v>84</v>
      </c>
      <c r="F15" s="149">
        <v>433</v>
      </c>
      <c r="G15" s="130">
        <v>1525</v>
      </c>
      <c r="H15" s="130">
        <v>5846</v>
      </c>
      <c r="I15" s="130">
        <v>2953</v>
      </c>
      <c r="J15" s="130">
        <v>11353</v>
      </c>
    </row>
    <row r="16" spans="1:12" x14ac:dyDescent="0.2">
      <c r="B16" s="148">
        <v>41306</v>
      </c>
      <c r="C16" s="130">
        <v>1353</v>
      </c>
      <c r="D16" s="130">
        <v>5003</v>
      </c>
      <c r="E16" s="149">
        <v>87</v>
      </c>
      <c r="F16" s="149">
        <v>397</v>
      </c>
      <c r="G16" s="130">
        <v>1589</v>
      </c>
      <c r="H16" s="130">
        <v>5817</v>
      </c>
      <c r="I16" s="130">
        <v>3029</v>
      </c>
      <c r="J16" s="130">
        <v>11217</v>
      </c>
    </row>
    <row r="17" spans="2:13" x14ac:dyDescent="0.2">
      <c r="B17" s="148">
        <v>41334</v>
      </c>
      <c r="C17" s="130">
        <v>1556</v>
      </c>
      <c r="D17" s="130">
        <v>5790</v>
      </c>
      <c r="E17" s="149">
        <v>83</v>
      </c>
      <c r="F17" s="149">
        <v>353</v>
      </c>
      <c r="G17" s="130">
        <v>1708</v>
      </c>
      <c r="H17" s="130">
        <v>5791</v>
      </c>
      <c r="I17" s="130">
        <v>3347</v>
      </c>
      <c r="J17" s="130">
        <v>11934</v>
      </c>
    </row>
    <row r="18" spans="2:13" x14ac:dyDescent="0.2">
      <c r="B18" s="148">
        <v>41365</v>
      </c>
      <c r="C18" s="130">
        <v>1076</v>
      </c>
      <c r="D18" s="130">
        <v>4086</v>
      </c>
      <c r="E18" s="149">
        <v>69</v>
      </c>
      <c r="F18" s="149">
        <v>271</v>
      </c>
      <c r="G18" s="130">
        <v>1727</v>
      </c>
      <c r="H18" s="130">
        <v>5901</v>
      </c>
      <c r="I18" s="130">
        <v>2872</v>
      </c>
      <c r="J18" s="130">
        <v>10258</v>
      </c>
    </row>
    <row r="19" spans="2:13" x14ac:dyDescent="0.2">
      <c r="B19" s="148">
        <v>41395</v>
      </c>
      <c r="C19" s="149">
        <v>920</v>
      </c>
      <c r="D19" s="130">
        <v>3380</v>
      </c>
      <c r="E19" s="149">
        <v>38</v>
      </c>
      <c r="F19" s="149">
        <v>168</v>
      </c>
      <c r="G19" s="130">
        <v>1182</v>
      </c>
      <c r="H19" s="130">
        <v>4056</v>
      </c>
      <c r="I19" s="130">
        <v>2140</v>
      </c>
      <c r="J19" s="130">
        <v>7604</v>
      </c>
    </row>
    <row r="20" spans="2:13" x14ac:dyDescent="0.2">
      <c r="B20" s="148">
        <v>41426</v>
      </c>
      <c r="C20" s="149">
        <v>911</v>
      </c>
      <c r="D20" s="130">
        <v>3309</v>
      </c>
      <c r="E20" s="149">
        <v>125</v>
      </c>
      <c r="F20" s="149">
        <v>648</v>
      </c>
      <c r="G20" s="130">
        <v>1778</v>
      </c>
      <c r="H20" s="130">
        <v>6154</v>
      </c>
      <c r="I20" s="130">
        <v>2814</v>
      </c>
      <c r="J20" s="130">
        <v>10111</v>
      </c>
    </row>
    <row r="21" spans="2:13" x14ac:dyDescent="0.2">
      <c r="B21" s="148">
        <v>41456</v>
      </c>
      <c r="C21" s="130">
        <v>1073</v>
      </c>
      <c r="D21" s="130">
        <v>3717</v>
      </c>
      <c r="E21" s="149">
        <v>75</v>
      </c>
      <c r="F21" s="149">
        <v>297</v>
      </c>
      <c r="G21" s="130">
        <v>1520</v>
      </c>
      <c r="H21" s="130">
        <v>5115</v>
      </c>
      <c r="I21" s="130">
        <v>2668</v>
      </c>
      <c r="J21" s="130">
        <v>9129</v>
      </c>
    </row>
    <row r="22" spans="2:13" x14ac:dyDescent="0.2">
      <c r="B22" s="148">
        <v>41487</v>
      </c>
      <c r="C22" s="150">
        <v>1037</v>
      </c>
      <c r="D22" s="150">
        <v>3504</v>
      </c>
      <c r="E22" s="151">
        <v>284</v>
      </c>
      <c r="F22" s="150">
        <v>1590</v>
      </c>
      <c r="G22" s="130">
        <v>2172</v>
      </c>
      <c r="H22" s="130">
        <v>6454</v>
      </c>
      <c r="I22" s="130">
        <v>3493</v>
      </c>
      <c r="J22" s="130">
        <v>11548</v>
      </c>
    </row>
    <row r="23" spans="2:13" x14ac:dyDescent="0.2">
      <c r="B23" s="148">
        <v>41518</v>
      </c>
      <c r="C23" s="130">
        <v>2257</v>
      </c>
      <c r="D23" s="130">
        <v>8307</v>
      </c>
      <c r="E23" s="149">
        <v>45</v>
      </c>
      <c r="F23" s="149">
        <v>183</v>
      </c>
      <c r="G23" s="130">
        <v>1509</v>
      </c>
      <c r="H23" s="130">
        <v>5003</v>
      </c>
      <c r="I23" s="130">
        <v>3811</v>
      </c>
      <c r="J23" s="130">
        <v>13493</v>
      </c>
    </row>
    <row r="24" spans="2:13" x14ac:dyDescent="0.2">
      <c r="B24" s="148">
        <v>41548</v>
      </c>
      <c r="C24" s="130">
        <v>2716</v>
      </c>
      <c r="D24" s="130">
        <v>10131</v>
      </c>
      <c r="E24" s="149">
        <v>147</v>
      </c>
      <c r="F24" s="149">
        <v>685</v>
      </c>
      <c r="G24" s="130">
        <v>1865</v>
      </c>
      <c r="H24" s="130">
        <v>6227</v>
      </c>
      <c r="I24" s="130">
        <v>4728</v>
      </c>
      <c r="J24" s="130">
        <v>17043</v>
      </c>
    </row>
    <row r="25" spans="2:13" x14ac:dyDescent="0.2">
      <c r="B25" s="148">
        <v>41579</v>
      </c>
      <c r="C25" s="130">
        <v>1624</v>
      </c>
      <c r="D25" s="130">
        <v>5781</v>
      </c>
      <c r="E25" s="149">
        <v>79</v>
      </c>
      <c r="F25" s="149">
        <v>348</v>
      </c>
      <c r="G25" s="130">
        <v>1639</v>
      </c>
      <c r="H25" s="130">
        <v>5415</v>
      </c>
      <c r="I25" s="130">
        <v>3342</v>
      </c>
      <c r="J25" s="130">
        <v>11544</v>
      </c>
    </row>
    <row r="26" spans="2:13" x14ac:dyDescent="0.2">
      <c r="B26" s="148">
        <v>41609</v>
      </c>
      <c r="C26" s="130">
        <v>1527</v>
      </c>
      <c r="D26" s="130">
        <v>5675</v>
      </c>
      <c r="E26" s="149">
        <v>77</v>
      </c>
      <c r="F26" s="149">
        <v>312</v>
      </c>
      <c r="G26" s="130">
        <v>1584</v>
      </c>
      <c r="H26" s="130">
        <v>4895</v>
      </c>
      <c r="I26" s="130">
        <v>3188</v>
      </c>
      <c r="J26" s="130">
        <v>10882</v>
      </c>
    </row>
    <row r="27" spans="2:13" x14ac:dyDescent="0.2">
      <c r="B27" s="131">
        <v>2013</v>
      </c>
      <c r="C27" s="152">
        <v>17394</v>
      </c>
      <c r="D27" s="152">
        <v>63757</v>
      </c>
      <c r="E27" s="152">
        <v>1193</v>
      </c>
      <c r="F27" s="152">
        <v>5685</v>
      </c>
      <c r="G27" s="152">
        <v>19798</v>
      </c>
      <c r="H27" s="152">
        <v>66674</v>
      </c>
      <c r="I27" s="152">
        <f>SUM(I15:I26)</f>
        <v>38385</v>
      </c>
      <c r="J27" s="152">
        <f>SUM(J15:J26)</f>
        <v>136116</v>
      </c>
    </row>
    <row r="28" spans="2:13" x14ac:dyDescent="0.2">
      <c r="B28" s="148">
        <v>41640</v>
      </c>
      <c r="C28" s="130">
        <v>1680</v>
      </c>
      <c r="D28" s="130">
        <v>6027</v>
      </c>
      <c r="E28" s="149">
        <v>52</v>
      </c>
      <c r="F28" s="149">
        <v>220</v>
      </c>
      <c r="G28" s="130">
        <v>1280</v>
      </c>
      <c r="H28" s="130">
        <v>4011</v>
      </c>
      <c r="I28" s="130">
        <v>3012</v>
      </c>
      <c r="J28" s="130">
        <v>10258</v>
      </c>
    </row>
    <row r="29" spans="2:13" x14ac:dyDescent="0.2">
      <c r="B29" s="148">
        <v>41671</v>
      </c>
      <c r="C29" s="130">
        <v>1550</v>
      </c>
      <c r="D29" s="130">
        <v>5590</v>
      </c>
      <c r="E29" s="149">
        <v>76</v>
      </c>
      <c r="F29" s="149">
        <v>318</v>
      </c>
      <c r="G29" s="130">
        <v>1520</v>
      </c>
      <c r="H29" s="130">
        <v>4945</v>
      </c>
      <c r="I29" s="130">
        <v>3146</v>
      </c>
      <c r="J29" s="130">
        <v>10853</v>
      </c>
    </row>
    <row r="30" spans="2:13" x14ac:dyDescent="0.2">
      <c r="B30" s="148">
        <v>41699</v>
      </c>
      <c r="C30" s="130">
        <v>1367</v>
      </c>
      <c r="D30" s="130">
        <v>4922</v>
      </c>
      <c r="E30" s="149">
        <v>99</v>
      </c>
      <c r="F30" s="149">
        <v>470</v>
      </c>
      <c r="G30" s="130">
        <v>1354</v>
      </c>
      <c r="H30" s="130">
        <v>4290</v>
      </c>
      <c r="I30" s="130">
        <v>2820</v>
      </c>
      <c r="J30" s="130">
        <v>9682</v>
      </c>
    </row>
    <row r="31" spans="2:13" x14ac:dyDescent="0.2">
      <c r="B31" s="148">
        <v>41730</v>
      </c>
      <c r="C31" s="130">
        <v>1713</v>
      </c>
      <c r="D31" s="130">
        <v>6039</v>
      </c>
      <c r="E31" s="149">
        <v>117</v>
      </c>
      <c r="F31" s="149">
        <v>534</v>
      </c>
      <c r="G31" s="130">
        <v>1841</v>
      </c>
      <c r="H31" s="130">
        <v>6029</v>
      </c>
      <c r="I31" s="130">
        <v>3671</v>
      </c>
      <c r="J31" s="130">
        <v>12602</v>
      </c>
    </row>
    <row r="32" spans="2:13" x14ac:dyDescent="0.2">
      <c r="B32" s="148">
        <v>41760</v>
      </c>
      <c r="C32" s="130">
        <v>1767</v>
      </c>
      <c r="D32" s="130">
        <v>6174</v>
      </c>
      <c r="E32" s="149">
        <v>124</v>
      </c>
      <c r="F32" s="149">
        <v>523</v>
      </c>
      <c r="G32" s="130">
        <v>1514</v>
      </c>
      <c r="H32" s="130">
        <v>4663</v>
      </c>
      <c r="I32" s="130">
        <v>3405</v>
      </c>
      <c r="J32" s="130">
        <v>11360</v>
      </c>
      <c r="M32" s="48"/>
    </row>
    <row r="33" spans="2:10" x14ac:dyDescent="0.2">
      <c r="B33" s="148">
        <v>41791</v>
      </c>
      <c r="C33" s="130">
        <v>1613</v>
      </c>
      <c r="D33" s="130">
        <v>5821</v>
      </c>
      <c r="E33" s="149">
        <v>120</v>
      </c>
      <c r="F33" s="149">
        <v>517</v>
      </c>
      <c r="G33" s="130">
        <v>1715</v>
      </c>
      <c r="H33" s="130">
        <v>5301</v>
      </c>
      <c r="I33" s="130">
        <v>3448</v>
      </c>
      <c r="J33" s="130">
        <v>11639</v>
      </c>
    </row>
    <row r="34" spans="2:10" x14ac:dyDescent="0.2">
      <c r="B34" s="148">
        <v>41821</v>
      </c>
      <c r="C34" s="130">
        <v>1419</v>
      </c>
      <c r="D34" s="130">
        <v>4978</v>
      </c>
      <c r="E34" s="149">
        <v>88</v>
      </c>
      <c r="F34" s="149">
        <v>412</v>
      </c>
      <c r="G34" s="130">
        <v>1625</v>
      </c>
      <c r="H34" s="130">
        <v>5129</v>
      </c>
      <c r="I34" s="130">
        <v>3132</v>
      </c>
      <c r="J34" s="130">
        <v>10519</v>
      </c>
    </row>
    <row r="35" spans="2:10" x14ac:dyDescent="0.2">
      <c r="B35" s="148">
        <v>41852</v>
      </c>
      <c r="C35" s="130">
        <v>1494</v>
      </c>
      <c r="D35" s="130">
        <v>5380</v>
      </c>
      <c r="E35" s="149">
        <v>98</v>
      </c>
      <c r="F35" s="149">
        <v>469</v>
      </c>
      <c r="G35" s="130">
        <v>2110</v>
      </c>
      <c r="H35" s="130">
        <v>6696</v>
      </c>
      <c r="I35" s="130">
        <f t="shared" ref="I35:J39" si="0">C35+E35+G35</f>
        <v>3702</v>
      </c>
      <c r="J35" s="130">
        <f t="shared" si="0"/>
        <v>12545</v>
      </c>
    </row>
    <row r="36" spans="2:10" x14ac:dyDescent="0.2">
      <c r="B36" s="148">
        <v>41883</v>
      </c>
      <c r="C36" s="130">
        <v>2074</v>
      </c>
      <c r="D36" s="130">
        <v>6815</v>
      </c>
      <c r="E36" s="149">
        <v>153</v>
      </c>
      <c r="F36" s="149">
        <v>619</v>
      </c>
      <c r="G36" s="130">
        <v>1891</v>
      </c>
      <c r="H36" s="130">
        <v>5544</v>
      </c>
      <c r="I36" s="130">
        <f t="shared" si="0"/>
        <v>4118</v>
      </c>
      <c r="J36" s="130">
        <f t="shared" si="0"/>
        <v>12978</v>
      </c>
    </row>
    <row r="37" spans="2:10" x14ac:dyDescent="0.2">
      <c r="B37" s="148">
        <v>41913</v>
      </c>
      <c r="C37" s="130">
        <v>1793</v>
      </c>
      <c r="D37" s="130">
        <v>6196</v>
      </c>
      <c r="E37" s="149">
        <v>99</v>
      </c>
      <c r="F37" s="149">
        <v>453</v>
      </c>
      <c r="G37" s="130">
        <v>2822</v>
      </c>
      <c r="H37" s="130">
        <v>9121</v>
      </c>
      <c r="I37" s="130">
        <f t="shared" si="0"/>
        <v>4714</v>
      </c>
      <c r="J37" s="130">
        <f t="shared" si="0"/>
        <v>15770</v>
      </c>
    </row>
    <row r="38" spans="2:10" x14ac:dyDescent="0.2">
      <c r="B38" s="148">
        <v>41944</v>
      </c>
      <c r="C38" s="130">
        <v>1417</v>
      </c>
      <c r="D38" s="130">
        <v>5025</v>
      </c>
      <c r="E38" s="149">
        <v>119</v>
      </c>
      <c r="F38" s="149">
        <v>521</v>
      </c>
      <c r="G38" s="130">
        <v>2963</v>
      </c>
      <c r="H38" s="130">
        <v>9093</v>
      </c>
      <c r="I38" s="130">
        <f t="shared" si="0"/>
        <v>4499</v>
      </c>
      <c r="J38" s="130">
        <f t="shared" si="0"/>
        <v>14639</v>
      </c>
    </row>
    <row r="39" spans="2:10" x14ac:dyDescent="0.2">
      <c r="B39" s="148">
        <v>41974</v>
      </c>
      <c r="C39" s="130">
        <v>2023</v>
      </c>
      <c r="D39" s="130">
        <v>7131</v>
      </c>
      <c r="E39" s="149">
        <v>157</v>
      </c>
      <c r="F39" s="149">
        <v>606</v>
      </c>
      <c r="G39" s="130">
        <v>2407</v>
      </c>
      <c r="H39" s="130">
        <v>7565</v>
      </c>
      <c r="I39" s="130">
        <f t="shared" si="0"/>
        <v>4587</v>
      </c>
      <c r="J39" s="130">
        <f t="shared" si="0"/>
        <v>15302</v>
      </c>
    </row>
    <row r="40" spans="2:10" x14ac:dyDescent="0.2">
      <c r="B40" s="131">
        <v>2014</v>
      </c>
      <c r="C40" s="152">
        <f>SUM(C28:C39)</f>
        <v>19910</v>
      </c>
      <c r="D40" s="152">
        <f t="shared" ref="D40:H40" si="1">SUM(D28:D39)</f>
        <v>70098</v>
      </c>
      <c r="E40" s="152">
        <f t="shared" si="1"/>
        <v>1302</v>
      </c>
      <c r="F40" s="152">
        <f t="shared" si="1"/>
        <v>5662</v>
      </c>
      <c r="G40" s="152">
        <f t="shared" si="1"/>
        <v>23042</v>
      </c>
      <c r="H40" s="152">
        <f t="shared" si="1"/>
        <v>72387</v>
      </c>
      <c r="I40" s="152">
        <f>SUM(I28:I39)</f>
        <v>44254</v>
      </c>
      <c r="J40" s="152">
        <f>SUM(J28:J39)</f>
        <v>148147</v>
      </c>
    </row>
    <row r="41" spans="2:10" x14ac:dyDescent="0.2">
      <c r="B41" s="128">
        <v>42005</v>
      </c>
      <c r="C41" s="129">
        <v>1303</v>
      </c>
      <c r="D41" s="129">
        <v>4627</v>
      </c>
      <c r="E41" s="129">
        <v>90</v>
      </c>
      <c r="F41" s="129">
        <v>407</v>
      </c>
      <c r="G41" s="129">
        <v>2299</v>
      </c>
      <c r="H41" s="129">
        <v>7138</v>
      </c>
      <c r="I41" s="130">
        <f t="shared" ref="I41:J52" si="2">C41+E41+G41</f>
        <v>3692</v>
      </c>
      <c r="J41" s="130">
        <f t="shared" si="2"/>
        <v>12172</v>
      </c>
    </row>
    <row r="42" spans="2:10" x14ac:dyDescent="0.2">
      <c r="B42" s="128">
        <v>42036</v>
      </c>
      <c r="C42" s="129">
        <v>1126</v>
      </c>
      <c r="D42" s="129">
        <v>4105</v>
      </c>
      <c r="E42" s="129">
        <v>68</v>
      </c>
      <c r="F42" s="129">
        <v>319</v>
      </c>
      <c r="G42" s="129">
        <v>1895</v>
      </c>
      <c r="H42" s="129">
        <v>5828</v>
      </c>
      <c r="I42" s="130">
        <f t="shared" si="2"/>
        <v>3089</v>
      </c>
      <c r="J42" s="130">
        <f t="shared" si="2"/>
        <v>10252</v>
      </c>
    </row>
    <row r="43" spans="2:10" x14ac:dyDescent="0.2">
      <c r="B43" s="128">
        <v>42064</v>
      </c>
      <c r="C43" s="129">
        <v>1509</v>
      </c>
      <c r="D43" s="129">
        <v>5148</v>
      </c>
      <c r="E43" s="129">
        <v>142</v>
      </c>
      <c r="F43" s="129">
        <v>601</v>
      </c>
      <c r="G43" s="129">
        <v>2308</v>
      </c>
      <c r="H43" s="129">
        <v>7031</v>
      </c>
      <c r="I43" s="130">
        <f t="shared" si="2"/>
        <v>3959</v>
      </c>
      <c r="J43" s="130">
        <f t="shared" si="2"/>
        <v>12780</v>
      </c>
    </row>
    <row r="44" spans="2:10" x14ac:dyDescent="0.2">
      <c r="B44" s="128">
        <v>42095</v>
      </c>
      <c r="C44" s="129">
        <v>1305</v>
      </c>
      <c r="D44" s="129">
        <v>4297</v>
      </c>
      <c r="E44" s="129">
        <v>154</v>
      </c>
      <c r="F44" s="129">
        <v>670</v>
      </c>
      <c r="G44" s="129">
        <v>2740</v>
      </c>
      <c r="H44" s="129">
        <v>8147</v>
      </c>
      <c r="I44" s="130">
        <f t="shared" si="2"/>
        <v>4199</v>
      </c>
      <c r="J44" s="130">
        <f t="shared" si="2"/>
        <v>13114</v>
      </c>
    </row>
    <row r="45" spans="2:10" x14ac:dyDescent="0.2">
      <c r="B45" s="128">
        <v>42125</v>
      </c>
      <c r="C45" s="129">
        <v>1328</v>
      </c>
      <c r="D45" s="129">
        <v>4634</v>
      </c>
      <c r="E45" s="129">
        <v>162</v>
      </c>
      <c r="F45" s="129">
        <v>698</v>
      </c>
      <c r="G45" s="129">
        <v>2387</v>
      </c>
      <c r="H45" s="129">
        <v>7056</v>
      </c>
      <c r="I45" s="130">
        <f t="shared" si="2"/>
        <v>3877</v>
      </c>
      <c r="J45" s="130">
        <f t="shared" si="2"/>
        <v>12388</v>
      </c>
    </row>
    <row r="46" spans="2:10" x14ac:dyDescent="0.2">
      <c r="B46" s="128">
        <v>42156</v>
      </c>
      <c r="C46" s="129">
        <v>1079</v>
      </c>
      <c r="D46" s="129">
        <v>3931</v>
      </c>
      <c r="E46" s="129">
        <v>121</v>
      </c>
      <c r="F46" s="129">
        <v>595</v>
      </c>
      <c r="G46" s="129">
        <v>2940</v>
      </c>
      <c r="H46" s="129">
        <v>8577</v>
      </c>
      <c r="I46" s="130">
        <f t="shared" si="2"/>
        <v>4140</v>
      </c>
      <c r="J46" s="130">
        <f t="shared" si="2"/>
        <v>13103</v>
      </c>
    </row>
    <row r="47" spans="2:10" x14ac:dyDescent="0.2">
      <c r="B47" s="128">
        <v>42186</v>
      </c>
      <c r="C47" s="129">
        <v>1562</v>
      </c>
      <c r="D47" s="129">
        <v>5243</v>
      </c>
      <c r="E47" s="129">
        <v>193</v>
      </c>
      <c r="F47" s="129">
        <v>896</v>
      </c>
      <c r="G47" s="129">
        <v>1660</v>
      </c>
      <c r="H47" s="129">
        <v>4806</v>
      </c>
      <c r="I47" s="130">
        <f t="shared" si="2"/>
        <v>3415</v>
      </c>
      <c r="J47" s="130">
        <f t="shared" si="2"/>
        <v>10945</v>
      </c>
    </row>
    <row r="48" spans="2:10" x14ac:dyDescent="0.2">
      <c r="B48" s="128">
        <v>42217</v>
      </c>
      <c r="C48" s="129">
        <v>1389</v>
      </c>
      <c r="D48" s="129">
        <v>4383</v>
      </c>
      <c r="E48" s="129">
        <v>321</v>
      </c>
      <c r="F48" s="129">
        <v>1453</v>
      </c>
      <c r="G48" s="129">
        <v>4348</v>
      </c>
      <c r="H48" s="129">
        <v>12994</v>
      </c>
      <c r="I48" s="130">
        <f t="shared" si="2"/>
        <v>6058</v>
      </c>
      <c r="J48" s="130">
        <f t="shared" si="2"/>
        <v>18830</v>
      </c>
    </row>
    <row r="49" spans="2:10" x14ac:dyDescent="0.2">
      <c r="B49" s="128">
        <v>42248</v>
      </c>
      <c r="C49" s="129">
        <v>2017</v>
      </c>
      <c r="D49" s="129">
        <v>7335</v>
      </c>
      <c r="E49" s="129">
        <v>176</v>
      </c>
      <c r="F49" s="129">
        <v>801</v>
      </c>
      <c r="G49" s="129">
        <v>2843</v>
      </c>
      <c r="H49" s="129">
        <v>8849</v>
      </c>
      <c r="I49" s="130">
        <f t="shared" si="2"/>
        <v>5036</v>
      </c>
      <c r="J49" s="130">
        <f t="shared" si="2"/>
        <v>16985</v>
      </c>
    </row>
    <row r="50" spans="2:10" x14ac:dyDescent="0.2">
      <c r="B50" s="128">
        <v>42278</v>
      </c>
      <c r="C50" s="129">
        <v>1395</v>
      </c>
      <c r="D50" s="129">
        <v>4572</v>
      </c>
      <c r="E50" s="129">
        <v>175</v>
      </c>
      <c r="F50" s="129">
        <v>799</v>
      </c>
      <c r="G50" s="129">
        <v>2605</v>
      </c>
      <c r="H50" s="129">
        <v>7454</v>
      </c>
      <c r="I50" s="130">
        <f t="shared" si="2"/>
        <v>4175</v>
      </c>
      <c r="J50" s="130">
        <f t="shared" si="2"/>
        <v>12825</v>
      </c>
    </row>
    <row r="51" spans="2:10" x14ac:dyDescent="0.2">
      <c r="B51" s="128">
        <v>42309</v>
      </c>
      <c r="C51" s="129">
        <v>1495</v>
      </c>
      <c r="D51" s="129">
        <v>5282</v>
      </c>
      <c r="E51" s="129">
        <v>166</v>
      </c>
      <c r="F51" s="129">
        <v>712</v>
      </c>
      <c r="G51" s="129">
        <v>3733</v>
      </c>
      <c r="H51" s="129">
        <v>10856</v>
      </c>
      <c r="I51" s="130">
        <f t="shared" si="2"/>
        <v>5394</v>
      </c>
      <c r="J51" s="130">
        <f t="shared" si="2"/>
        <v>16850</v>
      </c>
    </row>
    <row r="52" spans="2:10" x14ac:dyDescent="0.2">
      <c r="B52" s="128">
        <v>42339</v>
      </c>
      <c r="C52" s="129">
        <v>1645</v>
      </c>
      <c r="D52" s="129">
        <v>5189</v>
      </c>
      <c r="E52" s="129">
        <v>200</v>
      </c>
      <c r="F52" s="129">
        <v>809</v>
      </c>
      <c r="G52" s="129">
        <v>2771</v>
      </c>
      <c r="H52" s="129">
        <v>8572</v>
      </c>
      <c r="I52" s="130">
        <f t="shared" si="2"/>
        <v>4616</v>
      </c>
      <c r="J52" s="130">
        <f t="shared" si="2"/>
        <v>14570</v>
      </c>
    </row>
    <row r="53" spans="2:10" x14ac:dyDescent="0.2">
      <c r="B53" s="131">
        <v>2015</v>
      </c>
      <c r="C53" s="132">
        <f>SUM(C41:C52)</f>
        <v>17153</v>
      </c>
      <c r="D53" s="132">
        <f t="shared" ref="D53:I53" si="3">SUM(D41:D52)</f>
        <v>58746</v>
      </c>
      <c r="E53" s="132">
        <f t="shared" si="3"/>
        <v>1968</v>
      </c>
      <c r="F53" s="132">
        <f t="shared" si="3"/>
        <v>8760</v>
      </c>
      <c r="G53" s="132">
        <f t="shared" si="3"/>
        <v>32529</v>
      </c>
      <c r="H53" s="132">
        <f t="shared" si="3"/>
        <v>97308</v>
      </c>
      <c r="I53" s="132">
        <f t="shared" si="3"/>
        <v>51650</v>
      </c>
      <c r="J53" s="132">
        <f>SUM(J41:J52)</f>
        <v>164814</v>
      </c>
    </row>
    <row r="54" spans="2:10" x14ac:dyDescent="0.2">
      <c r="B54" s="128">
        <v>42370</v>
      </c>
      <c r="C54" s="129">
        <v>1402</v>
      </c>
      <c r="D54" s="129">
        <v>4801</v>
      </c>
      <c r="E54" s="129">
        <v>157</v>
      </c>
      <c r="F54" s="129">
        <v>645</v>
      </c>
      <c r="G54" s="129">
        <v>2531</v>
      </c>
      <c r="H54" s="129">
        <v>7419</v>
      </c>
      <c r="I54" s="130">
        <f t="shared" ref="I54:J65" si="4">C54+E54+G54</f>
        <v>4090</v>
      </c>
      <c r="J54" s="130">
        <f t="shared" si="4"/>
        <v>12865</v>
      </c>
    </row>
    <row r="55" spans="2:10" x14ac:dyDescent="0.2">
      <c r="B55" s="128">
        <v>42401</v>
      </c>
      <c r="C55" s="129">
        <v>964</v>
      </c>
      <c r="D55" s="129">
        <v>3139</v>
      </c>
      <c r="E55" s="129">
        <v>156</v>
      </c>
      <c r="F55" s="129">
        <v>644</v>
      </c>
      <c r="G55" s="129">
        <v>2723</v>
      </c>
      <c r="H55" s="129">
        <v>8130</v>
      </c>
      <c r="I55" s="130">
        <f t="shared" si="4"/>
        <v>3843</v>
      </c>
      <c r="J55" s="130">
        <f t="shared" si="4"/>
        <v>11913</v>
      </c>
    </row>
    <row r="56" spans="2:10" x14ac:dyDescent="0.2">
      <c r="B56" s="128">
        <v>42430</v>
      </c>
      <c r="C56" s="129">
        <v>1710</v>
      </c>
      <c r="D56" s="129">
        <v>5724</v>
      </c>
      <c r="E56" s="129">
        <v>238</v>
      </c>
      <c r="F56" s="129">
        <v>993</v>
      </c>
      <c r="G56" s="129">
        <v>3197</v>
      </c>
      <c r="H56" s="129">
        <v>9196</v>
      </c>
      <c r="I56" s="130">
        <f t="shared" si="4"/>
        <v>5145</v>
      </c>
      <c r="J56" s="130">
        <f t="shared" si="4"/>
        <v>15913</v>
      </c>
    </row>
    <row r="57" spans="2:10" x14ac:dyDescent="0.2">
      <c r="B57" s="128">
        <v>42461</v>
      </c>
      <c r="C57" s="129">
        <v>1579</v>
      </c>
      <c r="D57" s="129">
        <v>5412</v>
      </c>
      <c r="E57" s="129">
        <v>196</v>
      </c>
      <c r="F57" s="129">
        <v>787</v>
      </c>
      <c r="G57" s="129">
        <v>2640</v>
      </c>
      <c r="H57" s="129">
        <v>7635</v>
      </c>
      <c r="I57" s="130">
        <f t="shared" si="4"/>
        <v>4415</v>
      </c>
      <c r="J57" s="130">
        <f t="shared" si="4"/>
        <v>13834</v>
      </c>
    </row>
    <row r="58" spans="2:10" x14ac:dyDescent="0.2">
      <c r="B58" s="128">
        <v>42491</v>
      </c>
      <c r="C58" s="129">
        <v>1550</v>
      </c>
      <c r="D58" s="129">
        <v>5486</v>
      </c>
      <c r="E58" s="129">
        <v>180</v>
      </c>
      <c r="F58" s="129">
        <v>760</v>
      </c>
      <c r="G58" s="129">
        <v>2933</v>
      </c>
      <c r="H58" s="129">
        <v>8633</v>
      </c>
      <c r="I58" s="130">
        <f t="shared" si="4"/>
        <v>4663</v>
      </c>
      <c r="J58" s="130">
        <f t="shared" si="4"/>
        <v>14879</v>
      </c>
    </row>
    <row r="59" spans="2:10" x14ac:dyDescent="0.2">
      <c r="B59" s="128">
        <v>42522</v>
      </c>
      <c r="C59" s="129">
        <v>1015</v>
      </c>
      <c r="D59" s="129">
        <v>3452</v>
      </c>
      <c r="E59" s="129">
        <v>121</v>
      </c>
      <c r="F59" s="129">
        <v>555</v>
      </c>
      <c r="G59" s="129">
        <v>2658</v>
      </c>
      <c r="H59" s="129">
        <v>7478</v>
      </c>
      <c r="I59" s="130">
        <f t="shared" si="4"/>
        <v>3794</v>
      </c>
      <c r="J59" s="130">
        <f t="shared" si="4"/>
        <v>11485</v>
      </c>
    </row>
    <row r="60" spans="2:10" x14ac:dyDescent="0.2">
      <c r="B60" s="128">
        <v>42552</v>
      </c>
      <c r="C60" s="129">
        <v>1746</v>
      </c>
      <c r="D60" s="129">
        <v>6028</v>
      </c>
      <c r="E60" s="129">
        <v>157</v>
      </c>
      <c r="F60" s="129">
        <v>657</v>
      </c>
      <c r="G60" s="129">
        <v>2535</v>
      </c>
      <c r="H60" s="129">
        <v>7430</v>
      </c>
      <c r="I60" s="130">
        <f t="shared" si="4"/>
        <v>4438</v>
      </c>
      <c r="J60" s="130">
        <f t="shared" si="4"/>
        <v>14115</v>
      </c>
    </row>
    <row r="61" spans="2:10" x14ac:dyDescent="0.2">
      <c r="B61" s="128">
        <v>42583</v>
      </c>
      <c r="C61" s="129">
        <v>1390</v>
      </c>
      <c r="D61" s="129">
        <v>4511</v>
      </c>
      <c r="E61" s="129">
        <v>153</v>
      </c>
      <c r="F61" s="129">
        <v>578</v>
      </c>
      <c r="G61" s="129">
        <v>3151</v>
      </c>
      <c r="H61" s="129">
        <v>9173</v>
      </c>
      <c r="I61" s="130">
        <f t="shared" si="4"/>
        <v>4694</v>
      </c>
      <c r="J61" s="130">
        <f t="shared" si="4"/>
        <v>14262</v>
      </c>
    </row>
    <row r="62" spans="2:10" x14ac:dyDescent="0.2">
      <c r="B62" s="128">
        <v>42614</v>
      </c>
      <c r="C62" s="129">
        <v>1402</v>
      </c>
      <c r="D62" s="129">
        <v>4329</v>
      </c>
      <c r="E62" s="129">
        <v>196</v>
      </c>
      <c r="F62" s="129">
        <v>823</v>
      </c>
      <c r="G62" s="129">
        <v>2981</v>
      </c>
      <c r="H62" s="129">
        <v>8807</v>
      </c>
      <c r="I62" s="130">
        <f t="shared" si="4"/>
        <v>4579</v>
      </c>
      <c r="J62" s="130">
        <f t="shared" si="4"/>
        <v>13959</v>
      </c>
    </row>
    <row r="63" spans="2:10" x14ac:dyDescent="0.2">
      <c r="B63" s="128">
        <v>42644</v>
      </c>
      <c r="C63" s="129">
        <v>1480</v>
      </c>
      <c r="D63" s="129">
        <v>5044</v>
      </c>
      <c r="E63" s="129">
        <v>136</v>
      </c>
      <c r="F63" s="129">
        <v>536</v>
      </c>
      <c r="G63" s="129">
        <v>2791</v>
      </c>
      <c r="H63" s="129">
        <v>8111</v>
      </c>
      <c r="I63" s="130">
        <f t="shared" si="4"/>
        <v>4407</v>
      </c>
      <c r="J63" s="130">
        <f t="shared" si="4"/>
        <v>13691</v>
      </c>
    </row>
    <row r="64" spans="2:10" x14ac:dyDescent="0.2">
      <c r="B64" s="128">
        <v>42675</v>
      </c>
      <c r="C64" s="129">
        <v>1497</v>
      </c>
      <c r="D64" s="129">
        <v>5099</v>
      </c>
      <c r="E64" s="129">
        <v>128</v>
      </c>
      <c r="F64" s="129">
        <v>483</v>
      </c>
      <c r="G64" s="129">
        <v>2064</v>
      </c>
      <c r="H64" s="129">
        <v>6110</v>
      </c>
      <c r="I64" s="130">
        <f t="shared" si="4"/>
        <v>3689</v>
      </c>
      <c r="J64" s="130">
        <f t="shared" si="4"/>
        <v>11692</v>
      </c>
    </row>
    <row r="65" spans="2:10" x14ac:dyDescent="0.2">
      <c r="B65" s="128">
        <v>42705</v>
      </c>
      <c r="C65" s="129">
        <v>1565</v>
      </c>
      <c r="D65" s="129">
        <v>5550</v>
      </c>
      <c r="E65" s="129">
        <v>94</v>
      </c>
      <c r="F65" s="129">
        <v>399</v>
      </c>
      <c r="G65" s="129">
        <v>3636</v>
      </c>
      <c r="H65" s="129">
        <v>11125</v>
      </c>
      <c r="I65" s="130">
        <f t="shared" si="4"/>
        <v>5295</v>
      </c>
      <c r="J65" s="130">
        <f t="shared" si="4"/>
        <v>17074</v>
      </c>
    </row>
    <row r="66" spans="2:10" x14ac:dyDescent="0.2">
      <c r="B66" s="131">
        <v>2016</v>
      </c>
      <c r="C66" s="132">
        <f>SUM(C54:C65)</f>
        <v>17300</v>
      </c>
      <c r="D66" s="132">
        <f t="shared" ref="D66:H66" si="5">SUM(D54:D65)</f>
        <v>58575</v>
      </c>
      <c r="E66" s="132">
        <f t="shared" si="5"/>
        <v>1912</v>
      </c>
      <c r="F66" s="132">
        <f t="shared" si="5"/>
        <v>7860</v>
      </c>
      <c r="G66" s="132">
        <f t="shared" si="5"/>
        <v>33840</v>
      </c>
      <c r="H66" s="132">
        <f t="shared" si="5"/>
        <v>99247</v>
      </c>
      <c r="I66" s="132">
        <f>SUM(I54:I65)</f>
        <v>53052</v>
      </c>
      <c r="J66" s="132">
        <f>SUM(J54:J65)</f>
        <v>165682</v>
      </c>
    </row>
    <row r="67" spans="2:10" x14ac:dyDescent="0.2">
      <c r="B67" s="128">
        <v>42736</v>
      </c>
      <c r="C67" s="129">
        <v>1578</v>
      </c>
      <c r="D67" s="129">
        <v>5100</v>
      </c>
      <c r="E67" s="129">
        <v>122</v>
      </c>
      <c r="F67" s="129">
        <v>478</v>
      </c>
      <c r="G67" s="129">
        <v>3277</v>
      </c>
      <c r="H67" s="129">
        <v>9466</v>
      </c>
      <c r="I67" s="130">
        <f t="shared" ref="I67:J78" si="6">C67+E67+G67</f>
        <v>4977</v>
      </c>
      <c r="J67" s="130">
        <f t="shared" si="6"/>
        <v>15044</v>
      </c>
    </row>
    <row r="68" spans="2:10" x14ac:dyDescent="0.2">
      <c r="B68" s="128">
        <v>42767</v>
      </c>
      <c r="C68" s="129">
        <v>1309</v>
      </c>
      <c r="D68" s="129">
        <v>4472</v>
      </c>
      <c r="E68" s="129">
        <v>118</v>
      </c>
      <c r="F68" s="129">
        <v>502</v>
      </c>
      <c r="G68" s="129">
        <v>3001</v>
      </c>
      <c r="H68" s="129">
        <v>8506</v>
      </c>
      <c r="I68" s="130">
        <f t="shared" si="6"/>
        <v>4428</v>
      </c>
      <c r="J68" s="130">
        <f t="shared" si="6"/>
        <v>13480</v>
      </c>
    </row>
    <row r="69" spans="2:10" x14ac:dyDescent="0.2">
      <c r="B69" s="128">
        <v>42795</v>
      </c>
      <c r="C69" s="129">
        <v>1433</v>
      </c>
      <c r="D69" s="129">
        <v>4492</v>
      </c>
      <c r="E69" s="129">
        <v>123</v>
      </c>
      <c r="F69" s="129">
        <v>484</v>
      </c>
      <c r="G69" s="129">
        <v>2598</v>
      </c>
      <c r="H69" s="129">
        <v>7750</v>
      </c>
      <c r="I69" s="130">
        <f t="shared" si="6"/>
        <v>4154</v>
      </c>
      <c r="J69" s="130">
        <f t="shared" si="6"/>
        <v>12726</v>
      </c>
    </row>
    <row r="70" spans="2:10" x14ac:dyDescent="0.2">
      <c r="B70" s="128">
        <v>42826</v>
      </c>
      <c r="C70" s="129">
        <v>1610</v>
      </c>
      <c r="D70" s="129">
        <v>5252</v>
      </c>
      <c r="E70" s="129">
        <v>163</v>
      </c>
      <c r="F70" s="129">
        <v>704</v>
      </c>
      <c r="G70" s="129">
        <v>2935</v>
      </c>
      <c r="H70" s="129">
        <v>8131</v>
      </c>
      <c r="I70" s="130">
        <f t="shared" si="6"/>
        <v>4708</v>
      </c>
      <c r="J70" s="130">
        <f t="shared" si="6"/>
        <v>14087</v>
      </c>
    </row>
    <row r="71" spans="2:10" x14ac:dyDescent="0.2">
      <c r="B71" s="128">
        <v>42856</v>
      </c>
      <c r="C71" s="129">
        <v>1418</v>
      </c>
      <c r="D71" s="129">
        <v>4341</v>
      </c>
      <c r="E71" s="129">
        <v>177</v>
      </c>
      <c r="F71" s="129">
        <v>637</v>
      </c>
      <c r="G71" s="129">
        <v>3318</v>
      </c>
      <c r="H71" s="129">
        <v>8846</v>
      </c>
      <c r="I71" s="130">
        <f t="shared" si="6"/>
        <v>4913</v>
      </c>
      <c r="J71" s="130">
        <f t="shared" si="6"/>
        <v>13824</v>
      </c>
    </row>
    <row r="72" spans="2:10" x14ac:dyDescent="0.2">
      <c r="B72" s="128">
        <v>42887</v>
      </c>
      <c r="C72" s="129">
        <v>1230</v>
      </c>
      <c r="D72" s="129">
        <v>4069</v>
      </c>
      <c r="E72" s="129">
        <v>108</v>
      </c>
      <c r="F72" s="129">
        <v>460</v>
      </c>
      <c r="G72" s="129">
        <v>2707</v>
      </c>
      <c r="H72" s="129">
        <v>8139</v>
      </c>
      <c r="I72" s="130">
        <f t="shared" si="6"/>
        <v>4045</v>
      </c>
      <c r="J72" s="130">
        <f t="shared" si="6"/>
        <v>12668</v>
      </c>
    </row>
    <row r="73" spans="2:10" x14ac:dyDescent="0.2">
      <c r="B73" s="128">
        <v>42917</v>
      </c>
      <c r="C73" s="129">
        <v>1191</v>
      </c>
      <c r="D73" s="129">
        <v>4093</v>
      </c>
      <c r="E73" s="129">
        <v>118</v>
      </c>
      <c r="F73" s="129">
        <v>524</v>
      </c>
      <c r="G73" s="129">
        <v>3460</v>
      </c>
      <c r="H73" s="129">
        <v>9428</v>
      </c>
      <c r="I73" s="130">
        <f t="shared" si="6"/>
        <v>4769</v>
      </c>
      <c r="J73" s="130">
        <f t="shared" si="6"/>
        <v>14045</v>
      </c>
    </row>
    <row r="74" spans="2:10" x14ac:dyDescent="0.2">
      <c r="B74" s="128">
        <v>42948</v>
      </c>
      <c r="C74" s="129">
        <v>1646</v>
      </c>
      <c r="D74" s="129">
        <v>5129</v>
      </c>
      <c r="E74" s="129">
        <v>226</v>
      </c>
      <c r="F74" s="129">
        <v>888</v>
      </c>
      <c r="G74" s="129">
        <v>3406</v>
      </c>
      <c r="H74" s="129">
        <v>9871</v>
      </c>
      <c r="I74" s="130">
        <f t="shared" si="6"/>
        <v>5278</v>
      </c>
      <c r="J74" s="130">
        <f t="shared" si="6"/>
        <v>15888</v>
      </c>
    </row>
    <row r="75" spans="2:10" x14ac:dyDescent="0.2">
      <c r="B75" s="128">
        <v>42979</v>
      </c>
      <c r="C75" s="129">
        <v>1788</v>
      </c>
      <c r="D75" s="129">
        <v>5884</v>
      </c>
      <c r="E75" s="129">
        <v>227</v>
      </c>
      <c r="F75" s="129">
        <v>1042</v>
      </c>
      <c r="G75" s="129">
        <v>1959</v>
      </c>
      <c r="H75" s="129">
        <v>5773</v>
      </c>
      <c r="I75" s="130">
        <f t="shared" si="6"/>
        <v>3974</v>
      </c>
      <c r="J75" s="130">
        <f t="shared" si="6"/>
        <v>12699</v>
      </c>
    </row>
    <row r="76" spans="2:10" x14ac:dyDescent="0.2">
      <c r="B76" s="128">
        <v>43009</v>
      </c>
      <c r="C76" s="129">
        <v>1600</v>
      </c>
      <c r="D76" s="129">
        <v>5166</v>
      </c>
      <c r="E76" s="129">
        <v>160</v>
      </c>
      <c r="F76" s="129">
        <v>678</v>
      </c>
      <c r="G76" s="129">
        <v>5186</v>
      </c>
      <c r="H76" s="129">
        <v>14719</v>
      </c>
      <c r="I76" s="130">
        <f t="shared" si="6"/>
        <v>6946</v>
      </c>
      <c r="J76" s="130">
        <f t="shared" si="6"/>
        <v>20563</v>
      </c>
    </row>
    <row r="77" spans="2:10" x14ac:dyDescent="0.2">
      <c r="B77" s="128">
        <v>43040</v>
      </c>
      <c r="C77" s="129">
        <v>1751</v>
      </c>
      <c r="D77" s="129">
        <v>5849</v>
      </c>
      <c r="E77" s="129">
        <v>177</v>
      </c>
      <c r="F77" s="129">
        <v>742</v>
      </c>
      <c r="G77" s="129">
        <v>3371</v>
      </c>
      <c r="H77" s="129">
        <v>9775</v>
      </c>
      <c r="I77" s="130">
        <f t="shared" si="6"/>
        <v>5299</v>
      </c>
      <c r="J77" s="130">
        <f t="shared" si="6"/>
        <v>16366</v>
      </c>
    </row>
    <row r="78" spans="2:10" x14ac:dyDescent="0.2">
      <c r="B78" s="128">
        <v>43070</v>
      </c>
      <c r="C78" s="129">
        <v>1618</v>
      </c>
      <c r="D78" s="129">
        <v>5288</v>
      </c>
      <c r="E78" s="129">
        <v>188</v>
      </c>
      <c r="F78" s="129">
        <v>708</v>
      </c>
      <c r="G78" s="129">
        <v>3152</v>
      </c>
      <c r="H78" s="129">
        <v>9366</v>
      </c>
      <c r="I78" s="130">
        <f t="shared" si="6"/>
        <v>4958</v>
      </c>
      <c r="J78" s="130">
        <f t="shared" si="6"/>
        <v>15362</v>
      </c>
    </row>
    <row r="79" spans="2:10" x14ac:dyDescent="0.2">
      <c r="B79" s="131">
        <v>2017</v>
      </c>
      <c r="C79" s="132">
        <f>SUM(C67:C78)</f>
        <v>18172</v>
      </c>
      <c r="D79" s="132">
        <f t="shared" ref="D79:J79" si="7">SUM(D67:D78)</f>
        <v>59135</v>
      </c>
      <c r="E79" s="132">
        <f t="shared" si="7"/>
        <v>1907</v>
      </c>
      <c r="F79" s="132">
        <f t="shared" si="7"/>
        <v>7847</v>
      </c>
      <c r="G79" s="132">
        <f t="shared" si="7"/>
        <v>38370</v>
      </c>
      <c r="H79" s="132">
        <f t="shared" si="7"/>
        <v>109770</v>
      </c>
      <c r="I79" s="132">
        <f t="shared" si="7"/>
        <v>58449</v>
      </c>
      <c r="J79" s="132">
        <f t="shared" si="7"/>
        <v>176752</v>
      </c>
    </row>
    <row r="80" spans="2:10" x14ac:dyDescent="0.2">
      <c r="B80" s="128">
        <v>43101</v>
      </c>
      <c r="C80" s="129">
        <v>1487</v>
      </c>
      <c r="D80" s="129">
        <v>4777</v>
      </c>
      <c r="E80" s="129">
        <v>142</v>
      </c>
      <c r="F80" s="129">
        <v>567</v>
      </c>
      <c r="G80" s="129">
        <v>3378</v>
      </c>
      <c r="H80" s="129">
        <v>9267</v>
      </c>
      <c r="I80" s="130">
        <f t="shared" ref="I80:J89" si="8">C80+E80+G80</f>
        <v>5007</v>
      </c>
      <c r="J80" s="130">
        <f t="shared" si="8"/>
        <v>14611</v>
      </c>
    </row>
    <row r="81" spans="2:12" x14ac:dyDescent="0.2">
      <c r="B81" s="128">
        <v>43132</v>
      </c>
      <c r="C81" s="129">
        <v>1165</v>
      </c>
      <c r="D81" s="129">
        <v>3878</v>
      </c>
      <c r="E81" s="129">
        <v>171</v>
      </c>
      <c r="F81" s="129">
        <v>740</v>
      </c>
      <c r="G81" s="129">
        <v>4024</v>
      </c>
      <c r="H81" s="129">
        <v>10885</v>
      </c>
      <c r="I81" s="130">
        <f t="shared" si="8"/>
        <v>5360</v>
      </c>
      <c r="J81" s="130">
        <f t="shared" si="8"/>
        <v>15503</v>
      </c>
    </row>
    <row r="82" spans="2:12" x14ac:dyDescent="0.2">
      <c r="B82" s="128">
        <v>43160</v>
      </c>
      <c r="C82" s="129">
        <v>2460</v>
      </c>
      <c r="D82" s="129">
        <v>7692</v>
      </c>
      <c r="E82" s="129">
        <v>296</v>
      </c>
      <c r="F82" s="129">
        <v>1104</v>
      </c>
      <c r="G82" s="129">
        <v>3447</v>
      </c>
      <c r="H82" s="129">
        <v>9794</v>
      </c>
      <c r="I82" s="130">
        <f t="shared" si="8"/>
        <v>6203</v>
      </c>
      <c r="J82" s="130">
        <f t="shared" si="8"/>
        <v>18590</v>
      </c>
    </row>
    <row r="83" spans="2:12" x14ac:dyDescent="0.2">
      <c r="B83" s="128">
        <v>43191</v>
      </c>
      <c r="C83" s="129">
        <v>1488</v>
      </c>
      <c r="D83" s="129">
        <v>4979</v>
      </c>
      <c r="E83" s="129">
        <v>166</v>
      </c>
      <c r="F83" s="129">
        <v>699</v>
      </c>
      <c r="G83" s="129">
        <v>3596</v>
      </c>
      <c r="H83" s="129">
        <v>10022</v>
      </c>
      <c r="I83" s="130">
        <f t="shared" si="8"/>
        <v>5250</v>
      </c>
      <c r="J83" s="130">
        <f t="shared" si="8"/>
        <v>15700</v>
      </c>
    </row>
    <row r="84" spans="2:12" x14ac:dyDescent="0.2">
      <c r="B84" s="128">
        <v>43221</v>
      </c>
      <c r="C84" s="129">
        <v>1705</v>
      </c>
      <c r="D84" s="129">
        <v>5530</v>
      </c>
      <c r="E84" s="129">
        <v>178</v>
      </c>
      <c r="F84" s="129">
        <v>714</v>
      </c>
      <c r="G84" s="129">
        <v>3536</v>
      </c>
      <c r="H84" s="129">
        <v>9898</v>
      </c>
      <c r="I84" s="130">
        <f t="shared" si="8"/>
        <v>5419</v>
      </c>
      <c r="J84" s="130">
        <f t="shared" si="8"/>
        <v>16142</v>
      </c>
    </row>
    <row r="85" spans="2:12" x14ac:dyDescent="0.2">
      <c r="B85" s="128">
        <v>43252</v>
      </c>
      <c r="C85" s="129">
        <v>1717</v>
      </c>
      <c r="D85" s="129">
        <v>5500</v>
      </c>
      <c r="E85" s="129">
        <v>211</v>
      </c>
      <c r="F85" s="129">
        <v>885</v>
      </c>
      <c r="G85" s="129">
        <v>3371</v>
      </c>
      <c r="H85" s="129">
        <v>9458</v>
      </c>
      <c r="I85" s="130">
        <f t="shared" si="8"/>
        <v>5299</v>
      </c>
      <c r="J85" s="130">
        <f t="shared" si="8"/>
        <v>15843</v>
      </c>
    </row>
    <row r="86" spans="2:12" x14ac:dyDescent="0.2">
      <c r="B86" s="128">
        <v>43282</v>
      </c>
      <c r="C86" s="129">
        <v>1574</v>
      </c>
      <c r="D86" s="129">
        <v>4981</v>
      </c>
      <c r="E86" s="129">
        <v>176</v>
      </c>
      <c r="F86" s="129">
        <v>714</v>
      </c>
      <c r="G86" s="129">
        <v>3523</v>
      </c>
      <c r="H86" s="129">
        <v>9997</v>
      </c>
      <c r="I86" s="130">
        <f t="shared" si="8"/>
        <v>5273</v>
      </c>
      <c r="J86" s="130">
        <f t="shared" si="8"/>
        <v>15692</v>
      </c>
    </row>
    <row r="87" spans="2:12" x14ac:dyDescent="0.2">
      <c r="B87" s="128">
        <v>43313</v>
      </c>
      <c r="C87" s="129">
        <v>1786</v>
      </c>
      <c r="D87" s="129">
        <v>5797</v>
      </c>
      <c r="E87" s="129">
        <v>215</v>
      </c>
      <c r="F87" s="129">
        <v>865</v>
      </c>
      <c r="G87" s="129">
        <v>3741</v>
      </c>
      <c r="H87" s="129">
        <v>10742</v>
      </c>
      <c r="I87" s="130">
        <f t="shared" si="8"/>
        <v>5742</v>
      </c>
      <c r="J87" s="130">
        <f t="shared" si="8"/>
        <v>17404</v>
      </c>
    </row>
    <row r="88" spans="2:12" x14ac:dyDescent="0.2">
      <c r="B88" s="128">
        <v>43344</v>
      </c>
      <c r="C88" s="129">
        <v>1829</v>
      </c>
      <c r="D88" s="129">
        <v>5996</v>
      </c>
      <c r="E88" s="129">
        <v>210</v>
      </c>
      <c r="F88" s="129">
        <v>796</v>
      </c>
      <c r="G88" s="129">
        <v>4016</v>
      </c>
      <c r="H88" s="129">
        <v>11063</v>
      </c>
      <c r="I88" s="130">
        <f t="shared" si="8"/>
        <v>6055</v>
      </c>
      <c r="J88" s="130">
        <f t="shared" si="8"/>
        <v>17855</v>
      </c>
    </row>
    <row r="89" spans="2:12" x14ac:dyDescent="0.2">
      <c r="B89" s="128">
        <v>43374</v>
      </c>
      <c r="C89" s="129">
        <v>1908</v>
      </c>
      <c r="D89" s="129">
        <v>5933</v>
      </c>
      <c r="E89" s="129">
        <v>221</v>
      </c>
      <c r="F89" s="129">
        <v>853</v>
      </c>
      <c r="G89" s="129">
        <v>3862</v>
      </c>
      <c r="H89" s="129">
        <v>11406</v>
      </c>
      <c r="I89" s="130">
        <f t="shared" si="8"/>
        <v>5991</v>
      </c>
      <c r="J89" s="130">
        <f t="shared" si="8"/>
        <v>18192</v>
      </c>
    </row>
    <row r="90" spans="2:12" x14ac:dyDescent="0.2">
      <c r="B90" s="128">
        <v>43405</v>
      </c>
      <c r="C90" s="129">
        <v>1951</v>
      </c>
      <c r="D90" s="129">
        <v>6310</v>
      </c>
      <c r="E90" s="129">
        <v>210</v>
      </c>
      <c r="F90" s="129">
        <v>846</v>
      </c>
      <c r="G90" s="129">
        <v>4235</v>
      </c>
      <c r="H90" s="129">
        <v>12050</v>
      </c>
      <c r="I90" s="130">
        <v>6396</v>
      </c>
      <c r="J90" s="130">
        <v>19206</v>
      </c>
    </row>
    <row r="91" spans="2:12" x14ac:dyDescent="0.2">
      <c r="B91" s="128">
        <v>43435</v>
      </c>
      <c r="C91" s="129">
        <v>1864</v>
      </c>
      <c r="D91" s="129">
        <v>6097</v>
      </c>
      <c r="E91" s="129">
        <v>206</v>
      </c>
      <c r="F91" s="129">
        <v>773</v>
      </c>
      <c r="G91" s="129">
        <v>3733</v>
      </c>
      <c r="H91" s="129">
        <v>11050</v>
      </c>
      <c r="I91" s="130">
        <v>5803</v>
      </c>
      <c r="J91" s="130">
        <v>17920</v>
      </c>
    </row>
    <row r="92" spans="2:12" x14ac:dyDescent="0.2">
      <c r="B92" s="131">
        <v>2018</v>
      </c>
      <c r="C92" s="132">
        <f t="shared" ref="C92:J92" si="9">SUM(C80:C91)</f>
        <v>20934</v>
      </c>
      <c r="D92" s="132">
        <f t="shared" si="9"/>
        <v>67470</v>
      </c>
      <c r="E92" s="132">
        <f t="shared" si="9"/>
        <v>2402</v>
      </c>
      <c r="F92" s="132">
        <f t="shared" si="9"/>
        <v>9556</v>
      </c>
      <c r="G92" s="132">
        <f t="shared" si="9"/>
        <v>44462</v>
      </c>
      <c r="H92" s="132">
        <f t="shared" si="9"/>
        <v>125632</v>
      </c>
      <c r="I92" s="132">
        <f t="shared" si="9"/>
        <v>67798</v>
      </c>
      <c r="J92" s="132">
        <f t="shared" si="9"/>
        <v>202658</v>
      </c>
      <c r="K92" s="73"/>
    </row>
    <row r="93" spans="2:12" x14ac:dyDescent="0.2">
      <c r="B93" s="128">
        <v>43466</v>
      </c>
      <c r="C93" s="129">
        <v>1644</v>
      </c>
      <c r="D93" s="129">
        <v>5240</v>
      </c>
      <c r="E93" s="129">
        <v>136</v>
      </c>
      <c r="F93" s="129">
        <v>473</v>
      </c>
      <c r="G93" s="129">
        <v>3602</v>
      </c>
      <c r="H93" s="129">
        <v>10442</v>
      </c>
      <c r="I93" s="129">
        <v>5382</v>
      </c>
      <c r="J93" s="129">
        <v>16155</v>
      </c>
      <c r="K93" s="73"/>
    </row>
    <row r="94" spans="2:12" x14ac:dyDescent="0.2">
      <c r="B94" s="128">
        <v>43497</v>
      </c>
      <c r="C94" s="129">
        <v>1660</v>
      </c>
      <c r="D94" s="129">
        <v>5440</v>
      </c>
      <c r="E94" s="129">
        <v>195</v>
      </c>
      <c r="F94" s="129">
        <v>810</v>
      </c>
      <c r="G94" s="129">
        <v>3859</v>
      </c>
      <c r="H94" s="129">
        <v>11121</v>
      </c>
      <c r="I94" s="129">
        <v>5714</v>
      </c>
      <c r="J94" s="129">
        <v>17371</v>
      </c>
    </row>
    <row r="95" spans="2:12" x14ac:dyDescent="0.2">
      <c r="B95" s="128">
        <v>43525</v>
      </c>
      <c r="C95" s="129">
        <v>1447</v>
      </c>
      <c r="D95" s="129">
        <v>4690</v>
      </c>
      <c r="E95" s="129">
        <v>166</v>
      </c>
      <c r="F95" s="129">
        <v>800</v>
      </c>
      <c r="G95" s="129">
        <v>3536</v>
      </c>
      <c r="H95" s="129">
        <v>10073</v>
      </c>
      <c r="I95" s="129">
        <v>5149</v>
      </c>
      <c r="J95" s="129">
        <v>15563</v>
      </c>
    </row>
    <row r="96" spans="2:12" s="176" customFormat="1" x14ac:dyDescent="0.2">
      <c r="B96" s="128">
        <v>43556</v>
      </c>
      <c r="C96" s="129">
        <v>1532</v>
      </c>
      <c r="D96" s="129">
        <v>5027</v>
      </c>
      <c r="E96" s="129">
        <v>191</v>
      </c>
      <c r="F96" s="129">
        <v>822</v>
      </c>
      <c r="G96" s="129">
        <v>4048</v>
      </c>
      <c r="H96" s="129">
        <v>11053</v>
      </c>
      <c r="I96" s="129">
        <v>5771</v>
      </c>
      <c r="J96" s="129">
        <v>16902</v>
      </c>
      <c r="L96" s="48"/>
    </row>
    <row r="97" spans="2:12" s="176" customFormat="1" x14ac:dyDescent="0.2">
      <c r="B97" s="128">
        <v>43586</v>
      </c>
      <c r="C97" s="129">
        <v>1595</v>
      </c>
      <c r="D97" s="129">
        <v>4923</v>
      </c>
      <c r="E97" s="129">
        <v>179</v>
      </c>
      <c r="F97" s="129">
        <v>655</v>
      </c>
      <c r="G97" s="129">
        <v>3277</v>
      </c>
      <c r="H97" s="129">
        <v>9461</v>
      </c>
      <c r="I97" s="129">
        <v>5051</v>
      </c>
      <c r="J97" s="129">
        <v>15039</v>
      </c>
      <c r="L97" s="48"/>
    </row>
    <row r="98" spans="2:12" x14ac:dyDescent="0.2">
      <c r="B98" s="128">
        <v>43617</v>
      </c>
      <c r="C98" s="129">
        <v>1566</v>
      </c>
      <c r="D98" s="129">
        <v>4922</v>
      </c>
      <c r="E98" s="129">
        <v>128</v>
      </c>
      <c r="F98" s="129">
        <v>485</v>
      </c>
      <c r="G98" s="129">
        <v>3773</v>
      </c>
      <c r="H98" s="129">
        <v>10296</v>
      </c>
      <c r="I98" s="129">
        <v>5467</v>
      </c>
      <c r="J98" s="129">
        <v>15703</v>
      </c>
    </row>
    <row r="99" spans="2:12" x14ac:dyDescent="0.2">
      <c r="B99" s="128">
        <v>43647</v>
      </c>
      <c r="C99" s="129">
        <v>1268</v>
      </c>
      <c r="D99" s="129">
        <v>4145</v>
      </c>
      <c r="E99" s="129">
        <v>119</v>
      </c>
      <c r="F99" s="129">
        <v>491</v>
      </c>
      <c r="G99" s="129">
        <v>4075</v>
      </c>
      <c r="H99" s="129">
        <v>11015</v>
      </c>
      <c r="I99" s="129">
        <v>5462</v>
      </c>
      <c r="J99" s="129">
        <v>15651</v>
      </c>
    </row>
    <row r="100" spans="2:12" s="176" customFormat="1" x14ac:dyDescent="0.2">
      <c r="B100" s="128">
        <v>43678</v>
      </c>
      <c r="C100" s="129">
        <v>1754</v>
      </c>
      <c r="D100" s="129">
        <v>5263</v>
      </c>
      <c r="E100" s="129">
        <v>194</v>
      </c>
      <c r="F100" s="129">
        <v>769</v>
      </c>
      <c r="G100" s="129">
        <v>3280</v>
      </c>
      <c r="H100" s="129">
        <v>9481</v>
      </c>
      <c r="I100" s="129">
        <v>5228</v>
      </c>
      <c r="J100" s="129">
        <v>15513</v>
      </c>
      <c r="L100" s="48"/>
    </row>
    <row r="101" spans="2:12" s="176" customFormat="1" x14ac:dyDescent="0.2">
      <c r="B101" s="128">
        <v>43709</v>
      </c>
      <c r="C101" s="129">
        <v>1699</v>
      </c>
      <c r="D101" s="129">
        <v>5345</v>
      </c>
      <c r="E101" s="129">
        <v>173</v>
      </c>
      <c r="F101" s="129">
        <v>649</v>
      </c>
      <c r="G101" s="129">
        <v>3976</v>
      </c>
      <c r="H101" s="129">
        <v>10889</v>
      </c>
      <c r="I101" s="129">
        <v>5848</v>
      </c>
      <c r="J101" s="129">
        <v>16883</v>
      </c>
      <c r="L101" s="48"/>
    </row>
    <row r="102" spans="2:12" s="176" customFormat="1" x14ac:dyDescent="0.2">
      <c r="B102" s="128">
        <v>43739</v>
      </c>
      <c r="C102" s="129">
        <v>1702</v>
      </c>
      <c r="D102" s="129">
        <v>5319</v>
      </c>
      <c r="E102" s="129">
        <v>176</v>
      </c>
      <c r="F102" s="129">
        <v>664</v>
      </c>
      <c r="G102" s="129">
        <v>4777</v>
      </c>
      <c r="H102" s="129">
        <v>13052</v>
      </c>
      <c r="I102" s="129">
        <v>6655</v>
      </c>
      <c r="J102" s="129">
        <v>19035</v>
      </c>
      <c r="L102" s="48"/>
    </row>
    <row r="103" spans="2:12" s="176" customFormat="1" x14ac:dyDescent="0.2">
      <c r="B103" s="128">
        <v>43770</v>
      </c>
      <c r="C103" s="129">
        <v>1481</v>
      </c>
      <c r="D103" s="129">
        <v>4688</v>
      </c>
      <c r="E103" s="129">
        <v>133</v>
      </c>
      <c r="F103" s="129">
        <v>524</v>
      </c>
      <c r="G103" s="129">
        <v>2191</v>
      </c>
      <c r="H103" s="129">
        <v>6559</v>
      </c>
      <c r="I103" s="129">
        <v>3805</v>
      </c>
      <c r="J103" s="129">
        <v>11771</v>
      </c>
      <c r="L103" s="48"/>
    </row>
    <row r="104" spans="2:12" x14ac:dyDescent="0.2">
      <c r="B104" s="128">
        <v>43800</v>
      </c>
      <c r="C104" s="129">
        <v>1336</v>
      </c>
      <c r="D104" s="129">
        <v>4183</v>
      </c>
      <c r="E104" s="129">
        <v>108</v>
      </c>
      <c r="F104" s="129">
        <v>440</v>
      </c>
      <c r="G104" s="129">
        <v>4914</v>
      </c>
      <c r="H104" s="129">
        <v>13478</v>
      </c>
      <c r="I104" s="129">
        <v>6358</v>
      </c>
      <c r="J104" s="129">
        <v>18101</v>
      </c>
    </row>
    <row r="105" spans="2:12" x14ac:dyDescent="0.2">
      <c r="B105" s="131">
        <v>2019</v>
      </c>
      <c r="C105" s="132">
        <f>SUM(C93:C104)</f>
        <v>18684</v>
      </c>
      <c r="D105" s="132">
        <f t="shared" ref="D105:J105" si="10">SUM(D93:D104)</f>
        <v>59185</v>
      </c>
      <c r="E105" s="132">
        <f t="shared" si="10"/>
        <v>1898</v>
      </c>
      <c r="F105" s="132">
        <f t="shared" si="10"/>
        <v>7582</v>
      </c>
      <c r="G105" s="132">
        <f t="shared" si="10"/>
        <v>45308</v>
      </c>
      <c r="H105" s="132">
        <f t="shared" si="10"/>
        <v>126920</v>
      </c>
      <c r="I105" s="132">
        <f t="shared" si="10"/>
        <v>65890</v>
      </c>
      <c r="J105" s="132">
        <f t="shared" si="10"/>
        <v>193687</v>
      </c>
    </row>
    <row r="106" spans="2:12" s="176" customFormat="1" x14ac:dyDescent="0.2">
      <c r="B106" s="128">
        <v>43831</v>
      </c>
      <c r="C106" s="129">
        <v>2201</v>
      </c>
      <c r="D106" s="129">
        <v>6965</v>
      </c>
      <c r="E106" s="129">
        <v>189</v>
      </c>
      <c r="F106" s="129">
        <v>759</v>
      </c>
      <c r="G106" s="129">
        <v>4583</v>
      </c>
      <c r="H106" s="129">
        <v>12850</v>
      </c>
      <c r="I106" s="129">
        <f t="shared" ref="I106:J107" si="11">C106+E106+G106</f>
        <v>6973</v>
      </c>
      <c r="J106" s="129">
        <f t="shared" si="11"/>
        <v>20574</v>
      </c>
      <c r="L106" s="48"/>
    </row>
    <row r="107" spans="2:12" s="176" customFormat="1" x14ac:dyDescent="0.2">
      <c r="B107" s="128">
        <v>43862</v>
      </c>
      <c r="C107" s="129">
        <v>1863</v>
      </c>
      <c r="D107" s="129">
        <v>5801</v>
      </c>
      <c r="E107" s="129">
        <v>280</v>
      </c>
      <c r="F107" s="129">
        <v>1068</v>
      </c>
      <c r="G107" s="129">
        <v>4722</v>
      </c>
      <c r="H107" s="129">
        <v>13234</v>
      </c>
      <c r="I107" s="129">
        <f t="shared" si="11"/>
        <v>6865</v>
      </c>
      <c r="J107" s="129">
        <f t="shared" si="11"/>
        <v>20103</v>
      </c>
      <c r="L107" s="48"/>
    </row>
    <row r="108" spans="2:12" s="176" customFormat="1" x14ac:dyDescent="0.2">
      <c r="B108" s="128">
        <v>43891</v>
      </c>
      <c r="C108" s="129">
        <v>1546</v>
      </c>
      <c r="D108" s="129">
        <v>4795</v>
      </c>
      <c r="E108" s="129">
        <v>263</v>
      </c>
      <c r="F108" s="129">
        <v>982</v>
      </c>
      <c r="G108" s="129">
        <v>4641</v>
      </c>
      <c r="H108" s="129">
        <v>11822</v>
      </c>
      <c r="I108" s="129">
        <f t="shared" ref="I108:I111" si="12">C108+E108+G108</f>
        <v>6450</v>
      </c>
      <c r="J108" s="129">
        <f t="shared" ref="J108:J111" si="13">D108+F108+H108</f>
        <v>17599</v>
      </c>
      <c r="L108" s="48"/>
    </row>
    <row r="109" spans="2:12" s="176" customFormat="1" x14ac:dyDescent="0.2">
      <c r="B109" s="148">
        <v>43922</v>
      </c>
      <c r="C109" s="130">
        <v>1051</v>
      </c>
      <c r="D109" s="130">
        <v>3202</v>
      </c>
      <c r="E109" s="130">
        <v>187</v>
      </c>
      <c r="F109" s="130">
        <v>651</v>
      </c>
      <c r="G109" s="130">
        <v>1882</v>
      </c>
      <c r="H109" s="130">
        <v>5219</v>
      </c>
      <c r="I109" s="130">
        <f t="shared" si="12"/>
        <v>3120</v>
      </c>
      <c r="J109" s="130">
        <f t="shared" si="13"/>
        <v>9072</v>
      </c>
      <c r="L109" s="48"/>
    </row>
    <row r="110" spans="2:12" s="176" customFormat="1" x14ac:dyDescent="0.2">
      <c r="B110" s="148">
        <v>43952</v>
      </c>
      <c r="C110" s="130">
        <v>909</v>
      </c>
      <c r="D110" s="130">
        <v>2848</v>
      </c>
      <c r="E110" s="130">
        <v>78</v>
      </c>
      <c r="F110" s="130">
        <v>231</v>
      </c>
      <c r="G110" s="130">
        <v>2681</v>
      </c>
      <c r="H110" s="130">
        <v>7557</v>
      </c>
      <c r="I110" s="130">
        <f t="shared" si="12"/>
        <v>3668</v>
      </c>
      <c r="J110" s="130">
        <f t="shared" si="13"/>
        <v>10636</v>
      </c>
      <c r="L110" s="48"/>
    </row>
    <row r="111" spans="2:12" s="176" customFormat="1" x14ac:dyDescent="0.2">
      <c r="B111" s="148">
        <v>43983</v>
      </c>
      <c r="C111" s="130">
        <v>993</v>
      </c>
      <c r="D111" s="130">
        <v>3330</v>
      </c>
      <c r="E111" s="130">
        <v>84</v>
      </c>
      <c r="F111" s="130">
        <v>288</v>
      </c>
      <c r="G111" s="130">
        <v>2933</v>
      </c>
      <c r="H111" s="130">
        <v>8252</v>
      </c>
      <c r="I111" s="130">
        <f t="shared" si="12"/>
        <v>4010</v>
      </c>
      <c r="J111" s="130">
        <f t="shared" si="13"/>
        <v>11870</v>
      </c>
      <c r="L111" s="48"/>
    </row>
    <row r="112" spans="2:12" s="176" customFormat="1" x14ac:dyDescent="0.2">
      <c r="B112" s="128">
        <v>44013</v>
      </c>
      <c r="C112" s="130">
        <v>986</v>
      </c>
      <c r="D112" s="130">
        <v>3235</v>
      </c>
      <c r="E112" s="130">
        <v>89</v>
      </c>
      <c r="F112" s="130">
        <v>315</v>
      </c>
      <c r="G112" s="130">
        <v>2624</v>
      </c>
      <c r="H112" s="130">
        <v>7519</v>
      </c>
      <c r="I112" s="130">
        <f t="shared" ref="I112:I113" si="14">C112+E112+G112</f>
        <v>3699</v>
      </c>
      <c r="J112" s="130">
        <f t="shared" ref="J112:J113" si="15">D112+F112+H112</f>
        <v>11069</v>
      </c>
      <c r="L112" s="48"/>
    </row>
    <row r="113" spans="2:12" s="176" customFormat="1" x14ac:dyDescent="0.2">
      <c r="B113" s="128">
        <v>44044</v>
      </c>
      <c r="C113" s="130">
        <v>1480</v>
      </c>
      <c r="D113" s="130">
        <v>4797</v>
      </c>
      <c r="E113" s="130">
        <v>118</v>
      </c>
      <c r="F113" s="130">
        <v>473</v>
      </c>
      <c r="G113" s="130">
        <v>4002</v>
      </c>
      <c r="H113" s="130">
        <v>11251</v>
      </c>
      <c r="I113" s="130">
        <f t="shared" si="14"/>
        <v>5600</v>
      </c>
      <c r="J113" s="130">
        <f t="shared" si="15"/>
        <v>16521</v>
      </c>
      <c r="L113" s="48"/>
    </row>
    <row r="114" spans="2:12" s="176" customFormat="1" x14ac:dyDescent="0.2">
      <c r="B114" s="148">
        <v>44075</v>
      </c>
      <c r="C114" s="130">
        <v>1186</v>
      </c>
      <c r="D114" s="130">
        <v>3543</v>
      </c>
      <c r="E114" s="130">
        <v>159</v>
      </c>
      <c r="F114" s="130">
        <v>638</v>
      </c>
      <c r="G114" s="130">
        <v>4911</v>
      </c>
      <c r="H114" s="130">
        <v>13887</v>
      </c>
      <c r="I114" s="130">
        <f t="shared" ref="I114" si="16">C114+E114+G114</f>
        <v>6256</v>
      </c>
      <c r="J114" s="130">
        <f t="shared" ref="J114" si="17">D114+F114+H114</f>
        <v>18068</v>
      </c>
      <c r="L114" s="48"/>
    </row>
    <row r="115" spans="2:12" s="176" customFormat="1" x14ac:dyDescent="0.2">
      <c r="B115" s="148">
        <v>44105</v>
      </c>
      <c r="C115" s="130">
        <v>1467</v>
      </c>
      <c r="D115" s="130">
        <v>4681</v>
      </c>
      <c r="E115" s="130">
        <v>192</v>
      </c>
      <c r="F115" s="130">
        <v>699</v>
      </c>
      <c r="G115" s="130">
        <v>5018</v>
      </c>
      <c r="H115" s="130">
        <v>14011</v>
      </c>
      <c r="I115" s="130">
        <f t="shared" ref="I115:I117" si="18">C115+E115+G115</f>
        <v>6677</v>
      </c>
      <c r="J115" s="130">
        <f t="shared" ref="J115:J117" si="19">D115+F115+H115</f>
        <v>19391</v>
      </c>
      <c r="L115" s="48"/>
    </row>
    <row r="116" spans="2:12" s="176" customFormat="1" x14ac:dyDescent="0.2">
      <c r="B116" s="148">
        <v>44136</v>
      </c>
      <c r="C116" s="130">
        <v>1677</v>
      </c>
      <c r="D116" s="130">
        <v>5559</v>
      </c>
      <c r="E116" s="130">
        <v>165</v>
      </c>
      <c r="F116" s="130">
        <v>618</v>
      </c>
      <c r="G116" s="130">
        <v>5429</v>
      </c>
      <c r="H116" s="130">
        <v>14876</v>
      </c>
      <c r="I116" s="130">
        <f t="shared" si="18"/>
        <v>7271</v>
      </c>
      <c r="J116" s="130">
        <f t="shared" si="19"/>
        <v>21053</v>
      </c>
      <c r="L116" s="48"/>
    </row>
    <row r="117" spans="2:12" s="176" customFormat="1" x14ac:dyDescent="0.2">
      <c r="B117" s="148">
        <v>44166</v>
      </c>
      <c r="C117" s="130">
        <v>1800</v>
      </c>
      <c r="D117" s="130">
        <v>5642</v>
      </c>
      <c r="E117" s="130">
        <v>202</v>
      </c>
      <c r="F117" s="130">
        <v>734</v>
      </c>
      <c r="G117" s="130">
        <v>5058</v>
      </c>
      <c r="H117" s="130">
        <v>13896</v>
      </c>
      <c r="I117" s="130">
        <f t="shared" si="18"/>
        <v>7060</v>
      </c>
      <c r="J117" s="130">
        <f t="shared" si="19"/>
        <v>20272</v>
      </c>
      <c r="L117" s="48"/>
    </row>
    <row r="118" spans="2:12" s="176" customFormat="1" x14ac:dyDescent="0.2">
      <c r="B118" s="131">
        <v>2020</v>
      </c>
      <c r="C118" s="132">
        <f>SUM(C106:C117)</f>
        <v>17159</v>
      </c>
      <c r="D118" s="132">
        <f t="shared" ref="D118:J118" si="20">SUM(D106:D117)</f>
        <v>54398</v>
      </c>
      <c r="E118" s="132">
        <f t="shared" si="20"/>
        <v>2006</v>
      </c>
      <c r="F118" s="132">
        <f t="shared" si="20"/>
        <v>7456</v>
      </c>
      <c r="G118" s="132">
        <f t="shared" si="20"/>
        <v>48484</v>
      </c>
      <c r="H118" s="132">
        <f t="shared" si="20"/>
        <v>134374</v>
      </c>
      <c r="I118" s="132">
        <f t="shared" si="20"/>
        <v>67649</v>
      </c>
      <c r="J118" s="132">
        <f t="shared" si="20"/>
        <v>196228</v>
      </c>
      <c r="L118" s="48"/>
    </row>
    <row r="119" spans="2:12" s="176" customFormat="1" x14ac:dyDescent="0.2">
      <c r="B119" s="148">
        <v>44197</v>
      </c>
      <c r="C119" s="130">
        <v>1411</v>
      </c>
      <c r="D119" s="130">
        <v>4622</v>
      </c>
      <c r="E119" s="130">
        <v>155</v>
      </c>
      <c r="F119" s="130">
        <v>625</v>
      </c>
      <c r="G119" s="130">
        <v>4306</v>
      </c>
      <c r="H119" s="130">
        <v>11827</v>
      </c>
      <c r="I119" s="130">
        <f t="shared" ref="I119:J122" si="21">C119+E119+G119</f>
        <v>5872</v>
      </c>
      <c r="J119" s="130">
        <f t="shared" si="21"/>
        <v>17074</v>
      </c>
      <c r="L119" s="48"/>
    </row>
    <row r="120" spans="2:12" s="176" customFormat="1" x14ac:dyDescent="0.2">
      <c r="B120" s="148">
        <v>44228</v>
      </c>
      <c r="C120" s="130">
        <v>1495</v>
      </c>
      <c r="D120" s="130">
        <v>4904</v>
      </c>
      <c r="E120" s="130">
        <v>139</v>
      </c>
      <c r="F120" s="130">
        <v>531</v>
      </c>
      <c r="G120" s="130">
        <v>4764</v>
      </c>
      <c r="H120" s="130">
        <v>12927</v>
      </c>
      <c r="I120" s="130">
        <f t="shared" si="21"/>
        <v>6398</v>
      </c>
      <c r="J120" s="130">
        <f t="shared" si="21"/>
        <v>18362</v>
      </c>
      <c r="L120" s="48"/>
    </row>
    <row r="121" spans="2:12" s="176" customFormat="1" x14ac:dyDescent="0.2">
      <c r="B121" s="148">
        <v>44256</v>
      </c>
      <c r="C121" s="130">
        <v>1529</v>
      </c>
      <c r="D121" s="130">
        <v>4851</v>
      </c>
      <c r="E121" s="130">
        <v>159</v>
      </c>
      <c r="F121" s="130">
        <v>584</v>
      </c>
      <c r="G121" s="130">
        <v>4596</v>
      </c>
      <c r="H121" s="130">
        <v>12534</v>
      </c>
      <c r="I121" s="130">
        <f t="shared" si="21"/>
        <v>6284</v>
      </c>
      <c r="J121" s="130">
        <f t="shared" si="21"/>
        <v>17969</v>
      </c>
      <c r="L121" s="48"/>
    </row>
    <row r="122" spans="2:12" s="176" customFormat="1" x14ac:dyDescent="0.2">
      <c r="B122" s="148">
        <v>44287</v>
      </c>
      <c r="C122" s="130">
        <v>1554</v>
      </c>
      <c r="D122" s="130">
        <v>4890</v>
      </c>
      <c r="E122" s="130">
        <v>204</v>
      </c>
      <c r="F122" s="130">
        <v>672</v>
      </c>
      <c r="G122" s="130">
        <v>3887</v>
      </c>
      <c r="H122" s="130">
        <v>10535</v>
      </c>
      <c r="I122" s="130">
        <f t="shared" si="21"/>
        <v>5645</v>
      </c>
      <c r="J122" s="130">
        <f t="shared" si="21"/>
        <v>16097</v>
      </c>
      <c r="L122" s="48"/>
    </row>
    <row r="123" spans="2:12" s="176" customFormat="1" x14ac:dyDescent="0.2">
      <c r="B123" s="148">
        <v>44317</v>
      </c>
      <c r="C123" s="130">
        <v>1339</v>
      </c>
      <c r="D123" s="130">
        <v>4387</v>
      </c>
      <c r="E123" s="130">
        <v>188</v>
      </c>
      <c r="F123" s="130">
        <v>681</v>
      </c>
      <c r="G123" s="130">
        <v>4727</v>
      </c>
      <c r="H123" s="130">
        <v>12674</v>
      </c>
      <c r="I123" s="130">
        <f t="shared" ref="I123" si="22">C123+E123+G123</f>
        <v>6254</v>
      </c>
      <c r="J123" s="130">
        <f t="shared" ref="J123" si="23">D123+F123+H123</f>
        <v>17742</v>
      </c>
      <c r="L123" s="48"/>
    </row>
    <row r="124" spans="2:12" s="176" customFormat="1" x14ac:dyDescent="0.2">
      <c r="B124" s="148">
        <v>44348</v>
      </c>
      <c r="C124" s="130">
        <v>1705</v>
      </c>
      <c r="D124" s="130">
        <v>5296</v>
      </c>
      <c r="E124" s="130">
        <v>180</v>
      </c>
      <c r="F124" s="130">
        <v>647</v>
      </c>
      <c r="G124" s="130">
        <v>4571</v>
      </c>
      <c r="H124" s="130">
        <v>12236</v>
      </c>
      <c r="I124" s="130">
        <f t="shared" ref="I124:I126" si="24">C124+E124+G124</f>
        <v>6456</v>
      </c>
      <c r="J124" s="130">
        <f t="shared" ref="J124:J126" si="25">D124+F124+H124</f>
        <v>18179</v>
      </c>
      <c r="L124" s="48"/>
    </row>
    <row r="125" spans="2:12" s="176" customFormat="1" x14ac:dyDescent="0.2">
      <c r="B125" s="148">
        <v>44378</v>
      </c>
      <c r="C125" s="130">
        <v>1501</v>
      </c>
      <c r="D125" s="130">
        <v>4957</v>
      </c>
      <c r="E125" s="130">
        <v>165</v>
      </c>
      <c r="F125" s="130">
        <v>584</v>
      </c>
      <c r="G125" s="130">
        <v>4456</v>
      </c>
      <c r="H125" s="130">
        <v>12115</v>
      </c>
      <c r="I125" s="130">
        <f t="shared" si="24"/>
        <v>6122</v>
      </c>
      <c r="J125" s="130">
        <f t="shared" si="25"/>
        <v>17656</v>
      </c>
      <c r="L125" s="48"/>
    </row>
    <row r="126" spans="2:12" s="176" customFormat="1" x14ac:dyDescent="0.2">
      <c r="B126" s="148">
        <v>44409</v>
      </c>
      <c r="C126" s="130">
        <v>1958</v>
      </c>
      <c r="D126" s="130">
        <v>6075</v>
      </c>
      <c r="E126" s="130">
        <v>199</v>
      </c>
      <c r="F126" s="130">
        <v>683</v>
      </c>
      <c r="G126" s="130">
        <v>5531</v>
      </c>
      <c r="H126" s="130">
        <v>15024</v>
      </c>
      <c r="I126" s="130">
        <f t="shared" si="24"/>
        <v>7688</v>
      </c>
      <c r="J126" s="130">
        <f t="shared" si="25"/>
        <v>21782</v>
      </c>
      <c r="L126" s="48"/>
    </row>
    <row r="127" spans="2:12" s="176" customFormat="1" x14ac:dyDescent="0.2">
      <c r="B127" s="148">
        <v>44440</v>
      </c>
      <c r="C127" s="130">
        <v>2110</v>
      </c>
      <c r="D127" s="130">
        <v>6529</v>
      </c>
      <c r="E127" s="130">
        <v>220</v>
      </c>
      <c r="F127" s="130">
        <v>837</v>
      </c>
      <c r="G127" s="130">
        <v>5212</v>
      </c>
      <c r="H127" s="130">
        <v>13910</v>
      </c>
      <c r="I127" s="130">
        <f t="shared" ref="I127:I131" si="26">C127+E127+G127</f>
        <v>7542</v>
      </c>
      <c r="J127" s="130">
        <f t="shared" ref="J127:J131" si="27">D127+F127+H127</f>
        <v>21276</v>
      </c>
      <c r="L127" s="48"/>
    </row>
    <row r="128" spans="2:12" s="176" customFormat="1" x14ac:dyDescent="0.2">
      <c r="B128" s="148">
        <v>44470</v>
      </c>
      <c r="C128" s="130">
        <v>1995</v>
      </c>
      <c r="D128" s="130">
        <v>6274</v>
      </c>
      <c r="E128" s="130">
        <v>253</v>
      </c>
      <c r="F128" s="130">
        <v>909</v>
      </c>
      <c r="G128" s="130">
        <v>5673</v>
      </c>
      <c r="H128" s="130">
        <v>15241</v>
      </c>
      <c r="I128" s="130">
        <f t="shared" ref="I128:I129" si="28">C128+E128+G128</f>
        <v>7921</v>
      </c>
      <c r="J128" s="130">
        <f t="shared" ref="J128:J129" si="29">D128+F128+H128</f>
        <v>22424</v>
      </c>
      <c r="L128" s="48"/>
    </row>
    <row r="129" spans="2:12" s="176" customFormat="1" x14ac:dyDescent="0.2">
      <c r="B129" s="148">
        <v>44501</v>
      </c>
      <c r="C129" s="130">
        <v>2001</v>
      </c>
      <c r="D129" s="130">
        <v>6341</v>
      </c>
      <c r="E129" s="130">
        <v>307</v>
      </c>
      <c r="F129" s="130">
        <v>1121</v>
      </c>
      <c r="G129" s="130">
        <v>5341</v>
      </c>
      <c r="H129" s="130">
        <v>14390</v>
      </c>
      <c r="I129" s="130">
        <f t="shared" si="28"/>
        <v>7649</v>
      </c>
      <c r="J129" s="130">
        <f t="shared" si="29"/>
        <v>21852</v>
      </c>
      <c r="L129" s="48"/>
    </row>
    <row r="130" spans="2:12" s="176" customFormat="1" x14ac:dyDescent="0.2">
      <c r="B130" s="148">
        <v>44531</v>
      </c>
      <c r="C130" s="130">
        <v>2034</v>
      </c>
      <c r="D130" s="130">
        <v>6415</v>
      </c>
      <c r="E130" s="130">
        <v>294</v>
      </c>
      <c r="F130" s="130">
        <v>1037</v>
      </c>
      <c r="G130" s="130">
        <v>5520</v>
      </c>
      <c r="H130" s="130">
        <v>14702</v>
      </c>
      <c r="I130" s="130">
        <f t="shared" ref="I130" si="30">C130+E130+G130</f>
        <v>7848</v>
      </c>
      <c r="J130" s="130">
        <f t="shared" ref="J130" si="31">D130+F130+H130</f>
        <v>22154</v>
      </c>
      <c r="L130" s="48"/>
    </row>
    <row r="131" spans="2:12" s="176" customFormat="1" x14ac:dyDescent="0.2">
      <c r="B131" s="131">
        <v>2021</v>
      </c>
      <c r="C131" s="132">
        <f>SUM(C119:C130)</f>
        <v>20632</v>
      </c>
      <c r="D131" s="132">
        <f t="shared" ref="D131:H131" si="32">SUM(D119:D130)</f>
        <v>65541</v>
      </c>
      <c r="E131" s="132">
        <f t="shared" si="32"/>
        <v>2463</v>
      </c>
      <c r="F131" s="132">
        <f t="shared" si="32"/>
        <v>8911</v>
      </c>
      <c r="G131" s="132">
        <f t="shared" si="32"/>
        <v>58584</v>
      </c>
      <c r="H131" s="132">
        <f t="shared" si="32"/>
        <v>158115</v>
      </c>
      <c r="I131" s="132">
        <f t="shared" si="26"/>
        <v>81679</v>
      </c>
      <c r="J131" s="132">
        <f t="shared" si="27"/>
        <v>232567</v>
      </c>
      <c r="L131" s="48"/>
    </row>
    <row r="132" spans="2:12" s="176" customFormat="1" x14ac:dyDescent="0.2">
      <c r="B132" s="407" t="s">
        <v>28</v>
      </c>
      <c r="C132" s="407"/>
      <c r="D132" s="407"/>
      <c r="E132" s="407"/>
      <c r="F132" s="407"/>
      <c r="G132" s="407"/>
      <c r="H132" s="407"/>
      <c r="I132" s="200">
        <f>I11+I12+I13+I14+I27+I40+I53+I66+I79+I92+I105+I118+I131</f>
        <v>803617</v>
      </c>
      <c r="J132" s="200">
        <f>J11+J12+J13+J14+J27+J40+J53+J66+J79+J92+J105+J118+J131</f>
        <v>2648049</v>
      </c>
      <c r="L132" s="48"/>
    </row>
    <row r="133" spans="2:12" x14ac:dyDescent="0.2">
      <c r="B133" s="25" t="s">
        <v>473</v>
      </c>
    </row>
    <row r="134" spans="2:12" x14ac:dyDescent="0.2">
      <c r="B134" s="25" t="s">
        <v>474</v>
      </c>
    </row>
    <row r="135" spans="2:12" x14ac:dyDescent="0.2">
      <c r="B135" s="25" t="s">
        <v>475</v>
      </c>
    </row>
  </sheetData>
  <mergeCells count="9">
    <mergeCell ref="B132:H132"/>
    <mergeCell ref="B5:J5"/>
    <mergeCell ref="B6:J6"/>
    <mergeCell ref="B8:B10"/>
    <mergeCell ref="C8:J8"/>
    <mergeCell ref="C9:D9"/>
    <mergeCell ref="E9:F9"/>
    <mergeCell ref="G9:H9"/>
    <mergeCell ref="I9:J9"/>
  </mergeCells>
  <hyperlinks>
    <hyperlink ref="L5" location="'Índice BxH'!A1" display="Volver a Bono por Hijo" xr:uid="{00000000-0004-0000-1800-000000000000}"/>
  </hyperlinks>
  <pageMargins left="0.7" right="0.7" top="0.75" bottom="0.75" header="0.3" footer="0.3"/>
  <pageSetup orientation="portrait" verticalDpi="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2:L122"/>
  <sheetViews>
    <sheetView showGridLines="0" zoomScale="90" zoomScaleNormal="90" workbookViewId="0">
      <pane xSplit="2" ySplit="9" topLeftCell="C101" activePane="bottomRight" state="frozen"/>
      <selection activeCell="A6" sqref="A6:XFD6"/>
      <selection pane="topRight" activeCell="A6" sqref="A6:XFD6"/>
      <selection pane="bottomLeft" activeCell="A6" sqref="A6:XFD6"/>
      <selection pane="bottomRight" activeCell="H109" sqref="H109"/>
    </sheetView>
  </sheetViews>
  <sheetFormatPr baseColWidth="10" defaultRowHeight="12" x14ac:dyDescent="0.2"/>
  <cols>
    <col min="1" max="1" width="6" style="25" customWidth="1"/>
    <col min="2" max="2" width="13.85546875" style="25" customWidth="1"/>
    <col min="3" max="3" width="21.28515625" style="25" customWidth="1"/>
    <col min="4" max="4" width="19.140625" style="25" customWidth="1"/>
    <col min="5" max="5" width="16.85546875" style="25" customWidth="1"/>
    <col min="6" max="257" width="11.42578125" style="25"/>
    <col min="258" max="258" width="13.85546875" style="25" customWidth="1"/>
    <col min="259" max="259" width="21.28515625" style="25" customWidth="1"/>
    <col min="260" max="260" width="19.140625" style="25" customWidth="1"/>
    <col min="261" max="261" width="16.85546875" style="25" customWidth="1"/>
    <col min="262" max="513" width="11.42578125" style="25"/>
    <col min="514" max="514" width="13.85546875" style="25" customWidth="1"/>
    <col min="515" max="515" width="21.28515625" style="25" customWidth="1"/>
    <col min="516" max="516" width="19.140625" style="25" customWidth="1"/>
    <col min="517" max="517" width="16.85546875" style="25" customWidth="1"/>
    <col min="518" max="769" width="11.42578125" style="25"/>
    <col min="770" max="770" width="13.85546875" style="25" customWidth="1"/>
    <col min="771" max="771" width="21.28515625" style="25" customWidth="1"/>
    <col min="772" max="772" width="19.140625" style="25" customWidth="1"/>
    <col min="773" max="773" width="16.85546875" style="25" customWidth="1"/>
    <col min="774" max="1025" width="11.42578125" style="25"/>
    <col min="1026" max="1026" width="13.85546875" style="25" customWidth="1"/>
    <col min="1027" max="1027" width="21.28515625" style="25" customWidth="1"/>
    <col min="1028" max="1028" width="19.140625" style="25" customWidth="1"/>
    <col min="1029" max="1029" width="16.85546875" style="25" customWidth="1"/>
    <col min="1030" max="1281" width="11.42578125" style="25"/>
    <col min="1282" max="1282" width="13.85546875" style="25" customWidth="1"/>
    <col min="1283" max="1283" width="21.28515625" style="25" customWidth="1"/>
    <col min="1284" max="1284" width="19.140625" style="25" customWidth="1"/>
    <col min="1285" max="1285" width="16.85546875" style="25" customWidth="1"/>
    <col min="1286" max="1537" width="11.42578125" style="25"/>
    <col min="1538" max="1538" width="13.85546875" style="25" customWidth="1"/>
    <col min="1539" max="1539" width="21.28515625" style="25" customWidth="1"/>
    <col min="1540" max="1540" width="19.140625" style="25" customWidth="1"/>
    <col min="1541" max="1541" width="16.85546875" style="25" customWidth="1"/>
    <col min="1542" max="1793" width="11.42578125" style="25"/>
    <col min="1794" max="1794" width="13.85546875" style="25" customWidth="1"/>
    <col min="1795" max="1795" width="21.28515625" style="25" customWidth="1"/>
    <col min="1796" max="1796" width="19.140625" style="25" customWidth="1"/>
    <col min="1797" max="1797" width="16.85546875" style="25" customWidth="1"/>
    <col min="1798" max="2049" width="11.42578125" style="25"/>
    <col min="2050" max="2050" width="13.85546875" style="25" customWidth="1"/>
    <col min="2051" max="2051" width="21.28515625" style="25" customWidth="1"/>
    <col min="2052" max="2052" width="19.140625" style="25" customWidth="1"/>
    <col min="2053" max="2053" width="16.85546875" style="25" customWidth="1"/>
    <col min="2054" max="2305" width="11.42578125" style="25"/>
    <col min="2306" max="2306" width="13.85546875" style="25" customWidth="1"/>
    <col min="2307" max="2307" width="21.28515625" style="25" customWidth="1"/>
    <col min="2308" max="2308" width="19.140625" style="25" customWidth="1"/>
    <col min="2309" max="2309" width="16.85546875" style="25" customWidth="1"/>
    <col min="2310" max="2561" width="11.42578125" style="25"/>
    <col min="2562" max="2562" width="13.85546875" style="25" customWidth="1"/>
    <col min="2563" max="2563" width="21.28515625" style="25" customWidth="1"/>
    <col min="2564" max="2564" width="19.140625" style="25" customWidth="1"/>
    <col min="2565" max="2565" width="16.85546875" style="25" customWidth="1"/>
    <col min="2566" max="2817" width="11.42578125" style="25"/>
    <col min="2818" max="2818" width="13.85546875" style="25" customWidth="1"/>
    <col min="2819" max="2819" width="21.28515625" style="25" customWidth="1"/>
    <col min="2820" max="2820" width="19.140625" style="25" customWidth="1"/>
    <col min="2821" max="2821" width="16.85546875" style="25" customWidth="1"/>
    <col min="2822" max="3073" width="11.42578125" style="25"/>
    <col min="3074" max="3074" width="13.85546875" style="25" customWidth="1"/>
    <col min="3075" max="3075" width="21.28515625" style="25" customWidth="1"/>
    <col min="3076" max="3076" width="19.140625" style="25" customWidth="1"/>
    <col min="3077" max="3077" width="16.85546875" style="25" customWidth="1"/>
    <col min="3078" max="3329" width="11.42578125" style="25"/>
    <col min="3330" max="3330" width="13.85546875" style="25" customWidth="1"/>
    <col min="3331" max="3331" width="21.28515625" style="25" customWidth="1"/>
    <col min="3332" max="3332" width="19.140625" style="25" customWidth="1"/>
    <col min="3333" max="3333" width="16.85546875" style="25" customWidth="1"/>
    <col min="3334" max="3585" width="11.42578125" style="25"/>
    <col min="3586" max="3586" width="13.85546875" style="25" customWidth="1"/>
    <col min="3587" max="3587" width="21.28515625" style="25" customWidth="1"/>
    <col min="3588" max="3588" width="19.140625" style="25" customWidth="1"/>
    <col min="3589" max="3589" width="16.85546875" style="25" customWidth="1"/>
    <col min="3590" max="3841" width="11.42578125" style="25"/>
    <col min="3842" max="3842" width="13.85546875" style="25" customWidth="1"/>
    <col min="3843" max="3843" width="21.28515625" style="25" customWidth="1"/>
    <col min="3844" max="3844" width="19.140625" style="25" customWidth="1"/>
    <col min="3845" max="3845" width="16.85546875" style="25" customWidth="1"/>
    <col min="3846" max="4097" width="11.42578125" style="25"/>
    <col min="4098" max="4098" width="13.85546875" style="25" customWidth="1"/>
    <col min="4099" max="4099" width="21.28515625" style="25" customWidth="1"/>
    <col min="4100" max="4100" width="19.140625" style="25" customWidth="1"/>
    <col min="4101" max="4101" width="16.85546875" style="25" customWidth="1"/>
    <col min="4102" max="4353" width="11.42578125" style="25"/>
    <col min="4354" max="4354" width="13.85546875" style="25" customWidth="1"/>
    <col min="4355" max="4355" width="21.28515625" style="25" customWidth="1"/>
    <col min="4356" max="4356" width="19.140625" style="25" customWidth="1"/>
    <col min="4357" max="4357" width="16.85546875" style="25" customWidth="1"/>
    <col min="4358" max="4609" width="11.42578125" style="25"/>
    <col min="4610" max="4610" width="13.85546875" style="25" customWidth="1"/>
    <col min="4611" max="4611" width="21.28515625" style="25" customWidth="1"/>
    <col min="4612" max="4612" width="19.140625" style="25" customWidth="1"/>
    <col min="4613" max="4613" width="16.85546875" style="25" customWidth="1"/>
    <col min="4614" max="4865" width="11.42578125" style="25"/>
    <col min="4866" max="4866" width="13.85546875" style="25" customWidth="1"/>
    <col min="4867" max="4867" width="21.28515625" style="25" customWidth="1"/>
    <col min="4868" max="4868" width="19.140625" style="25" customWidth="1"/>
    <col min="4869" max="4869" width="16.85546875" style="25" customWidth="1"/>
    <col min="4870" max="5121" width="11.42578125" style="25"/>
    <col min="5122" max="5122" width="13.85546875" style="25" customWidth="1"/>
    <col min="5123" max="5123" width="21.28515625" style="25" customWidth="1"/>
    <col min="5124" max="5124" width="19.140625" style="25" customWidth="1"/>
    <col min="5125" max="5125" width="16.85546875" style="25" customWidth="1"/>
    <col min="5126" max="5377" width="11.42578125" style="25"/>
    <col min="5378" max="5378" width="13.85546875" style="25" customWidth="1"/>
    <col min="5379" max="5379" width="21.28515625" style="25" customWidth="1"/>
    <col min="5380" max="5380" width="19.140625" style="25" customWidth="1"/>
    <col min="5381" max="5381" width="16.85546875" style="25" customWidth="1"/>
    <col min="5382" max="5633" width="11.42578125" style="25"/>
    <col min="5634" max="5634" width="13.85546875" style="25" customWidth="1"/>
    <col min="5635" max="5635" width="21.28515625" style="25" customWidth="1"/>
    <col min="5636" max="5636" width="19.140625" style="25" customWidth="1"/>
    <col min="5637" max="5637" width="16.85546875" style="25" customWidth="1"/>
    <col min="5638" max="5889" width="11.42578125" style="25"/>
    <col min="5890" max="5890" width="13.85546875" style="25" customWidth="1"/>
    <col min="5891" max="5891" width="21.28515625" style="25" customWidth="1"/>
    <col min="5892" max="5892" width="19.140625" style="25" customWidth="1"/>
    <col min="5893" max="5893" width="16.85546875" style="25" customWidth="1"/>
    <col min="5894" max="6145" width="11.42578125" style="25"/>
    <col min="6146" max="6146" width="13.85546875" style="25" customWidth="1"/>
    <col min="6147" max="6147" width="21.28515625" style="25" customWidth="1"/>
    <col min="6148" max="6148" width="19.140625" style="25" customWidth="1"/>
    <col min="6149" max="6149" width="16.85546875" style="25" customWidth="1"/>
    <col min="6150" max="6401" width="11.42578125" style="25"/>
    <col min="6402" max="6402" width="13.85546875" style="25" customWidth="1"/>
    <col min="6403" max="6403" width="21.28515625" style="25" customWidth="1"/>
    <col min="6404" max="6404" width="19.140625" style="25" customWidth="1"/>
    <col min="6405" max="6405" width="16.85546875" style="25" customWidth="1"/>
    <col min="6406" max="6657" width="11.42578125" style="25"/>
    <col min="6658" max="6658" width="13.85546875" style="25" customWidth="1"/>
    <col min="6659" max="6659" width="21.28515625" style="25" customWidth="1"/>
    <col min="6660" max="6660" width="19.140625" style="25" customWidth="1"/>
    <col min="6661" max="6661" width="16.85546875" style="25" customWidth="1"/>
    <col min="6662" max="6913" width="11.42578125" style="25"/>
    <col min="6914" max="6914" width="13.85546875" style="25" customWidth="1"/>
    <col min="6915" max="6915" width="21.28515625" style="25" customWidth="1"/>
    <col min="6916" max="6916" width="19.140625" style="25" customWidth="1"/>
    <col min="6917" max="6917" width="16.85546875" style="25" customWidth="1"/>
    <col min="6918" max="7169" width="11.42578125" style="25"/>
    <col min="7170" max="7170" width="13.85546875" style="25" customWidth="1"/>
    <col min="7171" max="7171" width="21.28515625" style="25" customWidth="1"/>
    <col min="7172" max="7172" width="19.140625" style="25" customWidth="1"/>
    <col min="7173" max="7173" width="16.85546875" style="25" customWidth="1"/>
    <col min="7174" max="7425" width="11.42578125" style="25"/>
    <col min="7426" max="7426" width="13.85546875" style="25" customWidth="1"/>
    <col min="7427" max="7427" width="21.28515625" style="25" customWidth="1"/>
    <col min="7428" max="7428" width="19.140625" style="25" customWidth="1"/>
    <col min="7429" max="7429" width="16.85546875" style="25" customWidth="1"/>
    <col min="7430" max="7681" width="11.42578125" style="25"/>
    <col min="7682" max="7682" width="13.85546875" style="25" customWidth="1"/>
    <col min="7683" max="7683" width="21.28515625" style="25" customWidth="1"/>
    <col min="7684" max="7684" width="19.140625" style="25" customWidth="1"/>
    <col min="7685" max="7685" width="16.85546875" style="25" customWidth="1"/>
    <col min="7686" max="7937" width="11.42578125" style="25"/>
    <col min="7938" max="7938" width="13.85546875" style="25" customWidth="1"/>
    <col min="7939" max="7939" width="21.28515625" style="25" customWidth="1"/>
    <col min="7940" max="7940" width="19.140625" style="25" customWidth="1"/>
    <col min="7941" max="7941" width="16.85546875" style="25" customWidth="1"/>
    <col min="7942" max="8193" width="11.42578125" style="25"/>
    <col min="8194" max="8194" width="13.85546875" style="25" customWidth="1"/>
    <col min="8195" max="8195" width="21.28515625" style="25" customWidth="1"/>
    <col min="8196" max="8196" width="19.140625" style="25" customWidth="1"/>
    <col min="8197" max="8197" width="16.85546875" style="25" customWidth="1"/>
    <col min="8198" max="8449" width="11.42578125" style="25"/>
    <col min="8450" max="8450" width="13.85546875" style="25" customWidth="1"/>
    <col min="8451" max="8451" width="21.28515625" style="25" customWidth="1"/>
    <col min="8452" max="8452" width="19.140625" style="25" customWidth="1"/>
    <col min="8453" max="8453" width="16.85546875" style="25" customWidth="1"/>
    <col min="8454" max="8705" width="11.42578125" style="25"/>
    <col min="8706" max="8706" width="13.85546875" style="25" customWidth="1"/>
    <col min="8707" max="8707" width="21.28515625" style="25" customWidth="1"/>
    <col min="8708" max="8708" width="19.140625" style="25" customWidth="1"/>
    <col min="8709" max="8709" width="16.85546875" style="25" customWidth="1"/>
    <col min="8710" max="8961" width="11.42578125" style="25"/>
    <col min="8962" max="8962" width="13.85546875" style="25" customWidth="1"/>
    <col min="8963" max="8963" width="21.28515625" style="25" customWidth="1"/>
    <col min="8964" max="8964" width="19.140625" style="25" customWidth="1"/>
    <col min="8965" max="8965" width="16.85546875" style="25" customWidth="1"/>
    <col min="8966" max="9217" width="11.42578125" style="25"/>
    <col min="9218" max="9218" width="13.85546875" style="25" customWidth="1"/>
    <col min="9219" max="9219" width="21.28515625" style="25" customWidth="1"/>
    <col min="9220" max="9220" width="19.140625" style="25" customWidth="1"/>
    <col min="9221" max="9221" width="16.85546875" style="25" customWidth="1"/>
    <col min="9222" max="9473" width="11.42578125" style="25"/>
    <col min="9474" max="9474" width="13.85546875" style="25" customWidth="1"/>
    <col min="9475" max="9475" width="21.28515625" style="25" customWidth="1"/>
    <col min="9476" max="9476" width="19.140625" style="25" customWidth="1"/>
    <col min="9477" max="9477" width="16.85546875" style="25" customWidth="1"/>
    <col min="9478" max="9729" width="11.42578125" style="25"/>
    <col min="9730" max="9730" width="13.85546875" style="25" customWidth="1"/>
    <col min="9731" max="9731" width="21.28515625" style="25" customWidth="1"/>
    <col min="9732" max="9732" width="19.140625" style="25" customWidth="1"/>
    <col min="9733" max="9733" width="16.85546875" style="25" customWidth="1"/>
    <col min="9734" max="9985" width="11.42578125" style="25"/>
    <col min="9986" max="9986" width="13.85546875" style="25" customWidth="1"/>
    <col min="9987" max="9987" width="21.28515625" style="25" customWidth="1"/>
    <col min="9988" max="9988" width="19.140625" style="25" customWidth="1"/>
    <col min="9989" max="9989" width="16.85546875" style="25" customWidth="1"/>
    <col min="9990" max="10241" width="11.42578125" style="25"/>
    <col min="10242" max="10242" width="13.85546875" style="25" customWidth="1"/>
    <col min="10243" max="10243" width="21.28515625" style="25" customWidth="1"/>
    <col min="10244" max="10244" width="19.140625" style="25" customWidth="1"/>
    <col min="10245" max="10245" width="16.85546875" style="25" customWidth="1"/>
    <col min="10246" max="10497" width="11.42578125" style="25"/>
    <col min="10498" max="10498" width="13.85546875" style="25" customWidth="1"/>
    <col min="10499" max="10499" width="21.28515625" style="25" customWidth="1"/>
    <col min="10500" max="10500" width="19.140625" style="25" customWidth="1"/>
    <col min="10501" max="10501" width="16.85546875" style="25" customWidth="1"/>
    <col min="10502" max="10753" width="11.42578125" style="25"/>
    <col min="10754" max="10754" width="13.85546875" style="25" customWidth="1"/>
    <col min="10755" max="10755" width="21.28515625" style="25" customWidth="1"/>
    <col min="10756" max="10756" width="19.140625" style="25" customWidth="1"/>
    <col min="10757" max="10757" width="16.85546875" style="25" customWidth="1"/>
    <col min="10758" max="11009" width="11.42578125" style="25"/>
    <col min="11010" max="11010" width="13.85546875" style="25" customWidth="1"/>
    <col min="11011" max="11011" width="21.28515625" style="25" customWidth="1"/>
    <col min="11012" max="11012" width="19.140625" style="25" customWidth="1"/>
    <col min="11013" max="11013" width="16.85546875" style="25" customWidth="1"/>
    <col min="11014" max="11265" width="11.42578125" style="25"/>
    <col min="11266" max="11266" width="13.85546875" style="25" customWidth="1"/>
    <col min="11267" max="11267" width="21.28515625" style="25" customWidth="1"/>
    <col min="11268" max="11268" width="19.140625" style="25" customWidth="1"/>
    <col min="11269" max="11269" width="16.85546875" style="25" customWidth="1"/>
    <col min="11270" max="11521" width="11.42578125" style="25"/>
    <col min="11522" max="11522" width="13.85546875" style="25" customWidth="1"/>
    <col min="11523" max="11523" width="21.28515625" style="25" customWidth="1"/>
    <col min="11524" max="11524" width="19.140625" style="25" customWidth="1"/>
    <col min="11525" max="11525" width="16.85546875" style="25" customWidth="1"/>
    <col min="11526" max="11777" width="11.42578125" style="25"/>
    <col min="11778" max="11778" width="13.85546875" style="25" customWidth="1"/>
    <col min="11779" max="11779" width="21.28515625" style="25" customWidth="1"/>
    <col min="11780" max="11780" width="19.140625" style="25" customWidth="1"/>
    <col min="11781" max="11781" width="16.85546875" style="25" customWidth="1"/>
    <col min="11782" max="12033" width="11.42578125" style="25"/>
    <col min="12034" max="12034" width="13.85546875" style="25" customWidth="1"/>
    <col min="12035" max="12035" width="21.28515625" style="25" customWidth="1"/>
    <col min="12036" max="12036" width="19.140625" style="25" customWidth="1"/>
    <col min="12037" max="12037" width="16.85546875" style="25" customWidth="1"/>
    <col min="12038" max="12289" width="11.42578125" style="25"/>
    <col min="12290" max="12290" width="13.85546875" style="25" customWidth="1"/>
    <col min="12291" max="12291" width="21.28515625" style="25" customWidth="1"/>
    <col min="12292" max="12292" width="19.140625" style="25" customWidth="1"/>
    <col min="12293" max="12293" width="16.85546875" style="25" customWidth="1"/>
    <col min="12294" max="12545" width="11.42578125" style="25"/>
    <col min="12546" max="12546" width="13.85546875" style="25" customWidth="1"/>
    <col min="12547" max="12547" width="21.28515625" style="25" customWidth="1"/>
    <col min="12548" max="12548" width="19.140625" style="25" customWidth="1"/>
    <col min="12549" max="12549" width="16.85546875" style="25" customWidth="1"/>
    <col min="12550" max="12801" width="11.42578125" style="25"/>
    <col min="12802" max="12802" width="13.85546875" style="25" customWidth="1"/>
    <col min="12803" max="12803" width="21.28515625" style="25" customWidth="1"/>
    <col min="12804" max="12804" width="19.140625" style="25" customWidth="1"/>
    <col min="12805" max="12805" width="16.85546875" style="25" customWidth="1"/>
    <col min="12806" max="13057" width="11.42578125" style="25"/>
    <col min="13058" max="13058" width="13.85546875" style="25" customWidth="1"/>
    <col min="13059" max="13059" width="21.28515625" style="25" customWidth="1"/>
    <col min="13060" max="13060" width="19.140625" style="25" customWidth="1"/>
    <col min="13061" max="13061" width="16.85546875" style="25" customWidth="1"/>
    <col min="13062" max="13313" width="11.42578125" style="25"/>
    <col min="13314" max="13314" width="13.85546875" style="25" customWidth="1"/>
    <col min="13315" max="13315" width="21.28515625" style="25" customWidth="1"/>
    <col min="13316" max="13316" width="19.140625" style="25" customWidth="1"/>
    <col min="13317" max="13317" width="16.85546875" style="25" customWidth="1"/>
    <col min="13318" max="13569" width="11.42578125" style="25"/>
    <col min="13570" max="13570" width="13.85546875" style="25" customWidth="1"/>
    <col min="13571" max="13571" width="21.28515625" style="25" customWidth="1"/>
    <col min="13572" max="13572" width="19.140625" style="25" customWidth="1"/>
    <col min="13573" max="13573" width="16.85546875" style="25" customWidth="1"/>
    <col min="13574" max="13825" width="11.42578125" style="25"/>
    <col min="13826" max="13826" width="13.85546875" style="25" customWidth="1"/>
    <col min="13827" max="13827" width="21.28515625" style="25" customWidth="1"/>
    <col min="13828" max="13828" width="19.140625" style="25" customWidth="1"/>
    <col min="13829" max="13829" width="16.85546875" style="25" customWidth="1"/>
    <col min="13830" max="14081" width="11.42578125" style="25"/>
    <col min="14082" max="14082" width="13.85546875" style="25" customWidth="1"/>
    <col min="14083" max="14083" width="21.28515625" style="25" customWidth="1"/>
    <col min="14084" max="14084" width="19.140625" style="25" customWidth="1"/>
    <col min="14085" max="14085" width="16.85546875" style="25" customWidth="1"/>
    <col min="14086" max="14337" width="11.42578125" style="25"/>
    <col min="14338" max="14338" width="13.85546875" style="25" customWidth="1"/>
    <col min="14339" max="14339" width="21.28515625" style="25" customWidth="1"/>
    <col min="14340" max="14340" width="19.140625" style="25" customWidth="1"/>
    <col min="14341" max="14341" width="16.85546875" style="25" customWidth="1"/>
    <col min="14342" max="14593" width="11.42578125" style="25"/>
    <col min="14594" max="14594" width="13.85546875" style="25" customWidth="1"/>
    <col min="14595" max="14595" width="21.28515625" style="25" customWidth="1"/>
    <col min="14596" max="14596" width="19.140625" style="25" customWidth="1"/>
    <col min="14597" max="14597" width="16.85546875" style="25" customWidth="1"/>
    <col min="14598" max="14849" width="11.42578125" style="25"/>
    <col min="14850" max="14850" width="13.85546875" style="25" customWidth="1"/>
    <col min="14851" max="14851" width="21.28515625" style="25" customWidth="1"/>
    <col min="14852" max="14852" width="19.140625" style="25" customWidth="1"/>
    <col min="14853" max="14853" width="16.85546875" style="25" customWidth="1"/>
    <col min="14854" max="15105" width="11.42578125" style="25"/>
    <col min="15106" max="15106" width="13.85546875" style="25" customWidth="1"/>
    <col min="15107" max="15107" width="21.28515625" style="25" customWidth="1"/>
    <col min="15108" max="15108" width="19.140625" style="25" customWidth="1"/>
    <col min="15109" max="15109" width="16.85546875" style="25" customWidth="1"/>
    <col min="15110" max="15361" width="11.42578125" style="25"/>
    <col min="15362" max="15362" width="13.85546875" style="25" customWidth="1"/>
    <col min="15363" max="15363" width="21.28515625" style="25" customWidth="1"/>
    <col min="15364" max="15364" width="19.140625" style="25" customWidth="1"/>
    <col min="15365" max="15365" width="16.85546875" style="25" customWidth="1"/>
    <col min="15366" max="15617" width="11.42578125" style="25"/>
    <col min="15618" max="15618" width="13.85546875" style="25" customWidth="1"/>
    <col min="15619" max="15619" width="21.28515625" style="25" customWidth="1"/>
    <col min="15620" max="15620" width="19.140625" style="25" customWidth="1"/>
    <col min="15621" max="15621" width="16.85546875" style="25" customWidth="1"/>
    <col min="15622" max="15873" width="11.42578125" style="25"/>
    <col min="15874" max="15874" width="13.85546875" style="25" customWidth="1"/>
    <col min="15875" max="15875" width="21.28515625" style="25" customWidth="1"/>
    <col min="15876" max="15876" width="19.140625" style="25" customWidth="1"/>
    <col min="15877" max="15877" width="16.85546875" style="25" customWidth="1"/>
    <col min="15878" max="16129" width="11.42578125" style="25"/>
    <col min="16130" max="16130" width="13.85546875" style="25" customWidth="1"/>
    <col min="16131" max="16131" width="21.28515625" style="25" customWidth="1"/>
    <col min="16132" max="16132" width="19.140625" style="25" customWidth="1"/>
    <col min="16133" max="16133" width="16.85546875" style="25" customWidth="1"/>
    <col min="16134" max="16384" width="11.42578125" style="25"/>
  </cols>
  <sheetData>
    <row r="2" spans="1:12" x14ac:dyDescent="0.2">
      <c r="A2" s="47" t="s">
        <v>101</v>
      </c>
    </row>
    <row r="3" spans="1:12" ht="15" x14ac:dyDescent="0.25">
      <c r="A3" s="47" t="s">
        <v>102</v>
      </c>
      <c r="E3" s="95"/>
    </row>
    <row r="5" spans="1:12" ht="15" x14ac:dyDescent="0.25">
      <c r="B5" s="369" t="s">
        <v>476</v>
      </c>
      <c r="C5" s="369"/>
      <c r="D5" s="369"/>
      <c r="E5" s="369"/>
      <c r="G5" s="113" t="s">
        <v>567</v>
      </c>
      <c r="L5" s="95"/>
    </row>
    <row r="6" spans="1:12" ht="12.75" x14ac:dyDescent="0.2">
      <c r="B6" s="369" t="s">
        <v>615</v>
      </c>
      <c r="C6" s="369"/>
      <c r="D6" s="369"/>
      <c r="E6" s="369"/>
    </row>
    <row r="8" spans="1:12" x14ac:dyDescent="0.2">
      <c r="B8" s="414" t="s">
        <v>477</v>
      </c>
      <c r="C8" s="414"/>
      <c r="D8" s="414"/>
      <c r="E8" s="414"/>
    </row>
    <row r="9" spans="1:12" ht="24" x14ac:dyDescent="0.2">
      <c r="B9" s="184" t="s">
        <v>463</v>
      </c>
      <c r="C9" s="185" t="s">
        <v>478</v>
      </c>
      <c r="D9" s="185" t="s">
        <v>479</v>
      </c>
      <c r="E9" s="185" t="s">
        <v>480</v>
      </c>
    </row>
    <row r="10" spans="1:12" x14ac:dyDescent="0.2">
      <c r="B10" s="243" t="s">
        <v>472</v>
      </c>
      <c r="C10" s="244">
        <v>23671</v>
      </c>
      <c r="D10" s="244" t="s">
        <v>481</v>
      </c>
      <c r="E10" s="244">
        <f>C10</f>
        <v>23671</v>
      </c>
    </row>
    <row r="11" spans="1:12" x14ac:dyDescent="0.2">
      <c r="B11" s="245" t="s">
        <v>20</v>
      </c>
      <c r="C11" s="244">
        <v>90591</v>
      </c>
      <c r="D11" s="244" t="s">
        <v>481</v>
      </c>
      <c r="E11" s="244">
        <f>C11</f>
        <v>90591</v>
      </c>
    </row>
    <row r="12" spans="1:12" x14ac:dyDescent="0.2">
      <c r="B12" s="245" t="s">
        <v>21</v>
      </c>
      <c r="C12" s="244">
        <v>105822</v>
      </c>
      <c r="D12" s="244" t="s">
        <v>481</v>
      </c>
      <c r="E12" s="244">
        <f>C12</f>
        <v>105822</v>
      </c>
    </row>
    <row r="13" spans="1:12" x14ac:dyDescent="0.2">
      <c r="B13" s="245" t="s">
        <v>22</v>
      </c>
      <c r="C13" s="244">
        <v>54727</v>
      </c>
      <c r="D13" s="244" t="s">
        <v>481</v>
      </c>
      <c r="E13" s="244">
        <f>C13</f>
        <v>54727</v>
      </c>
    </row>
    <row r="14" spans="1:12" x14ac:dyDescent="0.2">
      <c r="B14" s="245" t="s">
        <v>23</v>
      </c>
      <c r="C14" s="244">
        <v>38385</v>
      </c>
      <c r="D14" s="244" t="s">
        <v>481</v>
      </c>
      <c r="E14" s="244">
        <f>C14</f>
        <v>38385</v>
      </c>
    </row>
    <row r="15" spans="1:12" x14ac:dyDescent="0.2">
      <c r="B15" s="203">
        <v>41640</v>
      </c>
      <c r="C15" s="246">
        <v>3012</v>
      </c>
      <c r="D15" s="247">
        <v>385</v>
      </c>
      <c r="E15" s="246">
        <v>3397</v>
      </c>
    </row>
    <row r="16" spans="1:12" x14ac:dyDescent="0.2">
      <c r="B16" s="203">
        <v>41671</v>
      </c>
      <c r="C16" s="246">
        <v>3146</v>
      </c>
      <c r="D16" s="247">
        <v>307</v>
      </c>
      <c r="E16" s="246">
        <v>3453</v>
      </c>
    </row>
    <row r="17" spans="2:5" x14ac:dyDescent="0.2">
      <c r="B17" s="203">
        <v>41699</v>
      </c>
      <c r="C17" s="246">
        <v>2820</v>
      </c>
      <c r="D17" s="247">
        <v>401</v>
      </c>
      <c r="E17" s="246">
        <v>3221</v>
      </c>
    </row>
    <row r="18" spans="2:5" x14ac:dyDescent="0.2">
      <c r="B18" s="203">
        <v>41730</v>
      </c>
      <c r="C18" s="246">
        <v>3671</v>
      </c>
      <c r="D18" s="247">
        <v>837</v>
      </c>
      <c r="E18" s="246">
        <v>4508</v>
      </c>
    </row>
    <row r="19" spans="2:5" x14ac:dyDescent="0.2">
      <c r="B19" s="203">
        <v>41760</v>
      </c>
      <c r="C19" s="246">
        <v>3405</v>
      </c>
      <c r="D19" s="247">
        <v>637</v>
      </c>
      <c r="E19" s="246">
        <v>4042</v>
      </c>
    </row>
    <row r="20" spans="2:5" x14ac:dyDescent="0.2">
      <c r="B20" s="203">
        <v>41791</v>
      </c>
      <c r="C20" s="246">
        <v>3448</v>
      </c>
      <c r="D20" s="247">
        <v>551</v>
      </c>
      <c r="E20" s="246">
        <v>3999</v>
      </c>
    </row>
    <row r="21" spans="2:5" x14ac:dyDescent="0.2">
      <c r="B21" s="203">
        <v>41821</v>
      </c>
      <c r="C21" s="246">
        <v>3132</v>
      </c>
      <c r="D21" s="247">
        <v>431</v>
      </c>
      <c r="E21" s="246">
        <v>3563</v>
      </c>
    </row>
    <row r="22" spans="2:5" x14ac:dyDescent="0.2">
      <c r="B22" s="203">
        <v>41852</v>
      </c>
      <c r="C22" s="246">
        <v>3702</v>
      </c>
      <c r="D22" s="247">
        <v>437</v>
      </c>
      <c r="E22" s="246">
        <v>4139</v>
      </c>
    </row>
    <row r="23" spans="2:5" x14ac:dyDescent="0.2">
      <c r="B23" s="203">
        <v>41883</v>
      </c>
      <c r="C23" s="246">
        <v>4118</v>
      </c>
      <c r="D23" s="247">
        <v>391</v>
      </c>
      <c r="E23" s="246">
        <v>4509</v>
      </c>
    </row>
    <row r="24" spans="2:5" x14ac:dyDescent="0.2">
      <c r="B24" s="203">
        <v>41913</v>
      </c>
      <c r="C24" s="246">
        <v>4714</v>
      </c>
      <c r="D24" s="247">
        <v>491</v>
      </c>
      <c r="E24" s="246">
        <v>5205</v>
      </c>
    </row>
    <row r="25" spans="2:5" x14ac:dyDescent="0.2">
      <c r="B25" s="203">
        <v>41944</v>
      </c>
      <c r="C25" s="246">
        <v>4499</v>
      </c>
      <c r="D25" s="247">
        <v>402</v>
      </c>
      <c r="E25" s="246">
        <v>4901</v>
      </c>
    </row>
    <row r="26" spans="2:5" x14ac:dyDescent="0.2">
      <c r="B26" s="203">
        <v>41974</v>
      </c>
      <c r="C26" s="246">
        <v>4587</v>
      </c>
      <c r="D26" s="247">
        <v>501</v>
      </c>
      <c r="E26" s="246">
        <v>5088</v>
      </c>
    </row>
    <row r="27" spans="2:5" x14ac:dyDescent="0.2">
      <c r="B27" s="245" t="s">
        <v>24</v>
      </c>
      <c r="C27" s="244">
        <f>SUM(C15:C26)</f>
        <v>44254</v>
      </c>
      <c r="D27" s="244">
        <f>SUM(D15:D26)</f>
        <v>5771</v>
      </c>
      <c r="E27" s="244">
        <f>SUM(E15:E26)</f>
        <v>50025</v>
      </c>
    </row>
    <row r="28" spans="2:5" x14ac:dyDescent="0.2">
      <c r="B28" s="203">
        <v>42005</v>
      </c>
      <c r="C28" s="246">
        <v>3692</v>
      </c>
      <c r="D28" s="247">
        <v>452</v>
      </c>
      <c r="E28" s="246">
        <f>C28+D28</f>
        <v>4144</v>
      </c>
    </row>
    <row r="29" spans="2:5" x14ac:dyDescent="0.2">
      <c r="B29" s="203">
        <v>42036</v>
      </c>
      <c r="C29" s="246">
        <v>3089</v>
      </c>
      <c r="D29" s="247">
        <v>314</v>
      </c>
      <c r="E29" s="246">
        <f t="shared" ref="E29:E52" si="0">C29+D29</f>
        <v>3403</v>
      </c>
    </row>
    <row r="30" spans="2:5" x14ac:dyDescent="0.2">
      <c r="B30" s="203">
        <v>42064</v>
      </c>
      <c r="C30" s="246">
        <v>3959</v>
      </c>
      <c r="D30" s="247">
        <v>437</v>
      </c>
      <c r="E30" s="246">
        <f t="shared" si="0"/>
        <v>4396</v>
      </c>
    </row>
    <row r="31" spans="2:5" x14ac:dyDescent="0.2">
      <c r="B31" s="203">
        <v>42095</v>
      </c>
      <c r="C31" s="246">
        <v>4199</v>
      </c>
      <c r="D31" s="247">
        <v>418</v>
      </c>
      <c r="E31" s="246">
        <f t="shared" si="0"/>
        <v>4617</v>
      </c>
    </row>
    <row r="32" spans="2:5" x14ac:dyDescent="0.2">
      <c r="B32" s="203">
        <v>42125</v>
      </c>
      <c r="C32" s="246">
        <v>3877</v>
      </c>
      <c r="D32" s="247">
        <v>527</v>
      </c>
      <c r="E32" s="246">
        <f t="shared" si="0"/>
        <v>4404</v>
      </c>
    </row>
    <row r="33" spans="2:5" x14ac:dyDescent="0.2">
      <c r="B33" s="203">
        <v>42156</v>
      </c>
      <c r="C33" s="246">
        <v>4140</v>
      </c>
      <c r="D33" s="247">
        <v>642</v>
      </c>
      <c r="E33" s="246">
        <f t="shared" si="0"/>
        <v>4782</v>
      </c>
    </row>
    <row r="34" spans="2:5" x14ac:dyDescent="0.2">
      <c r="B34" s="203">
        <v>42186</v>
      </c>
      <c r="C34" s="246">
        <v>3415</v>
      </c>
      <c r="D34" s="247">
        <v>391</v>
      </c>
      <c r="E34" s="246">
        <f t="shared" si="0"/>
        <v>3806</v>
      </c>
    </row>
    <row r="35" spans="2:5" x14ac:dyDescent="0.2">
      <c r="B35" s="203">
        <v>42217</v>
      </c>
      <c r="C35" s="246">
        <v>6058</v>
      </c>
      <c r="D35" s="247">
        <v>393</v>
      </c>
      <c r="E35" s="246">
        <f t="shared" si="0"/>
        <v>6451</v>
      </c>
    </row>
    <row r="36" spans="2:5" x14ac:dyDescent="0.2">
      <c r="B36" s="203">
        <v>42248</v>
      </c>
      <c r="C36" s="246">
        <v>5036</v>
      </c>
      <c r="D36" s="247">
        <v>579</v>
      </c>
      <c r="E36" s="246">
        <f t="shared" si="0"/>
        <v>5615</v>
      </c>
    </row>
    <row r="37" spans="2:5" x14ac:dyDescent="0.2">
      <c r="B37" s="203">
        <v>42278</v>
      </c>
      <c r="C37" s="246">
        <v>4175</v>
      </c>
      <c r="D37" s="247">
        <v>552</v>
      </c>
      <c r="E37" s="246">
        <f t="shared" si="0"/>
        <v>4727</v>
      </c>
    </row>
    <row r="38" spans="2:5" x14ac:dyDescent="0.2">
      <c r="B38" s="203">
        <v>42309</v>
      </c>
      <c r="C38" s="246">
        <v>5394</v>
      </c>
      <c r="D38" s="247">
        <v>555</v>
      </c>
      <c r="E38" s="246">
        <f t="shared" si="0"/>
        <v>5949</v>
      </c>
    </row>
    <row r="39" spans="2:5" x14ac:dyDescent="0.2">
      <c r="B39" s="203">
        <v>42339</v>
      </c>
      <c r="C39" s="246">
        <v>4616</v>
      </c>
      <c r="D39" s="247">
        <v>704</v>
      </c>
      <c r="E39" s="246">
        <f t="shared" si="0"/>
        <v>5320</v>
      </c>
    </row>
    <row r="40" spans="2:5" x14ac:dyDescent="0.2">
      <c r="B40" s="245" t="s">
        <v>482</v>
      </c>
      <c r="C40" s="244">
        <f>SUM(C28:C39)</f>
        <v>51650</v>
      </c>
      <c r="D40" s="244">
        <f>SUM(D28:D39)</f>
        <v>5964</v>
      </c>
      <c r="E40" s="244">
        <f>SUM(E28:E39)</f>
        <v>57614</v>
      </c>
    </row>
    <row r="41" spans="2:5" x14ac:dyDescent="0.2">
      <c r="B41" s="203">
        <v>42370</v>
      </c>
      <c r="C41" s="246">
        <v>4090</v>
      </c>
      <c r="D41" s="247">
        <v>834</v>
      </c>
      <c r="E41" s="246">
        <f t="shared" si="0"/>
        <v>4924</v>
      </c>
    </row>
    <row r="42" spans="2:5" x14ac:dyDescent="0.2">
      <c r="B42" s="203">
        <v>42401</v>
      </c>
      <c r="C42" s="246">
        <v>3843</v>
      </c>
      <c r="D42" s="247">
        <v>401</v>
      </c>
      <c r="E42" s="246">
        <f t="shared" si="0"/>
        <v>4244</v>
      </c>
    </row>
    <row r="43" spans="2:5" x14ac:dyDescent="0.2">
      <c r="B43" s="203">
        <v>42430</v>
      </c>
      <c r="C43" s="246">
        <v>5145</v>
      </c>
      <c r="D43" s="247">
        <v>878</v>
      </c>
      <c r="E43" s="246">
        <f t="shared" si="0"/>
        <v>6023</v>
      </c>
    </row>
    <row r="44" spans="2:5" x14ac:dyDescent="0.2">
      <c r="B44" s="203">
        <v>42461</v>
      </c>
      <c r="C44" s="246">
        <v>4415</v>
      </c>
      <c r="D44" s="247">
        <v>636</v>
      </c>
      <c r="E44" s="246">
        <f t="shared" si="0"/>
        <v>5051</v>
      </c>
    </row>
    <row r="45" spans="2:5" x14ac:dyDescent="0.2">
      <c r="B45" s="203">
        <v>42491</v>
      </c>
      <c r="C45" s="246">
        <v>4663</v>
      </c>
      <c r="D45" s="247">
        <v>700</v>
      </c>
      <c r="E45" s="246">
        <f t="shared" si="0"/>
        <v>5363</v>
      </c>
    </row>
    <row r="46" spans="2:5" x14ac:dyDescent="0.2">
      <c r="B46" s="203">
        <v>42522</v>
      </c>
      <c r="C46" s="246">
        <v>3794</v>
      </c>
      <c r="D46" s="247">
        <v>507</v>
      </c>
      <c r="E46" s="246">
        <f t="shared" si="0"/>
        <v>4301</v>
      </c>
    </row>
    <row r="47" spans="2:5" x14ac:dyDescent="0.2">
      <c r="B47" s="203">
        <v>42552</v>
      </c>
      <c r="C47" s="246">
        <v>4438</v>
      </c>
      <c r="D47" s="247">
        <v>635</v>
      </c>
      <c r="E47" s="246">
        <f t="shared" si="0"/>
        <v>5073</v>
      </c>
    </row>
    <row r="48" spans="2:5" x14ac:dyDescent="0.2">
      <c r="B48" s="203">
        <v>42583</v>
      </c>
      <c r="C48" s="246">
        <v>4694</v>
      </c>
      <c r="D48" s="247">
        <v>856</v>
      </c>
      <c r="E48" s="246">
        <f t="shared" si="0"/>
        <v>5550</v>
      </c>
    </row>
    <row r="49" spans="2:6" x14ac:dyDescent="0.2">
      <c r="B49" s="203">
        <v>42614</v>
      </c>
      <c r="C49" s="246">
        <v>4579</v>
      </c>
      <c r="D49" s="247">
        <v>914</v>
      </c>
      <c r="E49" s="246">
        <f t="shared" si="0"/>
        <v>5493</v>
      </c>
    </row>
    <row r="50" spans="2:6" x14ac:dyDescent="0.2">
      <c r="B50" s="203">
        <v>42644</v>
      </c>
      <c r="C50" s="246">
        <v>4407</v>
      </c>
      <c r="D50" s="247">
        <v>866</v>
      </c>
      <c r="E50" s="246">
        <f t="shared" si="0"/>
        <v>5273</v>
      </c>
    </row>
    <row r="51" spans="2:6" x14ac:dyDescent="0.2">
      <c r="B51" s="203">
        <v>42675</v>
      </c>
      <c r="C51" s="248">
        <v>3689</v>
      </c>
      <c r="D51" s="248">
        <v>1064</v>
      </c>
      <c r="E51" s="248">
        <f t="shared" si="0"/>
        <v>4753</v>
      </c>
    </row>
    <row r="52" spans="2:6" x14ac:dyDescent="0.2">
      <c r="B52" s="203">
        <v>42705</v>
      </c>
      <c r="C52" s="248">
        <v>5295</v>
      </c>
      <c r="D52" s="248">
        <v>451</v>
      </c>
      <c r="E52" s="248">
        <f t="shared" si="0"/>
        <v>5746</v>
      </c>
    </row>
    <row r="53" spans="2:6" x14ac:dyDescent="0.2">
      <c r="B53" s="205" t="s">
        <v>26</v>
      </c>
      <c r="C53" s="244">
        <f>SUM(C41:C52)</f>
        <v>53052</v>
      </c>
      <c r="D53" s="244">
        <f>SUM(D41:D52)</f>
        <v>8742</v>
      </c>
      <c r="E53" s="244">
        <f>SUM(E41:E52)</f>
        <v>61794</v>
      </c>
    </row>
    <row r="54" spans="2:6" x14ac:dyDescent="0.2">
      <c r="B54" s="203">
        <v>42736</v>
      </c>
      <c r="C54" s="248">
        <v>4977</v>
      </c>
      <c r="D54" s="248">
        <v>661</v>
      </c>
      <c r="E54" s="248">
        <f t="shared" ref="E54:E65" si="1">C54+D54</f>
        <v>5638</v>
      </c>
      <c r="F54" s="74"/>
    </row>
    <row r="55" spans="2:6" x14ac:dyDescent="0.2">
      <c r="B55" s="203">
        <v>42767</v>
      </c>
      <c r="C55" s="248">
        <v>4428</v>
      </c>
      <c r="D55" s="248">
        <v>663</v>
      </c>
      <c r="E55" s="248">
        <f t="shared" si="1"/>
        <v>5091</v>
      </c>
      <c r="F55" s="74"/>
    </row>
    <row r="56" spans="2:6" x14ac:dyDescent="0.2">
      <c r="B56" s="203">
        <v>42795</v>
      </c>
      <c r="C56" s="248">
        <v>4154</v>
      </c>
      <c r="D56" s="248">
        <v>749</v>
      </c>
      <c r="E56" s="248">
        <f t="shared" si="1"/>
        <v>4903</v>
      </c>
      <c r="F56" s="74"/>
    </row>
    <row r="57" spans="2:6" x14ac:dyDescent="0.2">
      <c r="B57" s="203">
        <v>42826</v>
      </c>
      <c r="C57" s="248">
        <v>4708</v>
      </c>
      <c r="D57" s="248">
        <v>760</v>
      </c>
      <c r="E57" s="248">
        <f t="shared" si="1"/>
        <v>5468</v>
      </c>
      <c r="F57" s="74"/>
    </row>
    <row r="58" spans="2:6" x14ac:dyDescent="0.2">
      <c r="B58" s="203">
        <v>42856</v>
      </c>
      <c r="C58" s="248">
        <v>4913</v>
      </c>
      <c r="D58" s="248">
        <v>812</v>
      </c>
      <c r="E58" s="248">
        <f t="shared" si="1"/>
        <v>5725</v>
      </c>
      <c r="F58" s="74"/>
    </row>
    <row r="59" spans="2:6" x14ac:dyDescent="0.2">
      <c r="B59" s="203">
        <v>42887</v>
      </c>
      <c r="C59" s="248">
        <v>4045</v>
      </c>
      <c r="D59" s="248">
        <v>1056</v>
      </c>
      <c r="E59" s="248">
        <f t="shared" si="1"/>
        <v>5101</v>
      </c>
      <c r="F59" s="74"/>
    </row>
    <row r="60" spans="2:6" x14ac:dyDescent="0.2">
      <c r="B60" s="203">
        <v>42917</v>
      </c>
      <c r="C60" s="248">
        <v>4769</v>
      </c>
      <c r="D60" s="248">
        <v>753</v>
      </c>
      <c r="E60" s="248">
        <f t="shared" si="1"/>
        <v>5522</v>
      </c>
      <c r="F60" s="74"/>
    </row>
    <row r="61" spans="2:6" x14ac:dyDescent="0.2">
      <c r="B61" s="203">
        <v>42948</v>
      </c>
      <c r="C61" s="248">
        <v>5278</v>
      </c>
      <c r="D61" s="248">
        <v>817</v>
      </c>
      <c r="E61" s="248">
        <f t="shared" si="1"/>
        <v>6095</v>
      </c>
      <c r="F61" s="74"/>
    </row>
    <row r="62" spans="2:6" x14ac:dyDescent="0.2">
      <c r="B62" s="203">
        <v>42979</v>
      </c>
      <c r="C62" s="248">
        <v>3974</v>
      </c>
      <c r="D62" s="248">
        <v>593</v>
      </c>
      <c r="E62" s="248">
        <f t="shared" si="1"/>
        <v>4567</v>
      </c>
      <c r="F62" s="74"/>
    </row>
    <row r="63" spans="2:6" x14ac:dyDescent="0.2">
      <c r="B63" s="203">
        <v>43009</v>
      </c>
      <c r="C63" s="248">
        <v>6946</v>
      </c>
      <c r="D63" s="248">
        <v>1191</v>
      </c>
      <c r="E63" s="248">
        <f t="shared" si="1"/>
        <v>8137</v>
      </c>
      <c r="F63" s="74"/>
    </row>
    <row r="64" spans="2:6" x14ac:dyDescent="0.2">
      <c r="B64" s="203">
        <v>43040</v>
      </c>
      <c r="C64" s="248">
        <v>5299</v>
      </c>
      <c r="D64" s="248">
        <v>833</v>
      </c>
      <c r="E64" s="248">
        <f t="shared" si="1"/>
        <v>6132</v>
      </c>
      <c r="F64" s="74"/>
    </row>
    <row r="65" spans="2:6" x14ac:dyDescent="0.2">
      <c r="B65" s="203">
        <v>43070</v>
      </c>
      <c r="C65" s="248">
        <v>4958</v>
      </c>
      <c r="D65" s="248">
        <v>795</v>
      </c>
      <c r="E65" s="248">
        <f t="shared" si="1"/>
        <v>5753</v>
      </c>
      <c r="F65" s="74"/>
    </row>
    <row r="66" spans="2:6" x14ac:dyDescent="0.2">
      <c r="B66" s="205" t="s">
        <v>27</v>
      </c>
      <c r="C66" s="206">
        <f>SUM(C54:C65)</f>
        <v>58449</v>
      </c>
      <c r="D66" s="206">
        <f>SUM(D54:D65)</f>
        <v>9683</v>
      </c>
      <c r="E66" s="206">
        <f>SUM(E54:E65)</f>
        <v>68132</v>
      </c>
      <c r="F66" s="74"/>
    </row>
    <row r="67" spans="2:6" x14ac:dyDescent="0.2">
      <c r="B67" s="203">
        <v>43101</v>
      </c>
      <c r="C67" s="248">
        <v>5007</v>
      </c>
      <c r="D67" s="248">
        <v>965</v>
      </c>
      <c r="E67" s="248">
        <f>C67+D67</f>
        <v>5972</v>
      </c>
      <c r="F67" s="74"/>
    </row>
    <row r="68" spans="2:6" x14ac:dyDescent="0.2">
      <c r="B68" s="203">
        <v>43132</v>
      </c>
      <c r="C68" s="248">
        <v>5360</v>
      </c>
      <c r="D68" s="248">
        <v>944</v>
      </c>
      <c r="E68" s="248">
        <f>C68+D68</f>
        <v>6304</v>
      </c>
      <c r="F68" s="74"/>
    </row>
    <row r="69" spans="2:6" x14ac:dyDescent="0.2">
      <c r="B69" s="203">
        <v>43160</v>
      </c>
      <c r="C69" s="248">
        <v>6203</v>
      </c>
      <c r="D69" s="248">
        <v>1124</v>
      </c>
      <c r="E69" s="248">
        <v>7327</v>
      </c>
      <c r="F69" s="74"/>
    </row>
    <row r="70" spans="2:6" x14ac:dyDescent="0.2">
      <c r="B70" s="203">
        <v>43191</v>
      </c>
      <c r="C70" s="248">
        <v>5250</v>
      </c>
      <c r="D70" s="248">
        <v>775</v>
      </c>
      <c r="E70" s="248">
        <f t="shared" ref="E70:E76" si="2">+C70+D70</f>
        <v>6025</v>
      </c>
      <c r="F70" s="74"/>
    </row>
    <row r="71" spans="2:6" x14ac:dyDescent="0.2">
      <c r="B71" s="203">
        <v>43221</v>
      </c>
      <c r="C71" s="186">
        <v>5419</v>
      </c>
      <c r="D71" s="186">
        <v>628</v>
      </c>
      <c r="E71" s="248">
        <f t="shared" si="2"/>
        <v>6047</v>
      </c>
      <c r="F71" s="74"/>
    </row>
    <row r="72" spans="2:6" x14ac:dyDescent="0.2">
      <c r="B72" s="203">
        <v>43252</v>
      </c>
      <c r="C72" s="186">
        <v>5299</v>
      </c>
      <c r="D72" s="186">
        <v>848</v>
      </c>
      <c r="E72" s="248">
        <f t="shared" si="2"/>
        <v>6147</v>
      </c>
      <c r="F72" s="74"/>
    </row>
    <row r="73" spans="2:6" x14ac:dyDescent="0.2">
      <c r="B73" s="203">
        <v>43282</v>
      </c>
      <c r="C73" s="186">
        <v>5273</v>
      </c>
      <c r="D73" s="186">
        <v>633</v>
      </c>
      <c r="E73" s="248">
        <f t="shared" si="2"/>
        <v>5906</v>
      </c>
      <c r="F73" s="74"/>
    </row>
    <row r="74" spans="2:6" x14ac:dyDescent="0.2">
      <c r="B74" s="203">
        <v>43313</v>
      </c>
      <c r="C74" s="186">
        <v>5742</v>
      </c>
      <c r="D74" s="186">
        <v>364</v>
      </c>
      <c r="E74" s="248">
        <f t="shared" si="2"/>
        <v>6106</v>
      </c>
      <c r="F74" s="74"/>
    </row>
    <row r="75" spans="2:6" x14ac:dyDescent="0.2">
      <c r="B75" s="203">
        <v>43344</v>
      </c>
      <c r="C75" s="186">
        <v>6055</v>
      </c>
      <c r="D75" s="186">
        <v>488</v>
      </c>
      <c r="E75" s="248">
        <f t="shared" si="2"/>
        <v>6543</v>
      </c>
      <c r="F75" s="74"/>
    </row>
    <row r="76" spans="2:6" x14ac:dyDescent="0.2">
      <c r="B76" s="203">
        <v>43374</v>
      </c>
      <c r="C76" s="186">
        <v>5991</v>
      </c>
      <c r="D76" s="186">
        <v>513</v>
      </c>
      <c r="E76" s="248">
        <f t="shared" si="2"/>
        <v>6504</v>
      </c>
      <c r="F76" s="74"/>
    </row>
    <row r="77" spans="2:6" x14ac:dyDescent="0.2">
      <c r="B77" s="203">
        <v>43405</v>
      </c>
      <c r="C77" s="186">
        <v>6396</v>
      </c>
      <c r="D77" s="186">
        <v>416</v>
      </c>
      <c r="E77" s="248">
        <v>6812</v>
      </c>
      <c r="F77" s="74"/>
    </row>
    <row r="78" spans="2:6" x14ac:dyDescent="0.2">
      <c r="B78" s="203">
        <v>43435</v>
      </c>
      <c r="C78" s="186">
        <v>5803</v>
      </c>
      <c r="D78" s="186">
        <v>345</v>
      </c>
      <c r="E78" s="248">
        <v>6148</v>
      </c>
      <c r="F78" s="74"/>
    </row>
    <row r="79" spans="2:6" x14ac:dyDescent="0.2">
      <c r="B79" s="205" t="s">
        <v>580</v>
      </c>
      <c r="C79" s="206">
        <f>SUM(C67:C78)</f>
        <v>67798</v>
      </c>
      <c r="D79" s="206">
        <f t="shared" ref="D79:E79" si="3">SUM(D67:D78)</f>
        <v>8043</v>
      </c>
      <c r="E79" s="206">
        <f t="shared" si="3"/>
        <v>75841</v>
      </c>
      <c r="F79" s="74"/>
    </row>
    <row r="80" spans="2:6" ht="11.25" customHeight="1" x14ac:dyDescent="0.2">
      <c r="B80" s="203">
        <v>43466</v>
      </c>
      <c r="C80" s="186">
        <v>5382</v>
      </c>
      <c r="D80" s="186">
        <v>271</v>
      </c>
      <c r="E80" s="248">
        <v>5653</v>
      </c>
      <c r="F80" s="74"/>
    </row>
    <row r="81" spans="2:6" x14ac:dyDescent="0.2">
      <c r="B81" s="203">
        <v>43497</v>
      </c>
      <c r="C81" s="187">
        <v>5714</v>
      </c>
      <c r="D81" s="188">
        <v>250</v>
      </c>
      <c r="E81" s="188">
        <v>5964</v>
      </c>
      <c r="F81" s="74"/>
    </row>
    <row r="82" spans="2:6" x14ac:dyDescent="0.2">
      <c r="B82" s="203">
        <v>43525</v>
      </c>
      <c r="C82" s="189">
        <v>5149</v>
      </c>
      <c r="D82" s="189">
        <v>433</v>
      </c>
      <c r="E82" s="189">
        <v>5582</v>
      </c>
      <c r="F82" s="74"/>
    </row>
    <row r="83" spans="2:6" s="176" customFormat="1" x14ac:dyDescent="0.2">
      <c r="B83" s="203">
        <v>43556</v>
      </c>
      <c r="C83" s="189">
        <v>5771</v>
      </c>
      <c r="D83" s="189">
        <v>547</v>
      </c>
      <c r="E83" s="189">
        <v>6318</v>
      </c>
      <c r="F83" s="74"/>
    </row>
    <row r="84" spans="2:6" s="176" customFormat="1" x14ac:dyDescent="0.2">
      <c r="B84" s="203">
        <v>43586</v>
      </c>
      <c r="C84" s="189">
        <v>5051</v>
      </c>
      <c r="D84" s="189">
        <v>312</v>
      </c>
      <c r="E84" s="189">
        <v>5363</v>
      </c>
      <c r="F84" s="74"/>
    </row>
    <row r="85" spans="2:6" x14ac:dyDescent="0.2">
      <c r="B85" s="203">
        <v>43617</v>
      </c>
      <c r="C85" s="204">
        <v>5467</v>
      </c>
      <c r="D85" s="204">
        <v>166</v>
      </c>
      <c r="E85" s="204">
        <v>5633</v>
      </c>
    </row>
    <row r="86" spans="2:6" x14ac:dyDescent="0.2">
      <c r="B86" s="203">
        <v>43647</v>
      </c>
      <c r="C86" s="204">
        <v>5462</v>
      </c>
      <c r="D86" s="204">
        <v>423</v>
      </c>
      <c r="E86" s="204">
        <v>5885</v>
      </c>
    </row>
    <row r="87" spans="2:6" s="176" customFormat="1" x14ac:dyDescent="0.2">
      <c r="B87" s="203">
        <v>43678</v>
      </c>
      <c r="C87" s="204">
        <v>5228</v>
      </c>
      <c r="D87" s="204">
        <v>334</v>
      </c>
      <c r="E87" s="204">
        <v>5562</v>
      </c>
    </row>
    <row r="88" spans="2:6" s="176" customFormat="1" x14ac:dyDescent="0.2">
      <c r="B88" s="203">
        <v>43709</v>
      </c>
      <c r="C88" s="204">
        <v>5848</v>
      </c>
      <c r="D88" s="204">
        <v>349</v>
      </c>
      <c r="E88" s="204">
        <v>6197</v>
      </c>
    </row>
    <row r="89" spans="2:6" s="176" customFormat="1" x14ac:dyDescent="0.2">
      <c r="B89" s="203">
        <v>43739</v>
      </c>
      <c r="C89" s="204">
        <v>6655</v>
      </c>
      <c r="D89" s="204">
        <v>526</v>
      </c>
      <c r="E89" s="204">
        <v>7181</v>
      </c>
    </row>
    <row r="90" spans="2:6" s="176" customFormat="1" x14ac:dyDescent="0.2">
      <c r="B90" s="203">
        <v>43770</v>
      </c>
      <c r="C90" s="204">
        <v>3805</v>
      </c>
      <c r="D90" s="204">
        <v>128</v>
      </c>
      <c r="E90" s="204">
        <v>3933</v>
      </c>
    </row>
    <row r="91" spans="2:6" x14ac:dyDescent="0.2">
      <c r="B91" s="203">
        <v>43800</v>
      </c>
      <c r="C91" s="204">
        <v>6358</v>
      </c>
      <c r="D91" s="204">
        <v>299</v>
      </c>
      <c r="E91" s="204">
        <v>6657</v>
      </c>
    </row>
    <row r="92" spans="2:6" s="176" customFormat="1" x14ac:dyDescent="0.2">
      <c r="B92" s="205" t="s">
        <v>583</v>
      </c>
      <c r="C92" s="206">
        <f>SUM(C80:C91)</f>
        <v>65890</v>
      </c>
      <c r="D92" s="206">
        <f t="shared" ref="D92:E92" si="4">SUM(D80:D91)</f>
        <v>4038</v>
      </c>
      <c r="E92" s="206">
        <f t="shared" si="4"/>
        <v>69928</v>
      </c>
    </row>
    <row r="93" spans="2:6" s="176" customFormat="1" x14ac:dyDescent="0.2">
      <c r="B93" s="203">
        <v>43831</v>
      </c>
      <c r="C93" s="204">
        <v>6973</v>
      </c>
      <c r="D93" s="204">
        <v>334</v>
      </c>
      <c r="E93" s="204">
        <f>SUM(C93:D93)</f>
        <v>7307</v>
      </c>
    </row>
    <row r="94" spans="2:6" s="176" customFormat="1" x14ac:dyDescent="0.2">
      <c r="B94" s="203">
        <v>43862</v>
      </c>
      <c r="C94" s="204">
        <v>6865</v>
      </c>
      <c r="D94" s="204">
        <v>510</v>
      </c>
      <c r="E94" s="204">
        <f t="shared" ref="E94:E95" si="5">SUM(C94:D94)</f>
        <v>7375</v>
      </c>
    </row>
    <row r="95" spans="2:6" s="176" customFormat="1" x14ac:dyDescent="0.2">
      <c r="B95" s="203">
        <v>43891</v>
      </c>
      <c r="C95" s="204">
        <v>6450</v>
      </c>
      <c r="D95" s="204">
        <v>524</v>
      </c>
      <c r="E95" s="204">
        <f t="shared" si="5"/>
        <v>6974</v>
      </c>
    </row>
    <row r="96" spans="2:6" s="176" customFormat="1" x14ac:dyDescent="0.2">
      <c r="B96" s="203">
        <v>43922</v>
      </c>
      <c r="C96" s="204">
        <v>3120</v>
      </c>
      <c r="D96" s="204">
        <v>427</v>
      </c>
      <c r="E96" s="204">
        <f t="shared" ref="E96" si="6">SUM(C96:D96)</f>
        <v>3547</v>
      </c>
    </row>
    <row r="97" spans="2:5" s="176" customFormat="1" x14ac:dyDescent="0.2">
      <c r="B97" s="203">
        <v>43952</v>
      </c>
      <c r="C97" s="204">
        <v>3668</v>
      </c>
      <c r="D97" s="204">
        <v>336</v>
      </c>
      <c r="E97" s="204">
        <f t="shared" ref="E97" si="7">SUM(C97:D97)</f>
        <v>4004</v>
      </c>
    </row>
    <row r="98" spans="2:5" s="176" customFormat="1" x14ac:dyDescent="0.2">
      <c r="B98" s="203">
        <v>43983</v>
      </c>
      <c r="C98" s="204">
        <v>4010</v>
      </c>
      <c r="D98" s="204">
        <v>620</v>
      </c>
      <c r="E98" s="204">
        <f t="shared" ref="E98:E105" si="8">SUM(C98:D98)</f>
        <v>4630</v>
      </c>
    </row>
    <row r="99" spans="2:5" s="176" customFormat="1" x14ac:dyDescent="0.2">
      <c r="B99" s="203">
        <v>44013</v>
      </c>
      <c r="C99" s="204">
        <v>3699</v>
      </c>
      <c r="D99" s="204">
        <v>751</v>
      </c>
      <c r="E99" s="204">
        <f t="shared" ref="E99" si="9">SUM(C99:D99)</f>
        <v>4450</v>
      </c>
    </row>
    <row r="100" spans="2:5" s="176" customFormat="1" x14ac:dyDescent="0.2">
      <c r="B100" s="203">
        <v>44044</v>
      </c>
      <c r="C100" s="204">
        <v>5600</v>
      </c>
      <c r="D100" s="204">
        <v>304</v>
      </c>
      <c r="E100" s="204">
        <f t="shared" ref="E100:E102" si="10">SUM(C100:D100)</f>
        <v>5904</v>
      </c>
    </row>
    <row r="101" spans="2:5" s="176" customFormat="1" x14ac:dyDescent="0.2">
      <c r="B101" s="203">
        <v>44075</v>
      </c>
      <c r="C101" s="204">
        <v>6256</v>
      </c>
      <c r="D101" s="204">
        <v>329</v>
      </c>
      <c r="E101" s="204">
        <f t="shared" si="10"/>
        <v>6585</v>
      </c>
    </row>
    <row r="102" spans="2:5" s="176" customFormat="1" x14ac:dyDescent="0.2">
      <c r="B102" s="203">
        <v>44105</v>
      </c>
      <c r="C102" s="204">
        <v>6677</v>
      </c>
      <c r="D102" s="204">
        <v>356</v>
      </c>
      <c r="E102" s="204">
        <f t="shared" si="10"/>
        <v>7033</v>
      </c>
    </row>
    <row r="103" spans="2:5" s="176" customFormat="1" x14ac:dyDescent="0.2">
      <c r="B103" s="203">
        <v>44136</v>
      </c>
      <c r="C103" s="204">
        <v>7271</v>
      </c>
      <c r="D103" s="204">
        <v>364</v>
      </c>
      <c r="E103" s="204">
        <f t="shared" ref="E103" si="11">SUM(C103:D103)</f>
        <v>7635</v>
      </c>
    </row>
    <row r="104" spans="2:5" s="176" customFormat="1" x14ac:dyDescent="0.2">
      <c r="B104" s="203">
        <v>44166</v>
      </c>
      <c r="C104" s="204">
        <v>7060</v>
      </c>
      <c r="D104" s="204">
        <v>369</v>
      </c>
      <c r="E104" s="204">
        <f t="shared" ref="E104" si="12">SUM(C104:D104)</f>
        <v>7429</v>
      </c>
    </row>
    <row r="105" spans="2:5" s="176" customFormat="1" x14ac:dyDescent="0.2">
      <c r="B105" s="340">
        <f>'Concesiones Mensuales BxH'!B118</f>
        <v>2020</v>
      </c>
      <c r="C105" s="206">
        <f>SUM(C93:C104)</f>
        <v>67649</v>
      </c>
      <c r="D105" s="206">
        <f>SUM(D93:D104)</f>
        <v>5224</v>
      </c>
      <c r="E105" s="206">
        <f t="shared" si="8"/>
        <v>72873</v>
      </c>
    </row>
    <row r="106" spans="2:5" s="176" customFormat="1" x14ac:dyDescent="0.2">
      <c r="B106" s="203">
        <v>44197</v>
      </c>
      <c r="C106" s="204">
        <v>5872</v>
      </c>
      <c r="D106" s="204">
        <v>407</v>
      </c>
      <c r="E106" s="204">
        <f>SUM(C106:D106)</f>
        <v>6279</v>
      </c>
    </row>
    <row r="107" spans="2:5" s="176" customFormat="1" x14ac:dyDescent="0.2">
      <c r="B107" s="203">
        <v>44228</v>
      </c>
      <c r="C107" s="204">
        <v>6398</v>
      </c>
      <c r="D107" s="204">
        <v>336</v>
      </c>
      <c r="E107" s="204">
        <f t="shared" ref="E107" si="13">SUM(C107:D107)</f>
        <v>6734</v>
      </c>
    </row>
    <row r="108" spans="2:5" s="176" customFormat="1" x14ac:dyDescent="0.2">
      <c r="B108" s="203">
        <v>44256</v>
      </c>
      <c r="C108" s="204">
        <v>6284</v>
      </c>
      <c r="D108" s="204">
        <v>400</v>
      </c>
      <c r="E108" s="204">
        <f t="shared" ref="E108" si="14">SUM(C108:D108)</f>
        <v>6684</v>
      </c>
    </row>
    <row r="109" spans="2:5" s="176" customFormat="1" x14ac:dyDescent="0.2">
      <c r="B109" s="203">
        <v>44287</v>
      </c>
      <c r="C109" s="204">
        <v>5645</v>
      </c>
      <c r="D109" s="204">
        <v>429</v>
      </c>
      <c r="E109" s="204">
        <f t="shared" ref="E109:E111" si="15">SUM(C109:D109)</f>
        <v>6074</v>
      </c>
    </row>
    <row r="110" spans="2:5" s="176" customFormat="1" x14ac:dyDescent="0.2">
      <c r="B110" s="203">
        <v>44317</v>
      </c>
      <c r="C110" s="204">
        <v>6254</v>
      </c>
      <c r="D110" s="204">
        <v>475</v>
      </c>
      <c r="E110" s="204">
        <f t="shared" si="15"/>
        <v>6729</v>
      </c>
    </row>
    <row r="111" spans="2:5" s="176" customFormat="1" x14ac:dyDescent="0.2">
      <c r="B111" s="203">
        <v>44348</v>
      </c>
      <c r="C111" s="204">
        <v>6456</v>
      </c>
      <c r="D111" s="204">
        <v>551</v>
      </c>
      <c r="E111" s="204">
        <f t="shared" si="15"/>
        <v>7007</v>
      </c>
    </row>
    <row r="112" spans="2:5" s="176" customFormat="1" x14ac:dyDescent="0.2">
      <c r="B112" s="203">
        <v>44378</v>
      </c>
      <c r="C112" s="204">
        <v>6122</v>
      </c>
      <c r="D112" s="204">
        <v>574</v>
      </c>
      <c r="E112" s="204">
        <f t="shared" ref="E112" si="16">SUM(C112:D112)</f>
        <v>6696</v>
      </c>
    </row>
    <row r="113" spans="2:5" s="176" customFormat="1" x14ac:dyDescent="0.2">
      <c r="B113" s="203">
        <v>44409</v>
      </c>
      <c r="C113" s="204">
        <v>7688</v>
      </c>
      <c r="D113" s="204">
        <v>653</v>
      </c>
      <c r="E113" s="204">
        <f t="shared" ref="E113:E115" si="17">SUM(C113:D113)</f>
        <v>8341</v>
      </c>
    </row>
    <row r="114" spans="2:5" s="176" customFormat="1" x14ac:dyDescent="0.2">
      <c r="B114" s="203">
        <v>44440</v>
      </c>
      <c r="C114" s="204">
        <v>7542</v>
      </c>
      <c r="D114" s="204">
        <v>649</v>
      </c>
      <c r="E114" s="204">
        <f t="shared" si="17"/>
        <v>8191</v>
      </c>
    </row>
    <row r="115" spans="2:5" s="176" customFormat="1" x14ac:dyDescent="0.2">
      <c r="B115" s="203">
        <v>44470</v>
      </c>
      <c r="C115" s="204">
        <v>7921</v>
      </c>
      <c r="D115" s="204">
        <v>672</v>
      </c>
      <c r="E115" s="204">
        <f t="shared" si="17"/>
        <v>8593</v>
      </c>
    </row>
    <row r="116" spans="2:5" s="176" customFormat="1" x14ac:dyDescent="0.2">
      <c r="B116" s="203">
        <v>44501</v>
      </c>
      <c r="C116" s="204">
        <v>7649</v>
      </c>
      <c r="D116" s="204">
        <v>641</v>
      </c>
      <c r="E116" s="204">
        <f t="shared" ref="E116" si="18">SUM(C116:D116)</f>
        <v>8290</v>
      </c>
    </row>
    <row r="117" spans="2:5" s="176" customFormat="1" x14ac:dyDescent="0.2">
      <c r="B117" s="203">
        <v>44531</v>
      </c>
      <c r="C117" s="204">
        <v>7848</v>
      </c>
      <c r="D117" s="204">
        <v>528</v>
      </c>
      <c r="E117" s="204">
        <f t="shared" ref="E117" si="19">SUM(C117:D117)</f>
        <v>8376</v>
      </c>
    </row>
    <row r="118" spans="2:5" s="176" customFormat="1" x14ac:dyDescent="0.2">
      <c r="B118" s="340">
        <f>'Concesiones Mensuales BxH'!B131</f>
        <v>2021</v>
      </c>
      <c r="C118" s="206">
        <f>SUM(C106:C117)</f>
        <v>81679</v>
      </c>
      <c r="D118" s="206">
        <f>SUM(D106:D117)</f>
        <v>6315</v>
      </c>
      <c r="E118" s="206">
        <f t="shared" ref="E118" si="20">SUM(C118:D118)</f>
        <v>87994</v>
      </c>
    </row>
    <row r="119" spans="2:5" s="176" customFormat="1" x14ac:dyDescent="0.2">
      <c r="B119" s="207" t="s">
        <v>28</v>
      </c>
      <c r="C119" s="208">
        <f>C27+C40+C53+C66+C79+SUM(C10:C14)+C92+C105+C118</f>
        <v>803617</v>
      </c>
      <c r="D119" s="208">
        <f>D27+D40+D53+D66+D79+SUM(D10:D14)+D92+D105+D118</f>
        <v>53780</v>
      </c>
      <c r="E119" s="208">
        <f>SUM(C119:D119)</f>
        <v>857397</v>
      </c>
    </row>
    <row r="120" spans="2:5" x14ac:dyDescent="0.2">
      <c r="B120" s="25" t="s">
        <v>473</v>
      </c>
    </row>
    <row r="121" spans="2:5" x14ac:dyDescent="0.2">
      <c r="B121" s="25" t="s">
        <v>483</v>
      </c>
    </row>
    <row r="122" spans="2:5" x14ac:dyDescent="0.2">
      <c r="B122" s="25" t="s">
        <v>484</v>
      </c>
    </row>
  </sheetData>
  <mergeCells count="3">
    <mergeCell ref="B5:E5"/>
    <mergeCell ref="B6:E6"/>
    <mergeCell ref="B8:E8"/>
  </mergeCells>
  <hyperlinks>
    <hyperlink ref="G5" location="'Índice BxH'!A1" display="Volver a Bono por Hijo" xr:uid="{00000000-0004-0000-1900-000000000000}"/>
  </hyperlinks>
  <pageMargins left="0.7" right="0.7" top="0.75" bottom="0.75" header="0.3" footer="0.3"/>
  <pageSetup orientation="portrait" verticalDpi="0" r:id="rId1"/>
  <ignoredErrors>
    <ignoredError sqref="E93:E96 E97:E99 E101" formulaRange="1"/>
    <ignoredError sqref="E100" formula="1" formulaRange="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2:K44"/>
  <sheetViews>
    <sheetView showGridLines="0" zoomScale="90" zoomScaleNormal="90" workbookViewId="0">
      <pane xSplit="4" ySplit="9" topLeftCell="E25" activePane="bottomRight" state="frozen"/>
      <selection activeCell="A6" sqref="A6:XFD6"/>
      <selection pane="topRight" activeCell="A6" sqref="A6:XFD6"/>
      <selection pane="bottomLeft" activeCell="A6" sqref="A6:XFD6"/>
      <selection pane="bottomRight" activeCell="B7" sqref="B7"/>
    </sheetView>
  </sheetViews>
  <sheetFormatPr baseColWidth="10" defaultColWidth="11.42578125" defaultRowHeight="12" x14ac:dyDescent="0.2"/>
  <cols>
    <col min="1" max="1" width="6" style="25" customWidth="1"/>
    <col min="2" max="2" width="13.7109375" style="25" bestFit="1" customWidth="1"/>
    <col min="3" max="3" width="4" style="25" bestFit="1" customWidth="1"/>
    <col min="4" max="4" width="19.42578125" style="25" bestFit="1" customWidth="1"/>
    <col min="5" max="16384" width="11.42578125" style="25"/>
  </cols>
  <sheetData>
    <row r="2" spans="1:11" x14ac:dyDescent="0.2">
      <c r="A2" s="47" t="s">
        <v>101</v>
      </c>
    </row>
    <row r="3" spans="1:11" ht="15" x14ac:dyDescent="0.25">
      <c r="A3" s="47" t="s">
        <v>102</v>
      </c>
      <c r="I3" s="95"/>
    </row>
    <row r="5" spans="1:11" ht="12.75" x14ac:dyDescent="0.2">
      <c r="B5" s="369" t="s">
        <v>485</v>
      </c>
      <c r="C5" s="369"/>
      <c r="D5" s="369"/>
      <c r="E5" s="369"/>
      <c r="F5" s="369"/>
      <c r="G5" s="369"/>
      <c r="H5" s="369"/>
      <c r="I5" s="369"/>
      <c r="K5" s="113" t="s">
        <v>567</v>
      </c>
    </row>
    <row r="6" spans="1:11" ht="12.75" x14ac:dyDescent="0.2">
      <c r="B6" s="415" t="s">
        <v>669</v>
      </c>
      <c r="C6" s="416"/>
      <c r="D6" s="416"/>
      <c r="E6" s="416"/>
      <c r="F6" s="416"/>
      <c r="G6" s="416"/>
      <c r="H6" s="416"/>
      <c r="I6" s="416"/>
    </row>
    <row r="7" spans="1:11" ht="15" x14ac:dyDescent="0.25">
      <c r="B7"/>
      <c r="C7"/>
      <c r="D7"/>
      <c r="E7"/>
      <c r="F7"/>
      <c r="G7"/>
      <c r="H7"/>
      <c r="I7"/>
    </row>
    <row r="8" spans="1:11" x14ac:dyDescent="0.2">
      <c r="B8" s="417" t="s">
        <v>486</v>
      </c>
      <c r="C8" s="417"/>
      <c r="D8" s="418"/>
      <c r="E8" s="417" t="s">
        <v>581</v>
      </c>
      <c r="F8" s="417"/>
      <c r="G8" s="417" t="s">
        <v>582</v>
      </c>
      <c r="H8" s="417"/>
      <c r="I8" s="417" t="s">
        <v>487</v>
      </c>
    </row>
    <row r="9" spans="1:11" ht="20.25" customHeight="1" x14ac:dyDescent="0.2">
      <c r="B9" s="417"/>
      <c r="C9" s="417"/>
      <c r="D9" s="418"/>
      <c r="E9" s="327" t="s">
        <v>488</v>
      </c>
      <c r="F9" s="327" t="s">
        <v>489</v>
      </c>
      <c r="G9" s="327" t="s">
        <v>489</v>
      </c>
      <c r="H9" s="327" t="s">
        <v>575</v>
      </c>
      <c r="I9" s="417"/>
    </row>
    <row r="10" spans="1:11" x14ac:dyDescent="0.2">
      <c r="B10" s="419" t="s">
        <v>490</v>
      </c>
      <c r="C10" s="419" t="s">
        <v>492</v>
      </c>
      <c r="D10" s="250" t="s">
        <v>491</v>
      </c>
      <c r="E10" s="251">
        <v>19</v>
      </c>
      <c r="F10" s="251">
        <v>3</v>
      </c>
      <c r="G10" s="251">
        <v>3</v>
      </c>
      <c r="H10" s="251">
        <v>65</v>
      </c>
      <c r="I10" s="251">
        <f>SUM(E10:H10)</f>
        <v>90</v>
      </c>
    </row>
    <row r="11" spans="1:11" x14ac:dyDescent="0.2">
      <c r="B11" s="419"/>
      <c r="C11" s="419"/>
      <c r="D11" s="252" t="s">
        <v>493</v>
      </c>
      <c r="E11" s="251">
        <v>64</v>
      </c>
      <c r="F11" s="251">
        <v>8</v>
      </c>
      <c r="G11" s="251">
        <v>8</v>
      </c>
      <c r="H11" s="251">
        <v>173</v>
      </c>
      <c r="I11" s="251">
        <f t="shared" ref="I11:I43" si="0">SUM(E11:H11)</f>
        <v>253</v>
      </c>
    </row>
    <row r="12" spans="1:11" x14ac:dyDescent="0.2">
      <c r="B12" s="419" t="s">
        <v>494</v>
      </c>
      <c r="C12" s="419" t="s">
        <v>495</v>
      </c>
      <c r="D12" s="250" t="s">
        <v>491</v>
      </c>
      <c r="E12" s="251">
        <v>20</v>
      </c>
      <c r="F12" s="251">
        <v>3</v>
      </c>
      <c r="G12" s="251">
        <v>3</v>
      </c>
      <c r="H12" s="251">
        <v>92</v>
      </c>
      <c r="I12" s="251">
        <f t="shared" si="0"/>
        <v>118</v>
      </c>
    </row>
    <row r="13" spans="1:11" x14ac:dyDescent="0.2">
      <c r="B13" s="419"/>
      <c r="C13" s="419"/>
      <c r="D13" s="252" t="s">
        <v>493</v>
      </c>
      <c r="E13" s="251">
        <v>60</v>
      </c>
      <c r="F13" s="251">
        <v>11</v>
      </c>
      <c r="G13" s="251">
        <v>17</v>
      </c>
      <c r="H13" s="251">
        <v>257</v>
      </c>
      <c r="I13" s="251">
        <f t="shared" si="0"/>
        <v>345</v>
      </c>
    </row>
    <row r="14" spans="1:11" x14ac:dyDescent="0.2">
      <c r="B14" s="419" t="s">
        <v>496</v>
      </c>
      <c r="C14" s="419" t="s">
        <v>497</v>
      </c>
      <c r="D14" s="250" t="s">
        <v>491</v>
      </c>
      <c r="E14" s="251">
        <v>61</v>
      </c>
      <c r="F14" s="251">
        <v>3</v>
      </c>
      <c r="G14" s="251">
        <v>4</v>
      </c>
      <c r="H14" s="251">
        <v>145</v>
      </c>
      <c r="I14" s="251">
        <f t="shared" si="0"/>
        <v>213</v>
      </c>
    </row>
    <row r="15" spans="1:11" x14ac:dyDescent="0.2">
      <c r="B15" s="419"/>
      <c r="C15" s="419"/>
      <c r="D15" s="252" t="s">
        <v>493</v>
      </c>
      <c r="E15" s="251">
        <v>212</v>
      </c>
      <c r="F15" s="251">
        <v>5</v>
      </c>
      <c r="G15" s="251">
        <v>13</v>
      </c>
      <c r="H15" s="251">
        <v>378</v>
      </c>
      <c r="I15" s="251">
        <f t="shared" si="0"/>
        <v>608</v>
      </c>
    </row>
    <row r="16" spans="1:11" x14ac:dyDescent="0.2">
      <c r="B16" s="419" t="s">
        <v>498</v>
      </c>
      <c r="C16" s="419" t="s">
        <v>499</v>
      </c>
      <c r="D16" s="250" t="s">
        <v>491</v>
      </c>
      <c r="E16" s="251">
        <v>25</v>
      </c>
      <c r="F16" s="251">
        <v>3</v>
      </c>
      <c r="G16" s="251">
        <v>2</v>
      </c>
      <c r="H16" s="251">
        <v>101</v>
      </c>
      <c r="I16" s="251">
        <f t="shared" si="0"/>
        <v>131</v>
      </c>
    </row>
    <row r="17" spans="2:9" x14ac:dyDescent="0.2">
      <c r="B17" s="419"/>
      <c r="C17" s="419"/>
      <c r="D17" s="252" t="s">
        <v>493</v>
      </c>
      <c r="E17" s="251">
        <v>95</v>
      </c>
      <c r="F17" s="251">
        <v>10</v>
      </c>
      <c r="G17" s="251">
        <v>4</v>
      </c>
      <c r="H17" s="251">
        <v>289</v>
      </c>
      <c r="I17" s="251">
        <f t="shared" si="0"/>
        <v>398</v>
      </c>
    </row>
    <row r="18" spans="2:9" x14ac:dyDescent="0.2">
      <c r="B18" s="419" t="s">
        <v>500</v>
      </c>
      <c r="C18" s="419" t="s">
        <v>501</v>
      </c>
      <c r="D18" s="250" t="s">
        <v>491</v>
      </c>
      <c r="E18" s="251">
        <v>94</v>
      </c>
      <c r="F18" s="251">
        <v>5</v>
      </c>
      <c r="G18" s="251">
        <v>7</v>
      </c>
      <c r="H18" s="251">
        <v>239</v>
      </c>
      <c r="I18" s="251">
        <f t="shared" si="0"/>
        <v>345</v>
      </c>
    </row>
    <row r="19" spans="2:9" x14ac:dyDescent="0.2">
      <c r="B19" s="419"/>
      <c r="C19" s="419"/>
      <c r="D19" s="252" t="s">
        <v>493</v>
      </c>
      <c r="E19" s="251">
        <v>275</v>
      </c>
      <c r="F19" s="251">
        <v>23</v>
      </c>
      <c r="G19" s="251">
        <v>27</v>
      </c>
      <c r="H19" s="251">
        <v>666</v>
      </c>
      <c r="I19" s="251">
        <f t="shared" si="0"/>
        <v>991</v>
      </c>
    </row>
    <row r="20" spans="2:9" x14ac:dyDescent="0.2">
      <c r="B20" s="419" t="s">
        <v>502</v>
      </c>
      <c r="C20" s="419" t="s">
        <v>503</v>
      </c>
      <c r="D20" s="250" t="s">
        <v>491</v>
      </c>
      <c r="E20" s="251">
        <v>193</v>
      </c>
      <c r="F20" s="251">
        <v>15</v>
      </c>
      <c r="G20" s="251">
        <v>14</v>
      </c>
      <c r="H20" s="251">
        <v>684</v>
      </c>
      <c r="I20" s="251">
        <f t="shared" si="0"/>
        <v>906</v>
      </c>
    </row>
    <row r="21" spans="2:9" x14ac:dyDescent="0.2">
      <c r="B21" s="419"/>
      <c r="C21" s="419"/>
      <c r="D21" s="252" t="s">
        <v>493</v>
      </c>
      <c r="E21" s="251">
        <v>593</v>
      </c>
      <c r="F21" s="251">
        <v>45</v>
      </c>
      <c r="G21" s="251">
        <v>51</v>
      </c>
      <c r="H21" s="251">
        <v>1749</v>
      </c>
      <c r="I21" s="251">
        <f t="shared" si="0"/>
        <v>2438</v>
      </c>
    </row>
    <row r="22" spans="2:9" x14ac:dyDescent="0.2">
      <c r="B22" s="419" t="s">
        <v>504</v>
      </c>
      <c r="C22" s="419" t="s">
        <v>505</v>
      </c>
      <c r="D22" s="250" t="s">
        <v>491</v>
      </c>
      <c r="E22" s="251">
        <v>117</v>
      </c>
      <c r="F22" s="251">
        <v>8</v>
      </c>
      <c r="G22" s="251">
        <v>13</v>
      </c>
      <c r="H22" s="251">
        <v>317</v>
      </c>
      <c r="I22" s="251">
        <f t="shared" si="0"/>
        <v>455</v>
      </c>
    </row>
    <row r="23" spans="2:9" x14ac:dyDescent="0.2">
      <c r="B23" s="419"/>
      <c r="C23" s="419"/>
      <c r="D23" s="252" t="s">
        <v>493</v>
      </c>
      <c r="E23" s="251">
        <v>354</v>
      </c>
      <c r="F23" s="251">
        <v>28</v>
      </c>
      <c r="G23" s="251">
        <v>43</v>
      </c>
      <c r="H23" s="251">
        <v>890</v>
      </c>
      <c r="I23" s="251">
        <f t="shared" si="0"/>
        <v>1315</v>
      </c>
    </row>
    <row r="24" spans="2:9" x14ac:dyDescent="0.2">
      <c r="B24" s="419" t="s">
        <v>506</v>
      </c>
      <c r="C24" s="419" t="s">
        <v>507</v>
      </c>
      <c r="D24" s="250" t="s">
        <v>491</v>
      </c>
      <c r="E24" s="251">
        <v>137</v>
      </c>
      <c r="F24" s="251">
        <v>6</v>
      </c>
      <c r="G24" s="251">
        <v>15</v>
      </c>
      <c r="H24" s="251">
        <v>352</v>
      </c>
      <c r="I24" s="251">
        <f t="shared" si="0"/>
        <v>510</v>
      </c>
    </row>
    <row r="25" spans="2:9" x14ac:dyDescent="0.2">
      <c r="B25" s="419"/>
      <c r="C25" s="419"/>
      <c r="D25" s="252" t="s">
        <v>493</v>
      </c>
      <c r="E25" s="251">
        <v>437</v>
      </c>
      <c r="F25" s="251">
        <v>15</v>
      </c>
      <c r="G25" s="251">
        <v>63</v>
      </c>
      <c r="H25" s="251">
        <v>964</v>
      </c>
      <c r="I25" s="251">
        <f t="shared" si="0"/>
        <v>1479</v>
      </c>
    </row>
    <row r="26" spans="2:9" x14ac:dyDescent="0.2">
      <c r="B26" s="419" t="s">
        <v>508</v>
      </c>
      <c r="C26" s="419" t="s">
        <v>509</v>
      </c>
      <c r="D26" s="250" t="s">
        <v>491</v>
      </c>
      <c r="E26" s="251">
        <v>215</v>
      </c>
      <c r="F26" s="251">
        <v>15</v>
      </c>
      <c r="G26" s="251">
        <v>17</v>
      </c>
      <c r="H26" s="251">
        <v>487</v>
      </c>
      <c r="I26" s="251">
        <f t="shared" si="0"/>
        <v>734</v>
      </c>
    </row>
    <row r="27" spans="2:9" x14ac:dyDescent="0.2">
      <c r="B27" s="419"/>
      <c r="C27" s="419"/>
      <c r="D27" s="252" t="s">
        <v>493</v>
      </c>
      <c r="E27" s="251">
        <v>709</v>
      </c>
      <c r="F27" s="251">
        <v>54</v>
      </c>
      <c r="G27" s="251">
        <v>70</v>
      </c>
      <c r="H27" s="251">
        <v>1348</v>
      </c>
      <c r="I27" s="251">
        <f t="shared" si="0"/>
        <v>2181</v>
      </c>
    </row>
    <row r="28" spans="2:9" x14ac:dyDescent="0.2">
      <c r="B28" s="419" t="s">
        <v>576</v>
      </c>
      <c r="C28" s="419" t="s">
        <v>577</v>
      </c>
      <c r="D28" s="250" t="s">
        <v>491</v>
      </c>
      <c r="E28" s="251">
        <v>101</v>
      </c>
      <c r="F28" s="251">
        <v>4</v>
      </c>
      <c r="G28" s="251">
        <v>7</v>
      </c>
      <c r="H28" s="251">
        <v>143</v>
      </c>
      <c r="I28" s="251">
        <f t="shared" si="0"/>
        <v>255</v>
      </c>
    </row>
    <row r="29" spans="2:9" x14ac:dyDescent="0.2">
      <c r="B29" s="419"/>
      <c r="C29" s="419"/>
      <c r="D29" s="252" t="s">
        <v>493</v>
      </c>
      <c r="E29" s="251">
        <v>322</v>
      </c>
      <c r="F29" s="251">
        <v>12</v>
      </c>
      <c r="G29" s="251">
        <v>26</v>
      </c>
      <c r="H29" s="251">
        <v>407</v>
      </c>
      <c r="I29" s="251">
        <f t="shared" si="0"/>
        <v>767</v>
      </c>
    </row>
    <row r="30" spans="2:9" x14ac:dyDescent="0.2">
      <c r="B30" s="419" t="s">
        <v>510</v>
      </c>
      <c r="C30" s="419" t="s">
        <v>511</v>
      </c>
      <c r="D30" s="250" t="s">
        <v>491</v>
      </c>
      <c r="E30" s="251">
        <v>170</v>
      </c>
      <c r="F30" s="251">
        <v>9</v>
      </c>
      <c r="G30" s="251">
        <v>15</v>
      </c>
      <c r="H30" s="251">
        <v>283</v>
      </c>
      <c r="I30" s="251">
        <f t="shared" si="0"/>
        <v>477</v>
      </c>
    </row>
    <row r="31" spans="2:9" x14ac:dyDescent="0.2">
      <c r="B31" s="419"/>
      <c r="C31" s="419"/>
      <c r="D31" s="252" t="s">
        <v>493</v>
      </c>
      <c r="E31" s="251">
        <v>593</v>
      </c>
      <c r="F31" s="251">
        <v>22</v>
      </c>
      <c r="G31" s="251">
        <v>67</v>
      </c>
      <c r="H31" s="251">
        <v>823</v>
      </c>
      <c r="I31" s="251">
        <f t="shared" si="0"/>
        <v>1505</v>
      </c>
    </row>
    <row r="32" spans="2:9" x14ac:dyDescent="0.2">
      <c r="B32" s="419" t="s">
        <v>512</v>
      </c>
      <c r="C32" s="419" t="s">
        <v>513</v>
      </c>
      <c r="D32" s="250" t="s">
        <v>491</v>
      </c>
      <c r="E32" s="251">
        <v>66</v>
      </c>
      <c r="F32" s="251">
        <v>2</v>
      </c>
      <c r="G32" s="251">
        <v>6</v>
      </c>
      <c r="H32" s="251">
        <v>132</v>
      </c>
      <c r="I32" s="251">
        <f t="shared" si="0"/>
        <v>206</v>
      </c>
    </row>
    <row r="33" spans="2:9" x14ac:dyDescent="0.2">
      <c r="B33" s="419"/>
      <c r="C33" s="419"/>
      <c r="D33" s="252" t="s">
        <v>493</v>
      </c>
      <c r="E33" s="251">
        <v>227</v>
      </c>
      <c r="F33" s="251">
        <v>4</v>
      </c>
      <c r="G33" s="251">
        <v>23</v>
      </c>
      <c r="H33" s="251">
        <v>354</v>
      </c>
      <c r="I33" s="251">
        <f t="shared" si="0"/>
        <v>608</v>
      </c>
    </row>
    <row r="34" spans="2:9" x14ac:dyDescent="0.2">
      <c r="B34" s="419" t="s">
        <v>514</v>
      </c>
      <c r="C34" s="419" t="s">
        <v>515</v>
      </c>
      <c r="D34" s="250" t="s">
        <v>491</v>
      </c>
      <c r="E34" s="251">
        <v>101</v>
      </c>
      <c r="F34" s="251">
        <v>4</v>
      </c>
      <c r="G34" s="251">
        <v>6</v>
      </c>
      <c r="H34" s="251">
        <v>244</v>
      </c>
      <c r="I34" s="251">
        <f t="shared" si="0"/>
        <v>355</v>
      </c>
    </row>
    <row r="35" spans="2:9" x14ac:dyDescent="0.2">
      <c r="B35" s="419"/>
      <c r="C35" s="419"/>
      <c r="D35" s="252" t="s">
        <v>493</v>
      </c>
      <c r="E35" s="251">
        <v>301</v>
      </c>
      <c r="F35" s="251">
        <v>12</v>
      </c>
      <c r="G35" s="251">
        <v>25</v>
      </c>
      <c r="H35" s="251">
        <v>699</v>
      </c>
      <c r="I35" s="251">
        <f t="shared" si="0"/>
        <v>1037</v>
      </c>
    </row>
    <row r="36" spans="2:9" x14ac:dyDescent="0.2">
      <c r="B36" s="419" t="s">
        <v>516</v>
      </c>
      <c r="C36" s="419" t="s">
        <v>517</v>
      </c>
      <c r="D36" s="250" t="s">
        <v>491</v>
      </c>
      <c r="E36" s="251">
        <v>7</v>
      </c>
      <c r="F36" s="251">
        <v>1</v>
      </c>
      <c r="G36" s="251">
        <v>0</v>
      </c>
      <c r="H36" s="251">
        <v>35</v>
      </c>
      <c r="I36" s="251">
        <f t="shared" si="0"/>
        <v>43</v>
      </c>
    </row>
    <row r="37" spans="2:9" x14ac:dyDescent="0.2">
      <c r="B37" s="419"/>
      <c r="C37" s="419"/>
      <c r="D37" s="252" t="s">
        <v>493</v>
      </c>
      <c r="E37" s="251">
        <v>25</v>
      </c>
      <c r="F37" s="251">
        <v>2</v>
      </c>
      <c r="G37" s="251">
        <v>0</v>
      </c>
      <c r="H37" s="251">
        <v>84</v>
      </c>
      <c r="I37" s="251">
        <f t="shared" si="0"/>
        <v>111</v>
      </c>
    </row>
    <row r="38" spans="2:9" x14ac:dyDescent="0.2">
      <c r="B38" s="419" t="s">
        <v>518</v>
      </c>
      <c r="C38" s="419" t="s">
        <v>519</v>
      </c>
      <c r="D38" s="250" t="s">
        <v>491</v>
      </c>
      <c r="E38" s="251">
        <v>9</v>
      </c>
      <c r="F38" s="251">
        <v>0</v>
      </c>
      <c r="G38" s="251">
        <v>1</v>
      </c>
      <c r="H38" s="251">
        <v>49</v>
      </c>
      <c r="I38" s="251">
        <f t="shared" si="0"/>
        <v>59</v>
      </c>
    </row>
    <row r="39" spans="2:9" x14ac:dyDescent="0.2">
      <c r="B39" s="419"/>
      <c r="C39" s="419"/>
      <c r="D39" s="252" t="s">
        <v>493</v>
      </c>
      <c r="E39" s="251">
        <v>20</v>
      </c>
      <c r="F39" s="251">
        <v>0</v>
      </c>
      <c r="G39" s="251">
        <v>4</v>
      </c>
      <c r="H39" s="251">
        <v>110</v>
      </c>
      <c r="I39" s="251">
        <f t="shared" si="0"/>
        <v>134</v>
      </c>
    </row>
    <row r="40" spans="2:9" x14ac:dyDescent="0.2">
      <c r="B40" s="419" t="s">
        <v>520</v>
      </c>
      <c r="C40" s="419" t="s">
        <v>521</v>
      </c>
      <c r="D40" s="250" t="s">
        <v>491</v>
      </c>
      <c r="E40" s="251">
        <v>699</v>
      </c>
      <c r="F40" s="251">
        <v>33</v>
      </c>
      <c r="G40" s="251">
        <v>67</v>
      </c>
      <c r="H40" s="251">
        <v>2152</v>
      </c>
      <c r="I40" s="251">
        <f t="shared" si="0"/>
        <v>2951</v>
      </c>
    </row>
    <row r="41" spans="2:9" x14ac:dyDescent="0.2">
      <c r="B41" s="419"/>
      <c r="C41" s="419"/>
      <c r="D41" s="252" t="s">
        <v>493</v>
      </c>
      <c r="E41" s="251">
        <v>2128</v>
      </c>
      <c r="F41" s="251">
        <v>119</v>
      </c>
      <c r="G41" s="251">
        <v>226</v>
      </c>
      <c r="H41" s="251">
        <v>5511</v>
      </c>
      <c r="I41" s="251">
        <f t="shared" si="0"/>
        <v>7984</v>
      </c>
    </row>
    <row r="42" spans="2:9" x14ac:dyDescent="0.2">
      <c r="B42" s="420" t="s">
        <v>96</v>
      </c>
      <c r="C42" s="420"/>
      <c r="D42" s="253" t="s">
        <v>491</v>
      </c>
      <c r="E42" s="254">
        <f>E10+E12+E14+E16+E18+E20+E22+E24+E26+E28+E30+E32+E34+E36+E38+E40</f>
        <v>2034</v>
      </c>
      <c r="F42" s="254">
        <f t="shared" ref="F42:H43" si="1">F10+F12+F14+F16+F18+F20+F22+F24+F26+F28+F30+F32+F34+F36+F38+F40</f>
        <v>114</v>
      </c>
      <c r="G42" s="254">
        <f t="shared" si="1"/>
        <v>180</v>
      </c>
      <c r="H42" s="254">
        <f t="shared" si="1"/>
        <v>5520</v>
      </c>
      <c r="I42" s="254">
        <f t="shared" si="0"/>
        <v>7848</v>
      </c>
    </row>
    <row r="43" spans="2:9" x14ac:dyDescent="0.2">
      <c r="B43" s="420"/>
      <c r="C43" s="420"/>
      <c r="D43" s="255" t="s">
        <v>493</v>
      </c>
      <c r="E43" s="254">
        <f>E11+E13+E15+E17+E19+E21+E23+E25+E27+E29+E31+E33+E35+E37+E39+E41</f>
        <v>6415</v>
      </c>
      <c r="F43" s="254">
        <f t="shared" si="1"/>
        <v>370</v>
      </c>
      <c r="G43" s="254">
        <f t="shared" si="1"/>
        <v>667</v>
      </c>
      <c r="H43" s="254">
        <f t="shared" si="1"/>
        <v>14702</v>
      </c>
      <c r="I43" s="254">
        <f t="shared" si="0"/>
        <v>22154</v>
      </c>
    </row>
    <row r="44" spans="2:9" x14ac:dyDescent="0.2">
      <c r="B44" s="176" t="s">
        <v>473</v>
      </c>
    </row>
  </sheetData>
  <mergeCells count="40">
    <mergeCell ref="B40:B41"/>
    <mergeCell ref="C40:C41"/>
    <mergeCell ref="B42:C43"/>
    <mergeCell ref="B38:B39"/>
    <mergeCell ref="B28:B29"/>
    <mergeCell ref="C28:C29"/>
    <mergeCell ref="B30:B31"/>
    <mergeCell ref="C30:C31"/>
    <mergeCell ref="C38:C39"/>
    <mergeCell ref="B36:B37"/>
    <mergeCell ref="C36:C37"/>
    <mergeCell ref="B34:B35"/>
    <mergeCell ref="C34:C35"/>
    <mergeCell ref="B32:B33"/>
    <mergeCell ref="C32:C33"/>
    <mergeCell ref="B22:B23"/>
    <mergeCell ref="C22:C23"/>
    <mergeCell ref="B24:B25"/>
    <mergeCell ref="C24:C25"/>
    <mergeCell ref="C26:C27"/>
    <mergeCell ref="B26:B27"/>
    <mergeCell ref="B16:B17"/>
    <mergeCell ref="C16:C17"/>
    <mergeCell ref="B18:B19"/>
    <mergeCell ref="C18:C19"/>
    <mergeCell ref="B20:B21"/>
    <mergeCell ref="C20:C21"/>
    <mergeCell ref="B10:B11"/>
    <mergeCell ref="C10:C11"/>
    <mergeCell ref="B12:B13"/>
    <mergeCell ref="C12:C13"/>
    <mergeCell ref="B14:B15"/>
    <mergeCell ref="C14:C15"/>
    <mergeCell ref="B5:I5"/>
    <mergeCell ref="B6:I6"/>
    <mergeCell ref="B8:C9"/>
    <mergeCell ref="D8:D9"/>
    <mergeCell ref="E8:F8"/>
    <mergeCell ref="G8:H8"/>
    <mergeCell ref="I8:I9"/>
  </mergeCells>
  <hyperlinks>
    <hyperlink ref="K5" location="'Índice BxH'!A1" display="Volver a Bono por Hijo" xr:uid="{00000000-0004-0000-1A00-000000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8" tint="-0.249977111117893"/>
  </sheetPr>
  <dimension ref="A2:N16"/>
  <sheetViews>
    <sheetView showGridLines="0" workbookViewId="0">
      <selection activeCell="D18" sqref="D18"/>
    </sheetView>
  </sheetViews>
  <sheetFormatPr baseColWidth="10" defaultRowHeight="15" x14ac:dyDescent="0.25"/>
  <cols>
    <col min="1" max="1" width="6" customWidth="1"/>
  </cols>
  <sheetData>
    <row r="2" spans="1:14" x14ac:dyDescent="0.25">
      <c r="A2" s="47" t="s">
        <v>101</v>
      </c>
    </row>
    <row r="3" spans="1:14" x14ac:dyDescent="0.25">
      <c r="A3" s="47" t="s">
        <v>102</v>
      </c>
    </row>
    <row r="4" spans="1:14" x14ac:dyDescent="0.25">
      <c r="A4" s="47"/>
    </row>
    <row r="5" spans="1:14" x14ac:dyDescent="0.25">
      <c r="A5" s="47"/>
      <c r="B5" s="105" t="s">
        <v>563</v>
      </c>
      <c r="C5" s="94"/>
      <c r="D5" s="94"/>
      <c r="E5" s="94"/>
      <c r="F5" s="94"/>
      <c r="N5" s="121" t="s">
        <v>570</v>
      </c>
    </row>
    <row r="6" spans="1:14" x14ac:dyDescent="0.25">
      <c r="A6" s="47"/>
    </row>
    <row r="7" spans="1:14" s="106" customFormat="1" ht="12.75" x14ac:dyDescent="0.2">
      <c r="B7" s="107" t="s">
        <v>124</v>
      </c>
      <c r="C7" s="108"/>
      <c r="D7" s="108"/>
      <c r="E7" s="108"/>
      <c r="F7" s="108"/>
      <c r="G7" s="108"/>
      <c r="H7" s="108"/>
      <c r="I7" s="108"/>
      <c r="J7" s="108"/>
      <c r="K7" s="108"/>
      <c r="L7" s="108"/>
      <c r="M7" s="108"/>
      <c r="N7" s="109"/>
    </row>
    <row r="8" spans="1:14" s="106" customFormat="1" ht="12.75" x14ac:dyDescent="0.2">
      <c r="B8" s="116" t="s">
        <v>616</v>
      </c>
      <c r="C8" s="117"/>
      <c r="D8" s="117"/>
      <c r="E8" s="117"/>
      <c r="F8" s="117"/>
      <c r="G8" s="117"/>
      <c r="H8" s="117"/>
      <c r="I8" s="117"/>
      <c r="J8" s="117"/>
      <c r="K8" s="117"/>
      <c r="L8" s="117"/>
      <c r="M8" s="117"/>
      <c r="N8" s="118"/>
    </row>
    <row r="9" spans="1:14" s="106" customFormat="1" ht="12.75" x14ac:dyDescent="0.2">
      <c r="B9" s="119" t="s">
        <v>564</v>
      </c>
      <c r="C9" s="110"/>
      <c r="D9" s="110"/>
      <c r="E9" s="110"/>
      <c r="F9" s="110"/>
      <c r="G9" s="110"/>
      <c r="H9" s="110"/>
      <c r="I9" s="110"/>
      <c r="J9" s="110"/>
      <c r="K9" s="110"/>
      <c r="L9" s="110"/>
      <c r="M9" s="110"/>
      <c r="N9" s="111"/>
    </row>
    <row r="10" spans="1:14" s="106" customFormat="1" ht="12.75" x14ac:dyDescent="0.2">
      <c r="B10" s="117"/>
      <c r="C10" s="117"/>
      <c r="D10" s="117"/>
      <c r="E10" s="117"/>
      <c r="F10" s="117"/>
      <c r="G10" s="117"/>
      <c r="H10" s="117"/>
      <c r="I10" s="117"/>
      <c r="J10" s="117"/>
      <c r="K10" s="117"/>
      <c r="L10" s="117"/>
      <c r="M10" s="117"/>
      <c r="N10" s="117"/>
    </row>
    <row r="11" spans="1:14" s="106" customFormat="1" ht="12.75" x14ac:dyDescent="0.2">
      <c r="B11" s="71" t="s">
        <v>522</v>
      </c>
      <c r="C11" s="117"/>
      <c r="D11" s="117"/>
      <c r="E11" s="117"/>
      <c r="F11" s="117"/>
      <c r="G11" s="117"/>
      <c r="H11" s="117"/>
      <c r="I11" s="117"/>
      <c r="J11" s="117"/>
      <c r="K11" s="117"/>
      <c r="L11" s="117"/>
      <c r="M11" s="117"/>
      <c r="N11" s="117"/>
    </row>
    <row r="12" spans="1:14" s="106" customFormat="1" ht="12.75" x14ac:dyDescent="0.2">
      <c r="B12" s="421" t="s">
        <v>617</v>
      </c>
      <c r="C12" s="421"/>
      <c r="D12" s="421"/>
      <c r="E12" s="421"/>
      <c r="F12" s="421"/>
      <c r="G12" s="421"/>
      <c r="H12" s="421"/>
      <c r="I12" s="421"/>
      <c r="J12" s="421"/>
    </row>
    <row r="13" spans="1:14" s="106" customFormat="1" ht="12.75" x14ac:dyDescent="0.2">
      <c r="B13" s="421" t="s">
        <v>618</v>
      </c>
      <c r="C13" s="421"/>
      <c r="D13" s="421"/>
      <c r="E13" s="421"/>
      <c r="F13" s="421"/>
      <c r="G13" s="421"/>
      <c r="H13" s="421"/>
      <c r="I13" s="421"/>
      <c r="J13" s="421"/>
    </row>
    <row r="14" spans="1:14" s="106" customFormat="1" ht="12.75" x14ac:dyDescent="0.2">
      <c r="B14" s="421" t="s">
        <v>619</v>
      </c>
      <c r="C14" s="421"/>
      <c r="D14" s="421"/>
      <c r="E14" s="421"/>
      <c r="F14" s="421"/>
      <c r="G14" s="421"/>
      <c r="H14" s="421"/>
      <c r="I14" s="421"/>
    </row>
    <row r="15" spans="1:14" s="106" customFormat="1" ht="12.75" x14ac:dyDescent="0.2">
      <c r="B15" s="421" t="s">
        <v>620</v>
      </c>
      <c r="C15" s="421"/>
      <c r="D15" s="421"/>
      <c r="E15" s="421"/>
      <c r="F15" s="421"/>
      <c r="G15" s="421"/>
      <c r="H15" s="421"/>
      <c r="I15" s="421"/>
      <c r="J15" s="421"/>
    </row>
    <row r="16" spans="1:14" s="106" customFormat="1" ht="12.75" x14ac:dyDescent="0.2">
      <c r="B16" s="421" t="s">
        <v>621</v>
      </c>
      <c r="C16" s="421"/>
      <c r="D16" s="421"/>
      <c r="E16" s="421"/>
      <c r="F16" s="421"/>
      <c r="G16" s="421"/>
      <c r="H16" s="421"/>
      <c r="I16" s="421"/>
      <c r="J16" s="421"/>
    </row>
  </sheetData>
  <mergeCells count="5">
    <mergeCell ref="B12:J12"/>
    <mergeCell ref="B13:J13"/>
    <mergeCell ref="B14:I14"/>
    <mergeCell ref="B15:J15"/>
    <mergeCell ref="B16:J16"/>
  </mergeCells>
  <hyperlinks>
    <hyperlink ref="B12" location="'Contratación Solicitudes'!A1" display="'Contratación Solicitudes'!A1" xr:uid="{00000000-0004-0000-1B00-000000000000}"/>
    <hyperlink ref="B13" location="'Contratación Trámite'!A1" display="'Contratación Trámite'!A1" xr:uid="{00000000-0004-0000-1B00-000001000000}"/>
    <hyperlink ref="B14" location="'Cotización Solicitudes'!A1" display="'Cotización Solicitudes'!A1" xr:uid="{00000000-0004-0000-1B00-000002000000}"/>
    <hyperlink ref="B15" location="'Cotización Trámite'!A1" display="'Cotización Trámite'!A1" xr:uid="{00000000-0004-0000-1B00-000003000000}"/>
    <hyperlink ref="B16" location="'Subsidios Pagados'!A1" display="'Subsidios Pagados'!A1" xr:uid="{00000000-0004-0000-1B00-000004000000}"/>
    <hyperlink ref="N5" location="Índice!A1" display="Volver" xr:uid="{00000000-0004-0000-1B00-000005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2:H135"/>
  <sheetViews>
    <sheetView showGridLines="0" zoomScale="90" zoomScaleNormal="90" workbookViewId="0">
      <pane xSplit="2" ySplit="10" topLeftCell="C118" activePane="bottomRight" state="frozen"/>
      <selection activeCell="F131" sqref="F131"/>
      <selection pane="topRight" activeCell="F131" sqref="F131"/>
      <selection pane="bottomLeft" activeCell="F131" sqref="F131"/>
      <selection pane="bottomRight" activeCell="B131" sqref="B131"/>
    </sheetView>
  </sheetViews>
  <sheetFormatPr baseColWidth="10" defaultColWidth="11.42578125" defaultRowHeight="12" x14ac:dyDescent="0.2"/>
  <cols>
    <col min="1" max="1" width="6" style="25" customWidth="1"/>
    <col min="2" max="16384" width="11.42578125" style="25"/>
  </cols>
  <sheetData>
    <row r="2" spans="1:8" x14ac:dyDescent="0.2">
      <c r="A2" s="47" t="s">
        <v>101</v>
      </c>
    </row>
    <row r="3" spans="1:8" x14ac:dyDescent="0.2">
      <c r="A3" s="47" t="s">
        <v>102</v>
      </c>
    </row>
    <row r="5" spans="1:8" ht="28.5" customHeight="1" x14ac:dyDescent="0.2">
      <c r="B5" s="422" t="s">
        <v>523</v>
      </c>
      <c r="C5" s="422"/>
      <c r="D5" s="422"/>
      <c r="E5" s="422"/>
      <c r="F5" s="422"/>
      <c r="H5" s="115" t="s">
        <v>569</v>
      </c>
    </row>
    <row r="6" spans="1:8" ht="12.75" x14ac:dyDescent="0.2">
      <c r="B6" s="369" t="s">
        <v>622</v>
      </c>
      <c r="C6" s="369"/>
      <c r="D6" s="369"/>
      <c r="E6" s="369"/>
      <c r="F6" s="369"/>
    </row>
    <row r="8" spans="1:8" ht="27" customHeight="1" x14ac:dyDescent="0.2">
      <c r="B8" s="423" t="s">
        <v>524</v>
      </c>
      <c r="C8" s="426" t="s">
        <v>525</v>
      </c>
      <c r="D8" s="427"/>
      <c r="E8" s="427"/>
      <c r="F8" s="428"/>
    </row>
    <row r="9" spans="1:8" ht="12" customHeight="1" x14ac:dyDescent="0.2">
      <c r="B9" s="424"/>
      <c r="C9" s="429" t="s">
        <v>480</v>
      </c>
      <c r="D9" s="426" t="s">
        <v>526</v>
      </c>
      <c r="E9" s="428"/>
      <c r="F9" s="429" t="s">
        <v>527</v>
      </c>
    </row>
    <row r="10" spans="1:8" x14ac:dyDescent="0.2">
      <c r="B10" s="425"/>
      <c r="C10" s="430"/>
      <c r="D10" s="242" t="s">
        <v>528</v>
      </c>
      <c r="E10" s="242" t="s">
        <v>529</v>
      </c>
      <c r="F10" s="430"/>
    </row>
    <row r="11" spans="1:8" x14ac:dyDescent="0.2">
      <c r="B11" s="75" t="s">
        <v>530</v>
      </c>
      <c r="C11" s="169">
        <v>333</v>
      </c>
      <c r="D11" s="169"/>
      <c r="E11" s="169"/>
      <c r="F11" s="169"/>
    </row>
    <row r="12" spans="1:8" x14ac:dyDescent="0.2">
      <c r="B12" s="76">
        <v>2009</v>
      </c>
      <c r="C12" s="169">
        <v>2105</v>
      </c>
      <c r="D12" s="169"/>
      <c r="E12" s="169"/>
      <c r="F12" s="169"/>
    </row>
    <row r="13" spans="1:8" x14ac:dyDescent="0.2">
      <c r="B13" s="76">
        <v>2010</v>
      </c>
      <c r="C13" s="169">
        <v>1759</v>
      </c>
      <c r="D13" s="169"/>
      <c r="E13" s="169"/>
      <c r="F13" s="169"/>
    </row>
    <row r="14" spans="1:8" x14ac:dyDescent="0.2">
      <c r="B14" s="76">
        <v>2011</v>
      </c>
      <c r="C14" s="77">
        <v>1026</v>
      </c>
      <c r="D14" s="77"/>
      <c r="E14" s="77"/>
      <c r="F14" s="77"/>
    </row>
    <row r="15" spans="1:8" x14ac:dyDescent="0.2">
      <c r="B15" s="76">
        <v>2012</v>
      </c>
      <c r="C15" s="77">
        <v>807</v>
      </c>
      <c r="D15" s="77"/>
      <c r="E15" s="77"/>
      <c r="F15" s="77">
        <f>4799+6387+5277+4788+3887+4506+3139+8888+9643+3804+9793+10267</f>
        <v>75178</v>
      </c>
    </row>
    <row r="16" spans="1:8" x14ac:dyDescent="0.2">
      <c r="B16" s="175">
        <v>41275</v>
      </c>
      <c r="C16" s="79">
        <v>58</v>
      </c>
      <c r="D16" s="79"/>
      <c r="E16" s="79"/>
      <c r="F16" s="79">
        <v>10513</v>
      </c>
    </row>
    <row r="17" spans="2:6" x14ac:dyDescent="0.2">
      <c r="B17" s="175">
        <v>41306</v>
      </c>
      <c r="C17" s="79">
        <v>55</v>
      </c>
      <c r="D17" s="79"/>
      <c r="E17" s="79"/>
      <c r="F17" s="79">
        <v>8811</v>
      </c>
    </row>
    <row r="18" spans="2:6" x14ac:dyDescent="0.2">
      <c r="B18" s="175">
        <v>41334</v>
      </c>
      <c r="C18" s="79">
        <v>64</v>
      </c>
      <c r="D18" s="79"/>
      <c r="E18" s="79"/>
      <c r="F18" s="79">
        <v>11072</v>
      </c>
    </row>
    <row r="19" spans="2:6" x14ac:dyDescent="0.2">
      <c r="B19" s="175">
        <v>41365</v>
      </c>
      <c r="C19" s="79">
        <v>66</v>
      </c>
      <c r="D19" s="79"/>
      <c r="E19" s="79"/>
      <c r="F19" s="79">
        <v>9568</v>
      </c>
    </row>
    <row r="20" spans="2:6" x14ac:dyDescent="0.2">
      <c r="B20" s="175">
        <v>41395</v>
      </c>
      <c r="C20" s="79">
        <v>60</v>
      </c>
      <c r="D20" s="79"/>
      <c r="E20" s="79"/>
      <c r="F20" s="79">
        <v>9423</v>
      </c>
    </row>
    <row r="21" spans="2:6" x14ac:dyDescent="0.2">
      <c r="B21" s="175">
        <v>41426</v>
      </c>
      <c r="C21" s="79">
        <v>54</v>
      </c>
      <c r="D21" s="79"/>
      <c r="E21" s="79"/>
      <c r="F21" s="79">
        <v>10541</v>
      </c>
    </row>
    <row r="22" spans="2:6" x14ac:dyDescent="0.2">
      <c r="B22" s="175">
        <v>41456</v>
      </c>
      <c r="C22" s="79">
        <v>58</v>
      </c>
      <c r="D22" s="79"/>
      <c r="E22" s="79"/>
      <c r="F22" s="79">
        <v>10315</v>
      </c>
    </row>
    <row r="23" spans="2:6" x14ac:dyDescent="0.2">
      <c r="B23" s="175">
        <v>41487</v>
      </c>
      <c r="C23" s="79">
        <v>58</v>
      </c>
      <c r="D23" s="79"/>
      <c r="E23" s="79"/>
      <c r="F23" s="79">
        <v>9741</v>
      </c>
    </row>
    <row r="24" spans="2:6" x14ac:dyDescent="0.2">
      <c r="B24" s="175">
        <v>41518</v>
      </c>
      <c r="C24" s="79">
        <v>50</v>
      </c>
      <c r="D24" s="79"/>
      <c r="E24" s="79"/>
      <c r="F24" s="79">
        <v>9232</v>
      </c>
    </row>
    <row r="25" spans="2:6" x14ac:dyDescent="0.2">
      <c r="B25" s="175">
        <v>41548</v>
      </c>
      <c r="C25" s="79">
        <v>48</v>
      </c>
      <c r="D25" s="79"/>
      <c r="E25" s="79"/>
      <c r="F25" s="79">
        <v>9928</v>
      </c>
    </row>
    <row r="26" spans="2:6" x14ac:dyDescent="0.2">
      <c r="B26" s="175">
        <v>41579</v>
      </c>
      <c r="C26" s="79">
        <v>28</v>
      </c>
      <c r="D26" s="79"/>
      <c r="E26" s="79"/>
      <c r="F26" s="79">
        <v>6195</v>
      </c>
    </row>
    <row r="27" spans="2:6" x14ac:dyDescent="0.2">
      <c r="B27" s="175">
        <v>41609</v>
      </c>
      <c r="C27" s="167">
        <v>55</v>
      </c>
      <c r="D27" s="167"/>
      <c r="E27" s="167"/>
      <c r="F27" s="167">
        <v>8859</v>
      </c>
    </row>
    <row r="28" spans="2:6" x14ac:dyDescent="0.2">
      <c r="B28" s="76">
        <v>2013</v>
      </c>
      <c r="C28" s="169">
        <f>SUM(C16:C27)</f>
        <v>654</v>
      </c>
      <c r="D28" s="169"/>
      <c r="E28" s="169"/>
      <c r="F28" s="169">
        <f>SUM(F16:F27)</f>
        <v>114198</v>
      </c>
    </row>
    <row r="29" spans="2:6" x14ac:dyDescent="0.2">
      <c r="B29" s="175">
        <v>41640</v>
      </c>
      <c r="C29" s="167">
        <v>57</v>
      </c>
      <c r="D29" s="167"/>
      <c r="E29" s="167"/>
      <c r="F29" s="167">
        <v>10003</v>
      </c>
    </row>
    <row r="30" spans="2:6" x14ac:dyDescent="0.2">
      <c r="B30" s="175">
        <v>41671</v>
      </c>
      <c r="C30" s="167">
        <v>36</v>
      </c>
      <c r="D30" s="167"/>
      <c r="E30" s="167"/>
      <c r="F30" s="167">
        <v>8116</v>
      </c>
    </row>
    <row r="31" spans="2:6" x14ac:dyDescent="0.2">
      <c r="B31" s="175">
        <v>41699</v>
      </c>
      <c r="C31" s="167">
        <v>43</v>
      </c>
      <c r="D31" s="167"/>
      <c r="E31" s="167"/>
      <c r="F31" s="167">
        <v>3794</v>
      </c>
    </row>
    <row r="32" spans="2:6" x14ac:dyDescent="0.2">
      <c r="B32" s="175">
        <v>41730</v>
      </c>
      <c r="C32" s="167">
        <v>44</v>
      </c>
      <c r="D32" s="167"/>
      <c r="E32" s="167"/>
      <c r="F32" s="167">
        <v>5833</v>
      </c>
    </row>
    <row r="33" spans="2:6" x14ac:dyDescent="0.2">
      <c r="B33" s="175">
        <v>41760</v>
      </c>
      <c r="C33" s="167">
        <v>47</v>
      </c>
      <c r="D33" s="167"/>
      <c r="E33" s="167"/>
      <c r="F33" s="167">
        <v>3916</v>
      </c>
    </row>
    <row r="34" spans="2:6" x14ac:dyDescent="0.2">
      <c r="B34" s="175">
        <v>41791</v>
      </c>
      <c r="C34" s="167">
        <v>48</v>
      </c>
      <c r="D34" s="167"/>
      <c r="E34" s="167"/>
      <c r="F34" s="167">
        <v>3251</v>
      </c>
    </row>
    <row r="35" spans="2:6" x14ac:dyDescent="0.2">
      <c r="B35" s="175">
        <v>41821</v>
      </c>
      <c r="C35" s="167">
        <v>47</v>
      </c>
      <c r="D35" s="167"/>
      <c r="E35" s="167"/>
      <c r="F35" s="167">
        <v>3190</v>
      </c>
    </row>
    <row r="36" spans="2:6" x14ac:dyDescent="0.2">
      <c r="B36" s="175">
        <v>41852</v>
      </c>
      <c r="C36" s="167">
        <v>44</v>
      </c>
      <c r="D36" s="167"/>
      <c r="E36" s="167"/>
      <c r="F36" s="167">
        <v>3136</v>
      </c>
    </row>
    <row r="37" spans="2:6" x14ac:dyDescent="0.2">
      <c r="B37" s="175">
        <v>41883</v>
      </c>
      <c r="C37" s="167">
        <v>41</v>
      </c>
      <c r="D37" s="167"/>
      <c r="E37" s="167"/>
      <c r="F37" s="167">
        <v>2928</v>
      </c>
    </row>
    <row r="38" spans="2:6" x14ac:dyDescent="0.2">
      <c r="B38" s="175">
        <v>41913</v>
      </c>
      <c r="C38" s="167">
        <v>34</v>
      </c>
      <c r="D38" s="167"/>
      <c r="E38" s="167"/>
      <c r="F38" s="167">
        <v>2732</v>
      </c>
    </row>
    <row r="39" spans="2:6" x14ac:dyDescent="0.2">
      <c r="B39" s="175">
        <v>41944</v>
      </c>
      <c r="C39" s="167">
        <v>25</v>
      </c>
      <c r="D39" s="167"/>
      <c r="E39" s="167"/>
      <c r="F39" s="167">
        <v>3936</v>
      </c>
    </row>
    <row r="40" spans="2:6" x14ac:dyDescent="0.2">
      <c r="B40" s="175">
        <v>41974</v>
      </c>
      <c r="C40" s="167">
        <v>47</v>
      </c>
      <c r="D40" s="167"/>
      <c r="E40" s="167"/>
      <c r="F40" s="167">
        <v>3018</v>
      </c>
    </row>
    <row r="41" spans="2:6" x14ac:dyDescent="0.2">
      <c r="B41" s="76">
        <v>2014</v>
      </c>
      <c r="C41" s="169">
        <f>SUM(C29:C40)</f>
        <v>513</v>
      </c>
      <c r="D41" s="169"/>
      <c r="E41" s="169"/>
      <c r="F41" s="169">
        <f>SUM(F29:F40)</f>
        <v>53853</v>
      </c>
    </row>
    <row r="42" spans="2:6" x14ac:dyDescent="0.2">
      <c r="B42" s="175">
        <v>42005</v>
      </c>
      <c r="C42" s="167">
        <v>40</v>
      </c>
      <c r="D42" s="167"/>
      <c r="E42" s="167"/>
      <c r="F42" s="167">
        <v>2343</v>
      </c>
    </row>
    <row r="43" spans="2:6" x14ac:dyDescent="0.2">
      <c r="B43" s="175">
        <v>42036</v>
      </c>
      <c r="C43" s="167">
        <v>37</v>
      </c>
      <c r="D43" s="167"/>
      <c r="E43" s="167"/>
      <c r="F43" s="167">
        <v>2758</v>
      </c>
    </row>
    <row r="44" spans="2:6" x14ac:dyDescent="0.2">
      <c r="B44" s="175">
        <v>42064</v>
      </c>
      <c r="C44" s="167">
        <v>39</v>
      </c>
      <c r="D44" s="167"/>
      <c r="E44" s="167"/>
      <c r="F44" s="167">
        <v>2319</v>
      </c>
    </row>
    <row r="45" spans="2:6" x14ac:dyDescent="0.2">
      <c r="B45" s="175">
        <v>42095</v>
      </c>
      <c r="C45" s="167">
        <v>33</v>
      </c>
      <c r="D45" s="167"/>
      <c r="E45" s="167"/>
      <c r="F45" s="167">
        <v>1250</v>
      </c>
    </row>
    <row r="46" spans="2:6" x14ac:dyDescent="0.2">
      <c r="B46" s="175">
        <v>42125</v>
      </c>
      <c r="C46" s="167">
        <v>31</v>
      </c>
      <c r="D46" s="167"/>
      <c r="E46" s="167"/>
      <c r="F46" s="167">
        <v>1952</v>
      </c>
    </row>
    <row r="47" spans="2:6" x14ac:dyDescent="0.2">
      <c r="B47" s="175">
        <v>42156</v>
      </c>
      <c r="C47" s="167">
        <v>38</v>
      </c>
      <c r="D47" s="167"/>
      <c r="E47" s="167"/>
      <c r="F47" s="167">
        <v>1536</v>
      </c>
    </row>
    <row r="48" spans="2:6" x14ac:dyDescent="0.2">
      <c r="B48" s="175">
        <v>42186</v>
      </c>
      <c r="C48" s="167">
        <v>33</v>
      </c>
      <c r="D48" s="167"/>
      <c r="E48" s="167"/>
      <c r="F48" s="167">
        <v>2640</v>
      </c>
    </row>
    <row r="49" spans="2:6" x14ac:dyDescent="0.2">
      <c r="B49" s="175">
        <v>42217</v>
      </c>
      <c r="C49" s="167">
        <v>37</v>
      </c>
      <c r="D49" s="167"/>
      <c r="E49" s="167"/>
      <c r="F49" s="167">
        <v>1723</v>
      </c>
    </row>
    <row r="50" spans="2:6" x14ac:dyDescent="0.2">
      <c r="B50" s="175">
        <v>42248</v>
      </c>
      <c r="C50" s="167">
        <v>40</v>
      </c>
      <c r="D50" s="167"/>
      <c r="E50" s="167"/>
      <c r="F50" s="167">
        <v>2602</v>
      </c>
    </row>
    <row r="51" spans="2:6" x14ac:dyDescent="0.2">
      <c r="B51" s="175">
        <v>42278</v>
      </c>
      <c r="C51" s="167">
        <v>39</v>
      </c>
      <c r="D51" s="167"/>
      <c r="E51" s="167"/>
      <c r="F51" s="167">
        <v>2691</v>
      </c>
    </row>
    <row r="52" spans="2:6" x14ac:dyDescent="0.2">
      <c r="B52" s="175">
        <v>42309</v>
      </c>
      <c r="C52" s="167">
        <v>37</v>
      </c>
      <c r="D52" s="167"/>
      <c r="E52" s="167"/>
      <c r="F52" s="167">
        <v>2518</v>
      </c>
    </row>
    <row r="53" spans="2:6" x14ac:dyDescent="0.2">
      <c r="B53" s="175">
        <v>42339</v>
      </c>
      <c r="C53" s="167">
        <v>33</v>
      </c>
      <c r="D53" s="167"/>
      <c r="E53" s="167"/>
      <c r="F53" s="167">
        <v>2358</v>
      </c>
    </row>
    <row r="54" spans="2:6" x14ac:dyDescent="0.2">
      <c r="B54" s="76">
        <v>2015</v>
      </c>
      <c r="C54" s="169">
        <f>SUM(C42:C53)</f>
        <v>437</v>
      </c>
      <c r="D54" s="169"/>
      <c r="E54" s="169"/>
      <c r="F54" s="169">
        <f>SUM(F42:F53)</f>
        <v>26690</v>
      </c>
    </row>
    <row r="55" spans="2:6" x14ac:dyDescent="0.2">
      <c r="B55" s="175">
        <v>42370</v>
      </c>
      <c r="C55" s="167">
        <v>33</v>
      </c>
      <c r="D55" s="167"/>
      <c r="E55" s="167"/>
      <c r="F55" s="167">
        <v>3308</v>
      </c>
    </row>
    <row r="56" spans="2:6" x14ac:dyDescent="0.2">
      <c r="B56" s="175">
        <v>42401</v>
      </c>
      <c r="C56" s="167">
        <v>33</v>
      </c>
      <c r="D56" s="167"/>
      <c r="E56" s="167"/>
      <c r="F56" s="167">
        <v>2327</v>
      </c>
    </row>
    <row r="57" spans="2:6" x14ac:dyDescent="0.2">
      <c r="B57" s="175">
        <v>42430</v>
      </c>
      <c r="C57" s="167">
        <v>40</v>
      </c>
      <c r="D57" s="167"/>
      <c r="E57" s="167"/>
      <c r="F57" s="167">
        <v>2621</v>
      </c>
    </row>
    <row r="58" spans="2:6" x14ac:dyDescent="0.2">
      <c r="B58" s="175">
        <v>42461</v>
      </c>
      <c r="C58" s="167">
        <v>39</v>
      </c>
      <c r="D58" s="167"/>
      <c r="E58" s="167"/>
      <c r="F58" s="167">
        <v>2495</v>
      </c>
    </row>
    <row r="59" spans="2:6" x14ac:dyDescent="0.2">
      <c r="B59" s="175">
        <v>42491</v>
      </c>
      <c r="C59" s="167">
        <v>40</v>
      </c>
      <c r="D59" s="167">
        <v>1000</v>
      </c>
      <c r="E59" s="167">
        <v>1038</v>
      </c>
      <c r="F59" s="167">
        <f>D59+E59</f>
        <v>2038</v>
      </c>
    </row>
    <row r="60" spans="2:6" x14ac:dyDescent="0.2">
      <c r="B60" s="175">
        <v>42522</v>
      </c>
      <c r="C60" s="167">
        <v>37</v>
      </c>
      <c r="D60" s="81" t="s">
        <v>481</v>
      </c>
      <c r="E60" s="81" t="s">
        <v>481</v>
      </c>
      <c r="F60" s="167">
        <v>1960</v>
      </c>
    </row>
    <row r="61" spans="2:6" x14ac:dyDescent="0.2">
      <c r="B61" s="175">
        <v>42552</v>
      </c>
      <c r="C61" s="167">
        <v>46</v>
      </c>
      <c r="D61" s="167">
        <v>1739</v>
      </c>
      <c r="E61" s="167">
        <v>1498</v>
      </c>
      <c r="F61" s="167">
        <f t="shared" ref="F61:F66" si="0">D61+E61</f>
        <v>3237</v>
      </c>
    </row>
    <row r="62" spans="2:6" x14ac:dyDescent="0.2">
      <c r="B62" s="175">
        <v>42583</v>
      </c>
      <c r="C62" s="167">
        <v>47</v>
      </c>
      <c r="D62" s="167">
        <v>1262</v>
      </c>
      <c r="E62" s="167">
        <v>1077</v>
      </c>
      <c r="F62" s="167">
        <f t="shared" si="0"/>
        <v>2339</v>
      </c>
    </row>
    <row r="63" spans="2:6" x14ac:dyDescent="0.2">
      <c r="B63" s="175">
        <v>42614</v>
      </c>
      <c r="C63" s="167">
        <v>38</v>
      </c>
      <c r="D63" s="167">
        <v>1119</v>
      </c>
      <c r="E63" s="167">
        <v>1309</v>
      </c>
      <c r="F63" s="167">
        <f t="shared" si="0"/>
        <v>2428</v>
      </c>
    </row>
    <row r="64" spans="2:6" x14ac:dyDescent="0.2">
      <c r="B64" s="175">
        <v>42644</v>
      </c>
      <c r="C64" s="167">
        <v>36</v>
      </c>
      <c r="D64" s="167">
        <v>943</v>
      </c>
      <c r="E64" s="167">
        <v>705</v>
      </c>
      <c r="F64" s="167">
        <f t="shared" si="0"/>
        <v>1648</v>
      </c>
    </row>
    <row r="65" spans="2:6" x14ac:dyDescent="0.2">
      <c r="B65" s="175">
        <v>42675</v>
      </c>
      <c r="C65" s="167">
        <v>42</v>
      </c>
      <c r="D65" s="167">
        <v>2225</v>
      </c>
      <c r="E65" s="167">
        <v>1770</v>
      </c>
      <c r="F65" s="167">
        <f t="shared" si="0"/>
        <v>3995</v>
      </c>
    </row>
    <row r="66" spans="2:6" x14ac:dyDescent="0.2">
      <c r="B66" s="175">
        <v>42705</v>
      </c>
      <c r="C66" s="167">
        <v>50</v>
      </c>
      <c r="D66" s="167">
        <v>3021</v>
      </c>
      <c r="E66" s="167">
        <v>2296</v>
      </c>
      <c r="F66" s="167">
        <f t="shared" si="0"/>
        <v>5317</v>
      </c>
    </row>
    <row r="67" spans="2:6" x14ac:dyDescent="0.2">
      <c r="B67" s="76">
        <v>2016</v>
      </c>
      <c r="C67" s="169">
        <f>SUM(C55:C66)</f>
        <v>481</v>
      </c>
      <c r="D67" s="169"/>
      <c r="E67" s="169"/>
      <c r="F67" s="169">
        <f>SUM(F55:F66)</f>
        <v>33713</v>
      </c>
    </row>
    <row r="68" spans="2:6" x14ac:dyDescent="0.2">
      <c r="B68" s="175">
        <v>42736</v>
      </c>
      <c r="C68" s="167">
        <v>40</v>
      </c>
      <c r="D68" s="167">
        <v>2335</v>
      </c>
      <c r="E68" s="167">
        <v>1830</v>
      </c>
      <c r="F68" s="167">
        <f t="shared" ref="F68:F79" si="1">D68+E68</f>
        <v>4165</v>
      </c>
    </row>
    <row r="69" spans="2:6" x14ac:dyDescent="0.2">
      <c r="B69" s="175">
        <v>42767</v>
      </c>
      <c r="C69" s="167">
        <v>32</v>
      </c>
      <c r="D69" s="167">
        <v>2075</v>
      </c>
      <c r="E69" s="167">
        <v>1511</v>
      </c>
      <c r="F69" s="167">
        <f t="shared" si="1"/>
        <v>3586</v>
      </c>
    </row>
    <row r="70" spans="2:6" x14ac:dyDescent="0.2">
      <c r="B70" s="175">
        <v>42795</v>
      </c>
      <c r="C70" s="167">
        <v>37</v>
      </c>
      <c r="D70" s="167">
        <v>922</v>
      </c>
      <c r="E70" s="167">
        <v>763</v>
      </c>
      <c r="F70" s="167">
        <f t="shared" si="1"/>
        <v>1685</v>
      </c>
    </row>
    <row r="71" spans="2:6" x14ac:dyDescent="0.2">
      <c r="B71" s="175">
        <v>42826</v>
      </c>
      <c r="C71" s="167">
        <v>27</v>
      </c>
      <c r="D71" s="167">
        <v>464</v>
      </c>
      <c r="E71" s="167">
        <v>377</v>
      </c>
      <c r="F71" s="167">
        <f t="shared" si="1"/>
        <v>841</v>
      </c>
    </row>
    <row r="72" spans="2:6" x14ac:dyDescent="0.2">
      <c r="B72" s="175">
        <v>42856</v>
      </c>
      <c r="C72" s="167">
        <v>36</v>
      </c>
      <c r="D72" s="167">
        <v>870</v>
      </c>
      <c r="E72" s="167">
        <v>555</v>
      </c>
      <c r="F72" s="167">
        <f t="shared" si="1"/>
        <v>1425</v>
      </c>
    </row>
    <row r="73" spans="2:6" x14ac:dyDescent="0.2">
      <c r="B73" s="175">
        <v>42887</v>
      </c>
      <c r="C73" s="167">
        <v>38</v>
      </c>
      <c r="D73" s="167">
        <v>479</v>
      </c>
      <c r="E73" s="167">
        <v>437</v>
      </c>
      <c r="F73" s="167">
        <f t="shared" si="1"/>
        <v>916</v>
      </c>
    </row>
    <row r="74" spans="2:6" x14ac:dyDescent="0.2">
      <c r="B74" s="175">
        <v>42917</v>
      </c>
      <c r="C74" s="167">
        <v>31</v>
      </c>
      <c r="D74" s="167">
        <v>544</v>
      </c>
      <c r="E74" s="167">
        <v>385</v>
      </c>
      <c r="F74" s="167">
        <f t="shared" si="1"/>
        <v>929</v>
      </c>
    </row>
    <row r="75" spans="2:6" x14ac:dyDescent="0.2">
      <c r="B75" s="175">
        <v>42948</v>
      </c>
      <c r="C75" s="167">
        <v>34</v>
      </c>
      <c r="D75" s="167">
        <v>715</v>
      </c>
      <c r="E75" s="167">
        <v>414</v>
      </c>
      <c r="F75" s="167">
        <f t="shared" si="1"/>
        <v>1129</v>
      </c>
    </row>
    <row r="76" spans="2:6" x14ac:dyDescent="0.2">
      <c r="B76" s="175">
        <v>42979</v>
      </c>
      <c r="C76" s="167">
        <v>36</v>
      </c>
      <c r="D76" s="167">
        <v>680</v>
      </c>
      <c r="E76" s="167">
        <v>537</v>
      </c>
      <c r="F76" s="167">
        <f t="shared" si="1"/>
        <v>1217</v>
      </c>
    </row>
    <row r="77" spans="2:6" x14ac:dyDescent="0.2">
      <c r="B77" s="175">
        <v>43009</v>
      </c>
      <c r="C77" s="167">
        <v>33</v>
      </c>
      <c r="D77" s="167">
        <v>503</v>
      </c>
      <c r="E77" s="167">
        <v>374</v>
      </c>
      <c r="F77" s="167">
        <f t="shared" si="1"/>
        <v>877</v>
      </c>
    </row>
    <row r="78" spans="2:6" x14ac:dyDescent="0.2">
      <c r="B78" s="175">
        <v>43040</v>
      </c>
      <c r="C78" s="167">
        <v>40</v>
      </c>
      <c r="D78" s="167">
        <v>676</v>
      </c>
      <c r="E78" s="167">
        <v>640</v>
      </c>
      <c r="F78" s="167">
        <f t="shared" si="1"/>
        <v>1316</v>
      </c>
    </row>
    <row r="79" spans="2:6" x14ac:dyDescent="0.2">
      <c r="B79" s="175">
        <v>43070</v>
      </c>
      <c r="C79" s="167">
        <v>56</v>
      </c>
      <c r="D79" s="167">
        <v>742</v>
      </c>
      <c r="E79" s="167">
        <v>697</v>
      </c>
      <c r="F79" s="167">
        <f t="shared" si="1"/>
        <v>1439</v>
      </c>
    </row>
    <row r="80" spans="2:6" x14ac:dyDescent="0.2">
      <c r="B80" s="76">
        <v>2017</v>
      </c>
      <c r="C80" s="169">
        <f>SUM(C68:C79)</f>
        <v>440</v>
      </c>
      <c r="D80" s="153">
        <f>SUM(D68:D79)</f>
        <v>11005</v>
      </c>
      <c r="E80" s="153">
        <f>SUM(E68:E79)</f>
        <v>8520</v>
      </c>
      <c r="F80" s="153">
        <f>SUM(F68:F79)</f>
        <v>19525</v>
      </c>
    </row>
    <row r="81" spans="2:6" x14ac:dyDescent="0.2">
      <c r="B81" s="175">
        <v>43101</v>
      </c>
      <c r="C81" s="167">
        <v>46</v>
      </c>
      <c r="D81" s="167">
        <v>1310</v>
      </c>
      <c r="E81" s="167">
        <v>1294</v>
      </c>
      <c r="F81" s="167">
        <f>D81+E81</f>
        <v>2604</v>
      </c>
    </row>
    <row r="82" spans="2:6" x14ac:dyDescent="0.2">
      <c r="B82" s="175">
        <v>43132</v>
      </c>
      <c r="C82" s="167">
        <v>61</v>
      </c>
      <c r="D82" s="167">
        <v>1107</v>
      </c>
      <c r="E82" s="167">
        <v>809</v>
      </c>
      <c r="F82" s="167">
        <f t="shared" ref="F82:F91" si="2">D82+E82</f>
        <v>1916</v>
      </c>
    </row>
    <row r="83" spans="2:6" x14ac:dyDescent="0.2">
      <c r="B83" s="175">
        <v>43160</v>
      </c>
      <c r="C83" s="167">
        <v>44</v>
      </c>
      <c r="D83" s="167">
        <v>861</v>
      </c>
      <c r="E83" s="167">
        <v>608</v>
      </c>
      <c r="F83" s="167">
        <f t="shared" si="2"/>
        <v>1469</v>
      </c>
    </row>
    <row r="84" spans="2:6" x14ac:dyDescent="0.2">
      <c r="B84" s="175">
        <v>43191</v>
      </c>
      <c r="C84" s="167">
        <v>39</v>
      </c>
      <c r="D84" s="167">
        <v>653</v>
      </c>
      <c r="E84" s="167">
        <v>498</v>
      </c>
      <c r="F84" s="167">
        <f t="shared" si="2"/>
        <v>1151</v>
      </c>
    </row>
    <row r="85" spans="2:6" x14ac:dyDescent="0.2">
      <c r="B85" s="175">
        <v>43221</v>
      </c>
      <c r="C85" s="167">
        <v>40</v>
      </c>
      <c r="D85" s="167">
        <v>965</v>
      </c>
      <c r="E85" s="167">
        <v>663</v>
      </c>
      <c r="F85" s="167">
        <f t="shared" si="2"/>
        <v>1628</v>
      </c>
    </row>
    <row r="86" spans="2:6" x14ac:dyDescent="0.2">
      <c r="B86" s="175">
        <v>43252</v>
      </c>
      <c r="C86" s="167">
        <v>55</v>
      </c>
      <c r="D86" s="167">
        <v>836</v>
      </c>
      <c r="E86" s="167">
        <v>774</v>
      </c>
      <c r="F86" s="167">
        <f t="shared" si="2"/>
        <v>1610</v>
      </c>
    </row>
    <row r="87" spans="2:6" x14ac:dyDescent="0.2">
      <c r="B87" s="175">
        <v>43282</v>
      </c>
      <c r="C87" s="167">
        <v>54</v>
      </c>
      <c r="D87" s="167">
        <v>1124</v>
      </c>
      <c r="E87" s="167">
        <v>980</v>
      </c>
      <c r="F87" s="167">
        <f t="shared" si="2"/>
        <v>2104</v>
      </c>
    </row>
    <row r="88" spans="2:6" x14ac:dyDescent="0.2">
      <c r="B88" s="175">
        <v>43313</v>
      </c>
      <c r="C88" s="167">
        <v>74</v>
      </c>
      <c r="D88" s="167">
        <v>1725</v>
      </c>
      <c r="E88" s="167">
        <v>1398</v>
      </c>
      <c r="F88" s="167">
        <f t="shared" si="2"/>
        <v>3123</v>
      </c>
    </row>
    <row r="89" spans="2:6" x14ac:dyDescent="0.2">
      <c r="B89" s="175">
        <v>43344</v>
      </c>
      <c r="C89" s="167">
        <v>50</v>
      </c>
      <c r="D89" s="167">
        <v>1229</v>
      </c>
      <c r="E89" s="167">
        <v>1067</v>
      </c>
      <c r="F89" s="167">
        <f t="shared" si="2"/>
        <v>2296</v>
      </c>
    </row>
    <row r="90" spans="2:6" x14ac:dyDescent="0.2">
      <c r="B90" s="175">
        <v>43374</v>
      </c>
      <c r="C90" s="167">
        <v>31</v>
      </c>
      <c r="D90" s="167">
        <v>1359</v>
      </c>
      <c r="E90" s="167">
        <v>477</v>
      </c>
      <c r="F90" s="167">
        <f t="shared" si="2"/>
        <v>1836</v>
      </c>
    </row>
    <row r="91" spans="2:6" x14ac:dyDescent="0.2">
      <c r="B91" s="175">
        <v>43405</v>
      </c>
      <c r="C91" s="167">
        <v>21</v>
      </c>
      <c r="D91" s="167">
        <v>1224</v>
      </c>
      <c r="E91" s="167">
        <v>699</v>
      </c>
      <c r="F91" s="167">
        <f t="shared" si="2"/>
        <v>1923</v>
      </c>
    </row>
    <row r="92" spans="2:6" x14ac:dyDescent="0.2">
      <c r="B92" s="175">
        <v>43435</v>
      </c>
      <c r="C92" s="133">
        <v>63</v>
      </c>
      <c r="D92" s="134">
        <v>1322</v>
      </c>
      <c r="E92" s="135">
        <v>1102</v>
      </c>
      <c r="F92" s="135">
        <v>2424</v>
      </c>
    </row>
    <row r="93" spans="2:6" x14ac:dyDescent="0.2">
      <c r="B93" s="76">
        <v>2018</v>
      </c>
      <c r="C93" s="169">
        <f>SUM(C81:C92)</f>
        <v>578</v>
      </c>
      <c r="D93" s="153">
        <f>SUM(D81:D92)</f>
        <v>13715</v>
      </c>
      <c r="E93" s="153">
        <f>SUM(E81:E92)</f>
        <v>10369</v>
      </c>
      <c r="F93" s="153">
        <f>SUM(F81:F92)</f>
        <v>24084</v>
      </c>
    </row>
    <row r="94" spans="2:6" x14ac:dyDescent="0.2">
      <c r="B94" s="175">
        <v>43466</v>
      </c>
      <c r="C94" s="167">
        <v>46</v>
      </c>
      <c r="D94" s="167">
        <v>1409</v>
      </c>
      <c r="E94" s="167">
        <v>848</v>
      </c>
      <c r="F94" s="167">
        <v>2257</v>
      </c>
    </row>
    <row r="95" spans="2:6" x14ac:dyDescent="0.2">
      <c r="B95" s="175">
        <v>43497</v>
      </c>
      <c r="C95" s="167">
        <v>47</v>
      </c>
      <c r="D95" s="167">
        <v>543</v>
      </c>
      <c r="E95" s="167">
        <v>395</v>
      </c>
      <c r="F95" s="167">
        <v>938</v>
      </c>
    </row>
    <row r="96" spans="2:6" x14ac:dyDescent="0.2">
      <c r="B96" s="175">
        <v>43525</v>
      </c>
      <c r="C96" s="167">
        <v>42</v>
      </c>
      <c r="D96" s="167">
        <v>524</v>
      </c>
      <c r="E96" s="167">
        <v>314</v>
      </c>
      <c r="F96" s="167">
        <v>838</v>
      </c>
    </row>
    <row r="97" spans="2:6" s="176" customFormat="1" x14ac:dyDescent="0.2">
      <c r="B97" s="175">
        <v>43556</v>
      </c>
      <c r="C97" s="167">
        <v>49</v>
      </c>
      <c r="D97" s="167">
        <v>627</v>
      </c>
      <c r="E97" s="167">
        <v>551</v>
      </c>
      <c r="F97" s="167">
        <v>1178</v>
      </c>
    </row>
    <row r="98" spans="2:6" s="176" customFormat="1" x14ac:dyDescent="0.2">
      <c r="B98" s="175">
        <v>43586</v>
      </c>
      <c r="C98" s="167">
        <v>71</v>
      </c>
      <c r="D98" s="167">
        <v>1402</v>
      </c>
      <c r="E98" s="167">
        <v>1306</v>
      </c>
      <c r="F98" s="167">
        <v>2708</v>
      </c>
    </row>
    <row r="99" spans="2:6" x14ac:dyDescent="0.2">
      <c r="B99" s="175">
        <v>43617</v>
      </c>
      <c r="C99" s="167">
        <v>68</v>
      </c>
      <c r="D99" s="167">
        <v>1687</v>
      </c>
      <c r="E99" s="167">
        <v>1029</v>
      </c>
      <c r="F99" s="167">
        <v>2716</v>
      </c>
    </row>
    <row r="100" spans="2:6" x14ac:dyDescent="0.2">
      <c r="B100" s="175">
        <v>43647</v>
      </c>
      <c r="C100" s="167">
        <v>73</v>
      </c>
      <c r="D100" s="167">
        <v>1201</v>
      </c>
      <c r="E100" s="167">
        <v>953</v>
      </c>
      <c r="F100" s="167">
        <v>2154</v>
      </c>
    </row>
    <row r="101" spans="2:6" s="176" customFormat="1" x14ac:dyDescent="0.2">
      <c r="B101" s="175">
        <v>43678</v>
      </c>
      <c r="C101" s="167">
        <v>72</v>
      </c>
      <c r="D101" s="167">
        <v>1090</v>
      </c>
      <c r="E101" s="167">
        <v>1128</v>
      </c>
      <c r="F101" s="167">
        <v>2218</v>
      </c>
    </row>
    <row r="102" spans="2:6" s="176" customFormat="1" x14ac:dyDescent="0.2">
      <c r="B102" s="175">
        <v>43709</v>
      </c>
      <c r="C102" s="167">
        <v>81</v>
      </c>
      <c r="D102" s="167">
        <v>620</v>
      </c>
      <c r="E102" s="167">
        <v>590</v>
      </c>
      <c r="F102" s="167">
        <v>1210</v>
      </c>
    </row>
    <row r="103" spans="2:6" s="176" customFormat="1" x14ac:dyDescent="0.2">
      <c r="B103" s="175">
        <v>43739</v>
      </c>
      <c r="C103" s="167">
        <v>33</v>
      </c>
      <c r="D103" s="167">
        <v>599</v>
      </c>
      <c r="E103" s="167">
        <v>438</v>
      </c>
      <c r="F103" s="167">
        <v>1037</v>
      </c>
    </row>
    <row r="104" spans="2:6" s="176" customFormat="1" x14ac:dyDescent="0.2">
      <c r="B104" s="175">
        <v>43770</v>
      </c>
      <c r="C104" s="167">
        <v>78</v>
      </c>
      <c r="D104" s="167">
        <v>535</v>
      </c>
      <c r="E104" s="167">
        <v>508</v>
      </c>
      <c r="F104" s="167">
        <v>1043</v>
      </c>
    </row>
    <row r="105" spans="2:6" s="176" customFormat="1" x14ac:dyDescent="0.2">
      <c r="B105" s="175">
        <v>43800</v>
      </c>
      <c r="C105" s="167">
        <v>77</v>
      </c>
      <c r="D105" s="167">
        <v>536</v>
      </c>
      <c r="E105" s="167">
        <v>544</v>
      </c>
      <c r="F105" s="167">
        <v>1080</v>
      </c>
    </row>
    <row r="106" spans="2:6" s="176" customFormat="1" x14ac:dyDescent="0.2">
      <c r="B106" s="76">
        <v>2019</v>
      </c>
      <c r="C106" s="169">
        <f>SUM(C94:C105)</f>
        <v>737</v>
      </c>
      <c r="D106" s="169">
        <f t="shared" ref="D106:F106" si="3">SUM(D94:D105)</f>
        <v>10773</v>
      </c>
      <c r="E106" s="169">
        <f t="shared" si="3"/>
        <v>8604</v>
      </c>
      <c r="F106" s="169">
        <f t="shared" si="3"/>
        <v>19377</v>
      </c>
    </row>
    <row r="107" spans="2:6" s="176" customFormat="1" x14ac:dyDescent="0.2">
      <c r="B107" s="175">
        <v>43831</v>
      </c>
      <c r="C107" s="167">
        <v>83</v>
      </c>
      <c r="D107" s="167">
        <v>1062</v>
      </c>
      <c r="E107" s="167">
        <v>1446</v>
      </c>
      <c r="F107" s="167">
        <f>SUM(D107:E107)</f>
        <v>2508</v>
      </c>
    </row>
    <row r="108" spans="2:6" s="176" customFormat="1" x14ac:dyDescent="0.2">
      <c r="B108" s="175">
        <v>43862</v>
      </c>
      <c r="C108" s="167">
        <v>91</v>
      </c>
      <c r="D108" s="167">
        <v>1308</v>
      </c>
      <c r="E108" s="167">
        <v>1064</v>
      </c>
      <c r="F108" s="167">
        <f>SUM(D108:E108)</f>
        <v>2372</v>
      </c>
    </row>
    <row r="109" spans="2:6" s="176" customFormat="1" x14ac:dyDescent="0.2">
      <c r="B109" s="175">
        <v>43891</v>
      </c>
      <c r="C109" s="167">
        <v>73</v>
      </c>
      <c r="D109" s="167">
        <v>908</v>
      </c>
      <c r="E109" s="167">
        <v>827</v>
      </c>
      <c r="F109" s="167">
        <f t="shared" ref="F109:F119" si="4">SUM(D109:E109)</f>
        <v>1735</v>
      </c>
    </row>
    <row r="110" spans="2:6" s="176" customFormat="1" x14ac:dyDescent="0.2">
      <c r="B110" s="175">
        <v>43922</v>
      </c>
      <c r="C110" s="167">
        <v>13</v>
      </c>
      <c r="D110" s="167">
        <v>34</v>
      </c>
      <c r="E110" s="167">
        <v>58</v>
      </c>
      <c r="F110" s="167">
        <f t="shared" si="4"/>
        <v>92</v>
      </c>
    </row>
    <row r="111" spans="2:6" s="176" customFormat="1" x14ac:dyDescent="0.2">
      <c r="B111" s="175">
        <v>43952</v>
      </c>
      <c r="C111" s="167">
        <v>16</v>
      </c>
      <c r="D111" s="167">
        <v>356</v>
      </c>
      <c r="E111" s="167">
        <v>298</v>
      </c>
      <c r="F111" s="167">
        <f t="shared" si="4"/>
        <v>654</v>
      </c>
    </row>
    <row r="112" spans="2:6" s="176" customFormat="1" x14ac:dyDescent="0.2">
      <c r="B112" s="175">
        <v>43983</v>
      </c>
      <c r="C112" s="167">
        <v>16</v>
      </c>
      <c r="D112" s="167">
        <v>143</v>
      </c>
      <c r="E112" s="167">
        <v>150</v>
      </c>
      <c r="F112" s="167">
        <f t="shared" si="4"/>
        <v>293</v>
      </c>
    </row>
    <row r="113" spans="2:6" s="176" customFormat="1" x14ac:dyDescent="0.2">
      <c r="B113" s="175">
        <v>44013</v>
      </c>
      <c r="C113" s="167">
        <v>26</v>
      </c>
      <c r="D113" s="167">
        <v>245</v>
      </c>
      <c r="E113" s="167">
        <v>212</v>
      </c>
      <c r="F113" s="167">
        <f t="shared" si="4"/>
        <v>457</v>
      </c>
    </row>
    <row r="114" spans="2:6" s="176" customFormat="1" x14ac:dyDescent="0.2">
      <c r="B114" s="175">
        <v>44044</v>
      </c>
      <c r="C114" s="167">
        <v>27</v>
      </c>
      <c r="D114" s="167">
        <v>364</v>
      </c>
      <c r="E114" s="167">
        <v>280</v>
      </c>
      <c r="F114" s="167">
        <f t="shared" si="4"/>
        <v>644</v>
      </c>
    </row>
    <row r="115" spans="2:6" s="176" customFormat="1" x14ac:dyDescent="0.2">
      <c r="B115" s="175">
        <v>44075</v>
      </c>
      <c r="C115" s="167">
        <v>32</v>
      </c>
      <c r="D115" s="167">
        <v>439</v>
      </c>
      <c r="E115" s="167">
        <v>549</v>
      </c>
      <c r="F115" s="167">
        <f t="shared" si="4"/>
        <v>988</v>
      </c>
    </row>
    <row r="116" spans="2:6" s="176" customFormat="1" x14ac:dyDescent="0.2">
      <c r="B116" s="175">
        <v>44105</v>
      </c>
      <c r="C116" s="167">
        <v>45</v>
      </c>
      <c r="D116" s="167">
        <v>439</v>
      </c>
      <c r="E116" s="167">
        <v>356</v>
      </c>
      <c r="F116" s="167">
        <f t="shared" si="4"/>
        <v>795</v>
      </c>
    </row>
    <row r="117" spans="2:6" s="176" customFormat="1" x14ac:dyDescent="0.2">
      <c r="B117" s="175">
        <v>44136</v>
      </c>
      <c r="C117" s="167">
        <v>21</v>
      </c>
      <c r="D117" s="167">
        <v>423</v>
      </c>
      <c r="E117" s="167">
        <v>315</v>
      </c>
      <c r="F117" s="167">
        <f t="shared" si="4"/>
        <v>738</v>
      </c>
    </row>
    <row r="118" spans="2:6" s="176" customFormat="1" x14ac:dyDescent="0.2">
      <c r="B118" s="175">
        <v>44166</v>
      </c>
      <c r="C118" s="167">
        <v>14</v>
      </c>
      <c r="D118" s="167">
        <v>326</v>
      </c>
      <c r="E118" s="167">
        <v>348</v>
      </c>
      <c r="F118" s="167">
        <f t="shared" si="4"/>
        <v>674</v>
      </c>
    </row>
    <row r="119" spans="2:6" s="176" customFormat="1" x14ac:dyDescent="0.2">
      <c r="B119" s="325">
        <v>2020</v>
      </c>
      <c r="C119" s="169">
        <f>SUM(C107:C118)</f>
        <v>457</v>
      </c>
      <c r="D119" s="169">
        <f t="shared" ref="D119:E119" si="5">SUM(D107:D118)</f>
        <v>6047</v>
      </c>
      <c r="E119" s="169">
        <f t="shared" si="5"/>
        <v>5903</v>
      </c>
      <c r="F119" s="169">
        <f t="shared" si="4"/>
        <v>11950</v>
      </c>
    </row>
    <row r="120" spans="2:6" s="176" customFormat="1" x14ac:dyDescent="0.2">
      <c r="B120" s="175">
        <v>44197</v>
      </c>
      <c r="C120" s="167">
        <v>21</v>
      </c>
      <c r="D120" s="167">
        <v>863</v>
      </c>
      <c r="E120" s="167">
        <v>646</v>
      </c>
      <c r="F120" s="167">
        <f>SUM(D120:E120)</f>
        <v>1509</v>
      </c>
    </row>
    <row r="121" spans="2:6" s="176" customFormat="1" x14ac:dyDescent="0.2">
      <c r="B121" s="175">
        <v>44228</v>
      </c>
      <c r="C121" s="167">
        <v>12</v>
      </c>
      <c r="D121" s="167">
        <v>504</v>
      </c>
      <c r="E121" s="167">
        <v>400</v>
      </c>
      <c r="F121" s="167">
        <f>SUM(D121:E121)</f>
        <v>904</v>
      </c>
    </row>
    <row r="122" spans="2:6" s="176" customFormat="1" x14ac:dyDescent="0.2">
      <c r="B122" s="175">
        <v>44256</v>
      </c>
      <c r="C122" s="167">
        <v>17</v>
      </c>
      <c r="D122" s="167">
        <v>371</v>
      </c>
      <c r="E122" s="167">
        <v>245</v>
      </c>
      <c r="F122" s="167">
        <f t="shared" ref="F122:F132" si="6">SUM(D122:E122)</f>
        <v>616</v>
      </c>
    </row>
    <row r="123" spans="2:6" s="176" customFormat="1" x14ac:dyDescent="0.2">
      <c r="B123" s="175">
        <v>44287</v>
      </c>
      <c r="C123" s="167">
        <v>9</v>
      </c>
      <c r="D123" s="167">
        <v>304</v>
      </c>
      <c r="E123" s="167">
        <v>210</v>
      </c>
      <c r="F123" s="167">
        <f t="shared" si="6"/>
        <v>514</v>
      </c>
    </row>
    <row r="124" spans="2:6" s="176" customFormat="1" x14ac:dyDescent="0.2">
      <c r="B124" s="175">
        <v>44317</v>
      </c>
      <c r="C124" s="167">
        <v>37</v>
      </c>
      <c r="D124" s="167">
        <v>321</v>
      </c>
      <c r="E124" s="167">
        <v>719</v>
      </c>
      <c r="F124" s="167">
        <f t="shared" si="6"/>
        <v>1040</v>
      </c>
    </row>
    <row r="125" spans="2:6" s="176" customFormat="1" x14ac:dyDescent="0.2">
      <c r="B125" s="175">
        <v>44348</v>
      </c>
      <c r="C125" s="167">
        <v>54</v>
      </c>
      <c r="D125" s="167">
        <v>420</v>
      </c>
      <c r="E125" s="167">
        <v>429</v>
      </c>
      <c r="F125" s="167">
        <f t="shared" si="6"/>
        <v>849</v>
      </c>
    </row>
    <row r="126" spans="2:6" s="176" customFormat="1" x14ac:dyDescent="0.2">
      <c r="B126" s="175">
        <v>44378</v>
      </c>
      <c r="C126" s="167">
        <v>14</v>
      </c>
      <c r="D126" s="167">
        <v>83</v>
      </c>
      <c r="E126" s="167">
        <v>65</v>
      </c>
      <c r="F126" s="167">
        <f t="shared" si="6"/>
        <v>148</v>
      </c>
    </row>
    <row r="127" spans="2:6" s="176" customFormat="1" x14ac:dyDescent="0.2">
      <c r="B127" s="175">
        <v>44409</v>
      </c>
      <c r="C127" s="167">
        <v>50</v>
      </c>
      <c r="D127" s="167">
        <v>526</v>
      </c>
      <c r="E127" s="167">
        <v>488</v>
      </c>
      <c r="F127" s="167">
        <f t="shared" si="6"/>
        <v>1014</v>
      </c>
    </row>
    <row r="128" spans="2:6" s="176" customFormat="1" x14ac:dyDescent="0.2">
      <c r="B128" s="175">
        <v>44440</v>
      </c>
      <c r="C128" s="167">
        <v>17</v>
      </c>
      <c r="D128" s="167">
        <v>200</v>
      </c>
      <c r="E128" s="167">
        <v>159</v>
      </c>
      <c r="F128" s="167">
        <f t="shared" si="6"/>
        <v>359</v>
      </c>
    </row>
    <row r="129" spans="2:6" s="176" customFormat="1" x14ac:dyDescent="0.2">
      <c r="B129" s="175">
        <v>44470</v>
      </c>
      <c r="C129" s="167">
        <v>17</v>
      </c>
      <c r="D129" s="167">
        <v>244</v>
      </c>
      <c r="E129" s="167">
        <v>174</v>
      </c>
      <c r="F129" s="167">
        <f t="shared" si="6"/>
        <v>418</v>
      </c>
    </row>
    <row r="130" spans="2:6" s="176" customFormat="1" x14ac:dyDescent="0.2">
      <c r="B130" s="175">
        <v>44501</v>
      </c>
      <c r="C130" s="167">
        <v>13</v>
      </c>
      <c r="D130" s="167">
        <v>138</v>
      </c>
      <c r="E130" s="167">
        <v>158</v>
      </c>
      <c r="F130" s="167">
        <f t="shared" si="6"/>
        <v>296</v>
      </c>
    </row>
    <row r="131" spans="2:6" s="176" customFormat="1" x14ac:dyDescent="0.2">
      <c r="B131" s="175">
        <v>44531</v>
      </c>
      <c r="C131" s="167">
        <v>35</v>
      </c>
      <c r="D131" s="167">
        <v>241</v>
      </c>
      <c r="E131" s="167">
        <v>258</v>
      </c>
      <c r="F131" s="167">
        <f t="shared" si="6"/>
        <v>499</v>
      </c>
    </row>
    <row r="132" spans="2:6" s="176" customFormat="1" x14ac:dyDescent="0.2">
      <c r="B132" s="325">
        <v>2020</v>
      </c>
      <c r="C132" s="169">
        <f>SUM(C120:C131)</f>
        <v>296</v>
      </c>
      <c r="D132" s="169">
        <f t="shared" ref="D132:E132" si="7">SUM(D120:D131)</f>
        <v>4215</v>
      </c>
      <c r="E132" s="169">
        <f t="shared" si="7"/>
        <v>3951</v>
      </c>
      <c r="F132" s="169">
        <f t="shared" si="6"/>
        <v>8166</v>
      </c>
    </row>
    <row r="133" spans="2:6" s="176" customFormat="1" x14ac:dyDescent="0.2">
      <c r="B133" s="170" t="s">
        <v>28</v>
      </c>
      <c r="C133" s="171">
        <f>C11+C12+C13+C14+C15+C28+C41+C54+C67+C80+C93+C106+C119+C132</f>
        <v>10623</v>
      </c>
      <c r="D133" s="171"/>
      <c r="E133" s="171"/>
      <c r="F133" s="171">
        <f>F11+F12+F13+F14+F15+F28+F41+F54+F67+F80+F93+F106+F119+F132</f>
        <v>386734</v>
      </c>
    </row>
    <row r="134" spans="2:6" x14ac:dyDescent="0.2">
      <c r="B134" s="25" t="s">
        <v>473</v>
      </c>
    </row>
    <row r="135" spans="2:6" ht="39.75" customHeight="1" x14ac:dyDescent="0.2">
      <c r="B135" s="377" t="s">
        <v>531</v>
      </c>
      <c r="C135" s="377"/>
      <c r="D135" s="377"/>
      <c r="E135" s="377"/>
      <c r="F135" s="377"/>
    </row>
  </sheetData>
  <mergeCells count="8">
    <mergeCell ref="B135:F135"/>
    <mergeCell ref="B5:F5"/>
    <mergeCell ref="B6:F6"/>
    <mergeCell ref="B8:B10"/>
    <mergeCell ref="C8:F8"/>
    <mergeCell ref="C9:C10"/>
    <mergeCell ref="D9:E9"/>
    <mergeCell ref="F9:F10"/>
  </mergeCells>
  <hyperlinks>
    <hyperlink ref="H5" location="'Índice STJ'!A1" display="'Índice STJ'!A1" xr:uid="{00000000-0004-0000-1C00-000000000000}"/>
  </hyperlinks>
  <pageMargins left="0.7" right="0.7" top="0.75" bottom="0.75" header="0.3" footer="0.3"/>
  <ignoredErrors>
    <ignoredError sqref="F119 F107:F115" formulaRange="1"/>
  </ignoredError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2:H133"/>
  <sheetViews>
    <sheetView showGridLines="0" zoomScale="90" zoomScaleNormal="90" workbookViewId="0">
      <pane xSplit="2" ySplit="9" topLeftCell="C112" activePane="bottomRight" state="frozen"/>
      <selection activeCell="F131" sqref="F131"/>
      <selection pane="topRight" activeCell="F131" sqref="F131"/>
      <selection pane="bottomLeft" activeCell="F131" sqref="F131"/>
      <selection pane="bottomRight" activeCell="A4" sqref="A4"/>
    </sheetView>
  </sheetViews>
  <sheetFormatPr baseColWidth="10" defaultColWidth="11.42578125" defaultRowHeight="12" x14ac:dyDescent="0.2"/>
  <cols>
    <col min="1" max="1" width="6" style="25" customWidth="1"/>
    <col min="2" max="2" width="12.28515625" style="25" bestFit="1" customWidth="1"/>
    <col min="3" max="16384" width="11.42578125" style="25"/>
  </cols>
  <sheetData>
    <row r="2" spans="1:8" x14ac:dyDescent="0.2">
      <c r="A2" s="47" t="s">
        <v>101</v>
      </c>
    </row>
    <row r="3" spans="1:8" x14ac:dyDescent="0.2">
      <c r="A3" s="47" t="s">
        <v>102</v>
      </c>
    </row>
    <row r="5" spans="1:8" ht="28.5" customHeight="1" x14ac:dyDescent="0.2">
      <c r="B5" s="431" t="s">
        <v>532</v>
      </c>
      <c r="C5" s="431"/>
      <c r="D5" s="431"/>
      <c r="E5" s="431"/>
      <c r="F5" s="431"/>
      <c r="H5" s="115" t="s">
        <v>569</v>
      </c>
    </row>
    <row r="6" spans="1:8" ht="12.75" x14ac:dyDescent="0.2">
      <c r="B6" s="432" t="s">
        <v>625</v>
      </c>
      <c r="C6" s="432"/>
      <c r="D6" s="432"/>
      <c r="E6" s="432"/>
      <c r="F6" s="432"/>
    </row>
    <row r="8" spans="1:8" ht="27.75" customHeight="1" x14ac:dyDescent="0.2">
      <c r="B8" s="433" t="s">
        <v>524</v>
      </c>
      <c r="C8" s="426" t="s">
        <v>533</v>
      </c>
      <c r="D8" s="427"/>
      <c r="E8" s="427"/>
      <c r="F8" s="428"/>
    </row>
    <row r="9" spans="1:8" x14ac:dyDescent="0.2">
      <c r="B9" s="434"/>
      <c r="C9" s="355" t="s">
        <v>534</v>
      </c>
      <c r="D9" s="355" t="s">
        <v>535</v>
      </c>
      <c r="E9" s="355" t="s">
        <v>536</v>
      </c>
      <c r="F9" s="355" t="s">
        <v>28</v>
      </c>
    </row>
    <row r="10" spans="1:8" x14ac:dyDescent="0.2">
      <c r="B10" s="356">
        <v>2012</v>
      </c>
      <c r="C10" s="358">
        <v>114</v>
      </c>
      <c r="D10" s="358">
        <v>539</v>
      </c>
      <c r="E10" s="358">
        <v>154</v>
      </c>
      <c r="F10" s="358">
        <f t="shared" ref="F10:F22" si="0">SUM(C10:E10)</f>
        <v>807</v>
      </c>
    </row>
    <row r="11" spans="1:8" x14ac:dyDescent="0.2">
      <c r="B11" s="78">
        <v>41275</v>
      </c>
      <c r="C11" s="359">
        <v>8</v>
      </c>
      <c r="D11" s="359">
        <v>38</v>
      </c>
      <c r="E11" s="360">
        <v>12</v>
      </c>
      <c r="F11" s="361">
        <f t="shared" si="0"/>
        <v>58</v>
      </c>
    </row>
    <row r="12" spans="1:8" x14ac:dyDescent="0.2">
      <c r="B12" s="78">
        <v>41306</v>
      </c>
      <c r="C12" s="359">
        <v>5</v>
      </c>
      <c r="D12" s="359">
        <v>35</v>
      </c>
      <c r="E12" s="360">
        <v>15</v>
      </c>
      <c r="F12" s="361">
        <f t="shared" si="0"/>
        <v>55</v>
      </c>
    </row>
    <row r="13" spans="1:8" x14ac:dyDescent="0.2">
      <c r="B13" s="78">
        <v>41334</v>
      </c>
      <c r="C13" s="359">
        <v>10</v>
      </c>
      <c r="D13" s="359">
        <v>42</v>
      </c>
      <c r="E13" s="360">
        <v>12</v>
      </c>
      <c r="F13" s="361">
        <f t="shared" si="0"/>
        <v>64</v>
      </c>
    </row>
    <row r="14" spans="1:8" x14ac:dyDescent="0.2">
      <c r="B14" s="78">
        <v>41365</v>
      </c>
      <c r="C14" s="359">
        <v>10</v>
      </c>
      <c r="D14" s="359">
        <v>41</v>
      </c>
      <c r="E14" s="360">
        <v>15</v>
      </c>
      <c r="F14" s="361">
        <f t="shared" si="0"/>
        <v>66</v>
      </c>
    </row>
    <row r="15" spans="1:8" x14ac:dyDescent="0.2">
      <c r="B15" s="78">
        <v>41395</v>
      </c>
      <c r="C15" s="359">
        <v>6</v>
      </c>
      <c r="D15" s="359">
        <v>43</v>
      </c>
      <c r="E15" s="360">
        <v>11</v>
      </c>
      <c r="F15" s="361">
        <f t="shared" si="0"/>
        <v>60</v>
      </c>
    </row>
    <row r="16" spans="1:8" x14ac:dyDescent="0.2">
      <c r="B16" s="78">
        <v>41426</v>
      </c>
      <c r="C16" s="359">
        <v>6</v>
      </c>
      <c r="D16" s="359">
        <v>34</v>
      </c>
      <c r="E16" s="360">
        <v>14</v>
      </c>
      <c r="F16" s="361">
        <f t="shared" si="0"/>
        <v>54</v>
      </c>
    </row>
    <row r="17" spans="2:6" x14ac:dyDescent="0.2">
      <c r="B17" s="78">
        <v>41456</v>
      </c>
      <c r="C17" s="359">
        <v>4</v>
      </c>
      <c r="D17" s="359">
        <v>42</v>
      </c>
      <c r="E17" s="360">
        <v>12</v>
      </c>
      <c r="F17" s="361">
        <f t="shared" si="0"/>
        <v>58</v>
      </c>
    </row>
    <row r="18" spans="2:6" x14ac:dyDescent="0.2">
      <c r="B18" s="78">
        <v>41487</v>
      </c>
      <c r="C18" s="359">
        <v>7</v>
      </c>
      <c r="D18" s="359">
        <v>39</v>
      </c>
      <c r="E18" s="360">
        <v>12</v>
      </c>
      <c r="F18" s="361">
        <f t="shared" si="0"/>
        <v>58</v>
      </c>
    </row>
    <row r="19" spans="2:6" x14ac:dyDescent="0.2">
      <c r="B19" s="78">
        <v>41518</v>
      </c>
      <c r="C19" s="359">
        <v>5</v>
      </c>
      <c r="D19" s="359">
        <v>33</v>
      </c>
      <c r="E19" s="360">
        <v>12</v>
      </c>
      <c r="F19" s="361">
        <f t="shared" si="0"/>
        <v>50</v>
      </c>
    </row>
    <row r="20" spans="2:6" x14ac:dyDescent="0.2">
      <c r="B20" s="78">
        <v>41548</v>
      </c>
      <c r="C20" s="359">
        <v>3</v>
      </c>
      <c r="D20" s="359">
        <v>28</v>
      </c>
      <c r="E20" s="360">
        <v>17</v>
      </c>
      <c r="F20" s="361">
        <f t="shared" si="0"/>
        <v>48</v>
      </c>
    </row>
    <row r="21" spans="2:6" x14ac:dyDescent="0.2">
      <c r="B21" s="78">
        <v>41579</v>
      </c>
      <c r="C21" s="359">
        <v>3</v>
      </c>
      <c r="D21" s="359">
        <v>18</v>
      </c>
      <c r="E21" s="360">
        <v>7</v>
      </c>
      <c r="F21" s="361">
        <f t="shared" si="0"/>
        <v>28</v>
      </c>
    </row>
    <row r="22" spans="2:6" x14ac:dyDescent="0.2">
      <c r="B22" s="78">
        <v>41609</v>
      </c>
      <c r="C22" s="359">
        <v>7</v>
      </c>
      <c r="D22" s="359">
        <v>37</v>
      </c>
      <c r="E22" s="360">
        <v>11</v>
      </c>
      <c r="F22" s="361">
        <f t="shared" si="0"/>
        <v>55</v>
      </c>
    </row>
    <row r="23" spans="2:6" x14ac:dyDescent="0.2">
      <c r="B23" s="356">
        <v>2013</v>
      </c>
      <c r="C23" s="358">
        <f>SUM(C11:C22)</f>
        <v>74</v>
      </c>
      <c r="D23" s="358">
        <f t="shared" ref="D23:E23" si="1">SUM(D11:D22)</f>
        <v>430</v>
      </c>
      <c r="E23" s="358">
        <f t="shared" si="1"/>
        <v>150</v>
      </c>
      <c r="F23" s="358">
        <f>SUM(F11:F22)</f>
        <v>654</v>
      </c>
    </row>
    <row r="24" spans="2:6" x14ac:dyDescent="0.2">
      <c r="B24" s="82">
        <v>41640</v>
      </c>
      <c r="C24" s="359">
        <v>7</v>
      </c>
      <c r="D24" s="359">
        <v>32</v>
      </c>
      <c r="E24" s="360">
        <v>18</v>
      </c>
      <c r="F24" s="361">
        <f>SUM(C24:E24)</f>
        <v>57</v>
      </c>
    </row>
    <row r="25" spans="2:6" x14ac:dyDescent="0.2">
      <c r="B25" s="82">
        <v>41671</v>
      </c>
      <c r="C25" s="359">
        <v>3</v>
      </c>
      <c r="D25" s="359">
        <v>24</v>
      </c>
      <c r="E25" s="360">
        <v>9</v>
      </c>
      <c r="F25" s="361">
        <f t="shared" ref="F25:F48" si="2">C25+D25+E25</f>
        <v>36</v>
      </c>
    </row>
    <row r="26" spans="2:6" x14ac:dyDescent="0.2">
      <c r="B26" s="82">
        <v>41699</v>
      </c>
      <c r="C26" s="359">
        <v>7</v>
      </c>
      <c r="D26" s="359">
        <v>21</v>
      </c>
      <c r="E26" s="360">
        <v>15</v>
      </c>
      <c r="F26" s="361">
        <f t="shared" si="2"/>
        <v>43</v>
      </c>
    </row>
    <row r="27" spans="2:6" x14ac:dyDescent="0.2">
      <c r="B27" s="82">
        <v>41730</v>
      </c>
      <c r="C27" s="359">
        <v>9</v>
      </c>
      <c r="D27" s="359">
        <v>25</v>
      </c>
      <c r="E27" s="360">
        <v>10</v>
      </c>
      <c r="F27" s="361">
        <f t="shared" si="2"/>
        <v>44</v>
      </c>
    </row>
    <row r="28" spans="2:6" x14ac:dyDescent="0.2">
      <c r="B28" s="82">
        <v>41760</v>
      </c>
      <c r="C28" s="359">
        <v>7</v>
      </c>
      <c r="D28" s="359">
        <v>29</v>
      </c>
      <c r="E28" s="360">
        <v>11</v>
      </c>
      <c r="F28" s="361">
        <f t="shared" si="2"/>
        <v>47</v>
      </c>
    </row>
    <row r="29" spans="2:6" x14ac:dyDescent="0.2">
      <c r="B29" s="82">
        <v>41791</v>
      </c>
      <c r="C29" s="359">
        <v>0</v>
      </c>
      <c r="D29" s="359">
        <v>31</v>
      </c>
      <c r="E29" s="360">
        <v>17</v>
      </c>
      <c r="F29" s="361">
        <f t="shared" si="2"/>
        <v>48</v>
      </c>
    </row>
    <row r="30" spans="2:6" x14ac:dyDescent="0.2">
      <c r="B30" s="82">
        <v>41821</v>
      </c>
      <c r="C30" s="359">
        <v>3</v>
      </c>
      <c r="D30" s="359">
        <v>29</v>
      </c>
      <c r="E30" s="360">
        <v>15</v>
      </c>
      <c r="F30" s="361">
        <f t="shared" si="2"/>
        <v>47</v>
      </c>
    </row>
    <row r="31" spans="2:6" x14ac:dyDescent="0.2">
      <c r="B31" s="82">
        <v>41852</v>
      </c>
      <c r="C31" s="359">
        <v>5</v>
      </c>
      <c r="D31" s="359">
        <v>30</v>
      </c>
      <c r="E31" s="360">
        <v>9</v>
      </c>
      <c r="F31" s="361">
        <f t="shared" si="2"/>
        <v>44</v>
      </c>
    </row>
    <row r="32" spans="2:6" x14ac:dyDescent="0.2">
      <c r="B32" s="82">
        <v>41883</v>
      </c>
      <c r="C32" s="359">
        <v>2</v>
      </c>
      <c r="D32" s="359">
        <v>39</v>
      </c>
      <c r="E32" s="360"/>
      <c r="F32" s="361">
        <f t="shared" si="2"/>
        <v>41</v>
      </c>
    </row>
    <row r="33" spans="2:6" x14ac:dyDescent="0.2">
      <c r="B33" s="82">
        <v>41913</v>
      </c>
      <c r="C33" s="359">
        <v>5</v>
      </c>
      <c r="D33" s="359">
        <v>29</v>
      </c>
      <c r="E33" s="360"/>
      <c r="F33" s="361">
        <f t="shared" si="2"/>
        <v>34</v>
      </c>
    </row>
    <row r="34" spans="2:6" x14ac:dyDescent="0.2">
      <c r="B34" s="82">
        <v>41944</v>
      </c>
      <c r="C34" s="359">
        <v>1</v>
      </c>
      <c r="D34" s="359">
        <v>20</v>
      </c>
      <c r="E34" s="360">
        <v>4</v>
      </c>
      <c r="F34" s="361">
        <f t="shared" si="2"/>
        <v>25</v>
      </c>
    </row>
    <row r="35" spans="2:6" x14ac:dyDescent="0.2">
      <c r="B35" s="82">
        <v>41974</v>
      </c>
      <c r="C35" s="359">
        <v>4</v>
      </c>
      <c r="D35" s="359">
        <v>38</v>
      </c>
      <c r="E35" s="360">
        <v>5</v>
      </c>
      <c r="F35" s="361">
        <f t="shared" si="2"/>
        <v>47</v>
      </c>
    </row>
    <row r="36" spans="2:6" x14ac:dyDescent="0.2">
      <c r="B36" s="356">
        <v>2014</v>
      </c>
      <c r="C36" s="358">
        <f>SUM(C24:C35)</f>
        <v>53</v>
      </c>
      <c r="D36" s="358">
        <f>SUM(D24:D35)</f>
        <v>347</v>
      </c>
      <c r="E36" s="358">
        <f>SUM(E24:E35)</f>
        <v>113</v>
      </c>
      <c r="F36" s="358">
        <f t="shared" si="2"/>
        <v>513</v>
      </c>
    </row>
    <row r="37" spans="2:6" x14ac:dyDescent="0.2">
      <c r="B37" s="82">
        <v>42005</v>
      </c>
      <c r="C37" s="359">
        <v>2</v>
      </c>
      <c r="D37" s="359">
        <v>26</v>
      </c>
      <c r="E37" s="360">
        <v>12</v>
      </c>
      <c r="F37" s="361">
        <f t="shared" si="2"/>
        <v>40</v>
      </c>
    </row>
    <row r="38" spans="2:6" x14ac:dyDescent="0.2">
      <c r="B38" s="82">
        <v>42036</v>
      </c>
      <c r="C38" s="359">
        <v>1</v>
      </c>
      <c r="D38" s="359">
        <v>21</v>
      </c>
      <c r="E38" s="360">
        <v>15</v>
      </c>
      <c r="F38" s="361">
        <f t="shared" si="2"/>
        <v>37</v>
      </c>
    </row>
    <row r="39" spans="2:6" x14ac:dyDescent="0.2">
      <c r="B39" s="82">
        <v>42064</v>
      </c>
      <c r="C39" s="359">
        <v>7</v>
      </c>
      <c r="D39" s="359">
        <v>24</v>
      </c>
      <c r="E39" s="360">
        <v>8</v>
      </c>
      <c r="F39" s="361">
        <f t="shared" si="2"/>
        <v>39</v>
      </c>
    </row>
    <row r="40" spans="2:6" x14ac:dyDescent="0.2">
      <c r="B40" s="82">
        <v>42095</v>
      </c>
      <c r="C40" s="359">
        <v>7</v>
      </c>
      <c r="D40" s="359">
        <v>21</v>
      </c>
      <c r="E40" s="360">
        <v>5</v>
      </c>
      <c r="F40" s="361">
        <f t="shared" si="2"/>
        <v>33</v>
      </c>
    </row>
    <row r="41" spans="2:6" x14ac:dyDescent="0.2">
      <c r="B41" s="82">
        <v>42125</v>
      </c>
      <c r="C41" s="359"/>
      <c r="D41" s="359">
        <v>18</v>
      </c>
      <c r="E41" s="360">
        <v>13</v>
      </c>
      <c r="F41" s="361">
        <f t="shared" si="2"/>
        <v>31</v>
      </c>
    </row>
    <row r="42" spans="2:6" x14ac:dyDescent="0.2">
      <c r="B42" s="82">
        <v>42156</v>
      </c>
      <c r="C42" s="359">
        <v>5</v>
      </c>
      <c r="D42" s="359">
        <v>22</v>
      </c>
      <c r="E42" s="360">
        <v>11</v>
      </c>
      <c r="F42" s="361">
        <f t="shared" si="2"/>
        <v>38</v>
      </c>
    </row>
    <row r="43" spans="2:6" x14ac:dyDescent="0.2">
      <c r="B43" s="82">
        <v>42186</v>
      </c>
      <c r="C43" s="359">
        <v>1</v>
      </c>
      <c r="D43" s="359">
        <v>22</v>
      </c>
      <c r="E43" s="360">
        <v>10</v>
      </c>
      <c r="F43" s="361">
        <f t="shared" si="2"/>
        <v>33</v>
      </c>
    </row>
    <row r="44" spans="2:6" x14ac:dyDescent="0.2">
      <c r="B44" s="82">
        <v>42217</v>
      </c>
      <c r="C44" s="359">
        <v>4</v>
      </c>
      <c r="D44" s="359">
        <v>27</v>
      </c>
      <c r="E44" s="360">
        <v>6</v>
      </c>
      <c r="F44" s="361">
        <f t="shared" si="2"/>
        <v>37</v>
      </c>
    </row>
    <row r="45" spans="2:6" x14ac:dyDescent="0.2">
      <c r="B45" s="82">
        <v>42248</v>
      </c>
      <c r="C45" s="359">
        <v>1</v>
      </c>
      <c r="D45" s="359">
        <v>32</v>
      </c>
      <c r="E45" s="360">
        <v>7</v>
      </c>
      <c r="F45" s="361">
        <f t="shared" si="2"/>
        <v>40</v>
      </c>
    </row>
    <row r="46" spans="2:6" x14ac:dyDescent="0.2">
      <c r="B46" s="82">
        <v>42278</v>
      </c>
      <c r="C46" s="359">
        <v>9</v>
      </c>
      <c r="D46" s="359">
        <v>21</v>
      </c>
      <c r="E46" s="360">
        <v>9</v>
      </c>
      <c r="F46" s="361">
        <f t="shared" si="2"/>
        <v>39</v>
      </c>
    </row>
    <row r="47" spans="2:6" x14ac:dyDescent="0.2">
      <c r="B47" s="82">
        <v>42309</v>
      </c>
      <c r="C47" s="359">
        <v>7</v>
      </c>
      <c r="D47" s="359">
        <v>26</v>
      </c>
      <c r="E47" s="360">
        <v>4</v>
      </c>
      <c r="F47" s="361">
        <f t="shared" si="2"/>
        <v>37</v>
      </c>
    </row>
    <row r="48" spans="2:6" x14ac:dyDescent="0.2">
      <c r="B48" s="82">
        <v>42339</v>
      </c>
      <c r="C48" s="359">
        <v>6</v>
      </c>
      <c r="D48" s="359">
        <v>21</v>
      </c>
      <c r="E48" s="360">
        <v>6</v>
      </c>
      <c r="F48" s="361">
        <f t="shared" si="2"/>
        <v>33</v>
      </c>
    </row>
    <row r="49" spans="2:6" x14ac:dyDescent="0.2">
      <c r="B49" s="356">
        <v>2015</v>
      </c>
      <c r="C49" s="358">
        <f>SUM(C37:C48)</f>
        <v>50</v>
      </c>
      <c r="D49" s="358">
        <f t="shared" ref="D49:F49" si="3">SUM(D37:D48)</f>
        <v>281</v>
      </c>
      <c r="E49" s="358">
        <f t="shared" si="3"/>
        <v>106</v>
      </c>
      <c r="F49" s="358">
        <f t="shared" si="3"/>
        <v>437</v>
      </c>
    </row>
    <row r="50" spans="2:6" x14ac:dyDescent="0.2">
      <c r="B50" s="82">
        <v>42370</v>
      </c>
      <c r="C50" s="359">
        <v>4</v>
      </c>
      <c r="D50" s="359">
        <v>19</v>
      </c>
      <c r="E50" s="360">
        <v>10</v>
      </c>
      <c r="F50" s="361">
        <f t="shared" ref="F50:F87" si="4">C50+D50+E50</f>
        <v>33</v>
      </c>
    </row>
    <row r="51" spans="2:6" x14ac:dyDescent="0.2">
      <c r="B51" s="82">
        <v>42401</v>
      </c>
      <c r="C51" s="359">
        <v>17</v>
      </c>
      <c r="D51" s="359">
        <v>16</v>
      </c>
      <c r="E51" s="360">
        <v>0</v>
      </c>
      <c r="F51" s="361">
        <f t="shared" si="4"/>
        <v>33</v>
      </c>
    </row>
    <row r="52" spans="2:6" x14ac:dyDescent="0.2">
      <c r="B52" s="82">
        <v>42430</v>
      </c>
      <c r="C52" s="359">
        <v>14</v>
      </c>
      <c r="D52" s="359">
        <v>13</v>
      </c>
      <c r="E52" s="360">
        <v>13</v>
      </c>
      <c r="F52" s="361">
        <f t="shared" si="4"/>
        <v>40</v>
      </c>
    </row>
    <row r="53" spans="2:6" x14ac:dyDescent="0.2">
      <c r="B53" s="82">
        <v>42461</v>
      </c>
      <c r="C53" s="359">
        <v>8</v>
      </c>
      <c r="D53" s="359">
        <v>19</v>
      </c>
      <c r="E53" s="360">
        <v>12</v>
      </c>
      <c r="F53" s="361">
        <f t="shared" si="4"/>
        <v>39</v>
      </c>
    </row>
    <row r="54" spans="2:6" x14ac:dyDescent="0.2">
      <c r="B54" s="82">
        <v>42491</v>
      </c>
      <c r="C54" s="359">
        <v>7</v>
      </c>
      <c r="D54" s="359">
        <v>21</v>
      </c>
      <c r="E54" s="360">
        <v>12</v>
      </c>
      <c r="F54" s="361">
        <f t="shared" si="4"/>
        <v>40</v>
      </c>
    </row>
    <row r="55" spans="2:6" x14ac:dyDescent="0.2">
      <c r="B55" s="82">
        <v>42522</v>
      </c>
      <c r="C55" s="359">
        <v>7</v>
      </c>
      <c r="D55" s="359">
        <v>19</v>
      </c>
      <c r="E55" s="360">
        <v>11</v>
      </c>
      <c r="F55" s="361">
        <f t="shared" si="4"/>
        <v>37</v>
      </c>
    </row>
    <row r="56" spans="2:6" x14ac:dyDescent="0.2">
      <c r="B56" s="82">
        <v>42552</v>
      </c>
      <c r="C56" s="359">
        <v>18</v>
      </c>
      <c r="D56" s="359">
        <v>16</v>
      </c>
      <c r="E56" s="360">
        <v>12</v>
      </c>
      <c r="F56" s="361">
        <f t="shared" si="4"/>
        <v>46</v>
      </c>
    </row>
    <row r="57" spans="2:6" x14ac:dyDescent="0.2">
      <c r="B57" s="82">
        <v>42583</v>
      </c>
      <c r="C57" s="359">
        <v>12</v>
      </c>
      <c r="D57" s="359">
        <v>18</v>
      </c>
      <c r="E57" s="360">
        <v>17</v>
      </c>
      <c r="F57" s="361">
        <f t="shared" si="4"/>
        <v>47</v>
      </c>
    </row>
    <row r="58" spans="2:6" x14ac:dyDescent="0.2">
      <c r="B58" s="82">
        <v>42614</v>
      </c>
      <c r="C58" s="359">
        <v>6</v>
      </c>
      <c r="D58" s="359">
        <v>19</v>
      </c>
      <c r="E58" s="360">
        <v>13</v>
      </c>
      <c r="F58" s="361">
        <f t="shared" si="4"/>
        <v>38</v>
      </c>
    </row>
    <row r="59" spans="2:6" x14ac:dyDescent="0.2">
      <c r="B59" s="82">
        <v>42644</v>
      </c>
      <c r="C59" s="359">
        <v>10</v>
      </c>
      <c r="D59" s="359">
        <v>15</v>
      </c>
      <c r="E59" s="360">
        <v>11</v>
      </c>
      <c r="F59" s="361">
        <f t="shared" si="4"/>
        <v>36</v>
      </c>
    </row>
    <row r="60" spans="2:6" x14ac:dyDescent="0.2">
      <c r="B60" s="82">
        <v>42675</v>
      </c>
      <c r="C60" s="359">
        <v>14</v>
      </c>
      <c r="D60" s="359">
        <v>16</v>
      </c>
      <c r="E60" s="360">
        <v>12</v>
      </c>
      <c r="F60" s="361">
        <f t="shared" si="4"/>
        <v>42</v>
      </c>
    </row>
    <row r="61" spans="2:6" x14ac:dyDescent="0.2">
      <c r="B61" s="82">
        <v>42705</v>
      </c>
      <c r="C61" s="359">
        <v>14</v>
      </c>
      <c r="D61" s="359">
        <v>16</v>
      </c>
      <c r="E61" s="360">
        <v>20</v>
      </c>
      <c r="F61" s="361">
        <f t="shared" si="4"/>
        <v>50</v>
      </c>
    </row>
    <row r="62" spans="2:6" x14ac:dyDescent="0.2">
      <c r="B62" s="356">
        <v>2016</v>
      </c>
      <c r="C62" s="358">
        <f>SUM(C50:C61)</f>
        <v>131</v>
      </c>
      <c r="D62" s="358">
        <f t="shared" ref="D62:F62" si="5">SUM(D50:D61)</f>
        <v>207</v>
      </c>
      <c r="E62" s="358">
        <f t="shared" si="5"/>
        <v>143</v>
      </c>
      <c r="F62" s="358">
        <f t="shared" si="5"/>
        <v>481</v>
      </c>
    </row>
    <row r="63" spans="2:6" x14ac:dyDescent="0.2">
      <c r="B63" s="82">
        <v>42736</v>
      </c>
      <c r="C63" s="359">
        <v>8</v>
      </c>
      <c r="D63" s="359">
        <v>17</v>
      </c>
      <c r="E63" s="360">
        <v>15</v>
      </c>
      <c r="F63" s="361">
        <f t="shared" si="4"/>
        <v>40</v>
      </c>
    </row>
    <row r="64" spans="2:6" x14ac:dyDescent="0.2">
      <c r="B64" s="82">
        <v>42767</v>
      </c>
      <c r="C64" s="359">
        <v>9</v>
      </c>
      <c r="D64" s="359">
        <v>11</v>
      </c>
      <c r="E64" s="360">
        <v>12</v>
      </c>
      <c r="F64" s="361">
        <f t="shared" si="4"/>
        <v>32</v>
      </c>
    </row>
    <row r="65" spans="2:6" x14ac:dyDescent="0.2">
      <c r="B65" s="82">
        <v>42795</v>
      </c>
      <c r="C65" s="359">
        <v>9</v>
      </c>
      <c r="D65" s="359">
        <v>13</v>
      </c>
      <c r="E65" s="360">
        <v>15</v>
      </c>
      <c r="F65" s="361">
        <f t="shared" si="4"/>
        <v>37</v>
      </c>
    </row>
    <row r="66" spans="2:6" x14ac:dyDescent="0.2">
      <c r="B66" s="82">
        <v>42826</v>
      </c>
      <c r="C66" s="359">
        <v>3</v>
      </c>
      <c r="D66" s="359">
        <v>17</v>
      </c>
      <c r="E66" s="360">
        <v>7</v>
      </c>
      <c r="F66" s="361">
        <f t="shared" si="4"/>
        <v>27</v>
      </c>
    </row>
    <row r="67" spans="2:6" x14ac:dyDescent="0.2">
      <c r="B67" s="82">
        <v>42856</v>
      </c>
      <c r="C67" s="359">
        <v>8</v>
      </c>
      <c r="D67" s="359">
        <v>18</v>
      </c>
      <c r="E67" s="360">
        <v>10</v>
      </c>
      <c r="F67" s="361">
        <f t="shared" si="4"/>
        <v>36</v>
      </c>
    </row>
    <row r="68" spans="2:6" x14ac:dyDescent="0.2">
      <c r="B68" s="82">
        <v>42887</v>
      </c>
      <c r="C68" s="359">
        <v>12</v>
      </c>
      <c r="D68" s="359">
        <v>19</v>
      </c>
      <c r="E68" s="360">
        <v>7</v>
      </c>
      <c r="F68" s="361">
        <f t="shared" si="4"/>
        <v>38</v>
      </c>
    </row>
    <row r="69" spans="2:6" x14ac:dyDescent="0.2">
      <c r="B69" s="82">
        <v>42917</v>
      </c>
      <c r="C69" s="359">
        <v>8</v>
      </c>
      <c r="D69" s="359">
        <v>12</v>
      </c>
      <c r="E69" s="360">
        <v>11</v>
      </c>
      <c r="F69" s="361">
        <f t="shared" si="4"/>
        <v>31</v>
      </c>
    </row>
    <row r="70" spans="2:6" x14ac:dyDescent="0.2">
      <c r="B70" s="82">
        <v>42948</v>
      </c>
      <c r="C70" s="359">
        <v>10</v>
      </c>
      <c r="D70" s="359">
        <v>13</v>
      </c>
      <c r="E70" s="360">
        <v>11</v>
      </c>
      <c r="F70" s="361">
        <f t="shared" si="4"/>
        <v>34</v>
      </c>
    </row>
    <row r="71" spans="2:6" x14ac:dyDescent="0.2">
      <c r="B71" s="82">
        <v>42979</v>
      </c>
      <c r="C71" s="359">
        <v>10</v>
      </c>
      <c r="D71" s="359">
        <v>9</v>
      </c>
      <c r="E71" s="360">
        <v>17</v>
      </c>
      <c r="F71" s="361">
        <f t="shared" si="4"/>
        <v>36</v>
      </c>
    </row>
    <row r="72" spans="2:6" x14ac:dyDescent="0.2">
      <c r="B72" s="82">
        <v>43009</v>
      </c>
      <c r="C72" s="359">
        <v>6</v>
      </c>
      <c r="D72" s="359">
        <v>14</v>
      </c>
      <c r="E72" s="360">
        <v>13</v>
      </c>
      <c r="F72" s="361">
        <f t="shared" si="4"/>
        <v>33</v>
      </c>
    </row>
    <row r="73" spans="2:6" x14ac:dyDescent="0.2">
      <c r="B73" s="82">
        <v>43040</v>
      </c>
      <c r="C73" s="359">
        <v>5</v>
      </c>
      <c r="D73" s="359">
        <v>23</v>
      </c>
      <c r="E73" s="360">
        <v>12</v>
      </c>
      <c r="F73" s="361">
        <f t="shared" si="4"/>
        <v>40</v>
      </c>
    </row>
    <row r="74" spans="2:6" x14ac:dyDescent="0.2">
      <c r="B74" s="82">
        <v>43070</v>
      </c>
      <c r="C74" s="359">
        <v>19</v>
      </c>
      <c r="D74" s="359">
        <v>22</v>
      </c>
      <c r="E74" s="360">
        <v>15</v>
      </c>
      <c r="F74" s="361">
        <f t="shared" si="4"/>
        <v>56</v>
      </c>
    </row>
    <row r="75" spans="2:6" x14ac:dyDescent="0.2">
      <c r="B75" s="356">
        <v>2017</v>
      </c>
      <c r="C75" s="358">
        <f>SUM(C63:C74)</f>
        <v>107</v>
      </c>
      <c r="D75" s="358">
        <f t="shared" ref="D75:E75" si="6">SUM(D63:D74)</f>
        <v>188</v>
      </c>
      <c r="E75" s="358">
        <f t="shared" si="6"/>
        <v>145</v>
      </c>
      <c r="F75" s="358">
        <f t="shared" si="4"/>
        <v>440</v>
      </c>
    </row>
    <row r="76" spans="2:6" x14ac:dyDescent="0.2">
      <c r="B76" s="82">
        <v>43101</v>
      </c>
      <c r="C76" s="359">
        <v>13</v>
      </c>
      <c r="D76" s="359">
        <v>23</v>
      </c>
      <c r="E76" s="360">
        <v>10</v>
      </c>
      <c r="F76" s="361">
        <f t="shared" si="4"/>
        <v>46</v>
      </c>
    </row>
    <row r="77" spans="2:6" x14ac:dyDescent="0.2">
      <c r="B77" s="82">
        <v>43132</v>
      </c>
      <c r="C77" s="359">
        <v>16</v>
      </c>
      <c r="D77" s="359">
        <v>22</v>
      </c>
      <c r="E77" s="360">
        <v>23</v>
      </c>
      <c r="F77" s="361">
        <f t="shared" si="4"/>
        <v>61</v>
      </c>
    </row>
    <row r="78" spans="2:6" x14ac:dyDescent="0.2">
      <c r="B78" s="82">
        <v>43160</v>
      </c>
      <c r="C78" s="359">
        <v>14</v>
      </c>
      <c r="D78" s="359">
        <v>19</v>
      </c>
      <c r="E78" s="360">
        <v>11</v>
      </c>
      <c r="F78" s="361">
        <f t="shared" si="4"/>
        <v>44</v>
      </c>
    </row>
    <row r="79" spans="2:6" x14ac:dyDescent="0.2">
      <c r="B79" s="82">
        <v>43191</v>
      </c>
      <c r="C79" s="359">
        <v>10</v>
      </c>
      <c r="D79" s="359">
        <v>18</v>
      </c>
      <c r="E79" s="360">
        <v>11</v>
      </c>
      <c r="F79" s="361">
        <f t="shared" si="4"/>
        <v>39</v>
      </c>
    </row>
    <row r="80" spans="2:6" x14ac:dyDescent="0.2">
      <c r="B80" s="82">
        <v>43221</v>
      </c>
      <c r="C80" s="359">
        <v>22</v>
      </c>
      <c r="D80" s="359">
        <v>9</v>
      </c>
      <c r="E80" s="360">
        <v>9</v>
      </c>
      <c r="F80" s="361">
        <f t="shared" si="4"/>
        <v>40</v>
      </c>
    </row>
    <row r="81" spans="2:6" x14ac:dyDescent="0.2">
      <c r="B81" s="82">
        <v>43252</v>
      </c>
      <c r="C81" s="359">
        <v>27</v>
      </c>
      <c r="D81" s="359">
        <v>18</v>
      </c>
      <c r="E81" s="360">
        <v>10</v>
      </c>
      <c r="F81" s="361">
        <f t="shared" si="4"/>
        <v>55</v>
      </c>
    </row>
    <row r="82" spans="2:6" x14ac:dyDescent="0.2">
      <c r="B82" s="82">
        <v>43282</v>
      </c>
      <c r="C82" s="359">
        <v>15</v>
      </c>
      <c r="D82" s="359">
        <v>20</v>
      </c>
      <c r="E82" s="360">
        <v>19</v>
      </c>
      <c r="F82" s="361">
        <f t="shared" si="4"/>
        <v>54</v>
      </c>
    </row>
    <row r="83" spans="2:6" x14ac:dyDescent="0.2">
      <c r="B83" s="82">
        <v>43313</v>
      </c>
      <c r="C83" s="359">
        <v>17</v>
      </c>
      <c r="D83" s="359">
        <v>40</v>
      </c>
      <c r="E83" s="360">
        <v>17</v>
      </c>
      <c r="F83" s="361">
        <f t="shared" si="4"/>
        <v>74</v>
      </c>
    </row>
    <row r="84" spans="2:6" x14ac:dyDescent="0.2">
      <c r="B84" s="82">
        <v>43344</v>
      </c>
      <c r="C84" s="359">
        <v>16</v>
      </c>
      <c r="D84" s="359">
        <v>31</v>
      </c>
      <c r="E84" s="360">
        <v>3</v>
      </c>
      <c r="F84" s="361">
        <f t="shared" si="4"/>
        <v>50</v>
      </c>
    </row>
    <row r="85" spans="2:6" x14ac:dyDescent="0.2">
      <c r="B85" s="82">
        <v>43374</v>
      </c>
      <c r="C85" s="359">
        <v>4</v>
      </c>
      <c r="D85" s="359">
        <v>22</v>
      </c>
      <c r="E85" s="360">
        <v>5</v>
      </c>
      <c r="F85" s="361">
        <f t="shared" si="4"/>
        <v>31</v>
      </c>
    </row>
    <row r="86" spans="2:6" x14ac:dyDescent="0.2">
      <c r="B86" s="82">
        <v>43405</v>
      </c>
      <c r="C86" s="359">
        <v>3</v>
      </c>
      <c r="D86" s="359">
        <v>16</v>
      </c>
      <c r="E86" s="360">
        <v>2</v>
      </c>
      <c r="F86" s="361">
        <f t="shared" si="4"/>
        <v>21</v>
      </c>
    </row>
    <row r="87" spans="2:6" x14ac:dyDescent="0.2">
      <c r="B87" s="82">
        <v>43435</v>
      </c>
      <c r="C87" s="362">
        <v>21</v>
      </c>
      <c r="D87" s="362">
        <v>40</v>
      </c>
      <c r="E87" s="362">
        <v>2</v>
      </c>
      <c r="F87" s="361">
        <f t="shared" si="4"/>
        <v>63</v>
      </c>
    </row>
    <row r="88" spans="2:6" x14ac:dyDescent="0.2">
      <c r="B88" s="357">
        <v>2018</v>
      </c>
      <c r="C88" s="358">
        <f>SUM(C76:C87)</f>
        <v>178</v>
      </c>
      <c r="D88" s="358">
        <f t="shared" ref="D88:F88" si="7">SUM(D76:D87)</f>
        <v>278</v>
      </c>
      <c r="E88" s="358">
        <f t="shared" si="7"/>
        <v>122</v>
      </c>
      <c r="F88" s="358">
        <f t="shared" si="7"/>
        <v>578</v>
      </c>
    </row>
    <row r="89" spans="2:6" x14ac:dyDescent="0.2">
      <c r="B89" s="82">
        <v>43466</v>
      </c>
      <c r="C89" s="362">
        <v>19</v>
      </c>
      <c r="D89" s="362">
        <v>25</v>
      </c>
      <c r="E89" s="362">
        <v>2</v>
      </c>
      <c r="F89" s="361">
        <f t="shared" ref="F89" si="8">C89+D89+E89</f>
        <v>46</v>
      </c>
    </row>
    <row r="90" spans="2:6" s="168" customFormat="1" x14ac:dyDescent="0.2">
      <c r="B90" s="173">
        <v>43497</v>
      </c>
      <c r="C90" s="362">
        <v>15</v>
      </c>
      <c r="D90" s="362">
        <v>30</v>
      </c>
      <c r="E90" s="362">
        <v>2</v>
      </c>
      <c r="F90" s="361">
        <v>47</v>
      </c>
    </row>
    <row r="91" spans="2:6" s="176" customFormat="1" x14ac:dyDescent="0.2">
      <c r="B91" s="173">
        <v>43525</v>
      </c>
      <c r="C91" s="362">
        <v>9</v>
      </c>
      <c r="D91" s="362">
        <v>30</v>
      </c>
      <c r="E91" s="362">
        <v>3</v>
      </c>
      <c r="F91" s="361">
        <v>42</v>
      </c>
    </row>
    <row r="92" spans="2:6" s="176" customFormat="1" x14ac:dyDescent="0.2">
      <c r="B92" s="173">
        <v>43556</v>
      </c>
      <c r="C92" s="362">
        <v>8</v>
      </c>
      <c r="D92" s="362">
        <v>39</v>
      </c>
      <c r="E92" s="362">
        <v>2</v>
      </c>
      <c r="F92" s="361">
        <v>49</v>
      </c>
    </row>
    <row r="93" spans="2:6" x14ac:dyDescent="0.2">
      <c r="B93" s="173">
        <v>43586</v>
      </c>
      <c r="C93" s="362">
        <v>27</v>
      </c>
      <c r="D93" s="362">
        <v>34</v>
      </c>
      <c r="E93" s="362">
        <v>10</v>
      </c>
      <c r="F93" s="361">
        <f t="shared" ref="F93:F96" si="9">C93+D93+E93</f>
        <v>71</v>
      </c>
    </row>
    <row r="94" spans="2:6" s="176" customFormat="1" x14ac:dyDescent="0.2">
      <c r="B94" s="173">
        <v>43617</v>
      </c>
      <c r="C94" s="362">
        <v>22</v>
      </c>
      <c r="D94" s="362">
        <v>41</v>
      </c>
      <c r="E94" s="362">
        <v>5</v>
      </c>
      <c r="F94" s="361">
        <f t="shared" si="9"/>
        <v>68</v>
      </c>
    </row>
    <row r="95" spans="2:6" s="176" customFormat="1" x14ac:dyDescent="0.2">
      <c r="B95" s="173">
        <v>43647</v>
      </c>
      <c r="C95" s="362">
        <v>25</v>
      </c>
      <c r="D95" s="362">
        <v>40</v>
      </c>
      <c r="E95" s="362">
        <v>8</v>
      </c>
      <c r="F95" s="361">
        <f t="shared" si="9"/>
        <v>73</v>
      </c>
    </row>
    <row r="96" spans="2:6" s="176" customFormat="1" x14ac:dyDescent="0.2">
      <c r="B96" s="173">
        <v>43678</v>
      </c>
      <c r="C96" s="362">
        <v>17</v>
      </c>
      <c r="D96" s="362">
        <v>50</v>
      </c>
      <c r="E96" s="362">
        <v>5</v>
      </c>
      <c r="F96" s="361">
        <f t="shared" si="9"/>
        <v>72</v>
      </c>
    </row>
    <row r="97" spans="2:6" s="176" customFormat="1" x14ac:dyDescent="0.2">
      <c r="B97" s="173">
        <v>43709</v>
      </c>
      <c r="C97" s="362">
        <v>19</v>
      </c>
      <c r="D97" s="362">
        <v>54</v>
      </c>
      <c r="E97" s="362">
        <v>8</v>
      </c>
      <c r="F97" s="361">
        <f>C97+D97+E97</f>
        <v>81</v>
      </c>
    </row>
    <row r="98" spans="2:6" x14ac:dyDescent="0.2">
      <c r="B98" s="173">
        <v>43739</v>
      </c>
      <c r="C98" s="362">
        <v>7</v>
      </c>
      <c r="D98" s="362">
        <v>24</v>
      </c>
      <c r="E98" s="362">
        <v>2</v>
      </c>
      <c r="F98" s="361">
        <v>33</v>
      </c>
    </row>
    <row r="99" spans="2:6" s="176" customFormat="1" x14ac:dyDescent="0.2">
      <c r="B99" s="173">
        <v>43770</v>
      </c>
      <c r="C99" s="362">
        <v>16</v>
      </c>
      <c r="D99" s="362">
        <v>57</v>
      </c>
      <c r="E99" s="362">
        <v>5</v>
      </c>
      <c r="F99" s="361">
        <v>78</v>
      </c>
    </row>
    <row r="100" spans="2:6" s="176" customFormat="1" x14ac:dyDescent="0.2">
      <c r="B100" s="173">
        <v>43800</v>
      </c>
      <c r="C100" s="362">
        <v>1</v>
      </c>
      <c r="D100" s="362">
        <v>72</v>
      </c>
      <c r="E100" s="362">
        <v>4</v>
      </c>
      <c r="F100" s="361">
        <f>C100+D100+E100</f>
        <v>77</v>
      </c>
    </row>
    <row r="101" spans="2:6" s="176" customFormat="1" x14ac:dyDescent="0.2">
      <c r="B101" s="356">
        <v>2019</v>
      </c>
      <c r="C101" s="358">
        <f>SUM(C89:C100)</f>
        <v>185</v>
      </c>
      <c r="D101" s="358">
        <f t="shared" ref="D101:E101" si="10">SUM(D89:D100)</f>
        <v>496</v>
      </c>
      <c r="E101" s="358">
        <f t="shared" si="10"/>
        <v>56</v>
      </c>
      <c r="F101" s="358">
        <f>C101+D101+E101</f>
        <v>737</v>
      </c>
    </row>
    <row r="102" spans="2:6" s="176" customFormat="1" x14ac:dyDescent="0.2">
      <c r="B102" s="173">
        <v>43831</v>
      </c>
      <c r="C102" s="362">
        <v>5</v>
      </c>
      <c r="D102" s="362">
        <v>54</v>
      </c>
      <c r="E102" s="362">
        <v>24</v>
      </c>
      <c r="F102" s="361">
        <f t="shared" ref="F102:F127" si="11">C102+D102+E102</f>
        <v>83</v>
      </c>
    </row>
    <row r="103" spans="2:6" s="176" customFormat="1" x14ac:dyDescent="0.2">
      <c r="B103" s="173">
        <v>43862</v>
      </c>
      <c r="C103" s="362">
        <v>7</v>
      </c>
      <c r="D103" s="362">
        <v>70</v>
      </c>
      <c r="E103" s="362">
        <v>14</v>
      </c>
      <c r="F103" s="361">
        <f t="shared" si="11"/>
        <v>91</v>
      </c>
    </row>
    <row r="104" spans="2:6" s="176" customFormat="1" x14ac:dyDescent="0.2">
      <c r="B104" s="173">
        <v>43891</v>
      </c>
      <c r="C104" s="362">
        <v>6</v>
      </c>
      <c r="D104" s="362">
        <v>59</v>
      </c>
      <c r="E104" s="362">
        <v>8</v>
      </c>
      <c r="F104" s="361">
        <f t="shared" si="11"/>
        <v>73</v>
      </c>
    </row>
    <row r="105" spans="2:6" s="176" customFormat="1" x14ac:dyDescent="0.2">
      <c r="B105" s="173">
        <v>43922</v>
      </c>
      <c r="C105" s="362">
        <v>3</v>
      </c>
      <c r="D105" s="362">
        <v>8</v>
      </c>
      <c r="E105" s="362">
        <v>2</v>
      </c>
      <c r="F105" s="361">
        <f t="shared" si="11"/>
        <v>13</v>
      </c>
    </row>
    <row r="106" spans="2:6" s="176" customFormat="1" x14ac:dyDescent="0.2">
      <c r="B106" s="173">
        <v>43952</v>
      </c>
      <c r="C106" s="362">
        <v>5</v>
      </c>
      <c r="D106" s="362">
        <v>7</v>
      </c>
      <c r="E106" s="362">
        <v>4</v>
      </c>
      <c r="F106" s="361">
        <f t="shared" si="11"/>
        <v>16</v>
      </c>
    </row>
    <row r="107" spans="2:6" s="176" customFormat="1" x14ac:dyDescent="0.2">
      <c r="B107" s="173">
        <v>43983</v>
      </c>
      <c r="C107" s="362">
        <v>4</v>
      </c>
      <c r="D107" s="362">
        <v>9</v>
      </c>
      <c r="E107" s="362">
        <v>3</v>
      </c>
      <c r="F107" s="361">
        <f t="shared" si="11"/>
        <v>16</v>
      </c>
    </row>
    <row r="108" spans="2:6" s="176" customFormat="1" x14ac:dyDescent="0.2">
      <c r="B108" s="173">
        <v>44013</v>
      </c>
      <c r="C108" s="362">
        <v>5</v>
      </c>
      <c r="D108" s="362">
        <v>9</v>
      </c>
      <c r="E108" s="362">
        <v>12</v>
      </c>
      <c r="F108" s="361">
        <f t="shared" si="11"/>
        <v>26</v>
      </c>
    </row>
    <row r="109" spans="2:6" s="176" customFormat="1" x14ac:dyDescent="0.2">
      <c r="B109" s="173">
        <v>44044</v>
      </c>
      <c r="C109" s="362">
        <v>2</v>
      </c>
      <c r="D109" s="362">
        <v>14</v>
      </c>
      <c r="E109" s="362">
        <v>11</v>
      </c>
      <c r="F109" s="361">
        <f t="shared" si="11"/>
        <v>27</v>
      </c>
    </row>
    <row r="110" spans="2:6" s="176" customFormat="1" x14ac:dyDescent="0.2">
      <c r="B110" s="173">
        <v>44075</v>
      </c>
      <c r="C110" s="362">
        <v>7</v>
      </c>
      <c r="D110" s="362">
        <v>22</v>
      </c>
      <c r="E110" s="362">
        <v>3</v>
      </c>
      <c r="F110" s="361">
        <f t="shared" si="11"/>
        <v>32</v>
      </c>
    </row>
    <row r="111" spans="2:6" s="176" customFormat="1" x14ac:dyDescent="0.2">
      <c r="B111" s="173">
        <v>44105</v>
      </c>
      <c r="C111" s="362">
        <v>2</v>
      </c>
      <c r="D111" s="362">
        <v>38</v>
      </c>
      <c r="E111" s="362">
        <v>5</v>
      </c>
      <c r="F111" s="361">
        <f t="shared" si="11"/>
        <v>45</v>
      </c>
    </row>
    <row r="112" spans="2:6" s="176" customFormat="1" x14ac:dyDescent="0.2">
      <c r="B112" s="331" t="s">
        <v>596</v>
      </c>
      <c r="C112" s="362">
        <v>0</v>
      </c>
      <c r="D112" s="362">
        <v>16</v>
      </c>
      <c r="E112" s="362">
        <v>5</v>
      </c>
      <c r="F112" s="361">
        <f t="shared" si="11"/>
        <v>21</v>
      </c>
    </row>
    <row r="113" spans="2:6" s="176" customFormat="1" x14ac:dyDescent="0.2">
      <c r="B113" s="331" t="s">
        <v>597</v>
      </c>
      <c r="C113" s="362">
        <v>0</v>
      </c>
      <c r="D113" s="362">
        <v>11</v>
      </c>
      <c r="E113" s="362">
        <v>3</v>
      </c>
      <c r="F113" s="361">
        <f t="shared" si="11"/>
        <v>14</v>
      </c>
    </row>
    <row r="114" spans="2:6" s="176" customFormat="1" x14ac:dyDescent="0.2">
      <c r="B114" s="356">
        <v>2020</v>
      </c>
      <c r="C114" s="358">
        <f>SUM(C102:C113)</f>
        <v>46</v>
      </c>
      <c r="D114" s="358">
        <f t="shared" ref="D114:E114" si="12">SUM(D102:D113)</f>
        <v>317</v>
      </c>
      <c r="E114" s="358">
        <f t="shared" si="12"/>
        <v>94</v>
      </c>
      <c r="F114" s="358">
        <f t="shared" si="11"/>
        <v>457</v>
      </c>
    </row>
    <row r="115" spans="2:6" s="176" customFormat="1" x14ac:dyDescent="0.2">
      <c r="B115" s="173">
        <v>44197</v>
      </c>
      <c r="C115" s="362">
        <v>1</v>
      </c>
      <c r="D115" s="362">
        <v>19</v>
      </c>
      <c r="E115" s="362">
        <v>1</v>
      </c>
      <c r="F115" s="361">
        <f t="shared" si="11"/>
        <v>21</v>
      </c>
    </row>
    <row r="116" spans="2:6" s="176" customFormat="1" x14ac:dyDescent="0.2">
      <c r="B116" s="173">
        <v>44228</v>
      </c>
      <c r="C116" s="362">
        <v>0</v>
      </c>
      <c r="D116" s="362">
        <v>12</v>
      </c>
      <c r="E116" s="362">
        <v>0</v>
      </c>
      <c r="F116" s="361">
        <f t="shared" si="11"/>
        <v>12</v>
      </c>
    </row>
    <row r="117" spans="2:6" s="176" customFormat="1" x14ac:dyDescent="0.2">
      <c r="B117" s="173">
        <v>44256</v>
      </c>
      <c r="C117" s="362">
        <v>2</v>
      </c>
      <c r="D117" s="362">
        <v>13</v>
      </c>
      <c r="E117" s="362">
        <v>2</v>
      </c>
      <c r="F117" s="361">
        <f t="shared" si="11"/>
        <v>17</v>
      </c>
    </row>
    <row r="118" spans="2:6" s="176" customFormat="1" x14ac:dyDescent="0.2">
      <c r="B118" s="173">
        <v>44287</v>
      </c>
      <c r="C118" s="362">
        <v>0</v>
      </c>
      <c r="D118" s="362">
        <v>9</v>
      </c>
      <c r="E118" s="362">
        <v>0</v>
      </c>
      <c r="F118" s="361">
        <f t="shared" si="11"/>
        <v>9</v>
      </c>
    </row>
    <row r="119" spans="2:6" s="176" customFormat="1" x14ac:dyDescent="0.2">
      <c r="B119" s="173">
        <v>44317</v>
      </c>
      <c r="C119" s="362">
        <v>1</v>
      </c>
      <c r="D119" s="362">
        <v>28</v>
      </c>
      <c r="E119" s="362">
        <v>8</v>
      </c>
      <c r="F119" s="361">
        <f t="shared" si="11"/>
        <v>37</v>
      </c>
    </row>
    <row r="120" spans="2:6" s="176" customFormat="1" x14ac:dyDescent="0.2">
      <c r="B120" s="173">
        <v>44348</v>
      </c>
      <c r="C120" s="362">
        <v>3</v>
      </c>
      <c r="D120" s="362">
        <v>35</v>
      </c>
      <c r="E120" s="362">
        <v>16</v>
      </c>
      <c r="F120" s="361">
        <f t="shared" si="11"/>
        <v>54</v>
      </c>
    </row>
    <row r="121" spans="2:6" s="176" customFormat="1" x14ac:dyDescent="0.2">
      <c r="B121" s="173">
        <v>44378</v>
      </c>
      <c r="C121" s="362">
        <v>4</v>
      </c>
      <c r="D121" s="362">
        <v>9</v>
      </c>
      <c r="E121" s="362">
        <v>1</v>
      </c>
      <c r="F121" s="361">
        <f t="shared" si="11"/>
        <v>14</v>
      </c>
    </row>
    <row r="122" spans="2:6" s="176" customFormat="1" x14ac:dyDescent="0.2">
      <c r="B122" s="173">
        <v>44409</v>
      </c>
      <c r="C122" s="362">
        <v>1</v>
      </c>
      <c r="D122" s="362">
        <v>38</v>
      </c>
      <c r="E122" s="362">
        <v>11</v>
      </c>
      <c r="F122" s="361">
        <f t="shared" si="11"/>
        <v>50</v>
      </c>
    </row>
    <row r="123" spans="2:6" s="176" customFormat="1" x14ac:dyDescent="0.2">
      <c r="B123" s="173">
        <v>44440</v>
      </c>
      <c r="C123" s="362">
        <v>2</v>
      </c>
      <c r="D123" s="362">
        <v>15</v>
      </c>
      <c r="E123" s="362">
        <v>0</v>
      </c>
      <c r="F123" s="361">
        <f t="shared" si="11"/>
        <v>17</v>
      </c>
    </row>
    <row r="124" spans="2:6" s="176" customFormat="1" x14ac:dyDescent="0.2">
      <c r="B124" s="173">
        <v>44470</v>
      </c>
      <c r="C124" s="362">
        <v>3</v>
      </c>
      <c r="D124" s="362">
        <v>14</v>
      </c>
      <c r="E124" s="362">
        <v>0</v>
      </c>
      <c r="F124" s="361">
        <f t="shared" si="11"/>
        <v>17</v>
      </c>
    </row>
    <row r="125" spans="2:6" s="176" customFormat="1" x14ac:dyDescent="0.2">
      <c r="B125" s="173">
        <v>44501</v>
      </c>
      <c r="C125" s="362">
        <v>2</v>
      </c>
      <c r="D125" s="362">
        <v>11</v>
      </c>
      <c r="E125" s="362">
        <v>0</v>
      </c>
      <c r="F125" s="361">
        <f t="shared" si="11"/>
        <v>13</v>
      </c>
    </row>
    <row r="126" spans="2:6" s="176" customFormat="1" x14ac:dyDescent="0.2">
      <c r="B126" s="173">
        <v>44531</v>
      </c>
      <c r="C126" s="362">
        <v>10</v>
      </c>
      <c r="D126" s="362">
        <v>13</v>
      </c>
      <c r="E126" s="362">
        <v>12</v>
      </c>
      <c r="F126" s="361">
        <f t="shared" si="11"/>
        <v>35</v>
      </c>
    </row>
    <row r="127" spans="2:6" s="176" customFormat="1" x14ac:dyDescent="0.2">
      <c r="B127" s="356">
        <v>2021</v>
      </c>
      <c r="C127" s="358">
        <f>SUM(C115:C126)</f>
        <v>29</v>
      </c>
      <c r="D127" s="358">
        <f t="shared" ref="D127:E127" si="13">SUM(D115:D126)</f>
        <v>216</v>
      </c>
      <c r="E127" s="358">
        <f t="shared" si="13"/>
        <v>51</v>
      </c>
      <c r="F127" s="358">
        <f t="shared" si="11"/>
        <v>296</v>
      </c>
    </row>
    <row r="128" spans="2:6" x14ac:dyDescent="0.2">
      <c r="B128" s="25" t="s">
        <v>473</v>
      </c>
    </row>
    <row r="129" spans="2:6" ht="81" customHeight="1" x14ac:dyDescent="0.2">
      <c r="B129" s="377" t="s">
        <v>598</v>
      </c>
      <c r="C129" s="377"/>
      <c r="D129" s="377"/>
      <c r="E129" s="377"/>
      <c r="F129" s="377"/>
    </row>
    <row r="133" spans="2:6" x14ac:dyDescent="0.2">
      <c r="B133" s="25" t="s">
        <v>600</v>
      </c>
    </row>
  </sheetData>
  <mergeCells count="5">
    <mergeCell ref="B5:F5"/>
    <mergeCell ref="B6:F6"/>
    <mergeCell ref="B8:B9"/>
    <mergeCell ref="C8:F8"/>
    <mergeCell ref="B129:F129"/>
  </mergeCells>
  <hyperlinks>
    <hyperlink ref="H5" location="'Índice STJ'!A1" display="'Índice STJ'!A1" xr:uid="{00000000-0004-0000-1D00-000000000000}"/>
  </hyperlinks>
  <pageMargins left="0.7" right="0.7" top="0.75" bottom="0.75" header="0.3" footer="0.3"/>
  <pageSetup orientation="portrait" horizontalDpi="300" verticalDpi="300" r:id="rId1"/>
  <ignoredErrors>
    <ignoredError sqref="F11:F23 F24 C23:E23" formulaRange="1"/>
  </ignoredError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2:G133"/>
  <sheetViews>
    <sheetView showGridLines="0" zoomScale="90" zoomScaleNormal="90" workbookViewId="0">
      <pane xSplit="1" ySplit="9" topLeftCell="B115" activePane="bottomRight" state="frozen"/>
      <selection activeCell="F131" sqref="F131"/>
      <selection pane="topRight" activeCell="F131" sqref="F131"/>
      <selection pane="bottomLeft" activeCell="F131" sqref="F131"/>
      <selection pane="bottomRight" activeCell="B90" sqref="B90"/>
    </sheetView>
  </sheetViews>
  <sheetFormatPr baseColWidth="10" defaultColWidth="11.42578125" defaultRowHeight="12" x14ac:dyDescent="0.2"/>
  <cols>
    <col min="1" max="1" width="6" style="25" customWidth="1"/>
    <col min="2" max="16384" width="11.42578125" style="25"/>
  </cols>
  <sheetData>
    <row r="2" spans="1:7" x14ac:dyDescent="0.2">
      <c r="A2" s="47" t="s">
        <v>101</v>
      </c>
    </row>
    <row r="3" spans="1:7" x14ac:dyDescent="0.2">
      <c r="A3" s="47" t="s">
        <v>102</v>
      </c>
    </row>
    <row r="5" spans="1:7" ht="27.75" customHeight="1" x14ac:dyDescent="0.2">
      <c r="B5" s="431" t="s">
        <v>537</v>
      </c>
      <c r="C5" s="431"/>
      <c r="D5" s="431"/>
      <c r="E5" s="431"/>
      <c r="G5" s="115" t="s">
        <v>569</v>
      </c>
    </row>
    <row r="6" spans="1:7" ht="12.75" x14ac:dyDescent="0.2">
      <c r="B6" s="369" t="s">
        <v>624</v>
      </c>
      <c r="C6" s="369"/>
      <c r="D6" s="369"/>
      <c r="E6" s="369"/>
    </row>
    <row r="8" spans="1:7" ht="27.75" customHeight="1" x14ac:dyDescent="0.2">
      <c r="B8" s="423" t="s">
        <v>524</v>
      </c>
      <c r="C8" s="426" t="s">
        <v>538</v>
      </c>
      <c r="D8" s="427"/>
      <c r="E8" s="428"/>
    </row>
    <row r="9" spans="1:7" x14ac:dyDescent="0.2">
      <c r="B9" s="425"/>
      <c r="C9" s="141" t="s">
        <v>528</v>
      </c>
      <c r="D9" s="141" t="s">
        <v>529</v>
      </c>
      <c r="E9" s="142" t="s">
        <v>96</v>
      </c>
    </row>
    <row r="10" spans="1:7" x14ac:dyDescent="0.2">
      <c r="B10" s="435" t="s">
        <v>539</v>
      </c>
      <c r="C10" s="436"/>
      <c r="D10" s="437"/>
      <c r="E10" s="6">
        <f>105378+4602+2837+2889+4557+2387</f>
        <v>122650</v>
      </c>
    </row>
    <row r="11" spans="1:7" x14ac:dyDescent="0.2">
      <c r="B11" s="438">
        <v>2012</v>
      </c>
      <c r="C11" s="439"/>
      <c r="D11" s="440"/>
      <c r="E11" s="6">
        <v>32605</v>
      </c>
    </row>
    <row r="12" spans="1:7" x14ac:dyDescent="0.2">
      <c r="B12" s="78">
        <v>41275</v>
      </c>
      <c r="C12" s="78"/>
      <c r="D12" s="78"/>
      <c r="E12" s="80">
        <v>2532</v>
      </c>
    </row>
    <row r="13" spans="1:7" x14ac:dyDescent="0.2">
      <c r="B13" s="78">
        <v>41306</v>
      </c>
      <c r="C13" s="78"/>
      <c r="D13" s="78"/>
      <c r="E13" s="80">
        <v>2439</v>
      </c>
    </row>
    <row r="14" spans="1:7" x14ac:dyDescent="0.2">
      <c r="B14" s="78">
        <v>41334</v>
      </c>
      <c r="C14" s="78"/>
      <c r="D14" s="78"/>
      <c r="E14" s="80">
        <v>2431</v>
      </c>
    </row>
    <row r="15" spans="1:7" x14ac:dyDescent="0.2">
      <c r="B15" s="78">
        <v>41365</v>
      </c>
      <c r="C15" s="78"/>
      <c r="D15" s="78"/>
      <c r="E15" s="80">
        <v>1851</v>
      </c>
    </row>
    <row r="16" spans="1:7" x14ac:dyDescent="0.2">
      <c r="B16" s="78">
        <v>41395</v>
      </c>
      <c r="C16" s="78"/>
      <c r="D16" s="78"/>
      <c r="E16" s="80">
        <v>2369</v>
      </c>
    </row>
    <row r="17" spans="2:5" x14ac:dyDescent="0.2">
      <c r="B17" s="78">
        <v>41426</v>
      </c>
      <c r="C17" s="78"/>
      <c r="D17" s="78"/>
      <c r="E17" s="80">
        <v>2281</v>
      </c>
    </row>
    <row r="18" spans="2:5" x14ac:dyDescent="0.2">
      <c r="B18" s="78">
        <v>41456</v>
      </c>
      <c r="C18" s="78"/>
      <c r="D18" s="78"/>
      <c r="E18" s="80">
        <v>2297</v>
      </c>
    </row>
    <row r="19" spans="2:5" x14ac:dyDescent="0.2">
      <c r="B19" s="78">
        <v>41487</v>
      </c>
      <c r="C19" s="78"/>
      <c r="D19" s="78"/>
      <c r="E19" s="80">
        <v>1478</v>
      </c>
    </row>
    <row r="20" spans="2:5" x14ac:dyDescent="0.2">
      <c r="B20" s="78">
        <v>41518</v>
      </c>
      <c r="C20" s="78"/>
      <c r="D20" s="78"/>
      <c r="E20" s="80">
        <v>1310</v>
      </c>
    </row>
    <row r="21" spans="2:5" x14ac:dyDescent="0.2">
      <c r="B21" s="78">
        <v>41548</v>
      </c>
      <c r="C21" s="78"/>
      <c r="D21" s="78"/>
      <c r="E21" s="80">
        <v>1141</v>
      </c>
    </row>
    <row r="22" spans="2:5" x14ac:dyDescent="0.2">
      <c r="B22" s="78">
        <v>41579</v>
      </c>
      <c r="C22" s="78"/>
      <c r="D22" s="78"/>
      <c r="E22" s="80">
        <v>925</v>
      </c>
    </row>
    <row r="23" spans="2:5" x14ac:dyDescent="0.2">
      <c r="B23" s="78">
        <v>41609</v>
      </c>
      <c r="C23" s="78"/>
      <c r="D23" s="78"/>
      <c r="E23" s="80">
        <v>2271</v>
      </c>
    </row>
    <row r="24" spans="2:5" x14ac:dyDescent="0.2">
      <c r="B24" s="438">
        <v>2013</v>
      </c>
      <c r="C24" s="439"/>
      <c r="D24" s="440"/>
      <c r="E24" s="6">
        <f>SUM(E12:E23)</f>
        <v>23325</v>
      </c>
    </row>
    <row r="25" spans="2:5" x14ac:dyDescent="0.2">
      <c r="B25" s="78">
        <v>41640</v>
      </c>
      <c r="C25" s="78"/>
      <c r="D25" s="78"/>
      <c r="E25" s="80">
        <v>2624</v>
      </c>
    </row>
    <row r="26" spans="2:5" x14ac:dyDescent="0.2">
      <c r="B26" s="78">
        <v>41671</v>
      </c>
      <c r="C26" s="78"/>
      <c r="D26" s="78"/>
      <c r="E26" s="80">
        <v>1598</v>
      </c>
    </row>
    <row r="27" spans="2:5" x14ac:dyDescent="0.2">
      <c r="B27" s="78">
        <v>41699</v>
      </c>
      <c r="C27" s="78"/>
      <c r="D27" s="78"/>
      <c r="E27" s="80">
        <v>1914</v>
      </c>
    </row>
    <row r="28" spans="2:5" x14ac:dyDescent="0.2">
      <c r="B28" s="78">
        <v>41730</v>
      </c>
      <c r="C28" s="78"/>
      <c r="D28" s="78"/>
      <c r="E28" s="80">
        <v>1065</v>
      </c>
    </row>
    <row r="29" spans="2:5" x14ac:dyDescent="0.2">
      <c r="B29" s="78">
        <v>41760</v>
      </c>
      <c r="C29" s="78"/>
      <c r="D29" s="78"/>
      <c r="E29" s="80">
        <v>1919</v>
      </c>
    </row>
    <row r="30" spans="2:5" x14ac:dyDescent="0.2">
      <c r="B30" s="78">
        <v>41791</v>
      </c>
      <c r="C30" s="78"/>
      <c r="D30" s="78"/>
      <c r="E30" s="80">
        <v>1580</v>
      </c>
    </row>
    <row r="31" spans="2:5" x14ac:dyDescent="0.2">
      <c r="B31" s="78">
        <v>41821</v>
      </c>
      <c r="C31" s="78"/>
      <c r="D31" s="78"/>
      <c r="E31" s="80">
        <v>1542</v>
      </c>
    </row>
    <row r="32" spans="2:5" x14ac:dyDescent="0.2">
      <c r="B32" s="78">
        <v>41852</v>
      </c>
      <c r="C32" s="78"/>
      <c r="D32" s="78"/>
      <c r="E32" s="80">
        <v>1606</v>
      </c>
    </row>
    <row r="33" spans="2:5" x14ac:dyDescent="0.2">
      <c r="B33" s="78">
        <v>41883</v>
      </c>
      <c r="C33" s="78"/>
      <c r="D33" s="78"/>
      <c r="E33" s="80">
        <v>2676</v>
      </c>
    </row>
    <row r="34" spans="2:5" x14ac:dyDescent="0.2">
      <c r="B34" s="83">
        <v>41913</v>
      </c>
      <c r="C34" s="83"/>
      <c r="D34" s="83"/>
      <c r="E34" s="80">
        <v>2626</v>
      </c>
    </row>
    <row r="35" spans="2:5" x14ac:dyDescent="0.2">
      <c r="B35" s="82">
        <v>41944</v>
      </c>
      <c r="C35" s="82"/>
      <c r="D35" s="82"/>
      <c r="E35" s="80">
        <v>2422</v>
      </c>
    </row>
    <row r="36" spans="2:5" x14ac:dyDescent="0.2">
      <c r="B36" s="82">
        <v>41974</v>
      </c>
      <c r="C36" s="82"/>
      <c r="D36" s="82"/>
      <c r="E36" s="80">
        <v>1349</v>
      </c>
    </row>
    <row r="37" spans="2:5" x14ac:dyDescent="0.2">
      <c r="B37" s="438">
        <v>2014</v>
      </c>
      <c r="C37" s="439"/>
      <c r="D37" s="440"/>
      <c r="E37" s="6">
        <f>SUM(E25:E36)</f>
        <v>22921</v>
      </c>
    </row>
    <row r="38" spans="2:5" x14ac:dyDescent="0.2">
      <c r="B38" s="83">
        <v>42005</v>
      </c>
      <c r="C38" s="83"/>
      <c r="D38" s="83"/>
      <c r="E38" s="80">
        <v>2382</v>
      </c>
    </row>
    <row r="39" spans="2:5" x14ac:dyDescent="0.2">
      <c r="B39" s="78">
        <v>42036</v>
      </c>
      <c r="C39" s="78"/>
      <c r="D39" s="78"/>
      <c r="E39" s="80">
        <v>3962</v>
      </c>
    </row>
    <row r="40" spans="2:5" x14ac:dyDescent="0.2">
      <c r="B40" s="78">
        <v>42064</v>
      </c>
      <c r="C40" s="78"/>
      <c r="D40" s="78"/>
      <c r="E40" s="80">
        <v>2652</v>
      </c>
    </row>
    <row r="41" spans="2:5" x14ac:dyDescent="0.2">
      <c r="B41" s="78">
        <v>42095</v>
      </c>
      <c r="C41" s="78"/>
      <c r="D41" s="78"/>
      <c r="E41" s="80">
        <v>3302</v>
      </c>
    </row>
    <row r="42" spans="2:5" x14ac:dyDescent="0.2">
      <c r="B42" s="78">
        <v>42125</v>
      </c>
      <c r="C42" s="78"/>
      <c r="D42" s="78"/>
      <c r="E42" s="80">
        <v>1564</v>
      </c>
    </row>
    <row r="43" spans="2:5" x14ac:dyDescent="0.2">
      <c r="B43" s="78">
        <v>42156</v>
      </c>
      <c r="C43" s="78"/>
      <c r="D43" s="78"/>
      <c r="E43" s="80">
        <v>2459</v>
      </c>
    </row>
    <row r="44" spans="2:5" x14ac:dyDescent="0.2">
      <c r="B44" s="78">
        <v>42186</v>
      </c>
      <c r="C44" s="78"/>
      <c r="D44" s="78"/>
      <c r="E44" s="80">
        <v>1307</v>
      </c>
    </row>
    <row r="45" spans="2:5" x14ac:dyDescent="0.2">
      <c r="B45" s="78">
        <v>42217</v>
      </c>
      <c r="C45" s="78"/>
      <c r="D45" s="78"/>
      <c r="E45" s="80">
        <v>2005</v>
      </c>
    </row>
    <row r="46" spans="2:5" x14ac:dyDescent="0.2">
      <c r="B46" s="78">
        <v>42248</v>
      </c>
      <c r="C46" s="78"/>
      <c r="D46" s="78"/>
      <c r="E46" s="80">
        <v>1605</v>
      </c>
    </row>
    <row r="47" spans="2:5" x14ac:dyDescent="0.2">
      <c r="B47" s="78">
        <v>42278</v>
      </c>
      <c r="C47" s="78"/>
      <c r="D47" s="78"/>
      <c r="E47" s="80">
        <v>5170</v>
      </c>
    </row>
    <row r="48" spans="2:5" x14ac:dyDescent="0.2">
      <c r="B48" s="78">
        <v>42309</v>
      </c>
      <c r="C48" s="78"/>
      <c r="D48" s="78"/>
      <c r="E48" s="80">
        <v>2737</v>
      </c>
    </row>
    <row r="49" spans="2:5" x14ac:dyDescent="0.2">
      <c r="B49" s="78">
        <v>42339</v>
      </c>
      <c r="C49" s="78"/>
      <c r="D49" s="78"/>
      <c r="E49" s="80">
        <v>1802</v>
      </c>
    </row>
    <row r="50" spans="2:5" x14ac:dyDescent="0.2">
      <c r="B50" s="438">
        <v>2015</v>
      </c>
      <c r="C50" s="439"/>
      <c r="D50" s="440"/>
      <c r="E50" s="84">
        <f>SUM(E38:E49)</f>
        <v>30947</v>
      </c>
    </row>
    <row r="51" spans="2:5" x14ac:dyDescent="0.2">
      <c r="B51" s="78">
        <v>42370</v>
      </c>
      <c r="C51" s="78"/>
      <c r="D51" s="78"/>
      <c r="E51" s="80">
        <v>3979</v>
      </c>
    </row>
    <row r="52" spans="2:5" x14ac:dyDescent="0.2">
      <c r="B52" s="78">
        <v>42401</v>
      </c>
      <c r="C52" s="78"/>
      <c r="D52" s="78"/>
      <c r="E52" s="80">
        <v>4366</v>
      </c>
    </row>
    <row r="53" spans="2:5" x14ac:dyDescent="0.2">
      <c r="B53" s="78">
        <v>42430</v>
      </c>
      <c r="C53" s="78"/>
      <c r="D53" s="78"/>
      <c r="E53" s="80">
        <v>2056</v>
      </c>
    </row>
    <row r="54" spans="2:5" x14ac:dyDescent="0.2">
      <c r="B54" s="78">
        <v>42461</v>
      </c>
      <c r="C54" s="78"/>
      <c r="D54" s="78"/>
      <c r="E54" s="80">
        <v>2454</v>
      </c>
    </row>
    <row r="55" spans="2:5" x14ac:dyDescent="0.2">
      <c r="B55" s="78">
        <v>42491</v>
      </c>
      <c r="C55" s="80">
        <v>1021</v>
      </c>
      <c r="D55" s="80">
        <v>834</v>
      </c>
      <c r="E55" s="80">
        <f t="shared" ref="E55:E62" si="0">C55+D55</f>
        <v>1855</v>
      </c>
    </row>
    <row r="56" spans="2:5" x14ac:dyDescent="0.2">
      <c r="B56" s="78">
        <v>42522</v>
      </c>
      <c r="C56" s="80">
        <v>983</v>
      </c>
      <c r="D56" s="80">
        <v>924</v>
      </c>
      <c r="E56" s="80">
        <f t="shared" si="0"/>
        <v>1907</v>
      </c>
    </row>
    <row r="57" spans="2:5" x14ac:dyDescent="0.2">
      <c r="B57" s="78">
        <v>42552</v>
      </c>
      <c r="C57" s="80">
        <v>1011</v>
      </c>
      <c r="D57" s="80">
        <v>872</v>
      </c>
      <c r="E57" s="80">
        <f t="shared" si="0"/>
        <v>1883</v>
      </c>
    </row>
    <row r="58" spans="2:5" x14ac:dyDescent="0.2">
      <c r="B58" s="78">
        <v>42583</v>
      </c>
      <c r="C58" s="80">
        <v>2375</v>
      </c>
      <c r="D58" s="80">
        <v>1728</v>
      </c>
      <c r="E58" s="80">
        <f t="shared" si="0"/>
        <v>4103</v>
      </c>
    </row>
    <row r="59" spans="2:5" x14ac:dyDescent="0.2">
      <c r="B59" s="78">
        <v>42614</v>
      </c>
      <c r="C59" s="80">
        <v>993</v>
      </c>
      <c r="D59" s="80">
        <v>820</v>
      </c>
      <c r="E59" s="80">
        <f t="shared" si="0"/>
        <v>1813</v>
      </c>
    </row>
    <row r="60" spans="2:5" x14ac:dyDescent="0.2">
      <c r="B60" s="78">
        <v>42644</v>
      </c>
      <c r="C60" s="80">
        <v>783</v>
      </c>
      <c r="D60" s="80">
        <v>848</v>
      </c>
      <c r="E60" s="80">
        <f t="shared" si="0"/>
        <v>1631</v>
      </c>
    </row>
    <row r="61" spans="2:5" x14ac:dyDescent="0.2">
      <c r="B61" s="78">
        <v>42675</v>
      </c>
      <c r="C61" s="80">
        <v>497</v>
      </c>
      <c r="D61" s="80">
        <v>326</v>
      </c>
      <c r="E61" s="80">
        <f t="shared" si="0"/>
        <v>823</v>
      </c>
    </row>
    <row r="62" spans="2:5" x14ac:dyDescent="0.2">
      <c r="B62" s="78">
        <v>42705</v>
      </c>
      <c r="C62" s="80">
        <v>1219</v>
      </c>
      <c r="D62" s="80">
        <v>923</v>
      </c>
      <c r="E62" s="80">
        <f t="shared" si="0"/>
        <v>2142</v>
      </c>
    </row>
    <row r="63" spans="2:5" x14ac:dyDescent="0.2">
      <c r="B63" s="438">
        <v>2016</v>
      </c>
      <c r="C63" s="439"/>
      <c r="D63" s="440"/>
      <c r="E63" s="6">
        <f>SUM(E51:E62)</f>
        <v>29012</v>
      </c>
    </row>
    <row r="64" spans="2:5" x14ac:dyDescent="0.2">
      <c r="B64" s="78">
        <v>42736</v>
      </c>
      <c r="C64" s="80">
        <v>1817</v>
      </c>
      <c r="D64" s="80">
        <v>1272</v>
      </c>
      <c r="E64" s="80">
        <f t="shared" ref="E64:E75" si="1">C64+D64</f>
        <v>3089</v>
      </c>
    </row>
    <row r="65" spans="2:5" x14ac:dyDescent="0.2">
      <c r="B65" s="78">
        <v>42767</v>
      </c>
      <c r="C65" s="80">
        <v>1645</v>
      </c>
      <c r="D65" s="80">
        <v>1289</v>
      </c>
      <c r="E65" s="80">
        <f t="shared" si="1"/>
        <v>2934</v>
      </c>
    </row>
    <row r="66" spans="2:5" x14ac:dyDescent="0.2">
      <c r="B66" s="78">
        <v>42795</v>
      </c>
      <c r="C66" s="80">
        <v>1362</v>
      </c>
      <c r="D66" s="80">
        <v>1006</v>
      </c>
      <c r="E66" s="80">
        <f t="shared" si="1"/>
        <v>2368</v>
      </c>
    </row>
    <row r="67" spans="2:5" x14ac:dyDescent="0.2">
      <c r="B67" s="78">
        <v>42826</v>
      </c>
      <c r="C67" s="80">
        <v>718</v>
      </c>
      <c r="D67" s="80">
        <v>604</v>
      </c>
      <c r="E67" s="80">
        <f t="shared" si="1"/>
        <v>1322</v>
      </c>
    </row>
    <row r="68" spans="2:5" x14ac:dyDescent="0.2">
      <c r="B68" s="78">
        <v>42856</v>
      </c>
      <c r="C68" s="80">
        <v>762</v>
      </c>
      <c r="D68" s="80">
        <v>531</v>
      </c>
      <c r="E68" s="80">
        <f t="shared" si="1"/>
        <v>1293</v>
      </c>
    </row>
    <row r="69" spans="2:5" x14ac:dyDescent="0.2">
      <c r="B69" s="78">
        <v>42887</v>
      </c>
      <c r="C69" s="80">
        <v>919</v>
      </c>
      <c r="D69" s="80">
        <v>611</v>
      </c>
      <c r="E69" s="80">
        <f t="shared" si="1"/>
        <v>1530</v>
      </c>
    </row>
    <row r="70" spans="2:5" x14ac:dyDescent="0.2">
      <c r="B70" s="78">
        <v>42917</v>
      </c>
      <c r="C70" s="80">
        <v>956</v>
      </c>
      <c r="D70" s="80">
        <v>639</v>
      </c>
      <c r="E70" s="80">
        <f t="shared" si="1"/>
        <v>1595</v>
      </c>
    </row>
    <row r="71" spans="2:5" x14ac:dyDescent="0.2">
      <c r="B71" s="78">
        <v>42948</v>
      </c>
      <c r="C71" s="80">
        <v>751</v>
      </c>
      <c r="D71" s="80">
        <v>503</v>
      </c>
      <c r="E71" s="80">
        <f t="shared" si="1"/>
        <v>1254</v>
      </c>
    </row>
    <row r="72" spans="2:5" x14ac:dyDescent="0.2">
      <c r="B72" s="78">
        <v>42979</v>
      </c>
      <c r="C72" s="80">
        <v>863</v>
      </c>
      <c r="D72" s="80">
        <v>564</v>
      </c>
      <c r="E72" s="80">
        <f t="shared" si="1"/>
        <v>1427</v>
      </c>
    </row>
    <row r="73" spans="2:5" x14ac:dyDescent="0.2">
      <c r="B73" s="78">
        <v>43009</v>
      </c>
      <c r="C73" s="80">
        <v>352</v>
      </c>
      <c r="D73" s="80">
        <v>264</v>
      </c>
      <c r="E73" s="80">
        <f t="shared" si="1"/>
        <v>616</v>
      </c>
    </row>
    <row r="74" spans="2:5" x14ac:dyDescent="0.2">
      <c r="B74" s="78">
        <v>43040</v>
      </c>
      <c r="C74" s="80">
        <v>561</v>
      </c>
      <c r="D74" s="80">
        <v>386</v>
      </c>
      <c r="E74" s="80">
        <f t="shared" si="1"/>
        <v>947</v>
      </c>
    </row>
    <row r="75" spans="2:5" x14ac:dyDescent="0.2">
      <c r="B75" s="78">
        <v>43070</v>
      </c>
      <c r="C75" s="80">
        <v>660</v>
      </c>
      <c r="D75" s="80">
        <v>615</v>
      </c>
      <c r="E75" s="80">
        <f t="shared" si="1"/>
        <v>1275</v>
      </c>
    </row>
    <row r="76" spans="2:5" x14ac:dyDescent="0.2">
      <c r="B76" s="85">
        <v>2017</v>
      </c>
      <c r="C76" s="86">
        <f>SUM(C64:C75)</f>
        <v>11366</v>
      </c>
      <c r="D76" s="86">
        <f t="shared" ref="D76:E76" si="2">SUM(D64:D75)</f>
        <v>8284</v>
      </c>
      <c r="E76" s="86">
        <f t="shared" si="2"/>
        <v>19650</v>
      </c>
    </row>
    <row r="77" spans="2:5" x14ac:dyDescent="0.2">
      <c r="B77" s="78">
        <v>43101</v>
      </c>
      <c r="C77" s="80">
        <v>777</v>
      </c>
      <c r="D77" s="80">
        <v>678</v>
      </c>
      <c r="E77" s="80">
        <f t="shared" ref="E77:E87" si="3">C77+D77</f>
        <v>1455</v>
      </c>
    </row>
    <row r="78" spans="2:5" x14ac:dyDescent="0.2">
      <c r="B78" s="78">
        <v>43132</v>
      </c>
      <c r="C78" s="80">
        <v>979</v>
      </c>
      <c r="D78" s="80">
        <v>837</v>
      </c>
      <c r="E78" s="80">
        <f t="shared" si="3"/>
        <v>1816</v>
      </c>
    </row>
    <row r="79" spans="2:5" x14ac:dyDescent="0.2">
      <c r="B79" s="78">
        <v>43160</v>
      </c>
      <c r="C79" s="80">
        <v>1375</v>
      </c>
      <c r="D79" s="80">
        <v>894</v>
      </c>
      <c r="E79" s="80">
        <f t="shared" si="3"/>
        <v>2269</v>
      </c>
    </row>
    <row r="80" spans="2:5" x14ac:dyDescent="0.2">
      <c r="B80" s="78">
        <v>43191</v>
      </c>
      <c r="C80" s="80">
        <v>1043</v>
      </c>
      <c r="D80" s="80">
        <v>596</v>
      </c>
      <c r="E80" s="80">
        <f t="shared" si="3"/>
        <v>1639</v>
      </c>
    </row>
    <row r="81" spans="2:5" x14ac:dyDescent="0.2">
      <c r="B81" s="78">
        <v>43221</v>
      </c>
      <c r="C81" s="80">
        <v>760</v>
      </c>
      <c r="D81" s="80">
        <v>451</v>
      </c>
      <c r="E81" s="80">
        <f t="shared" si="3"/>
        <v>1211</v>
      </c>
    </row>
    <row r="82" spans="2:5" x14ac:dyDescent="0.2">
      <c r="B82" s="78">
        <v>43252</v>
      </c>
      <c r="C82" s="80">
        <v>1059</v>
      </c>
      <c r="D82" s="80">
        <v>680</v>
      </c>
      <c r="E82" s="80">
        <f t="shared" si="3"/>
        <v>1739</v>
      </c>
    </row>
    <row r="83" spans="2:5" x14ac:dyDescent="0.2">
      <c r="B83" s="78">
        <v>43282</v>
      </c>
      <c r="C83" s="80">
        <v>968</v>
      </c>
      <c r="D83" s="80">
        <v>597</v>
      </c>
      <c r="E83" s="80">
        <f t="shared" si="3"/>
        <v>1565</v>
      </c>
    </row>
    <row r="84" spans="2:5" x14ac:dyDescent="0.2">
      <c r="B84" s="78">
        <v>43313</v>
      </c>
      <c r="C84" s="80">
        <v>1231</v>
      </c>
      <c r="D84" s="80">
        <v>879</v>
      </c>
      <c r="E84" s="80">
        <f t="shared" si="3"/>
        <v>2110</v>
      </c>
    </row>
    <row r="85" spans="2:5" x14ac:dyDescent="0.2">
      <c r="B85" s="78">
        <v>43344</v>
      </c>
      <c r="C85" s="80">
        <v>1614</v>
      </c>
      <c r="D85" s="80">
        <v>1116</v>
      </c>
      <c r="E85" s="80">
        <f t="shared" si="3"/>
        <v>2730</v>
      </c>
    </row>
    <row r="86" spans="2:5" x14ac:dyDescent="0.2">
      <c r="B86" s="78">
        <v>43374</v>
      </c>
      <c r="C86" s="80">
        <v>1026</v>
      </c>
      <c r="D86" s="80">
        <v>810</v>
      </c>
      <c r="E86" s="80">
        <f t="shared" si="3"/>
        <v>1836</v>
      </c>
    </row>
    <row r="87" spans="2:5" x14ac:dyDescent="0.2">
      <c r="B87" s="78">
        <v>43405</v>
      </c>
      <c r="C87" s="80">
        <v>655</v>
      </c>
      <c r="D87" s="80">
        <v>330</v>
      </c>
      <c r="E87" s="80">
        <f t="shared" si="3"/>
        <v>985</v>
      </c>
    </row>
    <row r="88" spans="2:5" x14ac:dyDescent="0.2">
      <c r="B88" s="78">
        <v>43435</v>
      </c>
      <c r="C88" s="136">
        <v>1554</v>
      </c>
      <c r="D88" s="137">
        <v>766</v>
      </c>
      <c r="E88" s="137">
        <v>2320</v>
      </c>
    </row>
    <row r="89" spans="2:5" x14ac:dyDescent="0.2">
      <c r="B89" s="85">
        <v>2018</v>
      </c>
      <c r="C89" s="86">
        <f>SUM(C77:C88)</f>
        <v>13041</v>
      </c>
      <c r="D89" s="86">
        <f t="shared" ref="D89" si="4">SUM(D77:D88)</f>
        <v>8634</v>
      </c>
      <c r="E89" s="86">
        <f>SUM(E77:E88)</f>
        <v>21675</v>
      </c>
    </row>
    <row r="90" spans="2:5" x14ac:dyDescent="0.2">
      <c r="B90" s="78">
        <v>43466</v>
      </c>
      <c r="C90" s="136">
        <v>1711</v>
      </c>
      <c r="D90" s="137">
        <v>1024</v>
      </c>
      <c r="E90" s="137">
        <v>2735</v>
      </c>
    </row>
    <row r="91" spans="2:5" x14ac:dyDescent="0.2">
      <c r="B91" s="78">
        <v>43497</v>
      </c>
      <c r="C91" s="136">
        <v>1618</v>
      </c>
      <c r="D91" s="137">
        <v>809</v>
      </c>
      <c r="E91" s="137">
        <v>2427</v>
      </c>
    </row>
    <row r="92" spans="2:5" s="172" customFormat="1" x14ac:dyDescent="0.2">
      <c r="B92" s="175">
        <v>43525</v>
      </c>
      <c r="C92" s="180">
        <v>467</v>
      </c>
      <c r="D92" s="179">
        <v>342</v>
      </c>
      <c r="E92" s="179">
        <v>809</v>
      </c>
    </row>
    <row r="93" spans="2:5" s="176" customFormat="1" x14ac:dyDescent="0.2">
      <c r="B93" s="175">
        <v>43556</v>
      </c>
      <c r="C93" s="180">
        <v>1080</v>
      </c>
      <c r="D93" s="179">
        <v>564</v>
      </c>
      <c r="E93" s="179">
        <v>1644</v>
      </c>
    </row>
    <row r="94" spans="2:5" s="176" customFormat="1" x14ac:dyDescent="0.2">
      <c r="B94" s="175">
        <v>43586</v>
      </c>
      <c r="C94" s="180">
        <v>1085</v>
      </c>
      <c r="D94" s="179">
        <v>663</v>
      </c>
      <c r="E94" s="179">
        <v>1748</v>
      </c>
    </row>
    <row r="95" spans="2:5" x14ac:dyDescent="0.2">
      <c r="B95" s="175">
        <v>43617</v>
      </c>
      <c r="C95" s="180">
        <v>2004</v>
      </c>
      <c r="D95" s="179">
        <v>1413</v>
      </c>
      <c r="E95" s="179">
        <v>3417</v>
      </c>
    </row>
    <row r="96" spans="2:5" s="176" customFormat="1" x14ac:dyDescent="0.2">
      <c r="B96" s="175">
        <v>43647</v>
      </c>
      <c r="C96" s="180">
        <v>2427</v>
      </c>
      <c r="D96" s="179">
        <v>1403</v>
      </c>
      <c r="E96" s="179">
        <v>3830</v>
      </c>
    </row>
    <row r="97" spans="2:5" s="176" customFormat="1" x14ac:dyDescent="0.2">
      <c r="B97" s="175">
        <v>43678</v>
      </c>
      <c r="C97" s="180">
        <v>2118</v>
      </c>
      <c r="D97" s="179">
        <v>1197</v>
      </c>
      <c r="E97" s="179">
        <v>3315</v>
      </c>
    </row>
    <row r="98" spans="2:5" s="176" customFormat="1" x14ac:dyDescent="0.2">
      <c r="B98" s="175">
        <v>43709</v>
      </c>
      <c r="C98" s="180">
        <v>1382</v>
      </c>
      <c r="D98" s="179">
        <v>1016</v>
      </c>
      <c r="E98" s="179">
        <v>2398</v>
      </c>
    </row>
    <row r="99" spans="2:5" s="176" customFormat="1" x14ac:dyDescent="0.2">
      <c r="B99" s="175">
        <v>43739</v>
      </c>
      <c r="C99" s="180">
        <v>948</v>
      </c>
      <c r="D99" s="179">
        <v>627</v>
      </c>
      <c r="E99" s="179">
        <v>1575</v>
      </c>
    </row>
    <row r="100" spans="2:5" s="176" customFormat="1" x14ac:dyDescent="0.2">
      <c r="B100" s="175">
        <v>43770</v>
      </c>
      <c r="C100" s="180">
        <v>949</v>
      </c>
      <c r="D100" s="179">
        <v>527</v>
      </c>
      <c r="E100" s="179">
        <v>1476</v>
      </c>
    </row>
    <row r="101" spans="2:5" s="176" customFormat="1" x14ac:dyDescent="0.2">
      <c r="B101" s="175">
        <v>43800</v>
      </c>
      <c r="C101" s="180">
        <v>506</v>
      </c>
      <c r="D101" s="179">
        <v>423</v>
      </c>
      <c r="E101" s="179">
        <v>929</v>
      </c>
    </row>
    <row r="102" spans="2:5" s="176" customFormat="1" x14ac:dyDescent="0.2">
      <c r="B102" s="85">
        <v>2019</v>
      </c>
      <c r="C102" s="86">
        <f>SUM(C90:C101)</f>
        <v>16295</v>
      </c>
      <c r="D102" s="86">
        <f t="shared" ref="D102:E102" si="5">SUM(D90:D101)</f>
        <v>10008</v>
      </c>
      <c r="E102" s="86">
        <f t="shared" si="5"/>
        <v>26303</v>
      </c>
    </row>
    <row r="103" spans="2:5" s="176" customFormat="1" x14ac:dyDescent="0.2">
      <c r="B103" s="175">
        <v>43831</v>
      </c>
      <c r="C103" s="180">
        <v>1297</v>
      </c>
      <c r="D103" s="179">
        <v>758</v>
      </c>
      <c r="E103" s="179">
        <f>SUM(C103:D103)</f>
        <v>2055</v>
      </c>
    </row>
    <row r="104" spans="2:5" s="176" customFormat="1" x14ac:dyDescent="0.2">
      <c r="B104" s="175">
        <v>43862</v>
      </c>
      <c r="C104" s="180">
        <v>1495</v>
      </c>
      <c r="D104" s="179">
        <v>1505</v>
      </c>
      <c r="E104" s="179">
        <f t="shared" ref="E104:E115" si="6">SUM(C104:D104)</f>
        <v>3000</v>
      </c>
    </row>
    <row r="105" spans="2:5" s="176" customFormat="1" x14ac:dyDescent="0.2">
      <c r="B105" s="175">
        <v>43891</v>
      </c>
      <c r="C105" s="180">
        <v>1883</v>
      </c>
      <c r="D105" s="179">
        <v>1296</v>
      </c>
      <c r="E105" s="179">
        <f t="shared" si="6"/>
        <v>3179</v>
      </c>
    </row>
    <row r="106" spans="2:5" s="176" customFormat="1" x14ac:dyDescent="0.2">
      <c r="B106" s="175">
        <v>43922</v>
      </c>
      <c r="C106" s="180">
        <v>3853</v>
      </c>
      <c r="D106" s="179">
        <v>2369</v>
      </c>
      <c r="E106" s="179">
        <f t="shared" si="6"/>
        <v>6222</v>
      </c>
    </row>
    <row r="107" spans="2:5" s="176" customFormat="1" x14ac:dyDescent="0.2">
      <c r="B107" s="175">
        <v>43952</v>
      </c>
      <c r="C107" s="180">
        <v>3685</v>
      </c>
      <c r="D107" s="179">
        <v>1919</v>
      </c>
      <c r="E107" s="179">
        <f t="shared" si="6"/>
        <v>5604</v>
      </c>
    </row>
    <row r="108" spans="2:5" s="176" customFormat="1" x14ac:dyDescent="0.2">
      <c r="B108" s="175">
        <v>43983</v>
      </c>
      <c r="C108" s="180">
        <v>3750</v>
      </c>
      <c r="D108" s="179">
        <v>1981</v>
      </c>
      <c r="E108" s="179">
        <f t="shared" si="6"/>
        <v>5731</v>
      </c>
    </row>
    <row r="109" spans="2:5" s="176" customFormat="1" x14ac:dyDescent="0.2">
      <c r="B109" s="175">
        <v>44013</v>
      </c>
      <c r="C109" s="180">
        <v>5203</v>
      </c>
      <c r="D109" s="179">
        <v>2979</v>
      </c>
      <c r="E109" s="179">
        <f t="shared" si="6"/>
        <v>8182</v>
      </c>
    </row>
    <row r="110" spans="2:5" s="176" customFormat="1" x14ac:dyDescent="0.2">
      <c r="B110" s="175">
        <v>44044</v>
      </c>
      <c r="C110" s="180">
        <v>4969</v>
      </c>
      <c r="D110" s="179">
        <v>2864</v>
      </c>
      <c r="E110" s="179">
        <f t="shared" si="6"/>
        <v>7833</v>
      </c>
    </row>
    <row r="111" spans="2:5" s="176" customFormat="1" x14ac:dyDescent="0.2">
      <c r="B111" s="175">
        <v>44075</v>
      </c>
      <c r="C111" s="180">
        <v>2385</v>
      </c>
      <c r="D111" s="179">
        <v>1258</v>
      </c>
      <c r="E111" s="179">
        <f t="shared" si="6"/>
        <v>3643</v>
      </c>
    </row>
    <row r="112" spans="2:5" s="176" customFormat="1" x14ac:dyDescent="0.2">
      <c r="B112" s="175">
        <v>44105</v>
      </c>
      <c r="C112" s="180">
        <v>2045</v>
      </c>
      <c r="D112" s="179">
        <v>1173</v>
      </c>
      <c r="E112" s="179">
        <f t="shared" si="6"/>
        <v>3218</v>
      </c>
    </row>
    <row r="113" spans="2:5" s="176" customFormat="1" x14ac:dyDescent="0.2">
      <c r="B113" s="175">
        <v>44136</v>
      </c>
      <c r="C113" s="180">
        <v>1545</v>
      </c>
      <c r="D113" s="179">
        <v>906</v>
      </c>
      <c r="E113" s="179">
        <f t="shared" si="6"/>
        <v>2451</v>
      </c>
    </row>
    <row r="114" spans="2:5" s="176" customFormat="1" x14ac:dyDescent="0.2">
      <c r="B114" s="175">
        <v>44166</v>
      </c>
      <c r="C114" s="180">
        <v>1765</v>
      </c>
      <c r="D114" s="179">
        <v>802</v>
      </c>
      <c r="E114" s="179">
        <f t="shared" si="6"/>
        <v>2567</v>
      </c>
    </row>
    <row r="115" spans="2:5" s="176" customFormat="1" x14ac:dyDescent="0.2">
      <c r="B115" s="85">
        <f>'Contratación Solicitudes'!B119</f>
        <v>2020</v>
      </c>
      <c r="C115" s="86">
        <f>SUM(C103:C114)</f>
        <v>33875</v>
      </c>
      <c r="D115" s="86">
        <f>SUM(D103:D114)</f>
        <v>19810</v>
      </c>
      <c r="E115" s="86">
        <f t="shared" si="6"/>
        <v>53685</v>
      </c>
    </row>
    <row r="116" spans="2:5" s="176" customFormat="1" x14ac:dyDescent="0.2">
      <c r="B116" s="173">
        <v>44197</v>
      </c>
      <c r="C116" s="180">
        <v>2266</v>
      </c>
      <c r="D116" s="179">
        <v>1048</v>
      </c>
      <c r="E116" s="179">
        <f>SUM(C116:D116)</f>
        <v>3314</v>
      </c>
    </row>
    <row r="117" spans="2:5" s="176" customFormat="1" x14ac:dyDescent="0.2">
      <c r="B117" s="173">
        <v>44228</v>
      </c>
      <c r="C117" s="180">
        <v>3079</v>
      </c>
      <c r="D117" s="179">
        <v>1343</v>
      </c>
      <c r="E117" s="179">
        <f t="shared" ref="E117:E128" si="7">SUM(C117:D117)</f>
        <v>4422</v>
      </c>
    </row>
    <row r="118" spans="2:5" s="176" customFormat="1" x14ac:dyDescent="0.2">
      <c r="B118" s="173">
        <v>44256</v>
      </c>
      <c r="C118" s="180">
        <v>3621</v>
      </c>
      <c r="D118" s="179">
        <v>1770</v>
      </c>
      <c r="E118" s="179">
        <f t="shared" si="7"/>
        <v>5391</v>
      </c>
    </row>
    <row r="119" spans="2:5" s="176" customFormat="1" x14ac:dyDescent="0.2">
      <c r="B119" s="173">
        <v>44287</v>
      </c>
      <c r="C119" s="180">
        <v>4727</v>
      </c>
      <c r="D119" s="179">
        <v>2416</v>
      </c>
      <c r="E119" s="179">
        <f t="shared" si="7"/>
        <v>7143</v>
      </c>
    </row>
    <row r="120" spans="2:5" s="176" customFormat="1" x14ac:dyDescent="0.2">
      <c r="B120" s="173">
        <v>44317</v>
      </c>
      <c r="C120" s="180">
        <v>3848</v>
      </c>
      <c r="D120" s="179">
        <v>2237</v>
      </c>
      <c r="E120" s="179">
        <f>SUM(C120:D120)</f>
        <v>6085</v>
      </c>
    </row>
    <row r="121" spans="2:5" s="176" customFormat="1" x14ac:dyDescent="0.2">
      <c r="B121" s="173">
        <v>44348</v>
      </c>
      <c r="C121" s="180">
        <v>3185</v>
      </c>
      <c r="D121" s="179">
        <v>2330</v>
      </c>
      <c r="E121" s="179">
        <f>SUM(C121:D121)</f>
        <v>5515</v>
      </c>
    </row>
    <row r="122" spans="2:5" s="176" customFormat="1" x14ac:dyDescent="0.2">
      <c r="B122" s="173">
        <v>44378</v>
      </c>
      <c r="C122" s="180">
        <v>2655</v>
      </c>
      <c r="D122" s="179">
        <v>1488</v>
      </c>
      <c r="E122" s="179">
        <f>SUM(C122:D122)</f>
        <v>4143</v>
      </c>
    </row>
    <row r="123" spans="2:5" s="176" customFormat="1" x14ac:dyDescent="0.2">
      <c r="B123" s="173">
        <v>44409</v>
      </c>
      <c r="C123" s="180">
        <v>2460</v>
      </c>
      <c r="D123" s="179">
        <v>1179</v>
      </c>
      <c r="E123" s="179">
        <f t="shared" ref="E123:E127" si="8">SUM(C123:D123)</f>
        <v>3639</v>
      </c>
    </row>
    <row r="124" spans="2:5" s="176" customFormat="1" x14ac:dyDescent="0.2">
      <c r="B124" s="173">
        <v>44440</v>
      </c>
      <c r="C124" s="180">
        <v>2275</v>
      </c>
      <c r="D124" s="179">
        <v>1293</v>
      </c>
      <c r="E124" s="179">
        <f t="shared" si="8"/>
        <v>3568</v>
      </c>
    </row>
    <row r="125" spans="2:5" s="176" customFormat="1" x14ac:dyDescent="0.2">
      <c r="B125" s="173">
        <v>44470</v>
      </c>
      <c r="C125" s="180">
        <v>1844</v>
      </c>
      <c r="D125" s="179">
        <v>901</v>
      </c>
      <c r="E125" s="179">
        <f t="shared" si="8"/>
        <v>2745</v>
      </c>
    </row>
    <row r="126" spans="2:5" s="176" customFormat="1" x14ac:dyDescent="0.2">
      <c r="B126" s="173">
        <v>44501</v>
      </c>
      <c r="C126" s="180">
        <v>1736</v>
      </c>
      <c r="D126" s="179">
        <v>897</v>
      </c>
      <c r="E126" s="179">
        <f t="shared" si="8"/>
        <v>2633</v>
      </c>
    </row>
    <row r="127" spans="2:5" s="176" customFormat="1" x14ac:dyDescent="0.2">
      <c r="B127" s="173">
        <v>44531</v>
      </c>
      <c r="C127" s="180">
        <v>1412</v>
      </c>
      <c r="D127" s="179">
        <v>755</v>
      </c>
      <c r="E127" s="179">
        <f t="shared" si="8"/>
        <v>2167</v>
      </c>
    </row>
    <row r="128" spans="2:5" s="176" customFormat="1" x14ac:dyDescent="0.2">
      <c r="B128" s="85">
        <f>'Contratación Solicitudes'!B132</f>
        <v>2020</v>
      </c>
      <c r="C128" s="86">
        <f>SUM(C116:C127)</f>
        <v>33108</v>
      </c>
      <c r="D128" s="86">
        <f>SUM(D116:D127)</f>
        <v>17657</v>
      </c>
      <c r="E128" s="86">
        <f t="shared" si="7"/>
        <v>50765</v>
      </c>
    </row>
    <row r="129" spans="2:5" s="176" customFormat="1" x14ac:dyDescent="0.2">
      <c r="B129" s="441" t="s">
        <v>28</v>
      </c>
      <c r="C129" s="441"/>
      <c r="D129" s="441"/>
      <c r="E129" s="178">
        <f>E10+E11+E24+E37+E50+E63+E76+E89+E102+E115+E128</f>
        <v>433538</v>
      </c>
    </row>
    <row r="130" spans="2:5" x14ac:dyDescent="0.2">
      <c r="B130" s="176" t="s">
        <v>473</v>
      </c>
      <c r="C130" s="176"/>
      <c r="D130" s="176"/>
      <c r="E130" s="176"/>
    </row>
    <row r="131" spans="2:5" s="176" customFormat="1" ht="52.5" customHeight="1" x14ac:dyDescent="0.2">
      <c r="B131" s="377" t="s">
        <v>540</v>
      </c>
      <c r="C131" s="377"/>
      <c r="D131" s="377"/>
      <c r="E131" s="377"/>
    </row>
    <row r="132" spans="2:5" s="176" customFormat="1" ht="52.5" customHeight="1" x14ac:dyDescent="0.2">
      <c r="B132" s="347"/>
      <c r="C132" s="347"/>
      <c r="D132" s="347"/>
      <c r="E132" s="347"/>
    </row>
    <row r="133" spans="2:5" x14ac:dyDescent="0.2">
      <c r="B133" s="25" t="s">
        <v>600</v>
      </c>
    </row>
  </sheetData>
  <mergeCells count="12">
    <mergeCell ref="B131:E131"/>
    <mergeCell ref="B5:E5"/>
    <mergeCell ref="B6:E6"/>
    <mergeCell ref="B8:B9"/>
    <mergeCell ref="C8:E8"/>
    <mergeCell ref="B10:D10"/>
    <mergeCell ref="B11:D11"/>
    <mergeCell ref="B24:D24"/>
    <mergeCell ref="B37:D37"/>
    <mergeCell ref="B50:D50"/>
    <mergeCell ref="B63:D63"/>
    <mergeCell ref="B129:D129"/>
  </mergeCells>
  <hyperlinks>
    <hyperlink ref="G5" location="'Índice STJ'!A1" display="'Índice STJ'!A1" xr:uid="{00000000-0004-0000-1E00-000000000000}"/>
  </hyperlinks>
  <pageMargins left="0.7" right="0.7" top="0.75" bottom="0.75" header="0.3" footer="0.3"/>
  <ignoredErrors>
    <ignoredError sqref="E103:E110" formulaRange="1"/>
  </ignoredError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2:N130"/>
  <sheetViews>
    <sheetView showGridLines="0" zoomScale="90" zoomScaleNormal="90" workbookViewId="0">
      <pane xSplit="2" ySplit="10" topLeftCell="C115" activePane="bottomRight" state="frozen"/>
      <selection activeCell="F131" sqref="F131"/>
      <selection pane="topRight" activeCell="F131" sqref="F131"/>
      <selection pane="bottomLeft" activeCell="F131" sqref="F131"/>
      <selection pane="bottomRight" activeCell="L129" sqref="L129"/>
    </sheetView>
  </sheetViews>
  <sheetFormatPr baseColWidth="10" defaultColWidth="11.42578125" defaultRowHeight="12" x14ac:dyDescent="0.2"/>
  <cols>
    <col min="1" max="1" width="6" style="25" customWidth="1"/>
    <col min="2" max="16384" width="11.42578125" style="25"/>
  </cols>
  <sheetData>
    <row r="2" spans="1:14" x14ac:dyDescent="0.2">
      <c r="A2" s="47" t="s">
        <v>101</v>
      </c>
    </row>
    <row r="3" spans="1:14" x14ac:dyDescent="0.2">
      <c r="A3" s="47" t="s">
        <v>102</v>
      </c>
    </row>
    <row r="5" spans="1:14" ht="12.75" x14ac:dyDescent="0.2">
      <c r="B5" s="369" t="s">
        <v>541</v>
      </c>
      <c r="C5" s="369"/>
      <c r="D5" s="369"/>
      <c r="E5" s="369"/>
      <c r="F5" s="369"/>
      <c r="G5" s="369"/>
      <c r="H5" s="369"/>
      <c r="I5" s="369"/>
      <c r="J5" s="369"/>
      <c r="K5" s="369"/>
      <c r="L5" s="369"/>
      <c r="N5" s="115" t="s">
        <v>569</v>
      </c>
    </row>
    <row r="6" spans="1:14" ht="12.75" x14ac:dyDescent="0.2">
      <c r="B6" s="369" t="s">
        <v>624</v>
      </c>
      <c r="C6" s="369"/>
      <c r="D6" s="369"/>
      <c r="E6" s="369"/>
      <c r="F6" s="369"/>
      <c r="G6" s="369"/>
      <c r="H6" s="369"/>
      <c r="I6" s="369"/>
      <c r="J6" s="369"/>
      <c r="K6" s="369"/>
      <c r="L6" s="369"/>
    </row>
    <row r="8" spans="1:14" ht="29.25" customHeight="1" x14ac:dyDescent="0.2">
      <c r="B8" s="442" t="s">
        <v>1</v>
      </c>
      <c r="C8" s="443" t="s">
        <v>542</v>
      </c>
      <c r="D8" s="443"/>
      <c r="E8" s="443"/>
      <c r="F8" s="443"/>
      <c r="G8" s="443"/>
      <c r="H8" s="443"/>
      <c r="I8" s="443"/>
      <c r="J8" s="443"/>
      <c r="K8" s="443"/>
      <c r="L8" s="443"/>
    </row>
    <row r="9" spans="1:14" ht="12.75" x14ac:dyDescent="0.2">
      <c r="B9" s="442"/>
      <c r="C9" s="442" t="s">
        <v>534</v>
      </c>
      <c r="D9" s="442"/>
      <c r="E9" s="442"/>
      <c r="F9" s="444" t="s">
        <v>535</v>
      </c>
      <c r="G9" s="444"/>
      <c r="H9" s="444"/>
      <c r="I9" s="444" t="s">
        <v>536</v>
      </c>
      <c r="J9" s="444"/>
      <c r="K9" s="444"/>
      <c r="L9" s="442" t="s">
        <v>28</v>
      </c>
    </row>
    <row r="10" spans="1:14" ht="12.75" x14ac:dyDescent="0.2">
      <c r="B10" s="442"/>
      <c r="C10" s="164" t="s">
        <v>528</v>
      </c>
      <c r="D10" s="164" t="s">
        <v>529</v>
      </c>
      <c r="E10" s="165" t="s">
        <v>487</v>
      </c>
      <c r="F10" s="164" t="s">
        <v>528</v>
      </c>
      <c r="G10" s="164" t="s">
        <v>529</v>
      </c>
      <c r="H10" s="165" t="s">
        <v>487</v>
      </c>
      <c r="I10" s="164" t="s">
        <v>528</v>
      </c>
      <c r="J10" s="164" t="s">
        <v>529</v>
      </c>
      <c r="K10" s="165" t="s">
        <v>487</v>
      </c>
      <c r="L10" s="442"/>
    </row>
    <row r="11" spans="1:14" ht="12.75" x14ac:dyDescent="0.2">
      <c r="B11" s="154" t="s">
        <v>539</v>
      </c>
      <c r="C11" s="154"/>
      <c r="D11" s="154"/>
      <c r="E11" s="155">
        <f>104069+4050+2362+2539+4084+2107</f>
        <v>119211</v>
      </c>
      <c r="F11" s="155"/>
      <c r="G11" s="155"/>
      <c r="H11" s="155">
        <f>1303+54+38+22+19+21</f>
        <v>1457</v>
      </c>
      <c r="I11" s="155"/>
      <c r="J11" s="155"/>
      <c r="K11" s="155">
        <f>6+498+437+328+454+259</f>
        <v>1982</v>
      </c>
      <c r="L11" s="155">
        <f t="shared" ref="L11:L24" si="0">E11+H11+K11</f>
        <v>122650</v>
      </c>
    </row>
    <row r="12" spans="1:14" ht="12.75" x14ac:dyDescent="0.2">
      <c r="B12" s="138">
        <v>2012</v>
      </c>
      <c r="C12" s="154"/>
      <c r="D12" s="154"/>
      <c r="E12" s="155">
        <v>24495</v>
      </c>
      <c r="F12" s="155"/>
      <c r="G12" s="155"/>
      <c r="H12" s="155">
        <v>248</v>
      </c>
      <c r="I12" s="155"/>
      <c r="J12" s="155"/>
      <c r="K12" s="155">
        <v>7862</v>
      </c>
      <c r="L12" s="155">
        <f t="shared" si="0"/>
        <v>32605</v>
      </c>
    </row>
    <row r="13" spans="1:14" ht="12.75" x14ac:dyDescent="0.2">
      <c r="B13" s="156">
        <v>41275</v>
      </c>
      <c r="C13" s="156"/>
      <c r="D13" s="156"/>
      <c r="E13" s="157">
        <v>1593</v>
      </c>
      <c r="F13" s="157"/>
      <c r="G13" s="157"/>
      <c r="H13" s="157">
        <v>15</v>
      </c>
      <c r="I13" s="157"/>
      <c r="J13" s="157"/>
      <c r="K13" s="157">
        <v>924</v>
      </c>
      <c r="L13" s="157">
        <f t="shared" si="0"/>
        <v>2532</v>
      </c>
    </row>
    <row r="14" spans="1:14" ht="12.75" x14ac:dyDescent="0.2">
      <c r="B14" s="156">
        <v>41306</v>
      </c>
      <c r="C14" s="156"/>
      <c r="D14" s="156"/>
      <c r="E14" s="157">
        <v>1468</v>
      </c>
      <c r="F14" s="157"/>
      <c r="G14" s="157"/>
      <c r="H14" s="157">
        <v>22</v>
      </c>
      <c r="I14" s="157"/>
      <c r="J14" s="157"/>
      <c r="K14" s="157">
        <v>949</v>
      </c>
      <c r="L14" s="157">
        <f t="shared" si="0"/>
        <v>2439</v>
      </c>
    </row>
    <row r="15" spans="1:14" ht="12.75" x14ac:dyDescent="0.2">
      <c r="B15" s="156">
        <v>41334</v>
      </c>
      <c r="C15" s="156"/>
      <c r="D15" s="156"/>
      <c r="E15" s="157">
        <v>1784</v>
      </c>
      <c r="F15" s="157"/>
      <c r="G15" s="157"/>
      <c r="H15" s="157">
        <v>16</v>
      </c>
      <c r="I15" s="157"/>
      <c r="J15" s="157"/>
      <c r="K15" s="157">
        <v>631</v>
      </c>
      <c r="L15" s="157">
        <f t="shared" si="0"/>
        <v>2431</v>
      </c>
    </row>
    <row r="16" spans="1:14" ht="12.75" x14ac:dyDescent="0.2">
      <c r="B16" s="156">
        <v>41365</v>
      </c>
      <c r="C16" s="156"/>
      <c r="D16" s="156"/>
      <c r="E16" s="158">
        <v>1305</v>
      </c>
      <c r="F16" s="158"/>
      <c r="G16" s="158"/>
      <c r="H16" s="159">
        <v>44</v>
      </c>
      <c r="I16" s="159"/>
      <c r="J16" s="159"/>
      <c r="K16" s="174">
        <v>502</v>
      </c>
      <c r="L16" s="157">
        <f t="shared" si="0"/>
        <v>1851</v>
      </c>
    </row>
    <row r="17" spans="2:12" ht="12.75" x14ac:dyDescent="0.2">
      <c r="B17" s="156">
        <v>41395</v>
      </c>
      <c r="C17" s="156"/>
      <c r="D17" s="156"/>
      <c r="E17" s="158">
        <v>1777</v>
      </c>
      <c r="F17" s="158"/>
      <c r="G17" s="158"/>
      <c r="H17" s="159">
        <v>10</v>
      </c>
      <c r="I17" s="159"/>
      <c r="J17" s="159"/>
      <c r="K17" s="174">
        <v>582</v>
      </c>
      <c r="L17" s="157">
        <f t="shared" si="0"/>
        <v>2369</v>
      </c>
    </row>
    <row r="18" spans="2:12" ht="12.75" x14ac:dyDescent="0.2">
      <c r="B18" s="156">
        <v>41426</v>
      </c>
      <c r="C18" s="156"/>
      <c r="D18" s="156"/>
      <c r="E18" s="158">
        <v>1540</v>
      </c>
      <c r="F18" s="158"/>
      <c r="G18" s="158"/>
      <c r="H18" s="159">
        <v>16</v>
      </c>
      <c r="I18" s="159"/>
      <c r="J18" s="159"/>
      <c r="K18" s="174">
        <v>725</v>
      </c>
      <c r="L18" s="157">
        <f t="shared" si="0"/>
        <v>2281</v>
      </c>
    </row>
    <row r="19" spans="2:12" ht="12.75" x14ac:dyDescent="0.2">
      <c r="B19" s="156">
        <v>41456</v>
      </c>
      <c r="C19" s="156"/>
      <c r="D19" s="156"/>
      <c r="E19" s="158">
        <v>1026</v>
      </c>
      <c r="F19" s="158"/>
      <c r="G19" s="158"/>
      <c r="H19" s="159">
        <v>10</v>
      </c>
      <c r="I19" s="159"/>
      <c r="J19" s="159"/>
      <c r="K19" s="174">
        <v>1261</v>
      </c>
      <c r="L19" s="157">
        <f t="shared" si="0"/>
        <v>2297</v>
      </c>
    </row>
    <row r="20" spans="2:12" ht="12.75" x14ac:dyDescent="0.2">
      <c r="B20" s="156">
        <v>41487</v>
      </c>
      <c r="C20" s="156"/>
      <c r="D20" s="156"/>
      <c r="E20" s="158">
        <v>610</v>
      </c>
      <c r="F20" s="158"/>
      <c r="G20" s="158"/>
      <c r="H20" s="159">
        <v>14</v>
      </c>
      <c r="I20" s="159"/>
      <c r="J20" s="159"/>
      <c r="K20" s="174">
        <v>854</v>
      </c>
      <c r="L20" s="157">
        <f t="shared" si="0"/>
        <v>1478</v>
      </c>
    </row>
    <row r="21" spans="2:12" ht="12.75" x14ac:dyDescent="0.2">
      <c r="B21" s="156">
        <v>41518</v>
      </c>
      <c r="C21" s="156"/>
      <c r="D21" s="156"/>
      <c r="E21" s="158">
        <v>816</v>
      </c>
      <c r="F21" s="158"/>
      <c r="G21" s="158"/>
      <c r="H21" s="159">
        <v>1</v>
      </c>
      <c r="I21" s="159"/>
      <c r="J21" s="159"/>
      <c r="K21" s="174">
        <v>493</v>
      </c>
      <c r="L21" s="157">
        <f t="shared" si="0"/>
        <v>1310</v>
      </c>
    </row>
    <row r="22" spans="2:12" ht="12.75" x14ac:dyDescent="0.2">
      <c r="B22" s="156">
        <v>41548</v>
      </c>
      <c r="C22" s="156"/>
      <c r="D22" s="156"/>
      <c r="E22" s="158">
        <v>485</v>
      </c>
      <c r="F22" s="158"/>
      <c r="G22" s="158"/>
      <c r="H22" s="159">
        <v>2</v>
      </c>
      <c r="I22" s="159"/>
      <c r="J22" s="159"/>
      <c r="K22" s="174">
        <v>654</v>
      </c>
      <c r="L22" s="157">
        <f t="shared" si="0"/>
        <v>1141</v>
      </c>
    </row>
    <row r="23" spans="2:12" ht="12.75" x14ac:dyDescent="0.2">
      <c r="B23" s="156">
        <v>41579</v>
      </c>
      <c r="C23" s="156"/>
      <c r="D23" s="156"/>
      <c r="E23" s="158">
        <v>480</v>
      </c>
      <c r="F23" s="158"/>
      <c r="G23" s="158"/>
      <c r="H23" s="159">
        <v>2</v>
      </c>
      <c r="I23" s="159"/>
      <c r="J23" s="159"/>
      <c r="K23" s="174">
        <v>443</v>
      </c>
      <c r="L23" s="157">
        <f t="shared" si="0"/>
        <v>925</v>
      </c>
    </row>
    <row r="24" spans="2:12" ht="12.75" x14ac:dyDescent="0.2">
      <c r="B24" s="156">
        <v>41609</v>
      </c>
      <c r="C24" s="156"/>
      <c r="D24" s="156"/>
      <c r="E24" s="158">
        <v>1157</v>
      </c>
      <c r="F24" s="158"/>
      <c r="G24" s="158"/>
      <c r="H24" s="159">
        <v>6</v>
      </c>
      <c r="I24" s="159"/>
      <c r="J24" s="159"/>
      <c r="K24" s="174">
        <v>1108</v>
      </c>
      <c r="L24" s="157">
        <f t="shared" si="0"/>
        <v>2271</v>
      </c>
    </row>
    <row r="25" spans="2:12" ht="12.75" x14ac:dyDescent="0.2">
      <c r="B25" s="138">
        <v>2013</v>
      </c>
      <c r="C25" s="154"/>
      <c r="D25" s="154"/>
      <c r="E25" s="160">
        <f>SUM(E13:E24)</f>
        <v>14041</v>
      </c>
      <c r="F25" s="160"/>
      <c r="G25" s="160"/>
      <c r="H25" s="160">
        <f t="shared" ref="H25:L25" si="1">SUM(H13:H24)</f>
        <v>158</v>
      </c>
      <c r="I25" s="160"/>
      <c r="J25" s="160"/>
      <c r="K25" s="160">
        <f t="shared" si="1"/>
        <v>9126</v>
      </c>
      <c r="L25" s="160">
        <f t="shared" si="1"/>
        <v>23325</v>
      </c>
    </row>
    <row r="26" spans="2:12" ht="12.75" x14ac:dyDescent="0.2">
      <c r="B26" s="156">
        <v>41640</v>
      </c>
      <c r="C26" s="156"/>
      <c r="D26" s="156"/>
      <c r="E26" s="158">
        <v>1358</v>
      </c>
      <c r="F26" s="158"/>
      <c r="G26" s="158"/>
      <c r="H26" s="174">
        <v>5</v>
      </c>
      <c r="I26" s="174"/>
      <c r="J26" s="174"/>
      <c r="K26" s="174">
        <v>1261</v>
      </c>
      <c r="L26" s="157">
        <f t="shared" ref="L26:L32" si="2">E26+H26+K26</f>
        <v>2624</v>
      </c>
    </row>
    <row r="27" spans="2:12" ht="12.75" x14ac:dyDescent="0.2">
      <c r="B27" s="156">
        <v>41671</v>
      </c>
      <c r="C27" s="156"/>
      <c r="D27" s="156"/>
      <c r="E27" s="158">
        <v>746</v>
      </c>
      <c r="F27" s="158"/>
      <c r="G27" s="158"/>
      <c r="H27" s="174">
        <v>4</v>
      </c>
      <c r="I27" s="174"/>
      <c r="J27" s="174"/>
      <c r="K27" s="174">
        <v>848</v>
      </c>
      <c r="L27" s="157">
        <f t="shared" si="2"/>
        <v>1598</v>
      </c>
    </row>
    <row r="28" spans="2:12" ht="12.75" x14ac:dyDescent="0.2">
      <c r="B28" s="161">
        <v>41699</v>
      </c>
      <c r="C28" s="161"/>
      <c r="D28" s="161"/>
      <c r="E28" s="158">
        <v>1052</v>
      </c>
      <c r="F28" s="158"/>
      <c r="G28" s="158"/>
      <c r="H28" s="174">
        <v>10</v>
      </c>
      <c r="I28" s="174"/>
      <c r="J28" s="174"/>
      <c r="K28" s="174">
        <v>852</v>
      </c>
      <c r="L28" s="157">
        <f t="shared" si="2"/>
        <v>1914</v>
      </c>
    </row>
    <row r="29" spans="2:12" ht="12.75" x14ac:dyDescent="0.2">
      <c r="B29" s="161">
        <v>41730</v>
      </c>
      <c r="C29" s="161"/>
      <c r="D29" s="161"/>
      <c r="E29" s="158">
        <v>549</v>
      </c>
      <c r="F29" s="158"/>
      <c r="G29" s="158"/>
      <c r="H29" s="174">
        <v>4</v>
      </c>
      <c r="I29" s="174"/>
      <c r="J29" s="174"/>
      <c r="K29" s="174">
        <v>512</v>
      </c>
      <c r="L29" s="157">
        <f t="shared" si="2"/>
        <v>1065</v>
      </c>
    </row>
    <row r="30" spans="2:12" ht="12.75" x14ac:dyDescent="0.2">
      <c r="B30" s="161">
        <v>41760</v>
      </c>
      <c r="C30" s="161"/>
      <c r="D30" s="161"/>
      <c r="E30" s="158">
        <v>773</v>
      </c>
      <c r="F30" s="158"/>
      <c r="G30" s="158"/>
      <c r="H30" s="174">
        <v>9</v>
      </c>
      <c r="I30" s="174"/>
      <c r="J30" s="174"/>
      <c r="K30" s="174">
        <v>1137</v>
      </c>
      <c r="L30" s="157">
        <f t="shared" si="2"/>
        <v>1919</v>
      </c>
    </row>
    <row r="31" spans="2:12" ht="12.75" x14ac:dyDescent="0.2">
      <c r="B31" s="161">
        <v>41791</v>
      </c>
      <c r="C31" s="161"/>
      <c r="D31" s="161"/>
      <c r="E31" s="158">
        <v>660</v>
      </c>
      <c r="F31" s="158"/>
      <c r="G31" s="158"/>
      <c r="H31" s="174">
        <v>15</v>
      </c>
      <c r="I31" s="174"/>
      <c r="J31" s="174"/>
      <c r="K31" s="174">
        <v>905</v>
      </c>
      <c r="L31" s="157">
        <f t="shared" si="2"/>
        <v>1580</v>
      </c>
    </row>
    <row r="32" spans="2:12" ht="12.75" x14ac:dyDescent="0.2">
      <c r="B32" s="161">
        <v>41821</v>
      </c>
      <c r="C32" s="161"/>
      <c r="D32" s="161"/>
      <c r="E32" s="158">
        <v>881</v>
      </c>
      <c r="F32" s="158"/>
      <c r="G32" s="158"/>
      <c r="H32" s="174">
        <v>15</v>
      </c>
      <c r="I32" s="174"/>
      <c r="J32" s="174"/>
      <c r="K32" s="174">
        <v>646</v>
      </c>
      <c r="L32" s="157">
        <f t="shared" si="2"/>
        <v>1542</v>
      </c>
    </row>
    <row r="33" spans="2:12" ht="12.75" x14ac:dyDescent="0.2">
      <c r="B33" s="156">
        <v>41852</v>
      </c>
      <c r="C33" s="156"/>
      <c r="D33" s="156"/>
      <c r="E33" s="158">
        <v>825</v>
      </c>
      <c r="F33" s="158"/>
      <c r="G33" s="158"/>
      <c r="H33" s="174">
        <v>28</v>
      </c>
      <c r="I33" s="174"/>
      <c r="J33" s="174"/>
      <c r="K33" s="174">
        <v>753</v>
      </c>
      <c r="L33" s="157">
        <f>E33+H33+K33</f>
        <v>1606</v>
      </c>
    </row>
    <row r="34" spans="2:12" ht="12.75" x14ac:dyDescent="0.2">
      <c r="B34" s="156">
        <v>41883</v>
      </c>
      <c r="C34" s="156"/>
      <c r="D34" s="156"/>
      <c r="E34" s="174">
        <v>1489</v>
      </c>
      <c r="F34" s="174"/>
      <c r="G34" s="174"/>
      <c r="H34" s="174">
        <v>41</v>
      </c>
      <c r="I34" s="174"/>
      <c r="J34" s="174"/>
      <c r="K34" s="174">
        <v>1146</v>
      </c>
      <c r="L34" s="174">
        <f>E34+H34+K34</f>
        <v>2676</v>
      </c>
    </row>
    <row r="35" spans="2:12" ht="12.75" x14ac:dyDescent="0.2">
      <c r="B35" s="127">
        <v>41913</v>
      </c>
      <c r="C35" s="127"/>
      <c r="D35" s="127"/>
      <c r="E35" s="174">
        <v>1667</v>
      </c>
      <c r="F35" s="174"/>
      <c r="G35" s="174"/>
      <c r="H35" s="174">
        <v>132</v>
      </c>
      <c r="I35" s="174"/>
      <c r="J35" s="174"/>
      <c r="K35" s="174">
        <v>827</v>
      </c>
      <c r="L35" s="174">
        <f>E35+H35+K35</f>
        <v>2626</v>
      </c>
    </row>
    <row r="36" spans="2:12" ht="12.75" x14ac:dyDescent="0.2">
      <c r="B36" s="127">
        <v>41944</v>
      </c>
      <c r="C36" s="127"/>
      <c r="D36" s="127"/>
      <c r="E36" s="174">
        <v>1332</v>
      </c>
      <c r="F36" s="174"/>
      <c r="G36" s="174"/>
      <c r="H36" s="174">
        <v>22</v>
      </c>
      <c r="I36" s="174"/>
      <c r="J36" s="174"/>
      <c r="K36" s="174">
        <v>1068</v>
      </c>
      <c r="L36" s="174">
        <f>E36+H36+K36</f>
        <v>2422</v>
      </c>
    </row>
    <row r="37" spans="2:12" ht="12.75" x14ac:dyDescent="0.2">
      <c r="B37" s="127">
        <v>41974</v>
      </c>
      <c r="C37" s="127"/>
      <c r="D37" s="127"/>
      <c r="E37" s="174">
        <v>500</v>
      </c>
      <c r="F37" s="174"/>
      <c r="G37" s="174"/>
      <c r="H37" s="174">
        <v>14</v>
      </c>
      <c r="I37" s="174"/>
      <c r="J37" s="174"/>
      <c r="K37" s="174">
        <v>835</v>
      </c>
      <c r="L37" s="174">
        <f>E37+H37+K37</f>
        <v>1349</v>
      </c>
    </row>
    <row r="38" spans="2:12" ht="12.75" x14ac:dyDescent="0.2">
      <c r="B38" s="138">
        <v>2014</v>
      </c>
      <c r="C38" s="154"/>
      <c r="D38" s="154"/>
      <c r="E38" s="162">
        <f>SUM(E26:E37)</f>
        <v>11832</v>
      </c>
      <c r="F38" s="162"/>
      <c r="G38" s="162"/>
      <c r="H38" s="162">
        <f t="shared" ref="H38:L38" si="3">SUM(H26:H37)</f>
        <v>299</v>
      </c>
      <c r="I38" s="162"/>
      <c r="J38" s="162"/>
      <c r="K38" s="162">
        <f t="shared" si="3"/>
        <v>10790</v>
      </c>
      <c r="L38" s="162">
        <f t="shared" si="3"/>
        <v>22921</v>
      </c>
    </row>
    <row r="39" spans="2:12" ht="12.75" x14ac:dyDescent="0.2">
      <c r="B39" s="127">
        <v>42005</v>
      </c>
      <c r="C39" s="127"/>
      <c r="D39" s="127"/>
      <c r="E39" s="174">
        <v>38</v>
      </c>
      <c r="F39" s="174"/>
      <c r="G39" s="174"/>
      <c r="H39" s="174">
        <v>896</v>
      </c>
      <c r="I39" s="174"/>
      <c r="J39" s="174"/>
      <c r="K39" s="174">
        <v>1448</v>
      </c>
      <c r="L39" s="174">
        <f t="shared" ref="L39:L50" si="4">E39+H39+K39</f>
        <v>2382</v>
      </c>
    </row>
    <row r="40" spans="2:12" ht="12.75" x14ac:dyDescent="0.2">
      <c r="B40" s="127">
        <v>42036</v>
      </c>
      <c r="C40" s="127"/>
      <c r="D40" s="127"/>
      <c r="E40" s="174">
        <v>1411</v>
      </c>
      <c r="F40" s="174"/>
      <c r="G40" s="174"/>
      <c r="H40" s="174">
        <v>90</v>
      </c>
      <c r="I40" s="174"/>
      <c r="J40" s="174"/>
      <c r="K40" s="174">
        <v>2461</v>
      </c>
      <c r="L40" s="174">
        <f t="shared" si="4"/>
        <v>3962</v>
      </c>
    </row>
    <row r="41" spans="2:12" ht="12.75" x14ac:dyDescent="0.2">
      <c r="B41" s="127">
        <v>42064</v>
      </c>
      <c r="C41" s="127"/>
      <c r="D41" s="127"/>
      <c r="E41" s="174">
        <v>1147</v>
      </c>
      <c r="F41" s="174"/>
      <c r="G41" s="174"/>
      <c r="H41" s="174">
        <v>78</v>
      </c>
      <c r="I41" s="174"/>
      <c r="J41" s="174"/>
      <c r="K41" s="174">
        <v>1427</v>
      </c>
      <c r="L41" s="174">
        <f t="shared" si="4"/>
        <v>2652</v>
      </c>
    </row>
    <row r="42" spans="2:12" ht="12.75" x14ac:dyDescent="0.2">
      <c r="B42" s="127">
        <v>42095</v>
      </c>
      <c r="C42" s="127"/>
      <c r="D42" s="127"/>
      <c r="E42" s="174">
        <v>1650</v>
      </c>
      <c r="F42" s="174"/>
      <c r="G42" s="174"/>
      <c r="H42" s="174">
        <v>172</v>
      </c>
      <c r="I42" s="174"/>
      <c r="J42" s="174"/>
      <c r="K42" s="174">
        <v>1480</v>
      </c>
      <c r="L42" s="174">
        <f t="shared" si="4"/>
        <v>3302</v>
      </c>
    </row>
    <row r="43" spans="2:12" ht="12.75" x14ac:dyDescent="0.2">
      <c r="B43" s="127">
        <v>42125</v>
      </c>
      <c r="C43" s="127"/>
      <c r="D43" s="127"/>
      <c r="E43" s="174">
        <v>1272</v>
      </c>
      <c r="F43" s="174"/>
      <c r="G43" s="174"/>
      <c r="H43" s="174">
        <v>123</v>
      </c>
      <c r="I43" s="174"/>
      <c r="J43" s="174"/>
      <c r="K43" s="174">
        <v>169</v>
      </c>
      <c r="L43" s="174">
        <f t="shared" si="4"/>
        <v>1564</v>
      </c>
    </row>
    <row r="44" spans="2:12" ht="12.75" x14ac:dyDescent="0.2">
      <c r="B44" s="127">
        <v>42156</v>
      </c>
      <c r="C44" s="127"/>
      <c r="D44" s="127"/>
      <c r="E44" s="174">
        <v>1877</v>
      </c>
      <c r="F44" s="174"/>
      <c r="G44" s="174"/>
      <c r="H44" s="174">
        <v>135</v>
      </c>
      <c r="I44" s="174"/>
      <c r="J44" s="174"/>
      <c r="K44" s="174">
        <v>447</v>
      </c>
      <c r="L44" s="174">
        <f t="shared" si="4"/>
        <v>2459</v>
      </c>
    </row>
    <row r="45" spans="2:12" ht="12.75" x14ac:dyDescent="0.2">
      <c r="B45" s="127">
        <v>42186</v>
      </c>
      <c r="C45" s="127"/>
      <c r="D45" s="127"/>
      <c r="E45" s="174">
        <v>1030</v>
      </c>
      <c r="F45" s="174"/>
      <c r="G45" s="174"/>
      <c r="H45" s="174">
        <v>110</v>
      </c>
      <c r="I45" s="174"/>
      <c r="J45" s="174"/>
      <c r="K45" s="174">
        <v>167</v>
      </c>
      <c r="L45" s="174">
        <f t="shared" si="4"/>
        <v>1307</v>
      </c>
    </row>
    <row r="46" spans="2:12" ht="12.75" x14ac:dyDescent="0.2">
      <c r="B46" s="127">
        <v>42217</v>
      </c>
      <c r="C46" s="127"/>
      <c r="D46" s="127"/>
      <c r="E46" s="174">
        <v>1674</v>
      </c>
      <c r="F46" s="174"/>
      <c r="G46" s="174"/>
      <c r="H46" s="174">
        <v>113</v>
      </c>
      <c r="I46" s="174"/>
      <c r="J46" s="174"/>
      <c r="K46" s="174">
        <v>218</v>
      </c>
      <c r="L46" s="174">
        <f t="shared" si="4"/>
        <v>2005</v>
      </c>
    </row>
    <row r="47" spans="2:12" ht="12.75" x14ac:dyDescent="0.2">
      <c r="B47" s="127">
        <v>42248</v>
      </c>
      <c r="C47" s="127"/>
      <c r="D47" s="127"/>
      <c r="E47" s="174">
        <v>1313</v>
      </c>
      <c r="F47" s="174"/>
      <c r="G47" s="174"/>
      <c r="H47" s="174">
        <v>136</v>
      </c>
      <c r="I47" s="174"/>
      <c r="J47" s="174"/>
      <c r="K47" s="174">
        <v>156</v>
      </c>
      <c r="L47" s="174">
        <f t="shared" si="4"/>
        <v>1605</v>
      </c>
    </row>
    <row r="48" spans="2:12" ht="12.75" x14ac:dyDescent="0.2">
      <c r="B48" s="127">
        <v>42278</v>
      </c>
      <c r="C48" s="127"/>
      <c r="D48" s="127"/>
      <c r="E48" s="174">
        <v>5045</v>
      </c>
      <c r="F48" s="174"/>
      <c r="G48" s="174"/>
      <c r="H48" s="174">
        <v>104</v>
      </c>
      <c r="I48" s="174"/>
      <c r="J48" s="174"/>
      <c r="K48" s="174">
        <v>21</v>
      </c>
      <c r="L48" s="174">
        <f t="shared" si="4"/>
        <v>5170</v>
      </c>
    </row>
    <row r="49" spans="2:12" ht="12.75" x14ac:dyDescent="0.2">
      <c r="B49" s="127">
        <v>42309</v>
      </c>
      <c r="C49" s="127"/>
      <c r="D49" s="127"/>
      <c r="E49" s="174">
        <v>1924</v>
      </c>
      <c r="F49" s="174"/>
      <c r="G49" s="174"/>
      <c r="H49" s="174">
        <v>764</v>
      </c>
      <c r="I49" s="174"/>
      <c r="J49" s="174"/>
      <c r="K49" s="174">
        <v>49</v>
      </c>
      <c r="L49" s="174">
        <f t="shared" si="4"/>
        <v>2737</v>
      </c>
    </row>
    <row r="50" spans="2:12" ht="12.75" x14ac:dyDescent="0.2">
      <c r="B50" s="127">
        <v>42339</v>
      </c>
      <c r="C50" s="127"/>
      <c r="D50" s="127"/>
      <c r="E50" s="174">
        <v>1346</v>
      </c>
      <c r="F50" s="174"/>
      <c r="G50" s="174"/>
      <c r="H50" s="174">
        <v>239</v>
      </c>
      <c r="I50" s="174"/>
      <c r="J50" s="174"/>
      <c r="K50" s="174">
        <v>217</v>
      </c>
      <c r="L50" s="174">
        <f t="shared" si="4"/>
        <v>1802</v>
      </c>
    </row>
    <row r="51" spans="2:12" ht="12.75" x14ac:dyDescent="0.2">
      <c r="B51" s="138">
        <v>2015</v>
      </c>
      <c r="C51" s="163"/>
      <c r="D51" s="163"/>
      <c r="E51" s="155">
        <f>SUM(E39:E50)</f>
        <v>19727</v>
      </c>
      <c r="F51" s="155"/>
      <c r="G51" s="155"/>
      <c r="H51" s="155">
        <f t="shared" ref="H51:K51" si="5">SUM(H39:H50)</f>
        <v>2960</v>
      </c>
      <c r="I51" s="155"/>
      <c r="J51" s="155"/>
      <c r="K51" s="155">
        <f t="shared" si="5"/>
        <v>8260</v>
      </c>
      <c r="L51" s="155">
        <f>SUM(L39:L50)</f>
        <v>30947</v>
      </c>
    </row>
    <row r="52" spans="2:12" ht="12.75" x14ac:dyDescent="0.2">
      <c r="B52" s="127">
        <v>42370</v>
      </c>
      <c r="C52" s="127"/>
      <c r="D52" s="127"/>
      <c r="E52" s="174">
        <v>3773</v>
      </c>
      <c r="F52" s="174"/>
      <c r="G52" s="174"/>
      <c r="H52" s="174">
        <v>149</v>
      </c>
      <c r="I52" s="174"/>
      <c r="J52" s="174"/>
      <c r="K52" s="174">
        <v>57</v>
      </c>
      <c r="L52" s="174">
        <f t="shared" ref="L52:L76" si="6">E52+H52+K52</f>
        <v>3979</v>
      </c>
    </row>
    <row r="53" spans="2:12" ht="12.75" x14ac:dyDescent="0.2">
      <c r="B53" s="127">
        <v>42401</v>
      </c>
      <c r="C53" s="127"/>
      <c r="D53" s="127"/>
      <c r="E53" s="174">
        <v>4253</v>
      </c>
      <c r="F53" s="174"/>
      <c r="G53" s="174"/>
      <c r="H53" s="174">
        <v>113</v>
      </c>
      <c r="I53" s="174"/>
      <c r="J53" s="174"/>
      <c r="K53" s="174">
        <v>0</v>
      </c>
      <c r="L53" s="174">
        <f t="shared" si="6"/>
        <v>4366</v>
      </c>
    </row>
    <row r="54" spans="2:12" ht="12.75" x14ac:dyDescent="0.2">
      <c r="B54" s="127">
        <v>42430</v>
      </c>
      <c r="C54" s="127"/>
      <c r="D54" s="127"/>
      <c r="E54" s="174">
        <v>2016</v>
      </c>
      <c r="F54" s="174"/>
      <c r="G54" s="174"/>
      <c r="H54" s="174">
        <v>25</v>
      </c>
      <c r="I54" s="174"/>
      <c r="J54" s="174"/>
      <c r="K54" s="174">
        <v>15</v>
      </c>
      <c r="L54" s="174">
        <f t="shared" si="6"/>
        <v>2056</v>
      </c>
    </row>
    <row r="55" spans="2:12" ht="12.75" x14ac:dyDescent="0.2">
      <c r="B55" s="127">
        <v>42461</v>
      </c>
      <c r="C55" s="127"/>
      <c r="D55" s="127"/>
      <c r="E55" s="174">
        <v>2405</v>
      </c>
      <c r="F55" s="174"/>
      <c r="G55" s="174"/>
      <c r="H55" s="174">
        <v>33</v>
      </c>
      <c r="I55" s="174"/>
      <c r="J55" s="174"/>
      <c r="K55" s="174">
        <v>16</v>
      </c>
      <c r="L55" s="174">
        <f t="shared" si="6"/>
        <v>2454</v>
      </c>
    </row>
    <row r="56" spans="2:12" ht="12.75" x14ac:dyDescent="0.2">
      <c r="B56" s="127">
        <v>42491</v>
      </c>
      <c r="C56" s="174">
        <v>996</v>
      </c>
      <c r="D56" s="174">
        <v>817</v>
      </c>
      <c r="E56" s="174">
        <f t="shared" ref="E56:E76" si="7">C56+D56</f>
        <v>1813</v>
      </c>
      <c r="F56" s="174">
        <v>17</v>
      </c>
      <c r="G56" s="174">
        <v>17</v>
      </c>
      <c r="H56" s="174">
        <f t="shared" ref="H56:H76" si="8">F56+G56</f>
        <v>34</v>
      </c>
      <c r="I56" s="174">
        <v>8</v>
      </c>
      <c r="J56" s="174">
        <v>0</v>
      </c>
      <c r="K56" s="174">
        <f t="shared" ref="K56:K76" si="9">I56+J56</f>
        <v>8</v>
      </c>
      <c r="L56" s="174">
        <f t="shared" si="6"/>
        <v>1855</v>
      </c>
    </row>
    <row r="57" spans="2:12" ht="12.75" x14ac:dyDescent="0.2">
      <c r="B57" s="127">
        <v>42522</v>
      </c>
      <c r="C57" s="174">
        <v>957</v>
      </c>
      <c r="D57" s="174">
        <v>898</v>
      </c>
      <c r="E57" s="174">
        <f t="shared" si="7"/>
        <v>1855</v>
      </c>
      <c r="F57" s="174">
        <v>15</v>
      </c>
      <c r="G57" s="174">
        <v>21</v>
      </c>
      <c r="H57" s="174">
        <f t="shared" si="8"/>
        <v>36</v>
      </c>
      <c r="I57" s="174">
        <v>11</v>
      </c>
      <c r="J57" s="174">
        <v>5</v>
      </c>
      <c r="K57" s="174">
        <f t="shared" si="9"/>
        <v>16</v>
      </c>
      <c r="L57" s="174">
        <f t="shared" si="6"/>
        <v>1907</v>
      </c>
    </row>
    <row r="58" spans="2:12" ht="12.75" x14ac:dyDescent="0.2">
      <c r="B58" s="127">
        <v>42552</v>
      </c>
      <c r="C58" s="174">
        <v>977</v>
      </c>
      <c r="D58" s="174">
        <v>835</v>
      </c>
      <c r="E58" s="174">
        <f t="shared" si="7"/>
        <v>1812</v>
      </c>
      <c r="F58" s="174">
        <v>24</v>
      </c>
      <c r="G58" s="174">
        <v>24</v>
      </c>
      <c r="H58" s="174">
        <f t="shared" si="8"/>
        <v>48</v>
      </c>
      <c r="I58" s="174">
        <v>10</v>
      </c>
      <c r="J58" s="174">
        <v>13</v>
      </c>
      <c r="K58" s="174">
        <f t="shared" si="9"/>
        <v>23</v>
      </c>
      <c r="L58" s="174">
        <f t="shared" si="6"/>
        <v>1883</v>
      </c>
    </row>
    <row r="59" spans="2:12" ht="12.75" x14ac:dyDescent="0.2">
      <c r="B59" s="127">
        <v>42583</v>
      </c>
      <c r="C59" s="174">
        <v>2266</v>
      </c>
      <c r="D59" s="174">
        <v>1640</v>
      </c>
      <c r="E59" s="174">
        <f t="shared" si="7"/>
        <v>3906</v>
      </c>
      <c r="F59" s="174">
        <v>90</v>
      </c>
      <c r="G59" s="174">
        <v>73</v>
      </c>
      <c r="H59" s="174">
        <f t="shared" si="8"/>
        <v>163</v>
      </c>
      <c r="I59" s="174">
        <v>19</v>
      </c>
      <c r="J59" s="174">
        <v>15</v>
      </c>
      <c r="K59" s="174">
        <f t="shared" si="9"/>
        <v>34</v>
      </c>
      <c r="L59" s="174">
        <f t="shared" si="6"/>
        <v>4103</v>
      </c>
    </row>
    <row r="60" spans="2:12" ht="12.75" x14ac:dyDescent="0.2">
      <c r="B60" s="127">
        <v>42614</v>
      </c>
      <c r="C60" s="174">
        <v>948</v>
      </c>
      <c r="D60" s="174">
        <v>779</v>
      </c>
      <c r="E60" s="174">
        <f t="shared" si="7"/>
        <v>1727</v>
      </c>
      <c r="F60" s="174">
        <v>42</v>
      </c>
      <c r="G60" s="174">
        <v>41</v>
      </c>
      <c r="H60" s="174">
        <f t="shared" si="8"/>
        <v>83</v>
      </c>
      <c r="I60" s="174">
        <v>3</v>
      </c>
      <c r="J60" s="174">
        <v>0</v>
      </c>
      <c r="K60" s="174">
        <f t="shared" si="9"/>
        <v>3</v>
      </c>
      <c r="L60" s="174">
        <f t="shared" si="6"/>
        <v>1813</v>
      </c>
    </row>
    <row r="61" spans="2:12" ht="12.75" x14ac:dyDescent="0.2">
      <c r="B61" s="127">
        <v>42644</v>
      </c>
      <c r="C61" s="174">
        <v>770</v>
      </c>
      <c r="D61" s="174">
        <v>832</v>
      </c>
      <c r="E61" s="174">
        <f t="shared" si="7"/>
        <v>1602</v>
      </c>
      <c r="F61" s="174">
        <v>13</v>
      </c>
      <c r="G61" s="174">
        <v>16</v>
      </c>
      <c r="H61" s="174">
        <f t="shared" si="8"/>
        <v>29</v>
      </c>
      <c r="I61" s="174">
        <v>0</v>
      </c>
      <c r="J61" s="174">
        <v>0</v>
      </c>
      <c r="K61" s="174">
        <f t="shared" si="9"/>
        <v>0</v>
      </c>
      <c r="L61" s="174">
        <f t="shared" si="6"/>
        <v>1631</v>
      </c>
    </row>
    <row r="62" spans="2:12" ht="12.75" x14ac:dyDescent="0.2">
      <c r="B62" s="127">
        <v>42675</v>
      </c>
      <c r="C62" s="174">
        <v>484</v>
      </c>
      <c r="D62" s="174">
        <v>317</v>
      </c>
      <c r="E62" s="174">
        <f t="shared" si="7"/>
        <v>801</v>
      </c>
      <c r="F62" s="174">
        <v>12</v>
      </c>
      <c r="G62" s="174">
        <v>9</v>
      </c>
      <c r="H62" s="174">
        <f t="shared" si="8"/>
        <v>21</v>
      </c>
      <c r="I62" s="174">
        <v>0</v>
      </c>
      <c r="J62" s="174">
        <v>0</v>
      </c>
      <c r="K62" s="174">
        <f t="shared" si="9"/>
        <v>0</v>
      </c>
      <c r="L62" s="174">
        <f t="shared" si="6"/>
        <v>822</v>
      </c>
    </row>
    <row r="63" spans="2:12" ht="12.75" x14ac:dyDescent="0.2">
      <c r="B63" s="127">
        <v>42705</v>
      </c>
      <c r="C63" s="174">
        <v>1057</v>
      </c>
      <c r="D63" s="174">
        <v>797</v>
      </c>
      <c r="E63" s="174">
        <f t="shared" si="7"/>
        <v>1854</v>
      </c>
      <c r="F63" s="174">
        <v>156</v>
      </c>
      <c r="G63" s="174">
        <v>126</v>
      </c>
      <c r="H63" s="174">
        <f t="shared" si="8"/>
        <v>282</v>
      </c>
      <c r="I63" s="174">
        <v>6</v>
      </c>
      <c r="J63" s="174">
        <v>0</v>
      </c>
      <c r="K63" s="174">
        <f t="shared" si="9"/>
        <v>6</v>
      </c>
      <c r="L63" s="174">
        <f t="shared" si="6"/>
        <v>2142</v>
      </c>
    </row>
    <row r="64" spans="2:12" ht="12.75" x14ac:dyDescent="0.2">
      <c r="B64" s="138">
        <v>2016</v>
      </c>
      <c r="C64" s="174"/>
      <c r="D64" s="174"/>
      <c r="E64" s="139">
        <f>SUM(E52:E63)</f>
        <v>27817</v>
      </c>
      <c r="F64" s="139"/>
      <c r="G64" s="139"/>
      <c r="H64" s="139">
        <f>SUM(H52:H63)</f>
        <v>1016</v>
      </c>
      <c r="I64" s="139"/>
      <c r="J64" s="139"/>
      <c r="K64" s="139">
        <f>SUM(K52:K63)</f>
        <v>178</v>
      </c>
      <c r="L64" s="139">
        <f>SUM(L52:L63)</f>
        <v>29011</v>
      </c>
    </row>
    <row r="65" spans="2:12" ht="12.75" x14ac:dyDescent="0.2">
      <c r="B65" s="127">
        <v>42736</v>
      </c>
      <c r="C65" s="174">
        <v>1709</v>
      </c>
      <c r="D65" s="174">
        <v>1188</v>
      </c>
      <c r="E65" s="174">
        <f t="shared" si="7"/>
        <v>2897</v>
      </c>
      <c r="F65" s="174">
        <v>87</v>
      </c>
      <c r="G65" s="174">
        <v>62</v>
      </c>
      <c r="H65" s="174">
        <f t="shared" si="8"/>
        <v>149</v>
      </c>
      <c r="I65" s="174">
        <v>21</v>
      </c>
      <c r="J65" s="174">
        <v>22</v>
      </c>
      <c r="K65" s="174">
        <f t="shared" si="9"/>
        <v>43</v>
      </c>
      <c r="L65" s="174">
        <f t="shared" si="6"/>
        <v>3089</v>
      </c>
    </row>
    <row r="66" spans="2:12" ht="12.75" x14ac:dyDescent="0.2">
      <c r="B66" s="127">
        <v>42767</v>
      </c>
      <c r="C66" s="174">
        <v>1599</v>
      </c>
      <c r="D66" s="174">
        <v>1237</v>
      </c>
      <c r="E66" s="174">
        <f t="shared" si="7"/>
        <v>2836</v>
      </c>
      <c r="F66" s="174">
        <v>35</v>
      </c>
      <c r="G66" s="174">
        <v>42</v>
      </c>
      <c r="H66" s="174">
        <f t="shared" si="8"/>
        <v>77</v>
      </c>
      <c r="I66" s="174">
        <v>11</v>
      </c>
      <c r="J66" s="174">
        <v>10</v>
      </c>
      <c r="K66" s="174">
        <f t="shared" si="9"/>
        <v>21</v>
      </c>
      <c r="L66" s="174">
        <f t="shared" si="6"/>
        <v>2934</v>
      </c>
    </row>
    <row r="67" spans="2:12" ht="12.75" x14ac:dyDescent="0.2">
      <c r="B67" s="127">
        <v>42795</v>
      </c>
      <c r="C67" s="174">
        <v>1281</v>
      </c>
      <c r="D67" s="174">
        <v>949</v>
      </c>
      <c r="E67" s="174">
        <f t="shared" si="7"/>
        <v>2230</v>
      </c>
      <c r="F67" s="174">
        <v>63</v>
      </c>
      <c r="G67" s="174">
        <v>47</v>
      </c>
      <c r="H67" s="174">
        <f t="shared" si="8"/>
        <v>110</v>
      </c>
      <c r="I67" s="174">
        <v>18</v>
      </c>
      <c r="J67" s="174">
        <v>10</v>
      </c>
      <c r="K67" s="174">
        <f t="shared" si="9"/>
        <v>28</v>
      </c>
      <c r="L67" s="174">
        <f t="shared" si="6"/>
        <v>2368</v>
      </c>
    </row>
    <row r="68" spans="2:12" ht="12.75" x14ac:dyDescent="0.2">
      <c r="B68" s="127">
        <v>42826</v>
      </c>
      <c r="C68" s="174">
        <v>694</v>
      </c>
      <c r="D68" s="174">
        <v>578</v>
      </c>
      <c r="E68" s="174">
        <f t="shared" si="7"/>
        <v>1272</v>
      </c>
      <c r="F68" s="174">
        <v>16</v>
      </c>
      <c r="G68" s="174">
        <v>19</v>
      </c>
      <c r="H68" s="174">
        <f t="shared" si="8"/>
        <v>35</v>
      </c>
      <c r="I68" s="174">
        <v>8</v>
      </c>
      <c r="J68" s="174">
        <v>7</v>
      </c>
      <c r="K68" s="174">
        <f t="shared" si="9"/>
        <v>15</v>
      </c>
      <c r="L68" s="174">
        <f t="shared" si="6"/>
        <v>1322</v>
      </c>
    </row>
    <row r="69" spans="2:12" ht="12.75" x14ac:dyDescent="0.2">
      <c r="B69" s="127">
        <v>42856</v>
      </c>
      <c r="C69" s="174">
        <v>698</v>
      </c>
      <c r="D69" s="174">
        <v>493</v>
      </c>
      <c r="E69" s="174">
        <f t="shared" si="7"/>
        <v>1191</v>
      </c>
      <c r="F69" s="174">
        <v>13</v>
      </c>
      <c r="G69" s="174">
        <v>3</v>
      </c>
      <c r="H69" s="174">
        <f t="shared" si="8"/>
        <v>16</v>
      </c>
      <c r="I69" s="174">
        <v>45</v>
      </c>
      <c r="J69" s="174">
        <v>41</v>
      </c>
      <c r="K69" s="174">
        <f t="shared" si="9"/>
        <v>86</v>
      </c>
      <c r="L69" s="174">
        <f t="shared" si="6"/>
        <v>1293</v>
      </c>
    </row>
    <row r="70" spans="2:12" ht="12.75" x14ac:dyDescent="0.2">
      <c r="B70" s="127">
        <v>42887</v>
      </c>
      <c r="C70" s="174">
        <v>891</v>
      </c>
      <c r="D70" s="174">
        <v>581</v>
      </c>
      <c r="E70" s="174">
        <f t="shared" si="7"/>
        <v>1472</v>
      </c>
      <c r="F70" s="174">
        <v>18</v>
      </c>
      <c r="G70" s="174">
        <v>18</v>
      </c>
      <c r="H70" s="174">
        <f t="shared" si="8"/>
        <v>36</v>
      </c>
      <c r="I70" s="174">
        <v>10</v>
      </c>
      <c r="J70" s="174">
        <v>12</v>
      </c>
      <c r="K70" s="174">
        <f t="shared" si="9"/>
        <v>22</v>
      </c>
      <c r="L70" s="174">
        <f t="shared" si="6"/>
        <v>1530</v>
      </c>
    </row>
    <row r="71" spans="2:12" ht="12.75" x14ac:dyDescent="0.2">
      <c r="B71" s="127">
        <v>42917</v>
      </c>
      <c r="C71" s="174">
        <v>857</v>
      </c>
      <c r="D71" s="174">
        <v>571</v>
      </c>
      <c r="E71" s="174">
        <f t="shared" si="7"/>
        <v>1428</v>
      </c>
      <c r="F71" s="174">
        <v>15</v>
      </c>
      <c r="G71" s="174">
        <v>14</v>
      </c>
      <c r="H71" s="174">
        <f t="shared" si="8"/>
        <v>29</v>
      </c>
      <c r="I71" s="174">
        <v>84</v>
      </c>
      <c r="J71" s="174">
        <v>54</v>
      </c>
      <c r="K71" s="174">
        <f t="shared" si="9"/>
        <v>138</v>
      </c>
      <c r="L71" s="174">
        <f t="shared" si="6"/>
        <v>1595</v>
      </c>
    </row>
    <row r="72" spans="2:12" ht="12.75" x14ac:dyDescent="0.2">
      <c r="B72" s="127">
        <v>42948</v>
      </c>
      <c r="C72" s="174">
        <v>697</v>
      </c>
      <c r="D72" s="174">
        <v>460</v>
      </c>
      <c r="E72" s="174">
        <f t="shared" si="7"/>
        <v>1157</v>
      </c>
      <c r="F72" s="174">
        <v>11</v>
      </c>
      <c r="G72" s="174">
        <v>9</v>
      </c>
      <c r="H72" s="174">
        <f t="shared" si="8"/>
        <v>20</v>
      </c>
      <c r="I72" s="174">
        <v>43</v>
      </c>
      <c r="J72" s="174">
        <v>34</v>
      </c>
      <c r="K72" s="174">
        <f t="shared" si="9"/>
        <v>77</v>
      </c>
      <c r="L72" s="174">
        <f t="shared" si="6"/>
        <v>1254</v>
      </c>
    </row>
    <row r="73" spans="2:12" ht="12.75" x14ac:dyDescent="0.2">
      <c r="B73" s="127">
        <v>42979</v>
      </c>
      <c r="C73" s="174">
        <v>850</v>
      </c>
      <c r="D73" s="174">
        <v>547</v>
      </c>
      <c r="E73" s="174">
        <f t="shared" si="7"/>
        <v>1397</v>
      </c>
      <c r="F73" s="174">
        <v>1</v>
      </c>
      <c r="G73" s="174">
        <v>3</v>
      </c>
      <c r="H73" s="174">
        <f t="shared" si="8"/>
        <v>4</v>
      </c>
      <c r="I73" s="174">
        <v>12</v>
      </c>
      <c r="J73" s="174">
        <v>14</v>
      </c>
      <c r="K73" s="174">
        <f t="shared" si="9"/>
        <v>26</v>
      </c>
      <c r="L73" s="174">
        <f t="shared" si="6"/>
        <v>1427</v>
      </c>
    </row>
    <row r="74" spans="2:12" ht="12.75" x14ac:dyDescent="0.2">
      <c r="B74" s="127">
        <v>43009</v>
      </c>
      <c r="C74" s="174">
        <v>305</v>
      </c>
      <c r="D74" s="174">
        <v>234</v>
      </c>
      <c r="E74" s="174">
        <f t="shared" si="7"/>
        <v>539</v>
      </c>
      <c r="F74" s="174">
        <v>11</v>
      </c>
      <c r="G74" s="174">
        <v>11</v>
      </c>
      <c r="H74" s="174">
        <f t="shared" si="8"/>
        <v>22</v>
      </c>
      <c r="I74" s="174">
        <v>36</v>
      </c>
      <c r="J74" s="174">
        <v>19</v>
      </c>
      <c r="K74" s="174">
        <f t="shared" si="9"/>
        <v>55</v>
      </c>
      <c r="L74" s="174">
        <f t="shared" si="6"/>
        <v>616</v>
      </c>
    </row>
    <row r="75" spans="2:12" ht="12.75" x14ac:dyDescent="0.2">
      <c r="B75" s="127">
        <v>43040</v>
      </c>
      <c r="C75" s="174">
        <v>524</v>
      </c>
      <c r="D75" s="174">
        <v>369</v>
      </c>
      <c r="E75" s="174">
        <f t="shared" si="7"/>
        <v>893</v>
      </c>
      <c r="F75" s="174">
        <v>15</v>
      </c>
      <c r="G75" s="174">
        <v>6</v>
      </c>
      <c r="H75" s="174">
        <f t="shared" si="8"/>
        <v>21</v>
      </c>
      <c r="I75" s="174">
        <v>22</v>
      </c>
      <c r="J75" s="174">
        <v>11</v>
      </c>
      <c r="K75" s="174">
        <f t="shared" si="9"/>
        <v>33</v>
      </c>
      <c r="L75" s="174">
        <f t="shared" si="6"/>
        <v>947</v>
      </c>
    </row>
    <row r="76" spans="2:12" ht="12.75" x14ac:dyDescent="0.2">
      <c r="B76" s="127">
        <v>43070</v>
      </c>
      <c r="C76" s="174">
        <v>638</v>
      </c>
      <c r="D76" s="174">
        <v>595</v>
      </c>
      <c r="E76" s="174">
        <f t="shared" si="7"/>
        <v>1233</v>
      </c>
      <c r="F76" s="174">
        <v>17</v>
      </c>
      <c r="G76" s="174">
        <v>15</v>
      </c>
      <c r="H76" s="174">
        <f t="shared" si="8"/>
        <v>32</v>
      </c>
      <c r="I76" s="174">
        <v>5</v>
      </c>
      <c r="J76" s="174">
        <v>5</v>
      </c>
      <c r="K76" s="174">
        <f t="shared" si="9"/>
        <v>10</v>
      </c>
      <c r="L76" s="174">
        <f t="shared" si="6"/>
        <v>1275</v>
      </c>
    </row>
    <row r="77" spans="2:12" ht="12.75" x14ac:dyDescent="0.2">
      <c r="B77" s="138">
        <v>2017</v>
      </c>
      <c r="C77" s="139"/>
      <c r="D77" s="139"/>
      <c r="E77" s="139">
        <f>SUM(E65:E76)</f>
        <v>18545</v>
      </c>
      <c r="F77" s="139"/>
      <c r="G77" s="139"/>
      <c r="H77" s="139">
        <f>SUM(H65:H76)</f>
        <v>551</v>
      </c>
      <c r="I77" s="139"/>
      <c r="J77" s="139"/>
      <c r="K77" s="139">
        <f>SUM(K65:K76)</f>
        <v>554</v>
      </c>
      <c r="L77" s="139">
        <f>SUM(L65:L76)</f>
        <v>19650</v>
      </c>
    </row>
    <row r="78" spans="2:12" ht="12.75" x14ac:dyDescent="0.2">
      <c r="B78" s="127">
        <v>43101</v>
      </c>
      <c r="C78" s="174">
        <v>755</v>
      </c>
      <c r="D78" s="174">
        <v>663</v>
      </c>
      <c r="E78" s="174">
        <f t="shared" ref="E78:E88" si="10">C78+D78</f>
        <v>1418</v>
      </c>
      <c r="F78" s="174">
        <v>14</v>
      </c>
      <c r="G78" s="174">
        <v>12</v>
      </c>
      <c r="H78" s="174">
        <f t="shared" ref="H78:H88" si="11">F78+G78</f>
        <v>26</v>
      </c>
      <c r="I78" s="174">
        <v>8</v>
      </c>
      <c r="J78" s="174">
        <v>3</v>
      </c>
      <c r="K78" s="174">
        <f t="shared" ref="K78:K88" si="12">I78+J78</f>
        <v>11</v>
      </c>
      <c r="L78" s="174">
        <f t="shared" ref="L78:L89" si="13">E78+H78+K78</f>
        <v>1455</v>
      </c>
    </row>
    <row r="79" spans="2:12" ht="12.75" x14ac:dyDescent="0.2">
      <c r="B79" s="127">
        <v>43132</v>
      </c>
      <c r="C79" s="174">
        <v>908</v>
      </c>
      <c r="D79" s="174">
        <v>778</v>
      </c>
      <c r="E79" s="174">
        <f t="shared" si="10"/>
        <v>1686</v>
      </c>
      <c r="F79" s="174">
        <v>16</v>
      </c>
      <c r="G79" s="174">
        <v>9</v>
      </c>
      <c r="H79" s="174">
        <f t="shared" si="11"/>
        <v>25</v>
      </c>
      <c r="I79" s="174">
        <v>55</v>
      </c>
      <c r="J79" s="174">
        <v>50</v>
      </c>
      <c r="K79" s="174">
        <f t="shared" si="12"/>
        <v>105</v>
      </c>
      <c r="L79" s="174">
        <f t="shared" si="13"/>
        <v>1816</v>
      </c>
    </row>
    <row r="80" spans="2:12" ht="12.75" x14ac:dyDescent="0.2">
      <c r="B80" s="127">
        <v>43160</v>
      </c>
      <c r="C80" s="174">
        <v>1306</v>
      </c>
      <c r="D80" s="174">
        <v>853</v>
      </c>
      <c r="E80" s="174">
        <f t="shared" si="10"/>
        <v>2159</v>
      </c>
      <c r="F80" s="174">
        <v>34</v>
      </c>
      <c r="G80" s="174">
        <v>26</v>
      </c>
      <c r="H80" s="174">
        <f t="shared" si="11"/>
        <v>60</v>
      </c>
      <c r="I80" s="174">
        <v>35</v>
      </c>
      <c r="J80" s="174">
        <v>15</v>
      </c>
      <c r="K80" s="174">
        <f t="shared" si="12"/>
        <v>50</v>
      </c>
      <c r="L80" s="174">
        <f t="shared" si="13"/>
        <v>2269</v>
      </c>
    </row>
    <row r="81" spans="2:12" ht="12.75" x14ac:dyDescent="0.2">
      <c r="B81" s="127">
        <v>43191</v>
      </c>
      <c r="C81" s="174">
        <v>1004</v>
      </c>
      <c r="D81" s="174">
        <v>564</v>
      </c>
      <c r="E81" s="174">
        <f t="shared" si="10"/>
        <v>1568</v>
      </c>
      <c r="F81" s="174">
        <v>19</v>
      </c>
      <c r="G81" s="174">
        <v>14</v>
      </c>
      <c r="H81" s="174">
        <f t="shared" si="11"/>
        <v>33</v>
      </c>
      <c r="I81" s="174">
        <v>20</v>
      </c>
      <c r="J81" s="174">
        <v>18</v>
      </c>
      <c r="K81" s="174">
        <f t="shared" si="12"/>
        <v>38</v>
      </c>
      <c r="L81" s="174">
        <f t="shared" si="13"/>
        <v>1639</v>
      </c>
    </row>
    <row r="82" spans="2:12" ht="12.75" x14ac:dyDescent="0.2">
      <c r="B82" s="127">
        <v>43221</v>
      </c>
      <c r="C82" s="174">
        <v>717</v>
      </c>
      <c r="D82" s="174">
        <v>410</v>
      </c>
      <c r="E82" s="174">
        <f t="shared" si="10"/>
        <v>1127</v>
      </c>
      <c r="F82" s="174">
        <v>17</v>
      </c>
      <c r="G82" s="174">
        <v>15</v>
      </c>
      <c r="H82" s="174">
        <f t="shared" si="11"/>
        <v>32</v>
      </c>
      <c r="I82" s="174">
        <v>26</v>
      </c>
      <c r="J82" s="174">
        <v>26</v>
      </c>
      <c r="K82" s="174">
        <f t="shared" si="12"/>
        <v>52</v>
      </c>
      <c r="L82" s="174">
        <f t="shared" si="13"/>
        <v>1211</v>
      </c>
    </row>
    <row r="83" spans="2:12" ht="12.75" x14ac:dyDescent="0.2">
      <c r="B83" s="127">
        <v>43252</v>
      </c>
      <c r="C83" s="174">
        <v>1018</v>
      </c>
      <c r="D83" s="174">
        <v>658</v>
      </c>
      <c r="E83" s="174">
        <f t="shared" si="10"/>
        <v>1676</v>
      </c>
      <c r="F83" s="174">
        <v>18</v>
      </c>
      <c r="G83" s="174">
        <v>12</v>
      </c>
      <c r="H83" s="174">
        <f t="shared" si="11"/>
        <v>30</v>
      </c>
      <c r="I83" s="174">
        <v>23</v>
      </c>
      <c r="J83" s="174">
        <v>10</v>
      </c>
      <c r="K83" s="174">
        <f t="shared" si="12"/>
        <v>33</v>
      </c>
      <c r="L83" s="174">
        <f t="shared" si="13"/>
        <v>1739</v>
      </c>
    </row>
    <row r="84" spans="2:12" ht="12.75" x14ac:dyDescent="0.2">
      <c r="B84" s="127">
        <v>43282</v>
      </c>
      <c r="C84" s="174">
        <v>845</v>
      </c>
      <c r="D84" s="174">
        <v>604</v>
      </c>
      <c r="E84" s="174">
        <f t="shared" si="10"/>
        <v>1449</v>
      </c>
      <c r="F84" s="174">
        <v>17</v>
      </c>
      <c r="G84" s="174">
        <v>33</v>
      </c>
      <c r="H84" s="174">
        <f t="shared" si="11"/>
        <v>50</v>
      </c>
      <c r="I84" s="174">
        <v>35</v>
      </c>
      <c r="J84" s="174">
        <v>31</v>
      </c>
      <c r="K84" s="174">
        <f t="shared" si="12"/>
        <v>66</v>
      </c>
      <c r="L84" s="174">
        <f t="shared" si="13"/>
        <v>1565</v>
      </c>
    </row>
    <row r="85" spans="2:12" ht="12.75" x14ac:dyDescent="0.2">
      <c r="B85" s="127">
        <v>43313</v>
      </c>
      <c r="C85" s="174">
        <v>1178</v>
      </c>
      <c r="D85" s="174">
        <v>821</v>
      </c>
      <c r="E85" s="174">
        <f t="shared" si="10"/>
        <v>1999</v>
      </c>
      <c r="F85" s="174">
        <v>20</v>
      </c>
      <c r="G85" s="174">
        <v>30</v>
      </c>
      <c r="H85" s="174">
        <f t="shared" si="11"/>
        <v>50</v>
      </c>
      <c r="I85" s="174">
        <v>33</v>
      </c>
      <c r="J85" s="174">
        <v>28</v>
      </c>
      <c r="K85" s="174">
        <f t="shared" si="12"/>
        <v>61</v>
      </c>
      <c r="L85" s="174">
        <f t="shared" si="13"/>
        <v>2110</v>
      </c>
    </row>
    <row r="86" spans="2:12" ht="12.75" x14ac:dyDescent="0.2">
      <c r="B86" s="127">
        <v>43344</v>
      </c>
      <c r="C86" s="174">
        <v>1529</v>
      </c>
      <c r="D86" s="174">
        <v>1059</v>
      </c>
      <c r="E86" s="174">
        <f t="shared" si="10"/>
        <v>2588</v>
      </c>
      <c r="F86" s="174">
        <v>40</v>
      </c>
      <c r="G86" s="174">
        <v>42</v>
      </c>
      <c r="H86" s="174">
        <f t="shared" si="11"/>
        <v>82</v>
      </c>
      <c r="I86" s="174">
        <v>45</v>
      </c>
      <c r="J86" s="174">
        <v>15</v>
      </c>
      <c r="K86" s="174">
        <f t="shared" si="12"/>
        <v>60</v>
      </c>
      <c r="L86" s="174">
        <f t="shared" si="13"/>
        <v>2730</v>
      </c>
    </row>
    <row r="87" spans="2:12" ht="12.75" x14ac:dyDescent="0.2">
      <c r="B87" s="127">
        <v>43374</v>
      </c>
      <c r="C87" s="174">
        <v>978</v>
      </c>
      <c r="D87" s="174">
        <v>757</v>
      </c>
      <c r="E87" s="174">
        <f t="shared" si="10"/>
        <v>1735</v>
      </c>
      <c r="F87" s="174">
        <v>21</v>
      </c>
      <c r="G87" s="174">
        <v>40</v>
      </c>
      <c r="H87" s="174">
        <f t="shared" si="11"/>
        <v>61</v>
      </c>
      <c r="I87" s="174">
        <v>27</v>
      </c>
      <c r="J87" s="174">
        <v>13</v>
      </c>
      <c r="K87" s="174">
        <f t="shared" si="12"/>
        <v>40</v>
      </c>
      <c r="L87" s="174">
        <f t="shared" si="13"/>
        <v>1836</v>
      </c>
    </row>
    <row r="88" spans="2:12" ht="12.75" x14ac:dyDescent="0.2">
      <c r="B88" s="127">
        <v>43405</v>
      </c>
      <c r="C88" s="174">
        <v>583</v>
      </c>
      <c r="D88" s="174">
        <v>278</v>
      </c>
      <c r="E88" s="174">
        <f t="shared" si="10"/>
        <v>861</v>
      </c>
      <c r="F88" s="174">
        <v>9</v>
      </c>
      <c r="G88" s="174">
        <v>8</v>
      </c>
      <c r="H88" s="174">
        <f t="shared" si="11"/>
        <v>17</v>
      </c>
      <c r="I88" s="174">
        <v>63</v>
      </c>
      <c r="J88" s="174">
        <v>44</v>
      </c>
      <c r="K88" s="174">
        <f t="shared" si="12"/>
        <v>107</v>
      </c>
      <c r="L88" s="174">
        <f t="shared" si="13"/>
        <v>985</v>
      </c>
    </row>
    <row r="89" spans="2:12" ht="12.75" x14ac:dyDescent="0.2">
      <c r="B89" s="127">
        <v>43435</v>
      </c>
      <c r="C89" s="174">
        <v>1471</v>
      </c>
      <c r="D89" s="174">
        <v>707</v>
      </c>
      <c r="E89" s="174">
        <v>2178</v>
      </c>
      <c r="F89" s="174">
        <v>34</v>
      </c>
      <c r="G89" s="174">
        <v>21</v>
      </c>
      <c r="H89" s="174">
        <v>55</v>
      </c>
      <c r="I89" s="174">
        <v>49</v>
      </c>
      <c r="J89" s="174">
        <v>38</v>
      </c>
      <c r="K89" s="174">
        <v>87</v>
      </c>
      <c r="L89" s="174">
        <f t="shared" si="13"/>
        <v>2320</v>
      </c>
    </row>
    <row r="90" spans="2:12" ht="12.75" x14ac:dyDescent="0.2">
      <c r="B90" s="138">
        <v>2018</v>
      </c>
      <c r="C90" s="139"/>
      <c r="D90" s="139"/>
      <c r="E90" s="139">
        <f>SUM(E78:E89)</f>
        <v>20444</v>
      </c>
      <c r="F90" s="139"/>
      <c r="G90" s="139"/>
      <c r="H90" s="139">
        <f>SUM(H78:H89)</f>
        <v>521</v>
      </c>
      <c r="I90" s="139"/>
      <c r="J90" s="139"/>
      <c r="K90" s="139">
        <f>SUM(K78:K89)</f>
        <v>710</v>
      </c>
      <c r="L90" s="139">
        <f>SUM(L78:L89)</f>
        <v>21675</v>
      </c>
    </row>
    <row r="91" spans="2:12" ht="12.75" x14ac:dyDescent="0.2">
      <c r="B91" s="127">
        <v>43466</v>
      </c>
      <c r="C91" s="174">
        <v>1585</v>
      </c>
      <c r="D91" s="174">
        <v>954</v>
      </c>
      <c r="E91" s="174">
        <v>2539</v>
      </c>
      <c r="F91" s="174">
        <v>44</v>
      </c>
      <c r="G91" s="174">
        <v>43</v>
      </c>
      <c r="H91" s="174">
        <v>87</v>
      </c>
      <c r="I91" s="174">
        <v>82</v>
      </c>
      <c r="J91" s="174">
        <v>27</v>
      </c>
      <c r="K91" s="174">
        <v>109</v>
      </c>
      <c r="L91" s="174">
        <f t="shared" ref="L91:L102" si="14">E91+H91+K91</f>
        <v>2735</v>
      </c>
    </row>
    <row r="92" spans="2:12" s="176" customFormat="1" ht="12.75" x14ac:dyDescent="0.2">
      <c r="B92" s="127">
        <v>43497</v>
      </c>
      <c r="C92" s="174">
        <v>1537</v>
      </c>
      <c r="D92" s="174">
        <v>762</v>
      </c>
      <c r="E92" s="174">
        <v>2299</v>
      </c>
      <c r="F92" s="174">
        <v>27</v>
      </c>
      <c r="G92" s="174">
        <v>19</v>
      </c>
      <c r="H92" s="174">
        <v>46</v>
      </c>
      <c r="I92" s="174">
        <v>54</v>
      </c>
      <c r="J92" s="174">
        <v>28</v>
      </c>
      <c r="K92" s="174">
        <v>82</v>
      </c>
      <c r="L92" s="174">
        <f t="shared" si="14"/>
        <v>2427</v>
      </c>
    </row>
    <row r="93" spans="2:12" ht="12.75" x14ac:dyDescent="0.2">
      <c r="B93" s="127">
        <v>43525</v>
      </c>
      <c r="C93" s="174">
        <v>454</v>
      </c>
      <c r="D93" s="174">
        <v>329</v>
      </c>
      <c r="E93" s="174">
        <v>783</v>
      </c>
      <c r="F93" s="174">
        <v>8</v>
      </c>
      <c r="G93" s="174">
        <v>7</v>
      </c>
      <c r="H93" s="174">
        <v>15</v>
      </c>
      <c r="I93" s="174">
        <v>5</v>
      </c>
      <c r="J93" s="174">
        <v>6</v>
      </c>
      <c r="K93" s="174">
        <v>11</v>
      </c>
      <c r="L93" s="174">
        <f t="shared" si="14"/>
        <v>809</v>
      </c>
    </row>
    <row r="94" spans="2:12" s="176" customFormat="1" ht="12.75" x14ac:dyDescent="0.2">
      <c r="B94" s="127">
        <v>43556</v>
      </c>
      <c r="C94" s="174">
        <v>988</v>
      </c>
      <c r="D94" s="174">
        <v>507</v>
      </c>
      <c r="E94" s="174">
        <v>1495</v>
      </c>
      <c r="F94" s="174">
        <v>20</v>
      </c>
      <c r="G94" s="174">
        <v>11</v>
      </c>
      <c r="H94" s="174">
        <v>31</v>
      </c>
      <c r="I94" s="174">
        <v>72</v>
      </c>
      <c r="J94" s="174">
        <v>46</v>
      </c>
      <c r="K94" s="174">
        <v>118</v>
      </c>
      <c r="L94" s="174">
        <f t="shared" si="14"/>
        <v>1644</v>
      </c>
    </row>
    <row r="95" spans="2:12" s="176" customFormat="1" ht="12.75" x14ac:dyDescent="0.2">
      <c r="B95" s="127">
        <v>43586</v>
      </c>
      <c r="C95" s="174">
        <v>995</v>
      </c>
      <c r="D95" s="174">
        <v>602</v>
      </c>
      <c r="E95" s="174">
        <v>1597</v>
      </c>
      <c r="F95" s="174">
        <v>30</v>
      </c>
      <c r="G95" s="174">
        <v>28</v>
      </c>
      <c r="H95" s="174">
        <v>58</v>
      </c>
      <c r="I95" s="174">
        <v>60</v>
      </c>
      <c r="J95" s="174">
        <v>33</v>
      </c>
      <c r="K95" s="174">
        <v>93</v>
      </c>
      <c r="L95" s="174">
        <f t="shared" si="14"/>
        <v>1748</v>
      </c>
    </row>
    <row r="96" spans="2:12" s="176" customFormat="1" ht="12.75" x14ac:dyDescent="0.2">
      <c r="B96" s="127">
        <v>43617</v>
      </c>
      <c r="C96" s="174">
        <v>1868</v>
      </c>
      <c r="D96" s="174">
        <v>1297</v>
      </c>
      <c r="E96" s="174">
        <v>3165</v>
      </c>
      <c r="F96" s="174">
        <v>86</v>
      </c>
      <c r="G96" s="174">
        <v>86</v>
      </c>
      <c r="H96" s="174">
        <v>172</v>
      </c>
      <c r="I96" s="174">
        <v>50</v>
      </c>
      <c r="J96" s="174">
        <v>30</v>
      </c>
      <c r="K96" s="174">
        <v>80</v>
      </c>
      <c r="L96" s="174">
        <f t="shared" si="14"/>
        <v>3417</v>
      </c>
    </row>
    <row r="97" spans="2:12" s="176" customFormat="1" ht="12.75" x14ac:dyDescent="0.2">
      <c r="B97" s="127">
        <v>43647</v>
      </c>
      <c r="C97" s="174">
        <v>2276</v>
      </c>
      <c r="D97" s="174">
        <v>1274</v>
      </c>
      <c r="E97" s="174">
        <v>3550</v>
      </c>
      <c r="F97" s="174">
        <v>43</v>
      </c>
      <c r="G97" s="174">
        <v>59</v>
      </c>
      <c r="H97" s="174">
        <v>102</v>
      </c>
      <c r="I97" s="174">
        <v>108</v>
      </c>
      <c r="J97" s="174">
        <v>70</v>
      </c>
      <c r="K97" s="174">
        <v>178</v>
      </c>
      <c r="L97" s="174">
        <f t="shared" si="14"/>
        <v>3830</v>
      </c>
    </row>
    <row r="98" spans="2:12" s="176" customFormat="1" ht="12.75" x14ac:dyDescent="0.2">
      <c r="B98" s="127">
        <v>43678</v>
      </c>
      <c r="C98" s="174">
        <v>1983</v>
      </c>
      <c r="D98" s="174">
        <v>1098</v>
      </c>
      <c r="E98" s="174">
        <v>3081</v>
      </c>
      <c r="F98" s="174">
        <v>57</v>
      </c>
      <c r="G98" s="174">
        <v>62</v>
      </c>
      <c r="H98" s="174">
        <v>119</v>
      </c>
      <c r="I98" s="174">
        <v>78</v>
      </c>
      <c r="J98" s="174">
        <v>37</v>
      </c>
      <c r="K98" s="174">
        <v>115</v>
      </c>
      <c r="L98" s="174">
        <f t="shared" si="14"/>
        <v>3315</v>
      </c>
    </row>
    <row r="99" spans="2:12" s="176" customFormat="1" ht="12.75" x14ac:dyDescent="0.2">
      <c r="B99" s="127">
        <v>43709</v>
      </c>
      <c r="C99" s="174">
        <v>1341</v>
      </c>
      <c r="D99" s="174">
        <v>990</v>
      </c>
      <c r="E99" s="174">
        <v>2331</v>
      </c>
      <c r="F99" s="174">
        <v>18</v>
      </c>
      <c r="G99" s="174">
        <v>11</v>
      </c>
      <c r="H99" s="174">
        <v>29</v>
      </c>
      <c r="I99" s="174">
        <v>23</v>
      </c>
      <c r="J99" s="174">
        <v>15</v>
      </c>
      <c r="K99" s="174">
        <v>38</v>
      </c>
      <c r="L99" s="174">
        <f t="shared" si="14"/>
        <v>2398</v>
      </c>
    </row>
    <row r="100" spans="2:12" s="176" customFormat="1" ht="12.75" x14ac:dyDescent="0.2">
      <c r="B100" s="127">
        <v>43739</v>
      </c>
      <c r="C100" s="174">
        <v>866</v>
      </c>
      <c r="D100" s="174">
        <v>575</v>
      </c>
      <c r="E100" s="174">
        <v>1441</v>
      </c>
      <c r="F100" s="174">
        <v>51</v>
      </c>
      <c r="G100" s="174">
        <v>40</v>
      </c>
      <c r="H100" s="174">
        <v>91</v>
      </c>
      <c r="I100" s="174">
        <v>31</v>
      </c>
      <c r="J100" s="174">
        <v>12</v>
      </c>
      <c r="K100" s="174">
        <v>43</v>
      </c>
      <c r="L100" s="174">
        <f t="shared" si="14"/>
        <v>1575</v>
      </c>
    </row>
    <row r="101" spans="2:12" s="176" customFormat="1" ht="12.75" x14ac:dyDescent="0.2">
      <c r="B101" s="127">
        <v>43770</v>
      </c>
      <c r="C101" s="174">
        <v>902</v>
      </c>
      <c r="D101" s="174">
        <v>489</v>
      </c>
      <c r="E101" s="174">
        <v>1391</v>
      </c>
      <c r="F101" s="174">
        <v>23</v>
      </c>
      <c r="G101" s="174">
        <v>20</v>
      </c>
      <c r="H101" s="174">
        <v>43</v>
      </c>
      <c r="I101" s="174">
        <v>24</v>
      </c>
      <c r="J101" s="174">
        <v>18</v>
      </c>
      <c r="K101" s="174">
        <v>42</v>
      </c>
      <c r="L101" s="174">
        <f t="shared" si="14"/>
        <v>1476</v>
      </c>
    </row>
    <row r="102" spans="2:12" s="176" customFormat="1" ht="12.75" x14ac:dyDescent="0.2">
      <c r="B102" s="127">
        <v>43800</v>
      </c>
      <c r="C102" s="174">
        <v>491</v>
      </c>
      <c r="D102" s="174">
        <v>410</v>
      </c>
      <c r="E102" s="174">
        <v>901</v>
      </c>
      <c r="F102" s="174">
        <v>12</v>
      </c>
      <c r="G102" s="174">
        <v>12</v>
      </c>
      <c r="H102" s="174">
        <v>24</v>
      </c>
      <c r="I102" s="174">
        <v>3</v>
      </c>
      <c r="J102" s="174">
        <v>1</v>
      </c>
      <c r="K102" s="174">
        <v>4</v>
      </c>
      <c r="L102" s="174">
        <f t="shared" si="14"/>
        <v>929</v>
      </c>
    </row>
    <row r="103" spans="2:12" ht="12.75" x14ac:dyDescent="0.2">
      <c r="B103" s="138">
        <v>2019</v>
      </c>
      <c r="C103" s="139"/>
      <c r="D103" s="139"/>
      <c r="E103" s="139">
        <f>SUM(E91:E102)</f>
        <v>24573</v>
      </c>
      <c r="F103" s="139"/>
      <c r="G103" s="139"/>
      <c r="H103" s="139">
        <f>SUM(H91:H102)</f>
        <v>817</v>
      </c>
      <c r="I103" s="139"/>
      <c r="J103" s="139"/>
      <c r="K103" s="139">
        <f>SUM(K91:K102)</f>
        <v>913</v>
      </c>
      <c r="L103" s="139">
        <f>SUM(L91:L102)</f>
        <v>26303</v>
      </c>
    </row>
    <row r="104" spans="2:12" ht="12.75" x14ac:dyDescent="0.2">
      <c r="B104" s="127">
        <v>43831</v>
      </c>
      <c r="C104" s="174">
        <v>1205</v>
      </c>
      <c r="D104" s="174">
        <v>702</v>
      </c>
      <c r="E104" s="174">
        <f>SUM(C104:D104)</f>
        <v>1907</v>
      </c>
      <c r="F104" s="174">
        <v>38</v>
      </c>
      <c r="G104" s="174">
        <v>19</v>
      </c>
      <c r="H104" s="174">
        <f>SUM(F104:G104)</f>
        <v>57</v>
      </c>
      <c r="I104" s="174">
        <v>54</v>
      </c>
      <c r="J104" s="174">
        <v>37</v>
      </c>
      <c r="K104" s="174">
        <f>SUM(I104:J104)</f>
        <v>91</v>
      </c>
      <c r="L104" s="174">
        <f t="shared" ref="L104:L115" si="15">E104+H104+K104</f>
        <v>2055</v>
      </c>
    </row>
    <row r="105" spans="2:12" ht="12.75" x14ac:dyDescent="0.2">
      <c r="B105" s="127">
        <v>43862</v>
      </c>
      <c r="C105" s="174">
        <v>1372</v>
      </c>
      <c r="D105" s="174">
        <v>1327</v>
      </c>
      <c r="E105" s="174">
        <f>SUM(C105:D105)</f>
        <v>2699</v>
      </c>
      <c r="F105" s="174">
        <v>81</v>
      </c>
      <c r="G105" s="174">
        <v>150</v>
      </c>
      <c r="H105" s="174">
        <f>SUM(F105:G105)</f>
        <v>231</v>
      </c>
      <c r="I105" s="174">
        <v>42</v>
      </c>
      <c r="J105" s="174">
        <v>28</v>
      </c>
      <c r="K105" s="174">
        <f>SUM(I105:J105)</f>
        <v>70</v>
      </c>
      <c r="L105" s="174">
        <f t="shared" si="15"/>
        <v>3000</v>
      </c>
    </row>
    <row r="106" spans="2:12" s="176" customFormat="1" ht="12.75" x14ac:dyDescent="0.2">
      <c r="B106" s="127">
        <v>43891</v>
      </c>
      <c r="C106" s="174">
        <v>1750</v>
      </c>
      <c r="D106" s="174">
        <v>1162</v>
      </c>
      <c r="E106" s="174">
        <f t="shared" ref="E106" si="16">SUM(C106:D106)</f>
        <v>2912</v>
      </c>
      <c r="F106" s="174">
        <v>73</v>
      </c>
      <c r="G106" s="174">
        <v>85</v>
      </c>
      <c r="H106" s="174">
        <f t="shared" ref="H106:H115" si="17">SUM(F106:G106)</f>
        <v>158</v>
      </c>
      <c r="I106" s="174">
        <v>60</v>
      </c>
      <c r="J106" s="174">
        <v>49</v>
      </c>
      <c r="K106" s="174">
        <f>SUM(I106:J106)</f>
        <v>109</v>
      </c>
      <c r="L106" s="174">
        <f t="shared" si="15"/>
        <v>3179</v>
      </c>
    </row>
    <row r="107" spans="2:12" s="176" customFormat="1" ht="12.75" x14ac:dyDescent="0.2">
      <c r="B107" s="127">
        <v>43922</v>
      </c>
      <c r="C107" s="174">
        <v>3482</v>
      </c>
      <c r="D107" s="174">
        <v>2096</v>
      </c>
      <c r="E107" s="174">
        <f t="shared" ref="E107" si="18">SUM(C107:D107)</f>
        <v>5578</v>
      </c>
      <c r="F107" s="174">
        <v>132</v>
      </c>
      <c r="G107" s="174">
        <v>116</v>
      </c>
      <c r="H107" s="174">
        <f t="shared" si="17"/>
        <v>248</v>
      </c>
      <c r="I107" s="174">
        <v>239</v>
      </c>
      <c r="J107" s="174">
        <v>157</v>
      </c>
      <c r="K107" s="174">
        <f>SUM(I107:J107)</f>
        <v>396</v>
      </c>
      <c r="L107" s="174">
        <f t="shared" si="15"/>
        <v>6222</v>
      </c>
    </row>
    <row r="108" spans="2:12" s="176" customFormat="1" ht="12.75" x14ac:dyDescent="0.2">
      <c r="B108" s="127">
        <v>43952</v>
      </c>
      <c r="C108" s="174">
        <v>3376</v>
      </c>
      <c r="D108" s="174">
        <v>1668</v>
      </c>
      <c r="E108" s="174">
        <f t="shared" ref="E108" si="19">SUM(C108:D108)</f>
        <v>5044</v>
      </c>
      <c r="F108" s="174">
        <v>71</v>
      </c>
      <c r="G108" s="174">
        <v>48</v>
      </c>
      <c r="H108" s="174">
        <f t="shared" si="17"/>
        <v>119</v>
      </c>
      <c r="I108" s="174">
        <v>238</v>
      </c>
      <c r="J108" s="174">
        <v>203</v>
      </c>
      <c r="K108" s="174">
        <f t="shared" ref="K108" si="20">SUM(I108:J108)</f>
        <v>441</v>
      </c>
      <c r="L108" s="174">
        <f t="shared" si="15"/>
        <v>5604</v>
      </c>
    </row>
    <row r="109" spans="2:12" s="176" customFormat="1" ht="12.75" x14ac:dyDescent="0.2">
      <c r="B109" s="127">
        <v>43983</v>
      </c>
      <c r="C109" s="174">
        <v>3453</v>
      </c>
      <c r="D109" s="174">
        <v>1719</v>
      </c>
      <c r="E109" s="174">
        <f t="shared" ref="E109" si="21">SUM(C109:D109)</f>
        <v>5172</v>
      </c>
      <c r="F109" s="174">
        <v>56</v>
      </c>
      <c r="G109" s="174">
        <v>45</v>
      </c>
      <c r="H109" s="174">
        <f t="shared" si="17"/>
        <v>101</v>
      </c>
      <c r="I109" s="174">
        <v>241</v>
      </c>
      <c r="J109" s="174">
        <v>217</v>
      </c>
      <c r="K109" s="174">
        <f t="shared" ref="K109" si="22">SUM(I109:J109)</f>
        <v>458</v>
      </c>
      <c r="L109" s="174">
        <f t="shared" si="15"/>
        <v>5731</v>
      </c>
    </row>
    <row r="110" spans="2:12" s="176" customFormat="1" ht="12.75" x14ac:dyDescent="0.2">
      <c r="B110" s="127">
        <v>44013</v>
      </c>
      <c r="C110" s="174">
        <v>4515</v>
      </c>
      <c r="D110" s="174">
        <v>2459</v>
      </c>
      <c r="E110" s="174">
        <f t="shared" ref="E110" si="23">SUM(C110:D110)</f>
        <v>6974</v>
      </c>
      <c r="F110" s="174">
        <v>191</v>
      </c>
      <c r="G110" s="174">
        <v>130</v>
      </c>
      <c r="H110" s="174">
        <f t="shared" si="17"/>
        <v>321</v>
      </c>
      <c r="I110" s="174">
        <v>497</v>
      </c>
      <c r="J110" s="174">
        <v>390</v>
      </c>
      <c r="K110" s="174">
        <f t="shared" ref="K110" si="24">SUM(I110:J110)</f>
        <v>887</v>
      </c>
      <c r="L110" s="174">
        <f t="shared" si="15"/>
        <v>8182</v>
      </c>
    </row>
    <row r="111" spans="2:12" s="176" customFormat="1" ht="12.75" x14ac:dyDescent="0.2">
      <c r="B111" s="127">
        <v>44044</v>
      </c>
      <c r="C111" s="174">
        <v>4543</v>
      </c>
      <c r="D111" s="174">
        <v>2497</v>
      </c>
      <c r="E111" s="174">
        <f t="shared" ref="E111" si="25">SUM(C111:D111)</f>
        <v>7040</v>
      </c>
      <c r="F111" s="174">
        <v>180</v>
      </c>
      <c r="G111" s="174">
        <v>146</v>
      </c>
      <c r="H111" s="174">
        <f t="shared" si="17"/>
        <v>326</v>
      </c>
      <c r="I111" s="174">
        <v>246</v>
      </c>
      <c r="J111" s="174">
        <v>221</v>
      </c>
      <c r="K111" s="174">
        <f t="shared" ref="K111" si="26">SUM(I111:J111)</f>
        <v>467</v>
      </c>
      <c r="L111" s="174">
        <f t="shared" si="15"/>
        <v>7833</v>
      </c>
    </row>
    <row r="112" spans="2:12" s="176" customFormat="1" ht="12.75" x14ac:dyDescent="0.2">
      <c r="B112" s="127">
        <v>44075</v>
      </c>
      <c r="C112" s="174">
        <v>2169</v>
      </c>
      <c r="D112" s="174">
        <v>1096</v>
      </c>
      <c r="E112" s="174">
        <f t="shared" ref="E112" si="27">SUM(C112:D112)</f>
        <v>3265</v>
      </c>
      <c r="F112" s="174">
        <v>93</v>
      </c>
      <c r="G112" s="174">
        <v>82</v>
      </c>
      <c r="H112" s="174">
        <f t="shared" si="17"/>
        <v>175</v>
      </c>
      <c r="I112" s="174">
        <v>123</v>
      </c>
      <c r="J112" s="174">
        <v>80</v>
      </c>
      <c r="K112" s="174">
        <f t="shared" ref="K112" si="28">SUM(I112:J112)</f>
        <v>203</v>
      </c>
      <c r="L112" s="174">
        <f t="shared" si="15"/>
        <v>3643</v>
      </c>
    </row>
    <row r="113" spans="2:13" s="176" customFormat="1" ht="12.75" x14ac:dyDescent="0.2">
      <c r="B113" s="127">
        <v>44105</v>
      </c>
      <c r="C113" s="174">
        <v>1870</v>
      </c>
      <c r="D113" s="174">
        <v>1040</v>
      </c>
      <c r="E113" s="174">
        <f t="shared" ref="E113" si="29">SUM(C113:D113)</f>
        <v>2910</v>
      </c>
      <c r="F113" s="174">
        <v>30</v>
      </c>
      <c r="G113" s="174">
        <v>43</v>
      </c>
      <c r="H113" s="174">
        <f t="shared" si="17"/>
        <v>73</v>
      </c>
      <c r="I113" s="174">
        <v>145</v>
      </c>
      <c r="J113" s="174">
        <v>90</v>
      </c>
      <c r="K113" s="174">
        <f t="shared" ref="K113" si="30">SUM(I113:J113)</f>
        <v>235</v>
      </c>
      <c r="L113" s="174">
        <f t="shared" si="15"/>
        <v>3218</v>
      </c>
    </row>
    <row r="114" spans="2:13" s="176" customFormat="1" ht="12.75" x14ac:dyDescent="0.2">
      <c r="B114" s="127">
        <v>44136</v>
      </c>
      <c r="C114" s="174">
        <v>1395</v>
      </c>
      <c r="D114" s="174">
        <v>773</v>
      </c>
      <c r="E114" s="174">
        <f t="shared" ref="E114" si="31">SUM(C114:D114)</f>
        <v>2168</v>
      </c>
      <c r="F114" s="174">
        <v>61</v>
      </c>
      <c r="G114" s="174">
        <v>54</v>
      </c>
      <c r="H114" s="174">
        <f t="shared" si="17"/>
        <v>115</v>
      </c>
      <c r="I114" s="174">
        <v>89</v>
      </c>
      <c r="J114" s="174">
        <v>79</v>
      </c>
      <c r="K114" s="174">
        <f t="shared" ref="K114" si="32">SUM(I114:J114)</f>
        <v>168</v>
      </c>
      <c r="L114" s="174">
        <f t="shared" si="15"/>
        <v>2451</v>
      </c>
    </row>
    <row r="115" spans="2:13" s="176" customFormat="1" ht="12.75" x14ac:dyDescent="0.2">
      <c r="B115" s="127">
        <v>44166</v>
      </c>
      <c r="C115" s="174">
        <v>1662</v>
      </c>
      <c r="D115" s="174">
        <v>710</v>
      </c>
      <c r="E115" s="174">
        <f t="shared" ref="E115" si="33">SUM(C115:D115)</f>
        <v>2372</v>
      </c>
      <c r="F115" s="174">
        <v>30</v>
      </c>
      <c r="G115" s="174">
        <v>31</v>
      </c>
      <c r="H115" s="174">
        <f t="shared" si="17"/>
        <v>61</v>
      </c>
      <c r="I115" s="174">
        <v>73</v>
      </c>
      <c r="J115" s="174">
        <v>61</v>
      </c>
      <c r="K115" s="174">
        <f t="shared" ref="K115" si="34">SUM(I115:J115)</f>
        <v>134</v>
      </c>
      <c r="L115" s="174">
        <f t="shared" si="15"/>
        <v>2567</v>
      </c>
    </row>
    <row r="116" spans="2:13" ht="12.75" x14ac:dyDescent="0.2">
      <c r="B116" s="138">
        <f>'Cotización Solicitudes'!B115</f>
        <v>2020</v>
      </c>
      <c r="C116" s="139"/>
      <c r="D116" s="139"/>
      <c r="E116" s="139">
        <f>SUM(E104:E115)</f>
        <v>48041</v>
      </c>
      <c r="F116" s="139"/>
      <c r="G116" s="139"/>
      <c r="H116" s="139">
        <f>SUM(H104:H115)</f>
        <v>1985</v>
      </c>
      <c r="I116" s="139"/>
      <c r="J116" s="139"/>
      <c r="K116" s="139"/>
      <c r="L116" s="139">
        <f>SUM(L104:L115)</f>
        <v>53685</v>
      </c>
    </row>
    <row r="117" spans="2:13" ht="12.75" x14ac:dyDescent="0.2">
      <c r="B117" s="127">
        <v>44197</v>
      </c>
      <c r="C117" s="174">
        <v>2090</v>
      </c>
      <c r="D117" s="174">
        <v>934</v>
      </c>
      <c r="E117" s="174">
        <f>SUM(C117:D117)</f>
        <v>3024</v>
      </c>
      <c r="F117" s="174">
        <v>46</v>
      </c>
      <c r="G117" s="174">
        <v>31</v>
      </c>
      <c r="H117" s="174">
        <f>SUM(F117:G117)</f>
        <v>77</v>
      </c>
      <c r="I117" s="174">
        <v>112</v>
      </c>
      <c r="J117" s="174">
        <v>101</v>
      </c>
      <c r="K117" s="174">
        <f>SUM(I117:J117)</f>
        <v>213</v>
      </c>
      <c r="L117" s="174">
        <f t="shared" ref="L117:L119" si="35">E117+H117+K117</f>
        <v>3314</v>
      </c>
      <c r="M117" s="39"/>
    </row>
    <row r="118" spans="2:13" s="176" customFormat="1" ht="12.75" x14ac:dyDescent="0.2">
      <c r="B118" s="127">
        <v>44228</v>
      </c>
      <c r="C118" s="174">
        <v>2887</v>
      </c>
      <c r="D118" s="174">
        <v>1200</v>
      </c>
      <c r="E118" s="174">
        <f>SUM(C118:D118)</f>
        <v>4087</v>
      </c>
      <c r="F118" s="174">
        <v>78</v>
      </c>
      <c r="G118" s="174">
        <v>53</v>
      </c>
      <c r="H118" s="174">
        <f>SUM(F118:G118)</f>
        <v>131</v>
      </c>
      <c r="I118" s="174">
        <v>114</v>
      </c>
      <c r="J118" s="174">
        <v>90</v>
      </c>
      <c r="K118" s="174">
        <f>SUM(I118:J118)</f>
        <v>204</v>
      </c>
      <c r="L118" s="174">
        <f t="shared" si="35"/>
        <v>4422</v>
      </c>
      <c r="M118" s="39"/>
    </row>
    <row r="119" spans="2:13" s="176" customFormat="1" ht="12.75" x14ac:dyDescent="0.2">
      <c r="B119" s="127">
        <v>44256</v>
      </c>
      <c r="C119" s="174">
        <v>3264</v>
      </c>
      <c r="D119" s="174">
        <v>1514</v>
      </c>
      <c r="E119" s="174">
        <f t="shared" ref="E119:E120" si="36">SUM(C119:D119)</f>
        <v>4778</v>
      </c>
      <c r="F119" s="174">
        <v>49</v>
      </c>
      <c r="G119" s="174">
        <v>53</v>
      </c>
      <c r="H119" s="174">
        <f t="shared" ref="H119:H128" si="37">SUM(F119:G119)</f>
        <v>102</v>
      </c>
      <c r="I119" s="174">
        <v>308</v>
      </c>
      <c r="J119" s="174">
        <v>203</v>
      </c>
      <c r="K119" s="174">
        <f t="shared" ref="K119" si="38">SUM(I119:J119)</f>
        <v>511</v>
      </c>
      <c r="L119" s="174">
        <f t="shared" si="35"/>
        <v>5391</v>
      </c>
      <c r="M119" s="39"/>
    </row>
    <row r="120" spans="2:13" s="176" customFormat="1" ht="12.75" x14ac:dyDescent="0.2">
      <c r="B120" s="127">
        <v>44287</v>
      </c>
      <c r="C120" s="174">
        <v>4279</v>
      </c>
      <c r="D120" s="174">
        <v>2062</v>
      </c>
      <c r="E120" s="174">
        <f t="shared" si="36"/>
        <v>6341</v>
      </c>
      <c r="F120" s="174">
        <v>106</v>
      </c>
      <c r="G120" s="174">
        <v>82</v>
      </c>
      <c r="H120" s="174">
        <f t="shared" si="37"/>
        <v>188</v>
      </c>
      <c r="I120" s="174">
        <v>342</v>
      </c>
      <c r="J120" s="174">
        <v>272</v>
      </c>
      <c r="K120" s="174">
        <f t="shared" ref="K120:K121" si="39">SUM(I120:J120)</f>
        <v>614</v>
      </c>
      <c r="L120" s="174">
        <f t="shared" ref="L120:L129" si="40">E120+H120+K120</f>
        <v>7143</v>
      </c>
      <c r="M120" s="39"/>
    </row>
    <row r="121" spans="2:13" s="176" customFormat="1" ht="12.75" x14ac:dyDescent="0.2">
      <c r="B121" s="127">
        <v>44317</v>
      </c>
      <c r="C121" s="174">
        <v>3493</v>
      </c>
      <c r="D121" s="174">
        <v>1924</v>
      </c>
      <c r="E121" s="174">
        <f>SUM(C121:D121)</f>
        <v>5417</v>
      </c>
      <c r="F121" s="174">
        <v>95</v>
      </c>
      <c r="G121" s="174">
        <v>76</v>
      </c>
      <c r="H121" s="174">
        <f t="shared" si="37"/>
        <v>171</v>
      </c>
      <c r="I121" s="174">
        <v>260</v>
      </c>
      <c r="J121" s="174">
        <v>237</v>
      </c>
      <c r="K121" s="174">
        <f t="shared" si="39"/>
        <v>497</v>
      </c>
      <c r="L121" s="174">
        <f t="shared" si="40"/>
        <v>6085</v>
      </c>
      <c r="M121" s="39"/>
    </row>
    <row r="122" spans="2:13" s="176" customFormat="1" ht="12.75" x14ac:dyDescent="0.2">
      <c r="B122" s="127">
        <v>44348</v>
      </c>
      <c r="C122" s="174">
        <v>2836</v>
      </c>
      <c r="D122" s="174">
        <v>1991</v>
      </c>
      <c r="E122" s="174">
        <f>SUM(C122:D122)</f>
        <v>4827</v>
      </c>
      <c r="F122" s="174">
        <v>87</v>
      </c>
      <c r="G122" s="174">
        <v>140</v>
      </c>
      <c r="H122" s="174">
        <f t="shared" si="37"/>
        <v>227</v>
      </c>
      <c r="I122" s="174">
        <v>262</v>
      </c>
      <c r="J122" s="174">
        <v>199</v>
      </c>
      <c r="K122" s="174">
        <f t="shared" ref="K122:K124" si="41">SUM(I122:J122)</f>
        <v>461</v>
      </c>
      <c r="L122" s="174">
        <f t="shared" ref="L122:L124" si="42">E122+H122+K122</f>
        <v>5515</v>
      </c>
      <c r="M122" s="39"/>
    </row>
    <row r="123" spans="2:13" s="176" customFormat="1" x14ac:dyDescent="0.2">
      <c r="B123" s="173">
        <v>44378</v>
      </c>
      <c r="C123" s="354">
        <v>2343</v>
      </c>
      <c r="D123" s="354">
        <v>1233</v>
      </c>
      <c r="E123" s="354">
        <f t="shared" ref="E123" si="43">SUM(C123:D123)</f>
        <v>3576</v>
      </c>
      <c r="F123" s="354">
        <v>100</v>
      </c>
      <c r="G123" s="354">
        <v>93</v>
      </c>
      <c r="H123" s="354">
        <f t="shared" si="37"/>
        <v>193</v>
      </c>
      <c r="I123" s="354">
        <v>212</v>
      </c>
      <c r="J123" s="354">
        <v>162</v>
      </c>
      <c r="K123" s="354">
        <f t="shared" si="41"/>
        <v>374</v>
      </c>
      <c r="L123" s="354">
        <f t="shared" si="42"/>
        <v>4143</v>
      </c>
      <c r="M123" s="39"/>
    </row>
    <row r="124" spans="2:13" s="176" customFormat="1" x14ac:dyDescent="0.2">
      <c r="B124" s="173">
        <v>44409</v>
      </c>
      <c r="C124" s="354">
        <v>2201</v>
      </c>
      <c r="D124" s="354">
        <v>996</v>
      </c>
      <c r="E124" s="354">
        <f t="shared" ref="E124:E126" si="44">SUM(C124:D124)</f>
        <v>3197</v>
      </c>
      <c r="F124" s="354">
        <v>47</v>
      </c>
      <c r="G124" s="354">
        <v>37</v>
      </c>
      <c r="H124" s="354">
        <f t="shared" si="37"/>
        <v>84</v>
      </c>
      <c r="I124" s="354">
        <v>212</v>
      </c>
      <c r="J124" s="354">
        <v>146</v>
      </c>
      <c r="K124" s="354">
        <f t="shared" si="41"/>
        <v>358</v>
      </c>
      <c r="L124" s="354">
        <f t="shared" si="42"/>
        <v>3639</v>
      </c>
      <c r="M124" s="39"/>
    </row>
    <row r="125" spans="2:13" s="176" customFormat="1" ht="12.75" x14ac:dyDescent="0.2">
      <c r="B125" s="127">
        <v>44440</v>
      </c>
      <c r="C125" s="354">
        <v>1991</v>
      </c>
      <c r="D125" s="354">
        <v>1077</v>
      </c>
      <c r="E125" s="354">
        <f t="shared" si="44"/>
        <v>3068</v>
      </c>
      <c r="F125" s="354">
        <v>76</v>
      </c>
      <c r="G125" s="354">
        <v>70</v>
      </c>
      <c r="H125" s="354">
        <f t="shared" si="37"/>
        <v>146</v>
      </c>
      <c r="I125" s="354">
        <v>208</v>
      </c>
      <c r="J125" s="354">
        <v>146</v>
      </c>
      <c r="K125" s="354">
        <f t="shared" ref="K125" si="45">SUM(I125:J125)</f>
        <v>354</v>
      </c>
      <c r="L125" s="354">
        <f t="shared" ref="L125" si="46">E125+H125+K125</f>
        <v>3568</v>
      </c>
      <c r="M125" s="39"/>
    </row>
    <row r="126" spans="2:13" s="176" customFormat="1" x14ac:dyDescent="0.2">
      <c r="B126" s="173">
        <v>44470</v>
      </c>
      <c r="C126" s="354">
        <v>1639</v>
      </c>
      <c r="D126" s="354">
        <v>788</v>
      </c>
      <c r="E126" s="354">
        <f t="shared" si="44"/>
        <v>2427</v>
      </c>
      <c r="F126" s="354">
        <v>61</v>
      </c>
      <c r="G126" s="354">
        <v>34</v>
      </c>
      <c r="H126" s="354">
        <f t="shared" si="37"/>
        <v>95</v>
      </c>
      <c r="I126" s="354">
        <v>144</v>
      </c>
      <c r="J126" s="354">
        <v>79</v>
      </c>
      <c r="K126" s="354">
        <f t="shared" ref="K126:K128" si="47">SUM(I126:J126)</f>
        <v>223</v>
      </c>
      <c r="L126" s="354">
        <f t="shared" ref="L126:L128" si="48">E126+H126+K126</f>
        <v>2745</v>
      </c>
      <c r="M126" s="39"/>
    </row>
    <row r="127" spans="2:13" s="176" customFormat="1" x14ac:dyDescent="0.2">
      <c r="B127" s="173">
        <v>44501</v>
      </c>
      <c r="C127" s="354">
        <v>1532</v>
      </c>
      <c r="D127" s="354">
        <v>765</v>
      </c>
      <c r="E127" s="354">
        <f t="shared" ref="E127" si="49">SUM(C127:D127)</f>
        <v>2297</v>
      </c>
      <c r="F127" s="354">
        <v>25</v>
      </c>
      <c r="G127" s="354">
        <v>18</v>
      </c>
      <c r="H127" s="354">
        <f t="shared" si="37"/>
        <v>43</v>
      </c>
      <c r="I127" s="354">
        <v>179</v>
      </c>
      <c r="J127" s="354">
        <v>114</v>
      </c>
      <c r="K127" s="354">
        <f t="shared" si="47"/>
        <v>293</v>
      </c>
      <c r="L127" s="354">
        <f t="shared" si="48"/>
        <v>2633</v>
      </c>
      <c r="M127" s="39"/>
    </row>
    <row r="128" spans="2:13" s="176" customFormat="1" x14ac:dyDescent="0.2">
      <c r="B128" s="173">
        <v>44531</v>
      </c>
      <c r="C128" s="354">
        <v>1277</v>
      </c>
      <c r="D128" s="354">
        <v>646</v>
      </c>
      <c r="E128" s="354">
        <f t="shared" ref="E128" si="50">SUM(C128:D128)</f>
        <v>1923</v>
      </c>
      <c r="F128" s="354">
        <v>39</v>
      </c>
      <c r="G128" s="354">
        <v>24</v>
      </c>
      <c r="H128" s="354">
        <f t="shared" si="37"/>
        <v>63</v>
      </c>
      <c r="I128" s="354">
        <v>76</v>
      </c>
      <c r="J128" s="354">
        <v>105</v>
      </c>
      <c r="K128" s="354">
        <f t="shared" si="47"/>
        <v>181</v>
      </c>
      <c r="L128" s="354">
        <f t="shared" si="48"/>
        <v>2167</v>
      </c>
      <c r="M128" s="39"/>
    </row>
    <row r="129" spans="2:12" ht="12.75" x14ac:dyDescent="0.2">
      <c r="B129" s="138">
        <f>'Contratación Solicitudes'!B132</f>
        <v>2020</v>
      </c>
      <c r="C129" s="139"/>
      <c r="D129" s="139"/>
      <c r="E129" s="139">
        <f>SUM(E117:E128)</f>
        <v>44962</v>
      </c>
      <c r="F129" s="139"/>
      <c r="G129" s="139"/>
      <c r="H129" s="139">
        <f>SUM(H117:H128)</f>
        <v>1520</v>
      </c>
      <c r="I129" s="139"/>
      <c r="J129" s="139"/>
      <c r="K129" s="139">
        <f>SUM(K117:K128)</f>
        <v>4283</v>
      </c>
      <c r="L129" s="139">
        <f t="shared" si="40"/>
        <v>50765</v>
      </c>
    </row>
    <row r="130" spans="2:12" x14ac:dyDescent="0.2">
      <c r="B130" s="176" t="s">
        <v>473</v>
      </c>
    </row>
  </sheetData>
  <mergeCells count="8">
    <mergeCell ref="B5:L5"/>
    <mergeCell ref="B6:L6"/>
    <mergeCell ref="B8:B10"/>
    <mergeCell ref="C8:L8"/>
    <mergeCell ref="C9:E9"/>
    <mergeCell ref="F9:H9"/>
    <mergeCell ref="I9:K9"/>
    <mergeCell ref="L9:L10"/>
  </mergeCells>
  <hyperlinks>
    <hyperlink ref="N5" location="'Índice STJ'!A1" display="'Índice STJ'!A1" xr:uid="{00000000-0004-0000-1F00-000000000000}"/>
  </hyperlinks>
  <pageMargins left="0.7" right="0.7" top="0.75" bottom="0.75" header="0.3" footer="0.3"/>
  <pageSetup orientation="portrait" horizontalDpi="300" verticalDpi="300" r:id="rId1"/>
  <ignoredErrors>
    <ignoredError sqref="E25:K25 E104:E105 E106:E109 E110:E111" formulaRange="1"/>
    <ignoredError sqref="L103" formula="1"/>
    <ignoredError sqref="L25" formula="1" formulaRange="1"/>
  </ignoredError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2:K178"/>
  <sheetViews>
    <sheetView showGridLines="0" zoomScale="90" zoomScaleNormal="90" workbookViewId="0">
      <pane xSplit="2" ySplit="10" topLeftCell="C152" activePane="bottomRight" state="frozen"/>
      <selection activeCell="F131" sqref="F131"/>
      <selection pane="topRight" activeCell="F131" sqref="F131"/>
      <selection pane="bottomLeft" activeCell="F131" sqref="F131"/>
      <selection pane="bottomRight" activeCell="C167" sqref="C167"/>
    </sheetView>
  </sheetViews>
  <sheetFormatPr baseColWidth="10" defaultColWidth="11.42578125" defaultRowHeight="12" x14ac:dyDescent="0.2"/>
  <cols>
    <col min="1" max="1" width="6" style="25" customWidth="1"/>
    <col min="2" max="3" width="11.42578125" style="25"/>
    <col min="4" max="4" width="13.42578125" style="25" customWidth="1"/>
    <col min="5" max="16384" width="11.42578125" style="25"/>
  </cols>
  <sheetData>
    <row r="2" spans="1:11" x14ac:dyDescent="0.2">
      <c r="A2" s="47" t="s">
        <v>101</v>
      </c>
      <c r="K2" s="328"/>
    </row>
    <row r="3" spans="1:11" x14ac:dyDescent="0.2">
      <c r="A3" s="47" t="s">
        <v>102</v>
      </c>
    </row>
    <row r="5" spans="1:11" ht="12.75" x14ac:dyDescent="0.2">
      <c r="B5" s="369" t="s">
        <v>543</v>
      </c>
      <c r="C5" s="369"/>
      <c r="D5" s="369"/>
      <c r="E5" s="369"/>
      <c r="F5" s="369"/>
      <c r="G5" s="369"/>
      <c r="H5" s="369"/>
      <c r="J5" s="115" t="s">
        <v>569</v>
      </c>
    </row>
    <row r="6" spans="1:11" ht="12.75" x14ac:dyDescent="0.2">
      <c r="B6" s="445" t="s">
        <v>623</v>
      </c>
      <c r="C6" s="445"/>
      <c r="D6" s="445"/>
      <c r="E6" s="445"/>
      <c r="F6" s="445"/>
      <c r="G6" s="445"/>
      <c r="H6" s="445"/>
    </row>
    <row r="8" spans="1:11" x14ac:dyDescent="0.2">
      <c r="B8" s="446" t="s">
        <v>463</v>
      </c>
      <c r="C8" s="449" t="s">
        <v>544</v>
      </c>
      <c r="D8" s="450"/>
      <c r="E8" s="451" t="s">
        <v>545</v>
      </c>
      <c r="F8" s="452"/>
      <c r="G8" s="452"/>
      <c r="H8" s="453"/>
    </row>
    <row r="9" spans="1:11" ht="26.25" customHeight="1" x14ac:dyDescent="0.2">
      <c r="B9" s="447"/>
      <c r="C9" s="454" t="s">
        <v>546</v>
      </c>
      <c r="D9" s="454" t="s">
        <v>547</v>
      </c>
      <c r="E9" s="456" t="s">
        <v>546</v>
      </c>
      <c r="F9" s="458" t="s">
        <v>548</v>
      </c>
      <c r="G9" s="459"/>
      <c r="H9" s="460"/>
    </row>
    <row r="10" spans="1:11" ht="36" customHeight="1" x14ac:dyDescent="0.2">
      <c r="B10" s="448"/>
      <c r="C10" s="455"/>
      <c r="D10" s="455"/>
      <c r="E10" s="457"/>
      <c r="F10" s="166" t="s">
        <v>549</v>
      </c>
      <c r="G10" s="166" t="s">
        <v>550</v>
      </c>
      <c r="H10" s="348" t="s">
        <v>526</v>
      </c>
    </row>
    <row r="11" spans="1:11" x14ac:dyDescent="0.2">
      <c r="B11" s="177">
        <v>39873</v>
      </c>
      <c r="C11" s="87">
        <v>10625</v>
      </c>
      <c r="D11" s="88">
        <v>174</v>
      </c>
      <c r="E11" s="88" t="s">
        <v>551</v>
      </c>
      <c r="F11" s="88"/>
      <c r="G11" s="88"/>
      <c r="H11" s="88"/>
    </row>
    <row r="12" spans="1:11" x14ac:dyDescent="0.2">
      <c r="B12" s="177">
        <v>39904</v>
      </c>
      <c r="C12" s="87">
        <v>6095</v>
      </c>
      <c r="D12" s="88">
        <v>194</v>
      </c>
      <c r="E12" s="88" t="s">
        <v>551</v>
      </c>
      <c r="F12" s="88"/>
      <c r="G12" s="88"/>
      <c r="H12" s="88"/>
    </row>
    <row r="13" spans="1:11" x14ac:dyDescent="0.2">
      <c r="B13" s="177">
        <v>39934</v>
      </c>
      <c r="C13" s="87">
        <v>7497</v>
      </c>
      <c r="D13" s="88">
        <v>290</v>
      </c>
      <c r="E13" s="88" t="s">
        <v>551</v>
      </c>
      <c r="F13" s="88"/>
      <c r="G13" s="88"/>
      <c r="H13" s="88"/>
    </row>
    <row r="14" spans="1:11" x14ac:dyDescent="0.2">
      <c r="B14" s="177">
        <v>39965</v>
      </c>
      <c r="C14" s="87">
        <v>8878</v>
      </c>
      <c r="D14" s="88">
        <v>241</v>
      </c>
      <c r="E14" s="88" t="s">
        <v>551</v>
      </c>
      <c r="F14" s="88"/>
      <c r="G14" s="88"/>
      <c r="H14" s="88"/>
    </row>
    <row r="15" spans="1:11" x14ac:dyDescent="0.2">
      <c r="B15" s="177">
        <v>39995</v>
      </c>
      <c r="C15" s="87">
        <v>13580</v>
      </c>
      <c r="D15" s="88">
        <v>349</v>
      </c>
      <c r="E15" s="88" t="s">
        <v>551</v>
      </c>
      <c r="F15" s="88"/>
      <c r="G15" s="88"/>
      <c r="H15" s="88"/>
    </row>
    <row r="16" spans="1:11" x14ac:dyDescent="0.2">
      <c r="B16" s="177">
        <v>40026</v>
      </c>
      <c r="C16" s="87">
        <v>9451</v>
      </c>
      <c r="D16" s="88">
        <v>290</v>
      </c>
      <c r="E16" s="88" t="s">
        <v>551</v>
      </c>
      <c r="F16" s="88"/>
      <c r="G16" s="88"/>
      <c r="H16" s="88"/>
    </row>
    <row r="17" spans="2:8" x14ac:dyDescent="0.2">
      <c r="B17" s="177">
        <v>40057</v>
      </c>
      <c r="C17" s="87">
        <v>16175</v>
      </c>
      <c r="D17" s="88">
        <v>423</v>
      </c>
      <c r="E17" s="88" t="s">
        <v>551</v>
      </c>
      <c r="F17" s="88"/>
      <c r="G17" s="88"/>
      <c r="H17" s="88"/>
    </row>
    <row r="18" spans="2:8" x14ac:dyDescent="0.2">
      <c r="B18" s="177">
        <v>40087</v>
      </c>
      <c r="C18" s="87">
        <v>21738</v>
      </c>
      <c r="D18" s="88">
        <v>442</v>
      </c>
      <c r="E18" s="88" t="s">
        <v>551</v>
      </c>
      <c r="F18" s="88"/>
      <c r="G18" s="88"/>
      <c r="H18" s="88"/>
    </row>
    <row r="19" spans="2:8" x14ac:dyDescent="0.2">
      <c r="B19" s="177">
        <v>40118</v>
      </c>
      <c r="C19" s="87">
        <v>20687</v>
      </c>
      <c r="D19" s="88">
        <v>464</v>
      </c>
      <c r="E19" s="88" t="s">
        <v>551</v>
      </c>
      <c r="F19" s="88"/>
      <c r="G19" s="88"/>
      <c r="H19" s="88"/>
    </row>
    <row r="20" spans="2:8" x14ac:dyDescent="0.2">
      <c r="B20" s="177">
        <v>40148</v>
      </c>
      <c r="C20" s="87">
        <v>19925</v>
      </c>
      <c r="D20" s="88">
        <v>464</v>
      </c>
      <c r="E20" s="88" t="s">
        <v>551</v>
      </c>
      <c r="F20" s="88"/>
      <c r="G20" s="88"/>
      <c r="H20" s="88"/>
    </row>
    <row r="21" spans="2:8" x14ac:dyDescent="0.2">
      <c r="B21" s="177">
        <v>40179</v>
      </c>
      <c r="C21" s="87">
        <v>14517</v>
      </c>
      <c r="D21" s="88">
        <v>460</v>
      </c>
      <c r="E21" s="88" t="s">
        <v>551</v>
      </c>
      <c r="F21" s="88"/>
      <c r="G21" s="88"/>
      <c r="H21" s="88"/>
    </row>
    <row r="22" spans="2:8" x14ac:dyDescent="0.2">
      <c r="B22" s="177">
        <v>40210</v>
      </c>
      <c r="C22" s="87">
        <v>21073</v>
      </c>
      <c r="D22" s="88">
        <v>461</v>
      </c>
      <c r="E22" s="88" t="s">
        <v>551</v>
      </c>
      <c r="F22" s="88"/>
      <c r="G22" s="88"/>
      <c r="H22" s="88"/>
    </row>
    <row r="23" spans="2:8" x14ac:dyDescent="0.2">
      <c r="B23" s="177">
        <v>40238</v>
      </c>
      <c r="C23" s="87">
        <v>1853</v>
      </c>
      <c r="D23" s="88">
        <v>230</v>
      </c>
      <c r="E23" s="88" t="s">
        <v>551</v>
      </c>
      <c r="F23" s="88"/>
      <c r="G23" s="88"/>
      <c r="H23" s="88"/>
    </row>
    <row r="24" spans="2:8" x14ac:dyDescent="0.2">
      <c r="B24" s="177">
        <v>40269</v>
      </c>
      <c r="C24" s="87">
        <v>34023</v>
      </c>
      <c r="D24" s="88">
        <v>448</v>
      </c>
      <c r="E24" s="88" t="s">
        <v>551</v>
      </c>
      <c r="F24" s="88"/>
      <c r="G24" s="88"/>
      <c r="H24" s="88"/>
    </row>
    <row r="25" spans="2:8" x14ac:dyDescent="0.2">
      <c r="B25" s="177">
        <v>40299</v>
      </c>
      <c r="C25" s="87">
        <v>12204</v>
      </c>
      <c r="D25" s="88">
        <v>424</v>
      </c>
      <c r="E25" s="88" t="s">
        <v>551</v>
      </c>
      <c r="F25" s="88"/>
      <c r="G25" s="88"/>
      <c r="H25" s="88"/>
    </row>
    <row r="26" spans="2:8" x14ac:dyDescent="0.2">
      <c r="B26" s="177">
        <v>40330</v>
      </c>
      <c r="C26" s="87">
        <v>1575</v>
      </c>
      <c r="D26" s="88">
        <v>167</v>
      </c>
      <c r="E26" s="88" t="s">
        <v>551</v>
      </c>
      <c r="F26" s="88"/>
      <c r="G26" s="88"/>
      <c r="H26" s="88"/>
    </row>
    <row r="27" spans="2:8" x14ac:dyDescent="0.2">
      <c r="B27" s="177">
        <v>40360</v>
      </c>
      <c r="C27" s="87">
        <v>1875</v>
      </c>
      <c r="D27" s="88">
        <v>166</v>
      </c>
      <c r="E27" s="88" t="s">
        <v>551</v>
      </c>
      <c r="F27" s="88"/>
      <c r="G27" s="88"/>
      <c r="H27" s="88"/>
    </row>
    <row r="28" spans="2:8" x14ac:dyDescent="0.2">
      <c r="B28" s="177">
        <v>40391</v>
      </c>
      <c r="C28" s="87">
        <v>7627</v>
      </c>
      <c r="D28" s="88">
        <v>189</v>
      </c>
      <c r="E28" s="88" t="s">
        <v>551</v>
      </c>
      <c r="F28" s="88"/>
      <c r="G28" s="88"/>
      <c r="H28" s="88"/>
    </row>
    <row r="29" spans="2:8" x14ac:dyDescent="0.2">
      <c r="B29" s="177">
        <v>40422</v>
      </c>
      <c r="C29" s="87">
        <v>1802</v>
      </c>
      <c r="D29" s="88">
        <v>151</v>
      </c>
      <c r="E29" s="88" t="s">
        <v>551</v>
      </c>
      <c r="F29" s="88"/>
      <c r="G29" s="88"/>
      <c r="H29" s="88"/>
    </row>
    <row r="30" spans="2:8" x14ac:dyDescent="0.2">
      <c r="B30" s="177">
        <v>40452</v>
      </c>
      <c r="C30" s="87">
        <v>3251</v>
      </c>
      <c r="D30" s="88">
        <v>152</v>
      </c>
      <c r="E30" s="88" t="s">
        <v>551</v>
      </c>
      <c r="F30" s="88"/>
      <c r="G30" s="88"/>
      <c r="H30" s="88"/>
    </row>
    <row r="31" spans="2:8" x14ac:dyDescent="0.2">
      <c r="B31" s="177">
        <v>40483</v>
      </c>
      <c r="C31" s="88">
        <v>986</v>
      </c>
      <c r="D31" s="88">
        <v>122</v>
      </c>
      <c r="E31" s="88" t="s">
        <v>551</v>
      </c>
      <c r="F31" s="88"/>
      <c r="G31" s="88"/>
      <c r="H31" s="88"/>
    </row>
    <row r="32" spans="2:8" x14ac:dyDescent="0.2">
      <c r="B32" s="177">
        <v>40513</v>
      </c>
      <c r="C32" s="87">
        <v>1370</v>
      </c>
      <c r="D32" s="88">
        <v>102</v>
      </c>
      <c r="E32" s="88" t="s">
        <v>551</v>
      </c>
      <c r="F32" s="88"/>
      <c r="G32" s="88"/>
      <c r="H32" s="88"/>
    </row>
    <row r="33" spans="2:8" x14ac:dyDescent="0.2">
      <c r="B33" s="177">
        <v>40544</v>
      </c>
      <c r="C33" s="88">
        <v>547</v>
      </c>
      <c r="D33" s="88">
        <v>96</v>
      </c>
      <c r="E33" s="88" t="s">
        <v>551</v>
      </c>
      <c r="F33" s="88"/>
      <c r="G33" s="88"/>
      <c r="H33" s="88"/>
    </row>
    <row r="34" spans="2:8" x14ac:dyDescent="0.2">
      <c r="B34" s="177">
        <v>40575</v>
      </c>
      <c r="C34" s="88">
        <v>986</v>
      </c>
      <c r="D34" s="88">
        <v>105</v>
      </c>
      <c r="E34" s="88" t="s">
        <v>551</v>
      </c>
      <c r="F34" s="88"/>
      <c r="G34" s="88"/>
      <c r="H34" s="88"/>
    </row>
    <row r="35" spans="2:8" x14ac:dyDescent="0.2">
      <c r="B35" s="177">
        <v>40603</v>
      </c>
      <c r="C35" s="88">
        <v>531</v>
      </c>
      <c r="D35" s="88">
        <v>76</v>
      </c>
      <c r="E35" s="88" t="s">
        <v>551</v>
      </c>
      <c r="F35" s="88"/>
      <c r="G35" s="88"/>
      <c r="H35" s="88"/>
    </row>
    <row r="36" spans="2:8" x14ac:dyDescent="0.2">
      <c r="B36" s="177">
        <v>40634</v>
      </c>
      <c r="C36" s="87">
        <v>1064</v>
      </c>
      <c r="D36" s="88">
        <v>129</v>
      </c>
      <c r="E36" s="88" t="s">
        <v>551</v>
      </c>
      <c r="F36" s="88"/>
      <c r="G36" s="88"/>
      <c r="H36" s="88"/>
    </row>
    <row r="37" spans="2:8" x14ac:dyDescent="0.2">
      <c r="B37" s="177">
        <v>40664</v>
      </c>
      <c r="C37" s="87">
        <v>1100</v>
      </c>
      <c r="D37" s="88">
        <v>91</v>
      </c>
      <c r="E37" s="88" t="s">
        <v>551</v>
      </c>
      <c r="F37" s="88"/>
      <c r="G37" s="88"/>
      <c r="H37" s="88"/>
    </row>
    <row r="38" spans="2:8" x14ac:dyDescent="0.2">
      <c r="B38" s="177">
        <v>40695</v>
      </c>
      <c r="C38" s="87">
        <v>1238</v>
      </c>
      <c r="D38" s="88">
        <v>106</v>
      </c>
      <c r="E38" s="88" t="s">
        <v>551</v>
      </c>
      <c r="F38" s="88"/>
      <c r="G38" s="88"/>
      <c r="H38" s="88"/>
    </row>
    <row r="39" spans="2:8" x14ac:dyDescent="0.2">
      <c r="B39" s="177">
        <v>40725</v>
      </c>
      <c r="C39" s="88">
        <v>173</v>
      </c>
      <c r="D39" s="88">
        <v>25</v>
      </c>
      <c r="E39" s="88" t="s">
        <v>551</v>
      </c>
      <c r="F39" s="88"/>
      <c r="G39" s="88"/>
      <c r="H39" s="88"/>
    </row>
    <row r="40" spans="2:8" x14ac:dyDescent="0.2">
      <c r="B40" s="177">
        <v>40756</v>
      </c>
      <c r="C40" s="88">
        <v>810</v>
      </c>
      <c r="D40" s="88">
        <v>59</v>
      </c>
      <c r="E40" s="88" t="s">
        <v>551</v>
      </c>
      <c r="F40" s="88"/>
      <c r="G40" s="88"/>
      <c r="H40" s="88"/>
    </row>
    <row r="41" spans="2:8" x14ac:dyDescent="0.2">
      <c r="B41" s="177">
        <v>40787</v>
      </c>
      <c r="C41" s="88">
        <v>476</v>
      </c>
      <c r="D41" s="88">
        <v>65</v>
      </c>
      <c r="E41" s="87">
        <v>1634</v>
      </c>
      <c r="F41" s="87"/>
      <c r="G41" s="87"/>
      <c r="H41" s="87">
        <v>1620</v>
      </c>
    </row>
    <row r="42" spans="2:8" x14ac:dyDescent="0.2">
      <c r="B42" s="177">
        <v>40817</v>
      </c>
      <c r="C42" s="87">
        <v>1568</v>
      </c>
      <c r="D42" s="88">
        <v>75</v>
      </c>
      <c r="E42" s="87">
        <v>5036</v>
      </c>
      <c r="F42" s="87"/>
      <c r="G42" s="87"/>
      <c r="H42" s="87">
        <v>4518</v>
      </c>
    </row>
    <row r="43" spans="2:8" x14ac:dyDescent="0.2">
      <c r="B43" s="177">
        <v>40848</v>
      </c>
      <c r="C43" s="88">
        <v>906</v>
      </c>
      <c r="D43" s="88">
        <v>39</v>
      </c>
      <c r="E43" s="87">
        <v>12015</v>
      </c>
      <c r="F43" s="87"/>
      <c r="G43" s="87"/>
      <c r="H43" s="87">
        <v>10939</v>
      </c>
    </row>
    <row r="44" spans="2:8" x14ac:dyDescent="0.2">
      <c r="B44" s="177">
        <v>40878</v>
      </c>
      <c r="C44" s="87">
        <v>1270</v>
      </c>
      <c r="D44" s="88">
        <v>71</v>
      </c>
      <c r="E44" s="87">
        <v>22261</v>
      </c>
      <c r="F44" s="87"/>
      <c r="G44" s="87"/>
      <c r="H44" s="87">
        <v>21512</v>
      </c>
    </row>
    <row r="45" spans="2:8" x14ac:dyDescent="0.2">
      <c r="B45" s="177">
        <v>40909</v>
      </c>
      <c r="C45" s="87">
        <v>1221</v>
      </c>
      <c r="D45" s="88">
        <v>65</v>
      </c>
      <c r="E45" s="87">
        <v>24129</v>
      </c>
      <c r="F45" s="87"/>
      <c r="G45" s="87"/>
      <c r="H45" s="87">
        <v>20099</v>
      </c>
    </row>
    <row r="46" spans="2:8" x14ac:dyDescent="0.2">
      <c r="B46" s="177">
        <v>40940</v>
      </c>
      <c r="C46" s="88">
        <v>902</v>
      </c>
      <c r="D46" s="88">
        <v>58</v>
      </c>
      <c r="E46" s="87">
        <v>22063</v>
      </c>
      <c r="F46" s="87"/>
      <c r="G46" s="87"/>
      <c r="H46" s="87">
        <v>19781</v>
      </c>
    </row>
    <row r="47" spans="2:8" x14ac:dyDescent="0.2">
      <c r="B47" s="177">
        <v>40969</v>
      </c>
      <c r="C47" s="87">
        <v>2605</v>
      </c>
      <c r="D47" s="88">
        <v>58</v>
      </c>
      <c r="E47" s="87">
        <v>36966</v>
      </c>
      <c r="F47" s="87"/>
      <c r="G47" s="87"/>
      <c r="H47" s="87">
        <v>28773</v>
      </c>
    </row>
    <row r="48" spans="2:8" x14ac:dyDescent="0.2">
      <c r="B48" s="177">
        <v>41000</v>
      </c>
      <c r="C48" s="88">
        <v>982</v>
      </c>
      <c r="D48" s="88">
        <v>44</v>
      </c>
      <c r="E48" s="87">
        <v>16479</v>
      </c>
      <c r="F48" s="87"/>
      <c r="G48" s="87"/>
      <c r="H48" s="87">
        <v>16232</v>
      </c>
    </row>
    <row r="49" spans="2:8" x14ac:dyDescent="0.2">
      <c r="B49" s="177">
        <v>41030</v>
      </c>
      <c r="C49" s="87">
        <v>3220</v>
      </c>
      <c r="D49" s="88">
        <v>72</v>
      </c>
      <c r="E49" s="87">
        <v>28814</v>
      </c>
      <c r="F49" s="87"/>
      <c r="G49" s="87"/>
      <c r="H49" s="87">
        <v>23849</v>
      </c>
    </row>
    <row r="50" spans="2:8" x14ac:dyDescent="0.2">
      <c r="B50" s="177">
        <v>41061</v>
      </c>
      <c r="C50" s="87">
        <v>1267</v>
      </c>
      <c r="D50" s="88">
        <v>49</v>
      </c>
      <c r="E50" s="87">
        <v>25375</v>
      </c>
      <c r="F50" s="87"/>
      <c r="G50" s="87"/>
      <c r="H50" s="87">
        <v>22057</v>
      </c>
    </row>
    <row r="51" spans="2:8" x14ac:dyDescent="0.2">
      <c r="B51" s="177">
        <v>41091</v>
      </c>
      <c r="C51" s="87">
        <v>1000</v>
      </c>
      <c r="D51" s="88">
        <v>53</v>
      </c>
      <c r="E51" s="87">
        <v>23209</v>
      </c>
      <c r="F51" s="87"/>
      <c r="G51" s="87"/>
      <c r="H51" s="87">
        <v>21672</v>
      </c>
    </row>
    <row r="52" spans="2:8" x14ac:dyDescent="0.2">
      <c r="B52" s="177">
        <v>41122</v>
      </c>
      <c r="C52" s="87">
        <v>1130</v>
      </c>
      <c r="D52" s="88">
        <v>58</v>
      </c>
      <c r="E52" s="87">
        <v>21429</v>
      </c>
      <c r="F52" s="87"/>
      <c r="G52" s="87"/>
      <c r="H52" s="87">
        <v>20285</v>
      </c>
    </row>
    <row r="53" spans="2:8" x14ac:dyDescent="0.2">
      <c r="B53" s="177">
        <v>41153</v>
      </c>
      <c r="C53" s="87">
        <v>1082</v>
      </c>
      <c r="D53" s="88">
        <v>56</v>
      </c>
      <c r="E53" s="87">
        <v>26360</v>
      </c>
      <c r="F53" s="87"/>
      <c r="G53" s="87"/>
      <c r="H53" s="87">
        <v>23448</v>
      </c>
    </row>
    <row r="54" spans="2:8" x14ac:dyDescent="0.2">
      <c r="B54" s="177">
        <v>41183</v>
      </c>
      <c r="C54" s="87">
        <v>1205</v>
      </c>
      <c r="D54" s="88">
        <v>63</v>
      </c>
      <c r="E54" s="87">
        <v>24056</v>
      </c>
      <c r="F54" s="87"/>
      <c r="G54" s="87"/>
      <c r="H54" s="87">
        <v>22693</v>
      </c>
    </row>
    <row r="55" spans="2:8" x14ac:dyDescent="0.2">
      <c r="B55" s="177">
        <v>41214</v>
      </c>
      <c r="C55" s="88">
        <v>637</v>
      </c>
      <c r="D55" s="88">
        <v>47</v>
      </c>
      <c r="E55" s="87">
        <v>19225</v>
      </c>
      <c r="F55" s="87"/>
      <c r="G55" s="87"/>
      <c r="H55" s="87">
        <v>18399</v>
      </c>
    </row>
    <row r="56" spans="2:8" x14ac:dyDescent="0.2">
      <c r="B56" s="177">
        <v>41244</v>
      </c>
      <c r="C56" s="88">
        <v>840</v>
      </c>
      <c r="D56" s="88">
        <v>32</v>
      </c>
      <c r="E56" s="87">
        <v>11256</v>
      </c>
      <c r="F56" s="87"/>
      <c r="G56" s="87"/>
      <c r="H56" s="87">
        <v>10911</v>
      </c>
    </row>
    <row r="57" spans="2:8" x14ac:dyDescent="0.2">
      <c r="B57" s="177">
        <v>41275</v>
      </c>
      <c r="C57" s="88">
        <v>931</v>
      </c>
      <c r="D57" s="88">
        <v>56</v>
      </c>
      <c r="E57" s="87">
        <v>40005</v>
      </c>
      <c r="F57" s="87"/>
      <c r="G57" s="87"/>
      <c r="H57" s="87">
        <v>27853</v>
      </c>
    </row>
    <row r="58" spans="2:8" x14ac:dyDescent="0.2">
      <c r="B58" s="177">
        <v>41306</v>
      </c>
      <c r="C58" s="87">
        <v>1270</v>
      </c>
      <c r="D58" s="88">
        <v>64</v>
      </c>
      <c r="E58" s="87">
        <v>24170</v>
      </c>
      <c r="F58" s="87"/>
      <c r="G58" s="87"/>
      <c r="H58" s="87">
        <v>22694</v>
      </c>
    </row>
    <row r="59" spans="2:8" x14ac:dyDescent="0.2">
      <c r="B59" s="177">
        <v>41334</v>
      </c>
      <c r="C59" s="88">
        <v>826</v>
      </c>
      <c r="D59" s="88">
        <v>41</v>
      </c>
      <c r="E59" s="87">
        <v>23845</v>
      </c>
      <c r="F59" s="87"/>
      <c r="G59" s="87"/>
      <c r="H59" s="87">
        <v>22309</v>
      </c>
    </row>
    <row r="60" spans="2:8" x14ac:dyDescent="0.2">
      <c r="B60" s="177">
        <v>41365</v>
      </c>
      <c r="C60" s="87">
        <v>1037</v>
      </c>
      <c r="D60" s="88">
        <v>51</v>
      </c>
      <c r="E60" s="87">
        <v>26008</v>
      </c>
      <c r="F60" s="87"/>
      <c r="G60" s="87"/>
      <c r="H60" s="87">
        <v>23693</v>
      </c>
    </row>
    <row r="61" spans="2:8" x14ac:dyDescent="0.2">
      <c r="B61" s="177">
        <v>41395</v>
      </c>
      <c r="C61" s="88">
        <v>436</v>
      </c>
      <c r="D61" s="88">
        <v>34</v>
      </c>
      <c r="E61" s="87">
        <v>21038</v>
      </c>
      <c r="F61" s="87"/>
      <c r="G61" s="87"/>
      <c r="H61" s="87">
        <v>19845</v>
      </c>
    </row>
    <row r="62" spans="2:8" x14ac:dyDescent="0.2">
      <c r="B62" s="177">
        <v>41426</v>
      </c>
      <c r="C62" s="88">
        <v>848</v>
      </c>
      <c r="D62" s="88">
        <v>44</v>
      </c>
      <c r="E62" s="87">
        <v>22037</v>
      </c>
      <c r="F62" s="87"/>
      <c r="G62" s="87"/>
      <c r="H62" s="87">
        <v>20065</v>
      </c>
    </row>
    <row r="63" spans="2:8" x14ac:dyDescent="0.2">
      <c r="B63" s="177">
        <v>41456</v>
      </c>
      <c r="C63" s="88">
        <v>747</v>
      </c>
      <c r="D63" s="88">
        <v>36</v>
      </c>
      <c r="E63" s="87">
        <v>22506</v>
      </c>
      <c r="F63" s="87"/>
      <c r="G63" s="87"/>
      <c r="H63" s="87">
        <v>20780</v>
      </c>
    </row>
    <row r="64" spans="2:8" x14ac:dyDescent="0.2">
      <c r="B64" s="177">
        <v>41487</v>
      </c>
      <c r="C64" s="88">
        <v>719</v>
      </c>
      <c r="D64" s="88">
        <v>35</v>
      </c>
      <c r="E64" s="87">
        <v>23869</v>
      </c>
      <c r="F64" s="87"/>
      <c r="G64" s="87"/>
      <c r="H64" s="87">
        <v>21924</v>
      </c>
    </row>
    <row r="65" spans="2:8" x14ac:dyDescent="0.2">
      <c r="B65" s="177">
        <v>41518</v>
      </c>
      <c r="C65" s="88">
        <v>908</v>
      </c>
      <c r="D65" s="88">
        <v>30</v>
      </c>
      <c r="E65" s="87">
        <v>22797</v>
      </c>
      <c r="F65" s="87"/>
      <c r="G65" s="87"/>
      <c r="H65" s="87">
        <v>21715</v>
      </c>
    </row>
    <row r="66" spans="2:8" x14ac:dyDescent="0.2">
      <c r="B66" s="177">
        <v>41548</v>
      </c>
      <c r="C66" s="88">
        <v>907</v>
      </c>
      <c r="D66" s="88">
        <v>34</v>
      </c>
      <c r="E66" s="87">
        <v>23258</v>
      </c>
      <c r="F66" s="87"/>
      <c r="G66" s="87"/>
      <c r="H66" s="87">
        <v>22266</v>
      </c>
    </row>
    <row r="67" spans="2:8" x14ac:dyDescent="0.2">
      <c r="B67" s="177">
        <v>41579</v>
      </c>
      <c r="C67" s="88">
        <v>684</v>
      </c>
      <c r="D67" s="88">
        <v>32</v>
      </c>
      <c r="E67" s="87">
        <v>21758</v>
      </c>
      <c r="F67" s="87"/>
      <c r="G67" s="87"/>
      <c r="H67" s="87">
        <v>20561</v>
      </c>
    </row>
    <row r="68" spans="2:8" x14ac:dyDescent="0.2">
      <c r="B68" s="177">
        <v>41609</v>
      </c>
      <c r="C68" s="88">
        <v>731</v>
      </c>
      <c r="D68" s="88">
        <v>40</v>
      </c>
      <c r="E68" s="87">
        <v>21567</v>
      </c>
      <c r="F68" s="87"/>
      <c r="G68" s="87"/>
      <c r="H68" s="87">
        <v>20466</v>
      </c>
    </row>
    <row r="69" spans="2:8" x14ac:dyDescent="0.2">
      <c r="B69" s="177">
        <v>41640</v>
      </c>
      <c r="C69" s="88">
        <v>642</v>
      </c>
      <c r="D69" s="88">
        <v>27</v>
      </c>
      <c r="E69" s="87">
        <v>16702</v>
      </c>
      <c r="F69" s="87"/>
      <c r="G69" s="87"/>
      <c r="H69" s="87">
        <v>15794</v>
      </c>
    </row>
    <row r="70" spans="2:8" x14ac:dyDescent="0.2">
      <c r="B70" s="177">
        <v>41671</v>
      </c>
      <c r="C70" s="89">
        <v>687</v>
      </c>
      <c r="D70" s="89">
        <v>25</v>
      </c>
      <c r="E70" s="90">
        <v>23938</v>
      </c>
      <c r="F70" s="90"/>
      <c r="G70" s="90"/>
      <c r="H70" s="87">
        <v>20912</v>
      </c>
    </row>
    <row r="71" spans="2:8" x14ac:dyDescent="0.2">
      <c r="B71" s="177">
        <v>41699</v>
      </c>
      <c r="C71" s="87">
        <v>1022</v>
      </c>
      <c r="D71" s="88">
        <v>47</v>
      </c>
      <c r="E71" s="87">
        <v>28622</v>
      </c>
      <c r="F71" s="87"/>
      <c r="G71" s="87"/>
      <c r="H71" s="87">
        <v>24920</v>
      </c>
    </row>
    <row r="72" spans="2:8" x14ac:dyDescent="0.2">
      <c r="B72" s="177">
        <v>41730</v>
      </c>
      <c r="C72" s="88">
        <v>645</v>
      </c>
      <c r="D72" s="88">
        <v>29</v>
      </c>
      <c r="E72" s="87">
        <v>22470</v>
      </c>
      <c r="F72" s="87"/>
      <c r="G72" s="87"/>
      <c r="H72" s="87">
        <v>20858</v>
      </c>
    </row>
    <row r="73" spans="2:8" x14ac:dyDescent="0.2">
      <c r="B73" s="177">
        <v>41760</v>
      </c>
      <c r="C73" s="88">
        <v>697</v>
      </c>
      <c r="D73" s="88">
        <v>31</v>
      </c>
      <c r="E73" s="87">
        <v>14929</v>
      </c>
      <c r="F73" s="87"/>
      <c r="G73" s="87"/>
      <c r="H73" s="87">
        <v>13783</v>
      </c>
    </row>
    <row r="74" spans="2:8" x14ac:dyDescent="0.2">
      <c r="B74" s="177">
        <v>41791</v>
      </c>
      <c r="C74" s="88">
        <v>708</v>
      </c>
      <c r="D74" s="88">
        <v>29</v>
      </c>
      <c r="E74" s="87">
        <v>28107</v>
      </c>
      <c r="F74" s="87"/>
      <c r="G74" s="87"/>
      <c r="H74" s="87">
        <v>22029</v>
      </c>
    </row>
    <row r="75" spans="2:8" x14ac:dyDescent="0.2">
      <c r="B75" s="177">
        <v>41821</v>
      </c>
      <c r="C75" s="88">
        <v>848</v>
      </c>
      <c r="D75" s="88">
        <v>30</v>
      </c>
      <c r="E75" s="87">
        <v>20305</v>
      </c>
      <c r="F75" s="87"/>
      <c r="G75" s="87"/>
      <c r="H75" s="87">
        <v>18703</v>
      </c>
    </row>
    <row r="76" spans="2:8" x14ac:dyDescent="0.2">
      <c r="B76" s="177">
        <v>41852</v>
      </c>
      <c r="C76" s="88">
        <v>418</v>
      </c>
      <c r="D76" s="88">
        <v>21</v>
      </c>
      <c r="E76" s="87">
        <v>20026</v>
      </c>
      <c r="F76" s="87"/>
      <c r="G76" s="87"/>
      <c r="H76" s="87">
        <v>17896</v>
      </c>
    </row>
    <row r="77" spans="2:8" x14ac:dyDescent="0.2">
      <c r="B77" s="177">
        <v>41883</v>
      </c>
      <c r="C77" s="88">
        <v>449</v>
      </c>
      <c r="D77" s="88">
        <v>20</v>
      </c>
      <c r="E77" s="87">
        <v>17518</v>
      </c>
      <c r="F77" s="87"/>
      <c r="G77" s="87"/>
      <c r="H77" s="87">
        <v>15614</v>
      </c>
    </row>
    <row r="78" spans="2:8" x14ac:dyDescent="0.2">
      <c r="B78" s="177">
        <v>41913</v>
      </c>
      <c r="C78" s="88">
        <v>386</v>
      </c>
      <c r="D78" s="88">
        <v>21</v>
      </c>
      <c r="E78" s="87">
        <v>25867</v>
      </c>
      <c r="F78" s="87"/>
      <c r="G78" s="87"/>
      <c r="H78" s="87">
        <v>21002</v>
      </c>
    </row>
    <row r="79" spans="2:8" x14ac:dyDescent="0.2">
      <c r="B79" s="177">
        <v>41944</v>
      </c>
      <c r="C79" s="88">
        <v>614</v>
      </c>
      <c r="D79" s="88">
        <v>17</v>
      </c>
      <c r="E79" s="87">
        <v>16769</v>
      </c>
      <c r="F79" s="87"/>
      <c r="G79" s="87"/>
      <c r="H79" s="87">
        <v>15842</v>
      </c>
    </row>
    <row r="80" spans="2:8" x14ac:dyDescent="0.2">
      <c r="B80" s="177">
        <v>41974</v>
      </c>
      <c r="C80" s="88">
        <v>534</v>
      </c>
      <c r="D80" s="88">
        <v>22</v>
      </c>
      <c r="E80" s="87">
        <v>23318</v>
      </c>
      <c r="F80" s="87"/>
      <c r="G80" s="87"/>
      <c r="H80" s="87">
        <v>20226</v>
      </c>
    </row>
    <row r="81" spans="2:8" x14ac:dyDescent="0.2">
      <c r="B81" s="177">
        <v>42005</v>
      </c>
      <c r="C81" s="88">
        <v>478</v>
      </c>
      <c r="D81" s="88">
        <v>21</v>
      </c>
      <c r="E81" s="87">
        <v>23056</v>
      </c>
      <c r="F81" s="87"/>
      <c r="G81" s="87"/>
      <c r="H81" s="87">
        <v>21061</v>
      </c>
    </row>
    <row r="82" spans="2:8" x14ac:dyDescent="0.2">
      <c r="B82" s="177">
        <v>42036</v>
      </c>
      <c r="C82" s="88">
        <v>361</v>
      </c>
      <c r="D82" s="88">
        <v>24</v>
      </c>
      <c r="E82" s="87">
        <v>18524</v>
      </c>
      <c r="F82" s="87"/>
      <c r="G82" s="87"/>
      <c r="H82" s="87">
        <v>17192</v>
      </c>
    </row>
    <row r="83" spans="2:8" x14ac:dyDescent="0.2">
      <c r="B83" s="177">
        <v>42064</v>
      </c>
      <c r="C83" s="88">
        <v>712</v>
      </c>
      <c r="D83" s="88">
        <v>28</v>
      </c>
      <c r="E83" s="87">
        <v>26002</v>
      </c>
      <c r="F83" s="87"/>
      <c r="G83" s="87"/>
      <c r="H83" s="87">
        <v>22027</v>
      </c>
    </row>
    <row r="84" spans="2:8" x14ac:dyDescent="0.2">
      <c r="B84" s="177">
        <v>42095</v>
      </c>
      <c r="C84" s="88">
        <v>255</v>
      </c>
      <c r="D84" s="88">
        <v>22</v>
      </c>
      <c r="E84" s="87">
        <v>23093</v>
      </c>
      <c r="F84" s="87"/>
      <c r="G84" s="87"/>
      <c r="H84" s="87">
        <v>21546</v>
      </c>
    </row>
    <row r="85" spans="2:8" x14ac:dyDescent="0.2">
      <c r="B85" s="177">
        <v>42125</v>
      </c>
      <c r="C85" s="88">
        <v>891</v>
      </c>
      <c r="D85" s="88">
        <v>21</v>
      </c>
      <c r="E85" s="87">
        <v>22362</v>
      </c>
      <c r="F85" s="87"/>
      <c r="G85" s="87"/>
      <c r="H85" s="87">
        <v>20850</v>
      </c>
    </row>
    <row r="86" spans="2:8" x14ac:dyDescent="0.2">
      <c r="B86" s="177">
        <v>42156</v>
      </c>
      <c r="C86" s="88">
        <v>117</v>
      </c>
      <c r="D86" s="88">
        <v>14</v>
      </c>
      <c r="E86" s="87">
        <v>12627</v>
      </c>
      <c r="F86" s="87"/>
      <c r="G86" s="87"/>
      <c r="H86" s="87">
        <v>11681</v>
      </c>
    </row>
    <row r="87" spans="2:8" x14ac:dyDescent="0.2">
      <c r="B87" s="177">
        <v>42186</v>
      </c>
      <c r="C87" s="88">
        <v>181</v>
      </c>
      <c r="D87" s="88">
        <v>18</v>
      </c>
      <c r="E87" s="87">
        <v>19638</v>
      </c>
      <c r="F87" s="87"/>
      <c r="G87" s="87"/>
      <c r="H87" s="87">
        <v>18282</v>
      </c>
    </row>
    <row r="88" spans="2:8" x14ac:dyDescent="0.2">
      <c r="B88" s="177">
        <v>42217</v>
      </c>
      <c r="C88" s="88">
        <v>128</v>
      </c>
      <c r="D88" s="88">
        <v>14</v>
      </c>
      <c r="E88" s="87">
        <v>21146</v>
      </c>
      <c r="F88" s="87"/>
      <c r="G88" s="87"/>
      <c r="H88" s="87">
        <v>19598</v>
      </c>
    </row>
    <row r="89" spans="2:8" x14ac:dyDescent="0.2">
      <c r="B89" s="177">
        <v>42248</v>
      </c>
      <c r="C89" s="88">
        <v>161</v>
      </c>
      <c r="D89" s="88">
        <v>18</v>
      </c>
      <c r="E89" s="87">
        <v>27499</v>
      </c>
      <c r="F89" s="87"/>
      <c r="G89" s="87"/>
      <c r="H89" s="87">
        <v>21738</v>
      </c>
    </row>
    <row r="90" spans="2:8" x14ac:dyDescent="0.2">
      <c r="B90" s="177">
        <v>42278</v>
      </c>
      <c r="C90" s="88">
        <v>195</v>
      </c>
      <c r="D90" s="88">
        <v>21</v>
      </c>
      <c r="E90" s="87">
        <v>25195</v>
      </c>
      <c r="F90" s="87"/>
      <c r="G90" s="87"/>
      <c r="H90" s="87">
        <v>20911</v>
      </c>
    </row>
    <row r="91" spans="2:8" x14ac:dyDescent="0.2">
      <c r="B91" s="177">
        <v>42309</v>
      </c>
      <c r="C91" s="88">
        <v>225</v>
      </c>
      <c r="D91" s="88">
        <v>20</v>
      </c>
      <c r="E91" s="87">
        <v>22695</v>
      </c>
      <c r="F91" s="87"/>
      <c r="G91" s="87"/>
      <c r="H91" s="87">
        <v>19610</v>
      </c>
    </row>
    <row r="92" spans="2:8" x14ac:dyDescent="0.2">
      <c r="B92" s="177">
        <v>42339</v>
      </c>
      <c r="C92" s="88">
        <v>212</v>
      </c>
      <c r="D92" s="88">
        <v>27</v>
      </c>
      <c r="E92" s="87">
        <v>22984</v>
      </c>
      <c r="F92" s="87"/>
      <c r="G92" s="87"/>
      <c r="H92" s="87">
        <v>20973</v>
      </c>
    </row>
    <row r="93" spans="2:8" x14ac:dyDescent="0.2">
      <c r="B93" s="177">
        <v>42370</v>
      </c>
      <c r="C93" s="88">
        <v>352</v>
      </c>
      <c r="D93" s="88">
        <v>37</v>
      </c>
      <c r="E93" s="87">
        <v>22006</v>
      </c>
      <c r="F93" s="87"/>
      <c r="G93" s="87"/>
      <c r="H93" s="87">
        <v>20462</v>
      </c>
    </row>
    <row r="94" spans="2:8" x14ac:dyDescent="0.2">
      <c r="B94" s="177">
        <v>42401</v>
      </c>
      <c r="C94" s="88">
        <v>370</v>
      </c>
      <c r="D94" s="88">
        <v>34</v>
      </c>
      <c r="E94" s="87">
        <v>21509</v>
      </c>
      <c r="F94" s="87"/>
      <c r="G94" s="87"/>
      <c r="H94" s="87">
        <v>20333</v>
      </c>
    </row>
    <row r="95" spans="2:8" x14ac:dyDescent="0.2">
      <c r="B95" s="177">
        <v>42430</v>
      </c>
      <c r="C95" s="88">
        <v>389</v>
      </c>
      <c r="D95" s="88">
        <v>23</v>
      </c>
      <c r="E95" s="87">
        <v>21336</v>
      </c>
      <c r="F95" s="87"/>
      <c r="G95" s="87"/>
      <c r="H95" s="87">
        <v>19910</v>
      </c>
    </row>
    <row r="96" spans="2:8" x14ac:dyDescent="0.2">
      <c r="B96" s="177">
        <v>42461</v>
      </c>
      <c r="C96" s="88">
        <v>285</v>
      </c>
      <c r="D96" s="88">
        <v>18</v>
      </c>
      <c r="E96" s="87">
        <v>5659</v>
      </c>
      <c r="F96" s="87"/>
      <c r="G96" s="87"/>
      <c r="H96" s="87">
        <v>5480</v>
      </c>
    </row>
    <row r="97" spans="2:8" x14ac:dyDescent="0.2">
      <c r="B97" s="177">
        <v>42491</v>
      </c>
      <c r="C97" s="88">
        <v>288</v>
      </c>
      <c r="D97" s="88">
        <v>16</v>
      </c>
      <c r="E97" s="87">
        <v>6651</v>
      </c>
      <c r="F97" s="349">
        <v>3426</v>
      </c>
      <c r="G97" s="349">
        <v>2372</v>
      </c>
      <c r="H97" s="87">
        <f t="shared" ref="H97:H126" si="0">F97+G97</f>
        <v>5798</v>
      </c>
    </row>
    <row r="98" spans="2:8" x14ac:dyDescent="0.2">
      <c r="B98" s="177" t="s">
        <v>552</v>
      </c>
      <c r="C98" s="88">
        <v>21</v>
      </c>
      <c r="D98" s="88">
        <v>15</v>
      </c>
      <c r="E98" s="87">
        <v>5426</v>
      </c>
      <c r="F98" s="349">
        <v>2014</v>
      </c>
      <c r="G98" s="349">
        <v>2742</v>
      </c>
      <c r="H98" s="87">
        <f t="shared" si="0"/>
        <v>4756</v>
      </c>
    </row>
    <row r="99" spans="2:8" x14ac:dyDescent="0.2">
      <c r="B99" s="177">
        <v>42552</v>
      </c>
      <c r="C99" s="88">
        <v>9</v>
      </c>
      <c r="D99" s="88">
        <v>9</v>
      </c>
      <c r="E99" s="87">
        <v>3253</v>
      </c>
      <c r="F99" s="349">
        <v>1416</v>
      </c>
      <c r="G99" s="349">
        <v>1620</v>
      </c>
      <c r="H99" s="87">
        <f t="shared" si="0"/>
        <v>3036</v>
      </c>
    </row>
    <row r="100" spans="2:8" x14ac:dyDescent="0.2">
      <c r="B100" s="177">
        <v>42583</v>
      </c>
      <c r="C100" s="88">
        <v>13</v>
      </c>
      <c r="D100" s="88">
        <v>10</v>
      </c>
      <c r="E100" s="87">
        <v>3343</v>
      </c>
      <c r="F100" s="349">
        <v>1336</v>
      </c>
      <c r="G100" s="349">
        <v>1688</v>
      </c>
      <c r="H100" s="87">
        <f t="shared" si="0"/>
        <v>3024</v>
      </c>
    </row>
    <row r="101" spans="2:8" x14ac:dyDescent="0.2">
      <c r="B101" s="177">
        <v>42614</v>
      </c>
      <c r="C101" s="88">
        <v>16</v>
      </c>
      <c r="D101" s="88">
        <v>11</v>
      </c>
      <c r="E101" s="87">
        <v>3298</v>
      </c>
      <c r="F101" s="349">
        <v>1358</v>
      </c>
      <c r="G101" s="349">
        <v>1715</v>
      </c>
      <c r="H101" s="87">
        <f t="shared" si="0"/>
        <v>3073</v>
      </c>
    </row>
    <row r="102" spans="2:8" x14ac:dyDescent="0.2">
      <c r="B102" s="177">
        <v>42644</v>
      </c>
      <c r="C102" s="88">
        <v>28</v>
      </c>
      <c r="D102" s="88">
        <v>12</v>
      </c>
      <c r="E102" s="87">
        <v>3465</v>
      </c>
      <c r="F102" s="349">
        <v>1455</v>
      </c>
      <c r="G102" s="349">
        <v>1819</v>
      </c>
      <c r="H102" s="87">
        <f t="shared" si="0"/>
        <v>3274</v>
      </c>
    </row>
    <row r="103" spans="2:8" x14ac:dyDescent="0.2">
      <c r="B103" s="177">
        <v>42675</v>
      </c>
      <c r="C103" s="88">
        <v>38</v>
      </c>
      <c r="D103" s="88">
        <v>13</v>
      </c>
      <c r="E103" s="87">
        <v>3225</v>
      </c>
      <c r="F103" s="349">
        <v>1369</v>
      </c>
      <c r="G103" s="349">
        <v>1699</v>
      </c>
      <c r="H103" s="87">
        <f t="shared" si="0"/>
        <v>3068</v>
      </c>
    </row>
    <row r="104" spans="2:8" x14ac:dyDescent="0.2">
      <c r="B104" s="177">
        <v>42705</v>
      </c>
      <c r="C104" s="88">
        <v>48</v>
      </c>
      <c r="D104" s="88">
        <v>20</v>
      </c>
      <c r="E104" s="87">
        <v>2951</v>
      </c>
      <c r="F104" s="349">
        <v>1273</v>
      </c>
      <c r="G104" s="349">
        <v>1530</v>
      </c>
      <c r="H104" s="87">
        <f t="shared" si="0"/>
        <v>2803</v>
      </c>
    </row>
    <row r="105" spans="2:8" x14ac:dyDescent="0.2">
      <c r="B105" s="177">
        <v>42736</v>
      </c>
      <c r="C105" s="88">
        <v>28</v>
      </c>
      <c r="D105" s="88">
        <v>16</v>
      </c>
      <c r="E105" s="87">
        <v>4231</v>
      </c>
      <c r="F105" s="349">
        <v>1377</v>
      </c>
      <c r="G105" s="349">
        <v>2288</v>
      </c>
      <c r="H105" s="87">
        <f t="shared" si="0"/>
        <v>3665</v>
      </c>
    </row>
    <row r="106" spans="2:8" x14ac:dyDescent="0.2">
      <c r="B106" s="177">
        <v>42767</v>
      </c>
      <c r="C106" s="88">
        <v>40</v>
      </c>
      <c r="D106" s="88">
        <v>21</v>
      </c>
      <c r="E106" s="87">
        <v>2725</v>
      </c>
      <c r="F106" s="349">
        <v>1152</v>
      </c>
      <c r="G106" s="349">
        <v>1411</v>
      </c>
      <c r="H106" s="87">
        <f t="shared" si="0"/>
        <v>2563</v>
      </c>
    </row>
    <row r="107" spans="2:8" x14ac:dyDescent="0.2">
      <c r="B107" s="177">
        <v>42795</v>
      </c>
      <c r="C107" s="88">
        <v>51</v>
      </c>
      <c r="D107" s="88">
        <v>19</v>
      </c>
      <c r="E107" s="87">
        <v>2482</v>
      </c>
      <c r="F107" s="349">
        <v>1042</v>
      </c>
      <c r="G107" s="349">
        <v>1321</v>
      </c>
      <c r="H107" s="87">
        <f t="shared" si="0"/>
        <v>2363</v>
      </c>
    </row>
    <row r="108" spans="2:8" x14ac:dyDescent="0.2">
      <c r="B108" s="177">
        <v>42826</v>
      </c>
      <c r="C108" s="88">
        <v>52</v>
      </c>
      <c r="D108" s="88">
        <v>16</v>
      </c>
      <c r="E108" s="87">
        <v>2908</v>
      </c>
      <c r="F108" s="349">
        <v>1301</v>
      </c>
      <c r="G108" s="349">
        <v>1304</v>
      </c>
      <c r="H108" s="87">
        <f t="shared" si="0"/>
        <v>2605</v>
      </c>
    </row>
    <row r="109" spans="2:8" x14ac:dyDescent="0.2">
      <c r="B109" s="177">
        <v>42856</v>
      </c>
      <c r="C109" s="88">
        <v>33</v>
      </c>
      <c r="D109" s="88">
        <v>11</v>
      </c>
      <c r="E109" s="87">
        <v>2762</v>
      </c>
      <c r="F109" s="349">
        <v>1203</v>
      </c>
      <c r="G109" s="349">
        <v>1396</v>
      </c>
      <c r="H109" s="87">
        <f t="shared" si="0"/>
        <v>2599</v>
      </c>
    </row>
    <row r="110" spans="2:8" x14ac:dyDescent="0.2">
      <c r="B110" s="177" t="s">
        <v>553</v>
      </c>
      <c r="C110" s="87">
        <v>4096</v>
      </c>
      <c r="D110" s="88">
        <v>40</v>
      </c>
      <c r="E110" s="87">
        <v>176735</v>
      </c>
      <c r="F110" s="349">
        <v>21206</v>
      </c>
      <c r="G110" s="349">
        <v>29918</v>
      </c>
      <c r="H110" s="87">
        <f t="shared" si="0"/>
        <v>51124</v>
      </c>
    </row>
    <row r="111" spans="2:8" x14ac:dyDescent="0.2">
      <c r="B111" s="177">
        <v>42917</v>
      </c>
      <c r="C111" s="87">
        <v>6517</v>
      </c>
      <c r="D111" s="88">
        <v>46</v>
      </c>
      <c r="E111" s="87">
        <v>93102</v>
      </c>
      <c r="F111" s="349">
        <v>16060</v>
      </c>
      <c r="G111" s="349">
        <v>22383</v>
      </c>
      <c r="H111" s="87">
        <f t="shared" si="0"/>
        <v>38443</v>
      </c>
    </row>
    <row r="112" spans="2:8" x14ac:dyDescent="0.2">
      <c r="B112" s="177">
        <v>42948</v>
      </c>
      <c r="C112" s="87">
        <v>7909</v>
      </c>
      <c r="D112" s="88">
        <v>49</v>
      </c>
      <c r="E112" s="87">
        <v>2314</v>
      </c>
      <c r="F112" s="349">
        <v>1181</v>
      </c>
      <c r="G112" s="349">
        <v>999</v>
      </c>
      <c r="H112" s="87">
        <f t="shared" si="0"/>
        <v>2180</v>
      </c>
    </row>
    <row r="113" spans="2:8" x14ac:dyDescent="0.2">
      <c r="B113" s="177">
        <v>42979</v>
      </c>
      <c r="C113" s="87">
        <v>2045</v>
      </c>
      <c r="D113" s="88">
        <v>33</v>
      </c>
      <c r="E113" s="87">
        <v>37486</v>
      </c>
      <c r="F113" s="349">
        <v>9638</v>
      </c>
      <c r="G113" s="349">
        <v>14569</v>
      </c>
      <c r="H113" s="87">
        <f t="shared" si="0"/>
        <v>24207</v>
      </c>
    </row>
    <row r="114" spans="2:8" x14ac:dyDescent="0.2">
      <c r="B114" s="177">
        <v>43009</v>
      </c>
      <c r="C114" s="87">
        <v>1138</v>
      </c>
      <c r="D114" s="88">
        <v>31</v>
      </c>
      <c r="E114" s="87">
        <v>33256</v>
      </c>
      <c r="F114" s="349">
        <v>9130</v>
      </c>
      <c r="G114" s="349">
        <v>15883</v>
      </c>
      <c r="H114" s="87">
        <f t="shared" si="0"/>
        <v>25013</v>
      </c>
    </row>
    <row r="115" spans="2:8" x14ac:dyDescent="0.2">
      <c r="B115" s="177">
        <v>43040</v>
      </c>
      <c r="C115" s="87">
        <v>989</v>
      </c>
      <c r="D115" s="88">
        <v>32</v>
      </c>
      <c r="E115" s="87">
        <v>26590</v>
      </c>
      <c r="F115" s="349">
        <v>8080</v>
      </c>
      <c r="G115" s="349">
        <v>12842</v>
      </c>
      <c r="H115" s="87">
        <f t="shared" si="0"/>
        <v>20922</v>
      </c>
    </row>
    <row r="116" spans="2:8" x14ac:dyDescent="0.2">
      <c r="B116" s="177">
        <v>43070</v>
      </c>
      <c r="C116" s="87">
        <v>1027</v>
      </c>
      <c r="D116" s="88">
        <v>26</v>
      </c>
      <c r="E116" s="87">
        <v>18586</v>
      </c>
      <c r="F116" s="349">
        <v>7147</v>
      </c>
      <c r="G116" s="349">
        <v>10315</v>
      </c>
      <c r="H116" s="87">
        <f t="shared" si="0"/>
        <v>17462</v>
      </c>
    </row>
    <row r="117" spans="2:8" x14ac:dyDescent="0.2">
      <c r="B117" s="177">
        <v>43101</v>
      </c>
      <c r="C117" s="87">
        <v>1354</v>
      </c>
      <c r="D117" s="88">
        <v>30</v>
      </c>
      <c r="E117" s="87">
        <v>18570</v>
      </c>
      <c r="F117" s="349">
        <v>7039</v>
      </c>
      <c r="G117" s="349">
        <v>10476</v>
      </c>
      <c r="H117" s="87">
        <f t="shared" si="0"/>
        <v>17515</v>
      </c>
    </row>
    <row r="118" spans="2:8" x14ac:dyDescent="0.2">
      <c r="B118" s="177">
        <v>43132</v>
      </c>
      <c r="C118" s="87">
        <v>1044</v>
      </c>
      <c r="D118" s="124">
        <v>26</v>
      </c>
      <c r="E118" s="87">
        <v>12624</v>
      </c>
      <c r="F118" s="349">
        <v>7245</v>
      </c>
      <c r="G118" s="349">
        <v>4546</v>
      </c>
      <c r="H118" s="87">
        <f t="shared" si="0"/>
        <v>11791</v>
      </c>
    </row>
    <row r="119" spans="2:8" x14ac:dyDescent="0.2">
      <c r="B119" s="177">
        <v>43160</v>
      </c>
      <c r="C119" s="87">
        <v>923</v>
      </c>
      <c r="D119" s="124">
        <v>42</v>
      </c>
      <c r="E119" s="87">
        <v>19233</v>
      </c>
      <c r="F119" s="349">
        <v>7306</v>
      </c>
      <c r="G119" s="349">
        <v>10727</v>
      </c>
      <c r="H119" s="87">
        <f t="shared" si="0"/>
        <v>18033</v>
      </c>
    </row>
    <row r="120" spans="2:8" x14ac:dyDescent="0.2">
      <c r="B120" s="177">
        <v>43191</v>
      </c>
      <c r="C120" s="87">
        <v>1496</v>
      </c>
      <c r="D120" s="124">
        <v>53</v>
      </c>
      <c r="E120" s="87">
        <v>27469</v>
      </c>
      <c r="F120" s="349">
        <v>12706</v>
      </c>
      <c r="G120" s="349">
        <v>9262</v>
      </c>
      <c r="H120" s="87">
        <f t="shared" si="0"/>
        <v>21968</v>
      </c>
    </row>
    <row r="121" spans="2:8" x14ac:dyDescent="0.2">
      <c r="B121" s="177">
        <v>43221</v>
      </c>
      <c r="C121" s="87">
        <v>1099</v>
      </c>
      <c r="D121" s="87">
        <v>44</v>
      </c>
      <c r="E121" s="87">
        <v>19923</v>
      </c>
      <c r="F121" s="349">
        <v>7814</v>
      </c>
      <c r="G121" s="349">
        <v>11003</v>
      </c>
      <c r="H121" s="87">
        <f t="shared" si="0"/>
        <v>18817</v>
      </c>
    </row>
    <row r="122" spans="2:8" x14ac:dyDescent="0.2">
      <c r="B122" s="177">
        <v>43252</v>
      </c>
      <c r="C122" s="87">
        <v>2919</v>
      </c>
      <c r="D122" s="125">
        <v>53</v>
      </c>
      <c r="E122" s="87">
        <v>33135</v>
      </c>
      <c r="F122" s="349">
        <v>8927</v>
      </c>
      <c r="G122" s="349">
        <v>12977</v>
      </c>
      <c r="H122" s="87">
        <f t="shared" si="0"/>
        <v>21904</v>
      </c>
    </row>
    <row r="123" spans="2:8" x14ac:dyDescent="0.2">
      <c r="B123" s="177">
        <v>43282</v>
      </c>
      <c r="C123" s="87">
        <v>643</v>
      </c>
      <c r="D123" s="125">
        <v>53</v>
      </c>
      <c r="E123" s="87">
        <v>16559</v>
      </c>
      <c r="F123" s="349">
        <v>6259</v>
      </c>
      <c r="G123" s="349">
        <v>9397</v>
      </c>
      <c r="H123" s="87">
        <f t="shared" si="0"/>
        <v>15656</v>
      </c>
    </row>
    <row r="124" spans="2:8" s="176" customFormat="1" x14ac:dyDescent="0.2">
      <c r="B124" s="177">
        <v>43313</v>
      </c>
      <c r="C124" s="87">
        <v>542</v>
      </c>
      <c r="D124" s="125">
        <v>55</v>
      </c>
      <c r="E124" s="87">
        <v>16468</v>
      </c>
      <c r="F124" s="349">
        <v>9380</v>
      </c>
      <c r="G124" s="349">
        <v>6293</v>
      </c>
      <c r="H124" s="87">
        <f t="shared" si="0"/>
        <v>15673</v>
      </c>
    </row>
    <row r="125" spans="2:8" x14ac:dyDescent="0.2">
      <c r="B125" s="177">
        <v>43344</v>
      </c>
      <c r="C125" s="87">
        <v>542</v>
      </c>
      <c r="D125" s="125">
        <v>47</v>
      </c>
      <c r="E125" s="87">
        <v>20636</v>
      </c>
      <c r="F125" s="349">
        <v>10966</v>
      </c>
      <c r="G125" s="349">
        <v>7467</v>
      </c>
      <c r="H125" s="87">
        <f t="shared" si="0"/>
        <v>18433</v>
      </c>
    </row>
    <row r="126" spans="2:8" x14ac:dyDescent="0.2">
      <c r="B126" s="177">
        <v>43374</v>
      </c>
      <c r="C126" s="87">
        <v>1166</v>
      </c>
      <c r="D126" s="125">
        <v>64</v>
      </c>
      <c r="E126" s="87">
        <v>18153</v>
      </c>
      <c r="F126" s="349">
        <v>6728</v>
      </c>
      <c r="G126" s="349">
        <v>9884</v>
      </c>
      <c r="H126" s="87">
        <f t="shared" si="0"/>
        <v>16612</v>
      </c>
    </row>
    <row r="127" spans="2:8" x14ac:dyDescent="0.2">
      <c r="B127" s="177">
        <v>43405</v>
      </c>
      <c r="C127" s="87">
        <v>684</v>
      </c>
      <c r="D127" s="125">
        <v>59</v>
      </c>
      <c r="E127" s="87">
        <v>22023</v>
      </c>
      <c r="F127" s="349">
        <v>10985</v>
      </c>
      <c r="G127" s="349">
        <v>7542</v>
      </c>
      <c r="H127" s="87">
        <f>F127+G127</f>
        <v>18527</v>
      </c>
    </row>
    <row r="128" spans="2:8" x14ac:dyDescent="0.2">
      <c r="B128" s="177">
        <v>43435</v>
      </c>
      <c r="C128" s="181">
        <v>1306</v>
      </c>
      <c r="D128" s="182">
        <v>51</v>
      </c>
      <c r="E128" s="183">
        <v>25922</v>
      </c>
      <c r="F128" s="345">
        <v>12754</v>
      </c>
      <c r="G128" s="345">
        <v>8814</v>
      </c>
      <c r="H128" s="181">
        <v>21568</v>
      </c>
    </row>
    <row r="129" spans="2:8" x14ac:dyDescent="0.2">
      <c r="B129" s="177">
        <v>43466</v>
      </c>
      <c r="C129" s="181">
        <v>800</v>
      </c>
      <c r="D129" s="182">
        <v>51</v>
      </c>
      <c r="E129" s="183">
        <v>28255</v>
      </c>
      <c r="F129" s="345">
        <v>13972</v>
      </c>
      <c r="G129" s="345">
        <v>9596</v>
      </c>
      <c r="H129" s="181">
        <v>23568</v>
      </c>
    </row>
    <row r="130" spans="2:8" x14ac:dyDescent="0.2">
      <c r="B130" s="177">
        <v>43497</v>
      </c>
      <c r="C130" s="181">
        <v>819</v>
      </c>
      <c r="D130" s="182">
        <v>47</v>
      </c>
      <c r="E130" s="183">
        <v>24473</v>
      </c>
      <c r="F130" s="345">
        <v>12346</v>
      </c>
      <c r="G130" s="345">
        <v>8362</v>
      </c>
      <c r="H130" s="181">
        <v>20708</v>
      </c>
    </row>
    <row r="131" spans="2:8" s="176" customFormat="1" x14ac:dyDescent="0.2">
      <c r="B131" s="177">
        <v>43525</v>
      </c>
      <c r="C131" s="181">
        <v>1105</v>
      </c>
      <c r="D131" s="182">
        <v>42</v>
      </c>
      <c r="E131" s="183">
        <v>20396</v>
      </c>
      <c r="F131" s="345">
        <v>11217</v>
      </c>
      <c r="G131" s="345">
        <v>7436</v>
      </c>
      <c r="H131" s="181">
        <v>18653</v>
      </c>
    </row>
    <row r="132" spans="2:8" s="176" customFormat="1" x14ac:dyDescent="0.2">
      <c r="B132" s="177">
        <v>43556</v>
      </c>
      <c r="C132" s="181">
        <v>1016</v>
      </c>
      <c r="D132" s="182">
        <v>35</v>
      </c>
      <c r="E132" s="183">
        <v>17319</v>
      </c>
      <c r="F132" s="345">
        <v>9829</v>
      </c>
      <c r="G132" s="345">
        <v>6577</v>
      </c>
      <c r="H132" s="181">
        <v>16406</v>
      </c>
    </row>
    <row r="133" spans="2:8" s="176" customFormat="1" x14ac:dyDescent="0.2">
      <c r="B133" s="177">
        <v>43586</v>
      </c>
      <c r="C133" s="181">
        <v>1094</v>
      </c>
      <c r="D133" s="125">
        <v>44</v>
      </c>
      <c r="E133" s="183">
        <v>26936</v>
      </c>
      <c r="F133" s="345">
        <v>8619</v>
      </c>
      <c r="G133" s="345">
        <v>12910</v>
      </c>
      <c r="H133" s="181">
        <v>21529</v>
      </c>
    </row>
    <row r="134" spans="2:8" x14ac:dyDescent="0.2">
      <c r="B134" s="177">
        <v>43617</v>
      </c>
      <c r="C134" s="209">
        <v>962</v>
      </c>
      <c r="D134" s="182">
        <v>41</v>
      </c>
      <c r="E134" s="210">
        <v>17186</v>
      </c>
      <c r="F134" s="350">
        <v>6205</v>
      </c>
      <c r="G134" s="350">
        <v>9829</v>
      </c>
      <c r="H134" s="209">
        <v>16034</v>
      </c>
    </row>
    <row r="135" spans="2:8" s="176" customFormat="1" x14ac:dyDescent="0.2">
      <c r="B135" s="177">
        <v>43647</v>
      </c>
      <c r="C135" s="209">
        <v>1148</v>
      </c>
      <c r="D135" s="182">
        <v>41</v>
      </c>
      <c r="E135" s="210">
        <v>17113</v>
      </c>
      <c r="F135" s="350">
        <v>9788</v>
      </c>
      <c r="G135" s="350">
        <v>6179</v>
      </c>
      <c r="H135" s="209">
        <v>15967</v>
      </c>
    </row>
    <row r="136" spans="2:8" s="176" customFormat="1" x14ac:dyDescent="0.2">
      <c r="B136" s="177">
        <v>43678</v>
      </c>
      <c r="C136" s="209">
        <v>896</v>
      </c>
      <c r="D136" s="182">
        <v>34</v>
      </c>
      <c r="E136" s="210">
        <v>17644</v>
      </c>
      <c r="F136" s="350">
        <v>10151</v>
      </c>
      <c r="G136" s="350">
        <v>6422</v>
      </c>
      <c r="H136" s="209">
        <v>16573</v>
      </c>
    </row>
    <row r="137" spans="2:8" s="176" customFormat="1" x14ac:dyDescent="0.2">
      <c r="B137" s="177">
        <v>43709</v>
      </c>
      <c r="C137" s="209">
        <v>926</v>
      </c>
      <c r="D137" s="182">
        <v>31</v>
      </c>
      <c r="E137" s="210">
        <v>17905</v>
      </c>
      <c r="F137" s="350">
        <v>10281</v>
      </c>
      <c r="G137" s="350">
        <v>6541</v>
      </c>
      <c r="H137" s="209">
        <v>16573</v>
      </c>
    </row>
    <row r="138" spans="2:8" s="176" customFormat="1" x14ac:dyDescent="0.2">
      <c r="B138" s="177">
        <v>43739</v>
      </c>
      <c r="C138" s="209">
        <v>1371</v>
      </c>
      <c r="D138" s="182">
        <v>30</v>
      </c>
      <c r="E138" s="210">
        <v>18586</v>
      </c>
      <c r="F138" s="350">
        <v>6769</v>
      </c>
      <c r="G138" s="350">
        <v>10563</v>
      </c>
      <c r="H138" s="209">
        <v>17332</v>
      </c>
    </row>
    <row r="139" spans="2:8" s="176" customFormat="1" x14ac:dyDescent="0.2">
      <c r="B139" s="177">
        <v>43770</v>
      </c>
      <c r="C139" s="209">
        <v>1269</v>
      </c>
      <c r="D139" s="125">
        <v>37</v>
      </c>
      <c r="E139" s="210">
        <v>18254</v>
      </c>
      <c r="F139" s="350">
        <v>10266</v>
      </c>
      <c r="G139" s="350">
        <v>6534</v>
      </c>
      <c r="H139" s="209">
        <v>16800</v>
      </c>
    </row>
    <row r="140" spans="2:8" s="176" customFormat="1" x14ac:dyDescent="0.2">
      <c r="B140" s="177">
        <v>43800</v>
      </c>
      <c r="C140" s="209">
        <v>819</v>
      </c>
      <c r="D140" s="125">
        <v>36</v>
      </c>
      <c r="E140" s="210">
        <v>18254</v>
      </c>
      <c r="F140" s="350">
        <v>10460</v>
      </c>
      <c r="G140" s="350">
        <v>6540</v>
      </c>
      <c r="H140" s="209">
        <v>17000</v>
      </c>
    </row>
    <row r="141" spans="2:8" s="176" customFormat="1" x14ac:dyDescent="0.2">
      <c r="B141" s="177">
        <v>43831</v>
      </c>
      <c r="C141" s="181">
        <v>834</v>
      </c>
      <c r="D141" s="182">
        <v>42</v>
      </c>
      <c r="E141" s="183">
        <v>18617</v>
      </c>
      <c r="F141" s="345">
        <v>6664</v>
      </c>
      <c r="G141" s="345">
        <v>10715</v>
      </c>
      <c r="H141" s="181">
        <v>17379</v>
      </c>
    </row>
    <row r="142" spans="2:8" s="176" customFormat="1" x14ac:dyDescent="0.2">
      <c r="B142" s="177">
        <v>43862</v>
      </c>
      <c r="C142" s="181">
        <v>698</v>
      </c>
      <c r="D142" s="326">
        <v>37</v>
      </c>
      <c r="E142" s="183">
        <v>18087</v>
      </c>
      <c r="F142" s="345">
        <v>6398</v>
      </c>
      <c r="G142" s="345">
        <v>10470</v>
      </c>
      <c r="H142" s="181">
        <v>16868</v>
      </c>
    </row>
    <row r="143" spans="2:8" x14ac:dyDescent="0.2">
      <c r="B143" s="177" t="s">
        <v>590</v>
      </c>
      <c r="C143" s="181">
        <v>335</v>
      </c>
      <c r="D143" s="326">
        <v>11</v>
      </c>
      <c r="E143" s="183">
        <v>2479</v>
      </c>
      <c r="F143" s="345">
        <v>833</v>
      </c>
      <c r="G143" s="345">
        <v>1333</v>
      </c>
      <c r="H143" s="181">
        <v>2166</v>
      </c>
    </row>
    <row r="144" spans="2:8" s="176" customFormat="1" x14ac:dyDescent="0.2">
      <c r="B144" s="177" t="s">
        <v>592</v>
      </c>
      <c r="C144" s="181">
        <v>1807</v>
      </c>
      <c r="D144" s="326">
        <v>46</v>
      </c>
      <c r="E144" s="183">
        <v>35380</v>
      </c>
      <c r="F144" s="345">
        <v>8953</v>
      </c>
      <c r="G144" s="345">
        <v>13726</v>
      </c>
      <c r="H144" s="181">
        <f>SUM(F144:G144)</f>
        <v>22679</v>
      </c>
    </row>
    <row r="145" spans="2:8" s="176" customFormat="1" x14ac:dyDescent="0.2">
      <c r="B145" s="177">
        <v>43952</v>
      </c>
      <c r="C145" s="181">
        <v>812</v>
      </c>
      <c r="D145" s="326">
        <v>43</v>
      </c>
      <c r="E145" s="183">
        <v>19198</v>
      </c>
      <c r="F145" s="345">
        <v>7081</v>
      </c>
      <c r="G145" s="345">
        <v>10993</v>
      </c>
      <c r="H145" s="181">
        <f>SUM(F145:G145)</f>
        <v>18074</v>
      </c>
    </row>
    <row r="146" spans="2:8" s="176" customFormat="1" x14ac:dyDescent="0.2">
      <c r="B146" s="177">
        <v>43983</v>
      </c>
      <c r="C146" s="181">
        <v>717</v>
      </c>
      <c r="D146" s="326">
        <v>40</v>
      </c>
      <c r="E146" s="183">
        <v>21037</v>
      </c>
      <c r="F146" s="345">
        <v>6751</v>
      </c>
      <c r="G146" s="345">
        <v>10650</v>
      </c>
      <c r="H146" s="181">
        <f t="shared" ref="H146:H164" si="1">SUM(F146:G146)</f>
        <v>17401</v>
      </c>
    </row>
    <row r="147" spans="2:8" s="176" customFormat="1" x14ac:dyDescent="0.2">
      <c r="B147" s="351" t="s">
        <v>595</v>
      </c>
      <c r="C147" s="181">
        <v>403</v>
      </c>
      <c r="D147" s="326">
        <v>40</v>
      </c>
      <c r="E147" s="183">
        <v>15217</v>
      </c>
      <c r="F147" s="345">
        <v>5506</v>
      </c>
      <c r="G147" s="345">
        <v>8781</v>
      </c>
      <c r="H147" s="181">
        <f t="shared" si="1"/>
        <v>14287</v>
      </c>
    </row>
    <row r="148" spans="2:8" s="176" customFormat="1" x14ac:dyDescent="0.2">
      <c r="B148" s="177">
        <v>44044</v>
      </c>
      <c r="C148" s="181">
        <v>226</v>
      </c>
      <c r="D148" s="326">
        <v>29</v>
      </c>
      <c r="E148" s="183">
        <v>16560</v>
      </c>
      <c r="F148" s="345">
        <v>9684</v>
      </c>
      <c r="G148" s="345">
        <v>6022</v>
      </c>
      <c r="H148" s="181">
        <f t="shared" si="1"/>
        <v>15706</v>
      </c>
    </row>
    <row r="149" spans="2:8" s="176" customFormat="1" x14ac:dyDescent="0.2">
      <c r="B149" s="177">
        <v>44075</v>
      </c>
      <c r="C149" s="181">
        <v>130</v>
      </c>
      <c r="D149" s="326">
        <v>26</v>
      </c>
      <c r="E149" s="183">
        <v>17807</v>
      </c>
      <c r="F149" s="345">
        <v>6374</v>
      </c>
      <c r="G149" s="345">
        <v>10337</v>
      </c>
      <c r="H149" s="181">
        <f t="shared" si="1"/>
        <v>16711</v>
      </c>
    </row>
    <row r="150" spans="2:8" s="176" customFormat="1" x14ac:dyDescent="0.2">
      <c r="B150" s="177">
        <v>44105</v>
      </c>
      <c r="C150" s="181">
        <v>85</v>
      </c>
      <c r="D150" s="326">
        <v>26</v>
      </c>
      <c r="E150" s="183">
        <v>19642</v>
      </c>
      <c r="F150" s="345">
        <v>7053</v>
      </c>
      <c r="G150" s="345">
        <v>11284</v>
      </c>
      <c r="H150" s="181">
        <f t="shared" si="1"/>
        <v>18337</v>
      </c>
    </row>
    <row r="151" spans="2:8" s="176" customFormat="1" x14ac:dyDescent="0.2">
      <c r="B151" s="177">
        <v>44136</v>
      </c>
      <c r="C151" s="181">
        <v>64</v>
      </c>
      <c r="D151" s="326">
        <v>27</v>
      </c>
      <c r="E151" s="183">
        <v>20331</v>
      </c>
      <c r="F151" s="345">
        <v>7299</v>
      </c>
      <c r="G151" s="345">
        <v>11518</v>
      </c>
      <c r="H151" s="181">
        <f t="shared" si="1"/>
        <v>18817</v>
      </c>
    </row>
    <row r="152" spans="2:8" s="176" customFormat="1" x14ac:dyDescent="0.2">
      <c r="B152" s="177">
        <v>44166</v>
      </c>
      <c r="C152" s="181">
        <v>61</v>
      </c>
      <c r="D152" s="326">
        <v>28</v>
      </c>
      <c r="E152" s="183">
        <v>22733</v>
      </c>
      <c r="F152" s="345">
        <v>8214</v>
      </c>
      <c r="G152" s="345">
        <v>12811</v>
      </c>
      <c r="H152" s="181">
        <f t="shared" si="1"/>
        <v>21025</v>
      </c>
    </row>
    <row r="153" spans="2:8" s="176" customFormat="1" x14ac:dyDescent="0.2">
      <c r="B153" s="177">
        <v>44197</v>
      </c>
      <c r="C153" s="181">
        <v>61</v>
      </c>
      <c r="D153" s="326">
        <v>23</v>
      </c>
      <c r="E153" s="183">
        <v>24914</v>
      </c>
      <c r="F153" s="345">
        <v>8732</v>
      </c>
      <c r="G153" s="345">
        <v>14109</v>
      </c>
      <c r="H153" s="181">
        <f t="shared" si="1"/>
        <v>22841</v>
      </c>
    </row>
    <row r="154" spans="2:8" s="176" customFormat="1" x14ac:dyDescent="0.2">
      <c r="B154" s="177">
        <v>44228</v>
      </c>
      <c r="C154" s="181">
        <v>52</v>
      </c>
      <c r="D154" s="326">
        <v>18</v>
      </c>
      <c r="E154" s="183">
        <v>25495</v>
      </c>
      <c r="F154" s="345">
        <v>8692</v>
      </c>
      <c r="G154" s="345">
        <v>14503</v>
      </c>
      <c r="H154" s="181">
        <f t="shared" si="1"/>
        <v>23195</v>
      </c>
    </row>
    <row r="155" spans="2:8" s="176" customFormat="1" x14ac:dyDescent="0.2">
      <c r="B155" s="177">
        <v>44256</v>
      </c>
      <c r="C155" s="181">
        <v>89</v>
      </c>
      <c r="D155" s="326">
        <v>22</v>
      </c>
      <c r="E155" s="183">
        <v>26451</v>
      </c>
      <c r="F155" s="345">
        <v>9196</v>
      </c>
      <c r="G155" s="345">
        <v>14960</v>
      </c>
      <c r="H155" s="181">
        <f t="shared" si="1"/>
        <v>24156</v>
      </c>
    </row>
    <row r="156" spans="2:8" s="176" customFormat="1" x14ac:dyDescent="0.2">
      <c r="B156" s="177">
        <v>44287</v>
      </c>
      <c r="C156" s="181">
        <v>35</v>
      </c>
      <c r="D156" s="326">
        <v>19</v>
      </c>
      <c r="E156" s="345">
        <v>27062</v>
      </c>
      <c r="F156" s="345">
        <v>9299</v>
      </c>
      <c r="G156" s="345">
        <v>15603</v>
      </c>
      <c r="H156" s="181">
        <f t="shared" si="1"/>
        <v>24902</v>
      </c>
    </row>
    <row r="157" spans="2:8" s="176" customFormat="1" x14ac:dyDescent="0.2">
      <c r="B157" s="177">
        <v>44317</v>
      </c>
      <c r="C157" s="181">
        <v>43</v>
      </c>
      <c r="D157" s="326">
        <v>18</v>
      </c>
      <c r="E157" s="183">
        <v>30323</v>
      </c>
      <c r="F157" s="345">
        <v>9912</v>
      </c>
      <c r="G157" s="345">
        <v>16497</v>
      </c>
      <c r="H157" s="181">
        <f t="shared" si="1"/>
        <v>26409</v>
      </c>
    </row>
    <row r="158" spans="2:8" s="176" customFormat="1" x14ac:dyDescent="0.2">
      <c r="B158" s="352">
        <v>44348</v>
      </c>
      <c r="C158" s="181">
        <v>49</v>
      </c>
      <c r="D158" s="326">
        <v>20</v>
      </c>
      <c r="E158" s="345">
        <v>25728</v>
      </c>
      <c r="F158" s="345">
        <v>8894</v>
      </c>
      <c r="G158" s="345">
        <v>14936</v>
      </c>
      <c r="H158" s="181">
        <f t="shared" si="1"/>
        <v>23830</v>
      </c>
    </row>
    <row r="159" spans="2:8" s="176" customFormat="1" x14ac:dyDescent="0.2">
      <c r="B159" s="177">
        <v>44378</v>
      </c>
      <c r="C159" s="181">
        <v>54</v>
      </c>
      <c r="D159" s="326">
        <v>25</v>
      </c>
      <c r="E159" s="183">
        <v>27581</v>
      </c>
      <c r="F159" s="183">
        <v>9481</v>
      </c>
      <c r="G159" s="183">
        <v>16038</v>
      </c>
      <c r="H159" s="181">
        <f t="shared" si="1"/>
        <v>25519</v>
      </c>
    </row>
    <row r="160" spans="2:8" s="176" customFormat="1" x14ac:dyDescent="0.2">
      <c r="B160" s="177">
        <v>44409</v>
      </c>
      <c r="C160" s="181">
        <v>36</v>
      </c>
      <c r="D160" s="326">
        <v>24</v>
      </c>
      <c r="E160" s="183">
        <v>28456</v>
      </c>
      <c r="F160" s="183">
        <v>9849</v>
      </c>
      <c r="G160" s="183">
        <v>16277</v>
      </c>
      <c r="H160" s="181">
        <f t="shared" si="1"/>
        <v>26126</v>
      </c>
    </row>
    <row r="161" spans="2:8" s="176" customFormat="1" x14ac:dyDescent="0.2">
      <c r="B161" s="177">
        <v>44440</v>
      </c>
      <c r="C161" s="181">
        <v>35</v>
      </c>
      <c r="D161" s="326">
        <v>24</v>
      </c>
      <c r="E161" s="183">
        <v>29198</v>
      </c>
      <c r="F161" s="183">
        <v>9726</v>
      </c>
      <c r="G161" s="183">
        <v>16702</v>
      </c>
      <c r="H161" s="181">
        <f t="shared" si="1"/>
        <v>26428</v>
      </c>
    </row>
    <row r="162" spans="2:8" s="176" customFormat="1" x14ac:dyDescent="0.2">
      <c r="B162" s="177">
        <v>44470</v>
      </c>
      <c r="C162" s="181">
        <v>55</v>
      </c>
      <c r="D162" s="326">
        <v>24</v>
      </c>
      <c r="E162" s="183">
        <v>31131</v>
      </c>
      <c r="F162" s="183">
        <v>10352</v>
      </c>
      <c r="G162" s="183">
        <v>18028</v>
      </c>
      <c r="H162" s="181">
        <f t="shared" si="1"/>
        <v>28380</v>
      </c>
    </row>
    <row r="163" spans="2:8" s="176" customFormat="1" x14ac:dyDescent="0.2">
      <c r="B163" s="177">
        <v>44501</v>
      </c>
      <c r="C163" s="181">
        <v>45</v>
      </c>
      <c r="D163" s="326">
        <v>18</v>
      </c>
      <c r="E163" s="183">
        <v>30171</v>
      </c>
      <c r="F163" s="183">
        <v>9798</v>
      </c>
      <c r="G163" s="183">
        <v>17755</v>
      </c>
      <c r="H163" s="181">
        <f t="shared" si="1"/>
        <v>27553</v>
      </c>
    </row>
    <row r="164" spans="2:8" s="176" customFormat="1" x14ac:dyDescent="0.2">
      <c r="B164" s="177">
        <v>44531</v>
      </c>
      <c r="C164" s="181">
        <v>26</v>
      </c>
      <c r="D164" s="326" t="s">
        <v>481</v>
      </c>
      <c r="E164" s="183">
        <v>30869</v>
      </c>
      <c r="F164" s="183">
        <v>10052</v>
      </c>
      <c r="G164" s="183">
        <v>18529</v>
      </c>
      <c r="H164" s="181">
        <f t="shared" si="1"/>
        <v>28581</v>
      </c>
    </row>
    <row r="165" spans="2:8" s="176" customFormat="1" x14ac:dyDescent="0.2">
      <c r="B165" s="341" t="s">
        <v>473</v>
      </c>
      <c r="C165" s="342"/>
      <c r="D165" s="343"/>
      <c r="E165" s="346"/>
      <c r="F165" s="344"/>
      <c r="G165" s="344"/>
      <c r="H165" s="342"/>
    </row>
    <row r="166" spans="2:8" s="91" customFormat="1" x14ac:dyDescent="0.2">
      <c r="B166" s="249" t="s">
        <v>554</v>
      </c>
      <c r="C166" s="249"/>
      <c r="D166" s="249"/>
      <c r="E166" s="249"/>
      <c r="F166" s="249"/>
      <c r="G166" s="249"/>
      <c r="H166" s="256"/>
    </row>
    <row r="167" spans="2:8" s="91" customFormat="1" x14ac:dyDescent="0.2">
      <c r="B167" s="256" t="s">
        <v>555</v>
      </c>
      <c r="C167" s="256"/>
      <c r="D167" s="256"/>
      <c r="E167" s="256"/>
      <c r="F167" s="256"/>
      <c r="G167" s="256"/>
    </row>
    <row r="168" spans="2:8" s="91" customFormat="1" x14ac:dyDescent="0.2">
      <c r="B168" s="249" t="s">
        <v>556</v>
      </c>
    </row>
    <row r="169" spans="2:8" s="91" customFormat="1" x14ac:dyDescent="0.2">
      <c r="B169" s="120" t="s">
        <v>589</v>
      </c>
      <c r="H169" s="257"/>
    </row>
    <row r="170" spans="2:8" s="91" customFormat="1" x14ac:dyDescent="0.2">
      <c r="B170" s="257" t="s">
        <v>557</v>
      </c>
      <c r="C170" s="257"/>
      <c r="D170" s="257"/>
      <c r="E170" s="257"/>
      <c r="F170" s="257"/>
      <c r="G170" s="257"/>
      <c r="H170" s="257"/>
    </row>
    <row r="171" spans="2:8" s="91" customFormat="1" x14ac:dyDescent="0.2">
      <c r="B171" s="257" t="s">
        <v>558</v>
      </c>
      <c r="C171" s="257"/>
      <c r="D171" s="257"/>
      <c r="E171" s="257"/>
      <c r="F171" s="257"/>
      <c r="G171" s="257"/>
    </row>
    <row r="172" spans="2:8" s="91" customFormat="1" x14ac:dyDescent="0.2">
      <c r="B172" s="313" t="s">
        <v>593</v>
      </c>
    </row>
    <row r="173" spans="2:8" s="91" customFormat="1" x14ac:dyDescent="0.2">
      <c r="B173" s="91" t="s">
        <v>594</v>
      </c>
    </row>
    <row r="174" spans="2:8" s="91" customFormat="1" x14ac:dyDescent="0.2"/>
    <row r="175" spans="2:8" s="91" customFormat="1" x14ac:dyDescent="0.2"/>
    <row r="176" spans="2:8" s="91" customFormat="1" x14ac:dyDescent="0.2"/>
    <row r="177" spans="4:4" x14ac:dyDescent="0.2">
      <c r="D177" s="329"/>
    </row>
    <row r="178" spans="4:4" x14ac:dyDescent="0.2">
      <c r="D178" s="330"/>
    </row>
  </sheetData>
  <mergeCells count="9">
    <mergeCell ref="B5:H5"/>
    <mergeCell ref="B6:H6"/>
    <mergeCell ref="B8:B10"/>
    <mergeCell ref="C8:D8"/>
    <mergeCell ref="E8:H8"/>
    <mergeCell ref="C9:C10"/>
    <mergeCell ref="D9:D10"/>
    <mergeCell ref="E9:E10"/>
    <mergeCell ref="F9:H9"/>
  </mergeCells>
  <hyperlinks>
    <hyperlink ref="J5" location="'Índice STJ'!A1" display="'Índice STJ'!A1" xr:uid="{00000000-0004-0000-2000-000000000000}"/>
  </hyperlinks>
  <pageMargins left="0.7" right="0.7" top="0.75" bottom="0.75" header="0.3" footer="0.3"/>
  <pageSetup orientation="portrait" verticalDpi="0" r:id="rId1"/>
  <ignoredErrors>
    <ignoredError sqref="H165 H150:H162" formulaRange="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33</vt:i4>
      </vt:variant>
      <vt:variant>
        <vt:lpstr>Rangos con nombre</vt:lpstr>
      </vt:variant>
      <vt:variant>
        <vt:i4>15</vt:i4>
      </vt:variant>
    </vt:vector>
  </HeadingPairs>
  <TitlesOfParts>
    <vt:vector size="48" baseType="lpstr">
      <vt:lpstr>datos</vt:lpstr>
      <vt:lpstr>Índice</vt:lpstr>
      <vt:lpstr>Índice Pensiones Solidarias</vt:lpstr>
      <vt:lpstr>Solicitudes Nacional</vt:lpstr>
      <vt:lpstr>Concesiones Nacional</vt:lpstr>
      <vt:lpstr>Solicitudes Regiones</vt:lpstr>
      <vt:lpstr>Concesiones Regiones</vt:lpstr>
      <vt:lpstr>XV</vt:lpstr>
      <vt:lpstr>I</vt:lpstr>
      <vt:lpstr>II</vt:lpstr>
      <vt:lpstr>III</vt:lpstr>
      <vt:lpstr>IV</vt:lpstr>
      <vt:lpstr>V</vt:lpstr>
      <vt:lpstr>VI</vt:lpstr>
      <vt:lpstr>VII</vt:lpstr>
      <vt:lpstr>XVI</vt:lpstr>
      <vt:lpstr>VIII</vt:lpstr>
      <vt:lpstr>IX</vt:lpstr>
      <vt:lpstr>XIV</vt:lpstr>
      <vt:lpstr>X</vt:lpstr>
      <vt:lpstr>XI</vt:lpstr>
      <vt:lpstr>XII</vt:lpstr>
      <vt:lpstr>XIII</vt:lpstr>
      <vt:lpstr>Índice BxH</vt:lpstr>
      <vt:lpstr>Concesiones Mensuales BxH</vt:lpstr>
      <vt:lpstr>Solicitudes y Rechazos BxH</vt:lpstr>
      <vt:lpstr>Concesiones Mensuales Regional</vt:lpstr>
      <vt:lpstr>Índice STJ</vt:lpstr>
      <vt:lpstr>Contratación Solicitudes</vt:lpstr>
      <vt:lpstr>Contratación Trámite</vt:lpstr>
      <vt:lpstr>Cotización Solicitudes</vt:lpstr>
      <vt:lpstr>Cotización Trámite</vt:lpstr>
      <vt:lpstr>Subsidios Pagados</vt:lpstr>
      <vt:lpstr>I!Área_de_impresión</vt:lpstr>
      <vt:lpstr>II!Área_de_impresión</vt:lpstr>
      <vt:lpstr>III!Área_de_impresión</vt:lpstr>
      <vt:lpstr>IV!Área_de_impresión</vt:lpstr>
      <vt:lpstr>IX!Área_de_impresión</vt:lpstr>
      <vt:lpstr>V!Área_de_impresión</vt:lpstr>
      <vt:lpstr>VI!Área_de_impresión</vt:lpstr>
      <vt:lpstr>VII!Área_de_impresión</vt:lpstr>
      <vt:lpstr>VIII!Área_de_impresión</vt:lpstr>
      <vt:lpstr>X!Área_de_impresión</vt:lpstr>
      <vt:lpstr>XI!Área_de_impresión</vt:lpstr>
      <vt:lpstr>XII!Área_de_impresión</vt:lpstr>
      <vt:lpstr>XIII!Área_de_impresión</vt:lpstr>
      <vt:lpstr>XIV!Área_de_impresión</vt:lpstr>
      <vt:lpstr>XVI!Área_de_impresión</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Amanda Margarita Martinez Becerra</dc:creator>
  <cp:lastModifiedBy>Amanda Margarita Martinez Becerra</cp:lastModifiedBy>
  <dcterms:created xsi:type="dcterms:W3CDTF">2018-05-04T15:44:38Z</dcterms:created>
  <dcterms:modified xsi:type="dcterms:W3CDTF">2022-02-03T12:07:00Z</dcterms:modified>
</cp:coreProperties>
</file>