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codeName="ThisWorkbook"/>
  <mc:AlternateContent xmlns:mc="http://schemas.openxmlformats.org/markup-compatibility/2006">
    <mc:Choice Requires="x15">
      <x15ac:absPath xmlns:x15ac="http://schemas.microsoft.com/office/spreadsheetml/2010/11/ac" url="https://previsionsocial-my.sharepoint.com/personal/amanda_martinez_previsionsocial_gob_cl/Documents/Informe Mensual/2022/6. Junio 2022/"/>
    </mc:Choice>
  </mc:AlternateContent>
  <xr:revisionPtr revIDLastSave="2" documentId="8_{0EB10039-69C2-4ED6-BBAF-B7B21535704E}" xr6:coauthVersionLast="47" xr6:coauthVersionMax="47" xr10:uidLastSave="{17DBF20F-E418-425A-8DF9-964966322201}"/>
  <bookViews>
    <workbookView xWindow="20370" yWindow="-120" windowWidth="29040" windowHeight="15840" tabRatio="941" firstSheet="1" activeTab="1" xr2:uid="{00000000-000D-0000-FFFF-FFFF00000000}"/>
  </bookViews>
  <sheets>
    <sheet name="datos" sheetId="21" state="hidden" r:id="rId1"/>
    <sheet name="Índice" sheetId="23" r:id="rId2"/>
    <sheet name="Índice PGU y SPS" sheetId="20" r:id="rId3"/>
    <sheet name="Solicitudes Nacional" sheetId="1" r:id="rId4"/>
    <sheet name="Concesiones Nacional" sheetId="2" r:id="rId5"/>
    <sheet name="Solicitudes Regiones" sheetId="3" r:id="rId6"/>
    <sheet name="Concesiones Regiones" sheetId="4" r:id="rId7"/>
    <sheet name="XV" sheetId="5" r:id="rId8"/>
    <sheet name="I" sheetId="6" r:id="rId9"/>
    <sheet name="II" sheetId="7" r:id="rId10"/>
    <sheet name="III" sheetId="8" r:id="rId11"/>
    <sheet name="IV" sheetId="9" r:id="rId12"/>
    <sheet name="V" sheetId="10" r:id="rId13"/>
    <sheet name="VI" sheetId="11" r:id="rId14"/>
    <sheet name="VII" sheetId="12" r:id="rId15"/>
    <sheet name="XVI" sheetId="34" r:id="rId16"/>
    <sheet name="VIII" sheetId="13" r:id="rId17"/>
    <sheet name="IX" sheetId="14" r:id="rId18"/>
    <sheet name="XIV" sheetId="15" r:id="rId19"/>
    <sheet name="X" sheetId="16" r:id="rId20"/>
    <sheet name="XI" sheetId="17" r:id="rId21"/>
    <sheet name="XII" sheetId="18" r:id="rId22"/>
    <sheet name="XIII" sheetId="19" r:id="rId23"/>
    <sheet name="Índice BxH" sheetId="22" r:id="rId24"/>
    <sheet name="Concesiones Mensuales BxH" sheetId="25" r:id="rId25"/>
    <sheet name="Solicitudes y Rechazos BxH" sheetId="26" r:id="rId26"/>
    <sheet name="Concesiones Mensuales Regional" sheetId="27" r:id="rId27"/>
    <sheet name="Índice STJ" sheetId="24" r:id="rId28"/>
    <sheet name="Contratación Solicitudes" sheetId="29" r:id="rId29"/>
    <sheet name="Contratación Trámite" sheetId="30" r:id="rId30"/>
    <sheet name="Cotización Solicitudes" sheetId="31" r:id="rId31"/>
    <sheet name="Cotización Trámite" sheetId="32" r:id="rId32"/>
    <sheet name="Subsidios Pagados" sheetId="33" r:id="rId33"/>
  </sheets>
  <definedNames>
    <definedName name="_xlnm.Print_Area" localSheetId="8">I!$B$1:$L$37</definedName>
    <definedName name="_xlnm.Print_Area" localSheetId="9">II!$B$1:$L$41</definedName>
    <definedName name="_xlnm.Print_Area" localSheetId="10">III!$B$1:$L$41</definedName>
    <definedName name="_xlnm.Print_Area" localSheetId="11">IV!$B$1:$L$53</definedName>
    <definedName name="_xlnm.Print_Area" localSheetId="17">IX!$B$1:$L$86</definedName>
    <definedName name="_xlnm.Print_Area" localSheetId="12">V!$B$1:$L$99</definedName>
    <definedName name="_xlnm.Print_Area" localSheetId="13">VI!$B$1:$L$89</definedName>
    <definedName name="_xlnm.Print_Area" localSheetId="14">VII!$B$1:$L$82</definedName>
    <definedName name="_xlnm.Print_Area" localSheetId="16">VIII!$B$1:$L$88</definedName>
    <definedName name="_xlnm.Print_Area" localSheetId="19">X!$B$1:$L$82</definedName>
    <definedName name="_xlnm.Print_Area" localSheetId="20">XI!$B$1:$L$42</definedName>
    <definedName name="_xlnm.Print_Area" localSheetId="21">XII!$B$1:$L$44</definedName>
    <definedName name="_xlnm.Print_Area" localSheetId="22">XIII!$B$1:$L$127</definedName>
    <definedName name="_xlnm.Print_Area" localSheetId="18">XIV!$B$1:$L$46</definedName>
    <definedName name="_xlnm.Print_Area" localSheetId="15">XVI!$B$1:$L$64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R27" i="4" l="1"/>
  <c r="P27" i="4"/>
  <c r="O27" i="4"/>
  <c r="N27" i="4"/>
  <c r="Q27" i="4"/>
  <c r="M27" i="4"/>
  <c r="H170" i="33" l="1"/>
  <c r="K136" i="32"/>
  <c r="H136" i="32"/>
  <c r="E136" i="32"/>
  <c r="K135" i="32"/>
  <c r="H135" i="32"/>
  <c r="L135" i="32" s="1"/>
  <c r="E135" i="32"/>
  <c r="D135" i="31"/>
  <c r="C135" i="31"/>
  <c r="E134" i="31"/>
  <c r="E134" i="30"/>
  <c r="D134" i="30"/>
  <c r="C134" i="30"/>
  <c r="F133" i="30"/>
  <c r="E139" i="29"/>
  <c r="D139" i="29"/>
  <c r="C139" i="29"/>
  <c r="F138" i="29"/>
  <c r="D125" i="26"/>
  <c r="C125" i="26"/>
  <c r="E124" i="26"/>
  <c r="H138" i="25"/>
  <c r="G138" i="25"/>
  <c r="F138" i="25"/>
  <c r="E138" i="25"/>
  <c r="D138" i="25"/>
  <c r="C138" i="25"/>
  <c r="J137" i="25"/>
  <c r="I137" i="25"/>
  <c r="H169" i="33"/>
  <c r="K134" i="32"/>
  <c r="H134" i="32"/>
  <c r="E134" i="32"/>
  <c r="E133" i="31"/>
  <c r="F132" i="30"/>
  <c r="F137" i="29"/>
  <c r="L134" i="32" l="1"/>
  <c r="E123" i="26"/>
  <c r="J136" i="25"/>
  <c r="I136" i="25"/>
  <c r="B6" i="4" l="1"/>
  <c r="H168" i="33"/>
  <c r="K133" i="32"/>
  <c r="H133" i="32"/>
  <c r="E133" i="32"/>
  <c r="L133" i="32" s="1"/>
  <c r="E132" i="31"/>
  <c r="F131" i="30"/>
  <c r="F136" i="29"/>
  <c r="E122" i="26"/>
  <c r="J135" i="25"/>
  <c r="I135" i="25"/>
  <c r="G124" i="19" l="1"/>
  <c r="J124" i="19"/>
  <c r="I124" i="19"/>
  <c r="H63" i="19"/>
  <c r="G63" i="19"/>
  <c r="J63" i="19"/>
  <c r="K63" i="19" s="1"/>
  <c r="I63" i="19"/>
  <c r="I42" i="18"/>
  <c r="H42" i="18"/>
  <c r="G42" i="18"/>
  <c r="J42" i="18"/>
  <c r="I22" i="18"/>
  <c r="H22" i="18"/>
  <c r="B6" i="2"/>
  <c r="G22" i="18"/>
  <c r="H124" i="19" l="1"/>
  <c r="K20" i="19"/>
  <c r="K52" i="19"/>
  <c r="K12" i="19"/>
  <c r="K28" i="19"/>
  <c r="K36" i="19"/>
  <c r="K44" i="19"/>
  <c r="K15" i="19"/>
  <c r="K16" i="19"/>
  <c r="K19" i="19"/>
  <c r="K23" i="19"/>
  <c r="K24" i="19"/>
  <c r="K27" i="19"/>
  <c r="K31" i="19"/>
  <c r="K32" i="19"/>
  <c r="K35" i="19"/>
  <c r="K39" i="19"/>
  <c r="K40" i="19"/>
  <c r="K43" i="19"/>
  <c r="K47" i="19"/>
  <c r="K48" i="19"/>
  <c r="K51" i="19"/>
  <c r="K55" i="19"/>
  <c r="K56" i="19"/>
  <c r="K59" i="19"/>
  <c r="K60" i="19"/>
  <c r="K33" i="18"/>
  <c r="K35" i="18"/>
  <c r="K37" i="18"/>
  <c r="K40" i="18"/>
  <c r="K13" i="19"/>
  <c r="K17" i="19"/>
  <c r="K18" i="19"/>
  <c r="K21" i="19"/>
  <c r="K22" i="19"/>
  <c r="K25" i="19"/>
  <c r="K26" i="19"/>
  <c r="K29" i="19"/>
  <c r="K30" i="19"/>
  <c r="K33" i="19"/>
  <c r="K34" i="19"/>
  <c r="K37" i="19"/>
  <c r="K38" i="19"/>
  <c r="K41" i="19"/>
  <c r="K42" i="19"/>
  <c r="K45" i="19"/>
  <c r="K46" i="19"/>
  <c r="K49" i="19"/>
  <c r="K50" i="19"/>
  <c r="K53" i="19"/>
  <c r="K54" i="19"/>
  <c r="K57" i="19"/>
  <c r="K58" i="19"/>
  <c r="K61" i="19"/>
  <c r="K62" i="19"/>
  <c r="K11" i="19"/>
  <c r="K74" i="19"/>
  <c r="K75" i="19"/>
  <c r="K78" i="19"/>
  <c r="K79" i="19"/>
  <c r="K82" i="19"/>
  <c r="K83" i="19"/>
  <c r="K86" i="19"/>
  <c r="K87" i="19"/>
  <c r="K90" i="19"/>
  <c r="K91" i="19"/>
  <c r="K94" i="19"/>
  <c r="K95" i="19"/>
  <c r="K98" i="19"/>
  <c r="K99" i="19"/>
  <c r="K102" i="19"/>
  <c r="K103" i="19"/>
  <c r="K106" i="19"/>
  <c r="K107" i="19"/>
  <c r="K110" i="19"/>
  <c r="K111" i="19"/>
  <c r="K114" i="19"/>
  <c r="K115" i="19"/>
  <c r="K118" i="19"/>
  <c r="K119" i="19"/>
  <c r="K122" i="19"/>
  <c r="K123" i="19"/>
  <c r="J22" i="18"/>
  <c r="K12" i="18" s="1"/>
  <c r="K32" i="18"/>
  <c r="K34" i="18"/>
  <c r="K36" i="18"/>
  <c r="K38" i="18"/>
  <c r="K39" i="18"/>
  <c r="K41" i="18"/>
  <c r="K14" i="19"/>
  <c r="K31" i="18"/>
  <c r="K42" i="18"/>
  <c r="K72" i="19"/>
  <c r="K121" i="19"/>
  <c r="K117" i="19"/>
  <c r="K113" i="19"/>
  <c r="K109" i="19"/>
  <c r="K105" i="19"/>
  <c r="K101" i="19"/>
  <c r="K97" i="19"/>
  <c r="K93" i="19"/>
  <c r="K89" i="19"/>
  <c r="K85" i="19"/>
  <c r="K81" i="19"/>
  <c r="K77" i="19"/>
  <c r="K73" i="19"/>
  <c r="K124" i="19"/>
  <c r="K120" i="19"/>
  <c r="K116" i="19"/>
  <c r="K112" i="19"/>
  <c r="K108" i="19"/>
  <c r="K104" i="19"/>
  <c r="K100" i="19"/>
  <c r="K96" i="19"/>
  <c r="K92" i="19"/>
  <c r="K88" i="19"/>
  <c r="K84" i="19"/>
  <c r="K80" i="19"/>
  <c r="K76" i="19"/>
  <c r="J40" i="17"/>
  <c r="I40" i="17"/>
  <c r="H40" i="17"/>
  <c r="G40" i="17"/>
  <c r="I21" i="17"/>
  <c r="H21" i="17"/>
  <c r="G21" i="17"/>
  <c r="I80" i="16"/>
  <c r="H80" i="16"/>
  <c r="G80" i="16"/>
  <c r="I41" i="16"/>
  <c r="H41" i="16"/>
  <c r="G41" i="16"/>
  <c r="I44" i="15"/>
  <c r="H44" i="15"/>
  <c r="G44" i="15"/>
  <c r="I23" i="15"/>
  <c r="H23" i="15"/>
  <c r="G23" i="15"/>
  <c r="I84" i="14"/>
  <c r="H84" i="14"/>
  <c r="G84" i="14"/>
  <c r="H43" i="14"/>
  <c r="G43" i="14"/>
  <c r="J86" i="13"/>
  <c r="H86" i="13"/>
  <c r="G86" i="13"/>
  <c r="J44" i="13"/>
  <c r="I44" i="13"/>
  <c r="H44" i="13"/>
  <c r="G44" i="13"/>
  <c r="J62" i="34"/>
  <c r="H62" i="34"/>
  <c r="G62" i="34"/>
  <c r="I32" i="34"/>
  <c r="H32" i="34"/>
  <c r="G32" i="34"/>
  <c r="J80" i="12"/>
  <c r="I80" i="12"/>
  <c r="H80" i="12"/>
  <c r="G80" i="12"/>
  <c r="I41" i="12"/>
  <c r="H41" i="12"/>
  <c r="G41" i="12"/>
  <c r="J86" i="11"/>
  <c r="K86" i="11" s="1"/>
  <c r="I86" i="11"/>
  <c r="H86" i="11"/>
  <c r="G86" i="11"/>
  <c r="I96" i="10"/>
  <c r="H96" i="10"/>
  <c r="G96" i="10"/>
  <c r="I49" i="10"/>
  <c r="H49" i="10"/>
  <c r="G49" i="10"/>
  <c r="I50" i="9"/>
  <c r="H50" i="9"/>
  <c r="G50" i="9"/>
  <c r="I26" i="9"/>
  <c r="H26" i="9"/>
  <c r="G26" i="9"/>
  <c r="I20" i="8"/>
  <c r="H20" i="8"/>
  <c r="G20" i="8"/>
  <c r="J38" i="7"/>
  <c r="I38" i="7"/>
  <c r="H38" i="7"/>
  <c r="G38" i="7"/>
  <c r="G28" i="3"/>
  <c r="J49" i="10" l="1"/>
  <c r="K17" i="10" s="1"/>
  <c r="I62" i="34"/>
  <c r="K58" i="11"/>
  <c r="K63" i="11"/>
  <c r="K79" i="11"/>
  <c r="I86" i="13"/>
  <c r="J21" i="17"/>
  <c r="K15" i="17" s="1"/>
  <c r="K34" i="17"/>
  <c r="K11" i="18"/>
  <c r="J96" i="10"/>
  <c r="K91" i="10" s="1"/>
  <c r="K69" i="11"/>
  <c r="K74" i="11"/>
  <c r="K85" i="11"/>
  <c r="K31" i="7"/>
  <c r="K25" i="13"/>
  <c r="K22" i="18"/>
  <c r="K21" i="10"/>
  <c r="K33" i="10"/>
  <c r="K18" i="18"/>
  <c r="K58" i="10"/>
  <c r="K54" i="11"/>
  <c r="K59" i="11"/>
  <c r="K65" i="11"/>
  <c r="K70" i="11"/>
  <c r="K75" i="11"/>
  <c r="K81" i="11"/>
  <c r="K52" i="12"/>
  <c r="K55" i="12"/>
  <c r="K60" i="12"/>
  <c r="K63" i="12"/>
  <c r="K68" i="12"/>
  <c r="K71" i="12"/>
  <c r="K76" i="12"/>
  <c r="K79" i="12"/>
  <c r="K43" i="34"/>
  <c r="K47" i="34"/>
  <c r="K59" i="34"/>
  <c r="K29" i="13"/>
  <c r="K19" i="18"/>
  <c r="K53" i="11"/>
  <c r="K15" i="18"/>
  <c r="K51" i="12"/>
  <c r="K72" i="12"/>
  <c r="K75" i="12"/>
  <c r="K51" i="34"/>
  <c r="K55" i="34"/>
  <c r="I43" i="14"/>
  <c r="P28" i="3"/>
  <c r="J17" i="7"/>
  <c r="K30" i="7"/>
  <c r="K34" i="7"/>
  <c r="K35" i="7"/>
  <c r="K55" i="11"/>
  <c r="K57" i="11"/>
  <c r="K61" i="11"/>
  <c r="K62" i="11"/>
  <c r="K66" i="11"/>
  <c r="K67" i="11"/>
  <c r="K71" i="11"/>
  <c r="K73" i="11"/>
  <c r="K77" i="11"/>
  <c r="K78" i="11"/>
  <c r="K82" i="11"/>
  <c r="K83" i="11"/>
  <c r="K68" i="13"/>
  <c r="K32" i="17"/>
  <c r="K36" i="17"/>
  <c r="K38" i="17"/>
  <c r="K21" i="18"/>
  <c r="K13" i="18"/>
  <c r="K16" i="18"/>
  <c r="K56" i="12"/>
  <c r="K59" i="12"/>
  <c r="K64" i="12"/>
  <c r="K67" i="12"/>
  <c r="K14" i="18"/>
  <c r="J28" i="3"/>
  <c r="J13" i="7"/>
  <c r="D49" i="10"/>
  <c r="K63" i="10"/>
  <c r="K70" i="10"/>
  <c r="K79" i="10"/>
  <c r="K86" i="10"/>
  <c r="K95" i="10"/>
  <c r="K13" i="13"/>
  <c r="K41" i="13"/>
  <c r="K17" i="18"/>
  <c r="K20" i="18"/>
  <c r="K18" i="6"/>
  <c r="J28" i="6"/>
  <c r="J29" i="6"/>
  <c r="J30" i="6"/>
  <c r="J32" i="6"/>
  <c r="J33" i="6"/>
  <c r="J14" i="7"/>
  <c r="J15" i="7"/>
  <c r="J18" i="7"/>
  <c r="J19" i="7"/>
  <c r="J26" i="9"/>
  <c r="K18" i="9" s="1"/>
  <c r="G29" i="5"/>
  <c r="K29" i="5"/>
  <c r="J27" i="6"/>
  <c r="J31" i="6"/>
  <c r="K32" i="7"/>
  <c r="K33" i="7"/>
  <c r="K36" i="7"/>
  <c r="K37" i="7"/>
  <c r="J50" i="9"/>
  <c r="K48" i="9" s="1"/>
  <c r="F28" i="3"/>
  <c r="J12" i="7"/>
  <c r="J16" i="7"/>
  <c r="K38" i="7"/>
  <c r="J20" i="8"/>
  <c r="K49" i="10"/>
  <c r="K12" i="10"/>
  <c r="K13" i="10"/>
  <c r="K14" i="10"/>
  <c r="K15" i="10"/>
  <c r="K16" i="10"/>
  <c r="K18" i="10"/>
  <c r="K19" i="10"/>
  <c r="K20" i="10"/>
  <c r="K25" i="10"/>
  <c r="K29" i="10"/>
  <c r="K41" i="10"/>
  <c r="K37" i="10"/>
  <c r="K22" i="10"/>
  <c r="K23" i="10"/>
  <c r="K24" i="10"/>
  <c r="K26" i="10"/>
  <c r="K27" i="10"/>
  <c r="K28" i="10"/>
  <c r="K30" i="10"/>
  <c r="K31" i="10"/>
  <c r="K32" i="10"/>
  <c r="K34" i="10"/>
  <c r="K35" i="10"/>
  <c r="K36" i="10"/>
  <c r="K38" i="10"/>
  <c r="K39" i="10"/>
  <c r="K40" i="10"/>
  <c r="K42" i="10"/>
  <c r="K43" i="10"/>
  <c r="K44" i="10"/>
  <c r="K45" i="10"/>
  <c r="K46" i="10"/>
  <c r="K47" i="10"/>
  <c r="K48" i="10"/>
  <c r="K44" i="13"/>
  <c r="K12" i="13"/>
  <c r="K14" i="13"/>
  <c r="K15" i="13"/>
  <c r="K16" i="13"/>
  <c r="K17" i="13"/>
  <c r="K18" i="13"/>
  <c r="K19" i="13"/>
  <c r="K20" i="13"/>
  <c r="K21" i="13"/>
  <c r="K22" i="13"/>
  <c r="K23" i="13"/>
  <c r="K24" i="13"/>
  <c r="K26" i="13"/>
  <c r="K27" i="13"/>
  <c r="K28" i="13"/>
  <c r="K30" i="13"/>
  <c r="K31" i="13"/>
  <c r="K32" i="13"/>
  <c r="K33" i="13"/>
  <c r="K34" i="13"/>
  <c r="K35" i="13"/>
  <c r="K36" i="13"/>
  <c r="K37" i="13"/>
  <c r="K38" i="13"/>
  <c r="K39" i="13"/>
  <c r="K40" i="13"/>
  <c r="K42" i="13"/>
  <c r="K43" i="13"/>
  <c r="K86" i="13"/>
  <c r="K54" i="13"/>
  <c r="K55" i="13"/>
  <c r="K56" i="13"/>
  <c r="K57" i="13"/>
  <c r="K58" i="13"/>
  <c r="K59" i="13"/>
  <c r="K60" i="13"/>
  <c r="K61" i="13"/>
  <c r="K62" i="13"/>
  <c r="K63" i="13"/>
  <c r="K64" i="13"/>
  <c r="K66" i="13"/>
  <c r="K67" i="13"/>
  <c r="K70" i="13"/>
  <c r="K71" i="13"/>
  <c r="K72" i="13"/>
  <c r="K74" i="13"/>
  <c r="K75" i="13"/>
  <c r="K76" i="13"/>
  <c r="K78" i="13"/>
  <c r="K79" i="13"/>
  <c r="K80" i="13"/>
  <c r="K82" i="13"/>
  <c r="K83" i="13"/>
  <c r="K84" i="13"/>
  <c r="G38" i="8"/>
  <c r="K31" i="17"/>
  <c r="K33" i="17"/>
  <c r="K35" i="17"/>
  <c r="K37" i="17"/>
  <c r="K39" i="17"/>
  <c r="I44" i="11"/>
  <c r="K78" i="12"/>
  <c r="K53" i="12"/>
  <c r="K54" i="12"/>
  <c r="K57" i="12"/>
  <c r="K61" i="12"/>
  <c r="K65" i="12"/>
  <c r="K69" i="12"/>
  <c r="K73" i="12"/>
  <c r="K77" i="12"/>
  <c r="K80" i="12"/>
  <c r="K30" i="17"/>
  <c r="K60" i="10"/>
  <c r="K61" i="10"/>
  <c r="K68" i="10"/>
  <c r="K69" i="10"/>
  <c r="K76" i="10"/>
  <c r="K77" i="10"/>
  <c r="K84" i="10"/>
  <c r="K85" i="10"/>
  <c r="K92" i="10"/>
  <c r="K93" i="10"/>
  <c r="K56" i="11"/>
  <c r="K60" i="11"/>
  <c r="K64" i="11"/>
  <c r="K68" i="11"/>
  <c r="K72" i="11"/>
  <c r="K76" i="11"/>
  <c r="K80" i="11"/>
  <c r="K84" i="11"/>
  <c r="K62" i="34"/>
  <c r="K42" i="34"/>
  <c r="K44" i="34"/>
  <c r="K45" i="34"/>
  <c r="K46" i="34"/>
  <c r="K48" i="34"/>
  <c r="K49" i="34"/>
  <c r="K50" i="34"/>
  <c r="K52" i="34"/>
  <c r="K53" i="34"/>
  <c r="K54" i="34"/>
  <c r="K56" i="34"/>
  <c r="K57" i="34"/>
  <c r="K58" i="34"/>
  <c r="K60" i="34"/>
  <c r="K61" i="34"/>
  <c r="K16" i="17"/>
  <c r="K18" i="17"/>
  <c r="K40" i="17"/>
  <c r="C28" i="3"/>
  <c r="D28" i="3"/>
  <c r="H28" i="3"/>
  <c r="M28" i="3"/>
  <c r="Q28" i="3"/>
  <c r="O28" i="3"/>
  <c r="N28" i="3"/>
  <c r="R28" i="3"/>
  <c r="F29" i="5"/>
  <c r="J29" i="5"/>
  <c r="K14" i="6"/>
  <c r="J41" i="12"/>
  <c r="K13" i="12" s="1"/>
  <c r="J32" i="34"/>
  <c r="K14" i="34" s="1"/>
  <c r="H20" i="7"/>
  <c r="J11" i="7"/>
  <c r="K16" i="6"/>
  <c r="K12" i="6"/>
  <c r="K15" i="6"/>
  <c r="K11" i="6"/>
  <c r="I20" i="7"/>
  <c r="H38" i="8"/>
  <c r="J44" i="11"/>
  <c r="K42" i="11" s="1"/>
  <c r="D29" i="5"/>
  <c r="H29" i="5"/>
  <c r="L29" i="5"/>
  <c r="D20" i="7"/>
  <c r="L20" i="7"/>
  <c r="D38" i="7"/>
  <c r="I38" i="8"/>
  <c r="K11" i="10"/>
  <c r="G44" i="11"/>
  <c r="E29" i="5"/>
  <c r="I29" i="5"/>
  <c r="M29" i="5"/>
  <c r="K13" i="6"/>
  <c r="K17" i="6"/>
  <c r="I34" i="6"/>
  <c r="G34" i="6"/>
  <c r="H34" i="6"/>
  <c r="G20" i="7"/>
  <c r="K29" i="7"/>
  <c r="J38" i="8"/>
  <c r="H44" i="11"/>
  <c r="L86" i="11"/>
  <c r="J23" i="15"/>
  <c r="K12" i="15" s="1"/>
  <c r="K65" i="13"/>
  <c r="K69" i="13"/>
  <c r="K73" i="13"/>
  <c r="K77" i="13"/>
  <c r="K81" i="13"/>
  <c r="K85" i="13"/>
  <c r="K41" i="34"/>
  <c r="K11" i="13"/>
  <c r="K53" i="13"/>
  <c r="K50" i="12"/>
  <c r="K58" i="12"/>
  <c r="K62" i="12"/>
  <c r="K66" i="12"/>
  <c r="K70" i="12"/>
  <c r="K74" i="12"/>
  <c r="J43" i="14"/>
  <c r="K14" i="14" s="1"/>
  <c r="J44" i="15"/>
  <c r="K32" i="15" s="1"/>
  <c r="J84" i="14"/>
  <c r="K81" i="14" s="1"/>
  <c r="J41" i="16"/>
  <c r="K11" i="16" s="1"/>
  <c r="J80" i="16"/>
  <c r="K56" i="16" s="1"/>
  <c r="H167" i="33"/>
  <c r="K132" i="32"/>
  <c r="H132" i="32"/>
  <c r="E132" i="32"/>
  <c r="L132" i="32" s="1"/>
  <c r="E131" i="31"/>
  <c r="F130" i="30"/>
  <c r="F135" i="29"/>
  <c r="K21" i="17" l="1"/>
  <c r="K31" i="34"/>
  <c r="K30" i="34"/>
  <c r="K29" i="34"/>
  <c r="K28" i="34"/>
  <c r="K22" i="34"/>
  <c r="K67" i="10"/>
  <c r="K72" i="14"/>
  <c r="K16" i="34"/>
  <c r="K90" i="10"/>
  <c r="K19" i="15"/>
  <c r="K38" i="16"/>
  <c r="K14" i="15"/>
  <c r="K18" i="15"/>
  <c r="K22" i="15"/>
  <c r="K11" i="15"/>
  <c r="K23" i="34"/>
  <c r="K75" i="10"/>
  <c r="K38" i="12"/>
  <c r="K15" i="15"/>
  <c r="K35" i="12"/>
  <c r="K70" i="16"/>
  <c r="K60" i="14"/>
  <c r="K59" i="16"/>
  <c r="K57" i="16"/>
  <c r="K75" i="16"/>
  <c r="K65" i="16"/>
  <c r="K54" i="16"/>
  <c r="K13" i="16"/>
  <c r="K25" i="34"/>
  <c r="K13" i="34"/>
  <c r="K29" i="12"/>
  <c r="K66" i="10"/>
  <c r="K19" i="17"/>
  <c r="K67" i="16"/>
  <c r="K73" i="16"/>
  <c r="K62" i="16"/>
  <c r="K51" i="16"/>
  <c r="K17" i="12"/>
  <c r="K78" i="16"/>
  <c r="K25" i="12"/>
  <c r="K33" i="12"/>
  <c r="K24" i="12"/>
  <c r="K14" i="17"/>
  <c r="K89" i="10"/>
  <c r="K81" i="10"/>
  <c r="K73" i="10"/>
  <c r="K65" i="10"/>
  <c r="K96" i="10"/>
  <c r="K94" i="10"/>
  <c r="K78" i="10"/>
  <c r="K62" i="10"/>
  <c r="K17" i="17"/>
  <c r="K59" i="10"/>
  <c r="K82" i="10"/>
  <c r="K80" i="14"/>
  <c r="K42" i="15"/>
  <c r="K27" i="34"/>
  <c r="K17" i="34"/>
  <c r="K39" i="12"/>
  <c r="K30" i="12"/>
  <c r="K20" i="12"/>
  <c r="K18" i="12"/>
  <c r="K20" i="17"/>
  <c r="K12" i="17"/>
  <c r="K88" i="10"/>
  <c r="K80" i="10"/>
  <c r="K72" i="10"/>
  <c r="K64" i="10"/>
  <c r="K87" i="10"/>
  <c r="K71" i="10"/>
  <c r="K11" i="17"/>
  <c r="K83" i="10"/>
  <c r="K13" i="17"/>
  <c r="K74" i="10"/>
  <c r="K78" i="14"/>
  <c r="K68" i="14"/>
  <c r="K58" i="14"/>
  <c r="K76" i="14"/>
  <c r="K66" i="14"/>
  <c r="K56" i="14"/>
  <c r="K18" i="34"/>
  <c r="K12" i="34"/>
  <c r="K12" i="12"/>
  <c r="K82" i="14"/>
  <c r="K74" i="14"/>
  <c r="K64" i="14"/>
  <c r="K52" i="14"/>
  <c r="K83" i="14"/>
  <c r="K41" i="15"/>
  <c r="K38" i="15"/>
  <c r="K21" i="15"/>
  <c r="K17" i="15"/>
  <c r="K13" i="15"/>
  <c r="K37" i="12"/>
  <c r="K32" i="12"/>
  <c r="K28" i="12"/>
  <c r="K22" i="12"/>
  <c r="K16" i="12"/>
  <c r="K16" i="11"/>
  <c r="K33" i="16"/>
  <c r="K40" i="15"/>
  <c r="K27" i="16"/>
  <c r="K21" i="16"/>
  <c r="K67" i="14"/>
  <c r="K60" i="16"/>
  <c r="K20" i="15"/>
  <c r="K16" i="15"/>
  <c r="K31" i="11"/>
  <c r="K26" i="34"/>
  <c r="K20" i="34"/>
  <c r="K40" i="12"/>
  <c r="K36" i="12"/>
  <c r="K31" i="12"/>
  <c r="K27" i="12"/>
  <c r="K21" i="12"/>
  <c r="K14" i="12"/>
  <c r="K35" i="14"/>
  <c r="J20" i="7"/>
  <c r="K15" i="7" s="1"/>
  <c r="K15" i="8"/>
  <c r="K20" i="8"/>
  <c r="K13" i="8"/>
  <c r="K19" i="8"/>
  <c r="K12" i="8"/>
  <c r="K49" i="9"/>
  <c r="K42" i="9"/>
  <c r="K26" i="9"/>
  <c r="K25" i="9"/>
  <c r="K19" i="9"/>
  <c r="K12" i="9"/>
  <c r="K23" i="9"/>
  <c r="K15" i="9"/>
  <c r="K36" i="9"/>
  <c r="K43" i="9"/>
  <c r="K77" i="16"/>
  <c r="K71" i="16"/>
  <c r="K66" i="16"/>
  <c r="K61" i="16"/>
  <c r="K55" i="16"/>
  <c r="K50" i="16"/>
  <c r="K37" i="16"/>
  <c r="K31" i="16"/>
  <c r="K26" i="16"/>
  <c r="K18" i="16"/>
  <c r="K70" i="14"/>
  <c r="K62" i="14"/>
  <c r="K54" i="14"/>
  <c r="K41" i="14"/>
  <c r="K34" i="14"/>
  <c r="K23" i="14"/>
  <c r="K32" i="34"/>
  <c r="K23" i="12"/>
  <c r="K19" i="12"/>
  <c r="K16" i="8"/>
  <c r="K47" i="9"/>
  <c r="K40" i="9"/>
  <c r="K16" i="9"/>
  <c r="K20" i="9"/>
  <c r="K41" i="9"/>
  <c r="K33" i="14"/>
  <c r="K14" i="8"/>
  <c r="K46" i="9"/>
  <c r="K38" i="9"/>
  <c r="K22" i="9"/>
  <c r="K14" i="9"/>
  <c r="K13" i="9"/>
  <c r="K24" i="9"/>
  <c r="K42" i="14"/>
  <c r="K27" i="14"/>
  <c r="K21" i="14"/>
  <c r="K18" i="8"/>
  <c r="K50" i="9"/>
  <c r="K44" i="9"/>
  <c r="K37" i="9"/>
  <c r="K72" i="16"/>
  <c r="K35" i="16"/>
  <c r="K30" i="16"/>
  <c r="K23" i="16"/>
  <c r="K17" i="16"/>
  <c r="K39" i="14"/>
  <c r="K15" i="14"/>
  <c r="K36" i="14"/>
  <c r="K36" i="8"/>
  <c r="K79" i="16"/>
  <c r="K74" i="16"/>
  <c r="K69" i="16"/>
  <c r="K63" i="16"/>
  <c r="K58" i="16"/>
  <c r="K53" i="16"/>
  <c r="K39" i="16"/>
  <c r="K34" i="16"/>
  <c r="K29" i="16"/>
  <c r="K22" i="16"/>
  <c r="K15" i="16"/>
  <c r="K59" i="14"/>
  <c r="K34" i="15"/>
  <c r="K39" i="15"/>
  <c r="K65" i="14"/>
  <c r="K37" i="14"/>
  <c r="K29" i="14"/>
  <c r="K11" i="14"/>
  <c r="K76" i="16"/>
  <c r="K23" i="15"/>
  <c r="K25" i="14"/>
  <c r="K32" i="8"/>
  <c r="K11" i="12"/>
  <c r="K11" i="8"/>
  <c r="K45" i="9"/>
  <c r="K35" i="9"/>
  <c r="K21" i="9"/>
  <c r="K11" i="9"/>
  <c r="K39" i="9"/>
  <c r="K17" i="8"/>
  <c r="K17" i="9"/>
  <c r="K28" i="3"/>
  <c r="J30" i="5"/>
  <c r="K44" i="11"/>
  <c r="K39" i="11"/>
  <c r="K28" i="11"/>
  <c r="K12" i="11"/>
  <c r="K43" i="11"/>
  <c r="K41" i="11"/>
  <c r="K36" i="11"/>
  <c r="K25" i="11"/>
  <c r="K20" i="11"/>
  <c r="K24" i="11"/>
  <c r="K40" i="11"/>
  <c r="K19" i="11"/>
  <c r="K29" i="11"/>
  <c r="K35" i="11"/>
  <c r="K13" i="11"/>
  <c r="K37" i="11"/>
  <c r="K14" i="11"/>
  <c r="K30" i="11"/>
  <c r="K11" i="11"/>
  <c r="K15" i="11"/>
  <c r="K17" i="11"/>
  <c r="K18" i="11"/>
  <c r="K34" i="11"/>
  <c r="K23" i="11"/>
  <c r="K26" i="11"/>
  <c r="K33" i="11"/>
  <c r="K38" i="11"/>
  <c r="K22" i="11"/>
  <c r="K16" i="7"/>
  <c r="K21" i="11"/>
  <c r="K27" i="11"/>
  <c r="K32" i="11"/>
  <c r="K41" i="16"/>
  <c r="K40" i="16"/>
  <c r="K24" i="16"/>
  <c r="K36" i="16"/>
  <c r="K32" i="16"/>
  <c r="K12" i="16"/>
  <c r="K28" i="16"/>
  <c r="K44" i="15"/>
  <c r="K37" i="15"/>
  <c r="K35" i="15"/>
  <c r="K75" i="14"/>
  <c r="K43" i="14"/>
  <c r="K40" i="14"/>
  <c r="K30" i="14"/>
  <c r="K24" i="14"/>
  <c r="K18" i="14"/>
  <c r="K13" i="14"/>
  <c r="K17" i="14"/>
  <c r="K38" i="14"/>
  <c r="K12" i="14"/>
  <c r="K28" i="14"/>
  <c r="K22" i="14"/>
  <c r="K20" i="16"/>
  <c r="K38" i="8"/>
  <c r="K34" i="8"/>
  <c r="K30" i="8"/>
  <c r="K29" i="8"/>
  <c r="K33" i="8"/>
  <c r="K37" i="8"/>
  <c r="K32" i="14"/>
  <c r="K20" i="14"/>
  <c r="K35" i="8"/>
  <c r="K11" i="7"/>
  <c r="K24" i="34"/>
  <c r="K19" i="34"/>
  <c r="K15" i="34"/>
  <c r="K11" i="34"/>
  <c r="K15" i="12"/>
  <c r="K21" i="34"/>
  <c r="K80" i="16"/>
  <c r="K52" i="16"/>
  <c r="K68" i="16"/>
  <c r="K25" i="16"/>
  <c r="K19" i="16"/>
  <c r="K14" i="16"/>
  <c r="K84" i="14"/>
  <c r="K79" i="14"/>
  <c r="K71" i="14"/>
  <c r="K63" i="14"/>
  <c r="K55" i="14"/>
  <c r="K77" i="14"/>
  <c r="K69" i="14"/>
  <c r="K61" i="14"/>
  <c r="K53" i="14"/>
  <c r="K36" i="15"/>
  <c r="K43" i="15"/>
  <c r="K33" i="15"/>
  <c r="K73" i="14"/>
  <c r="K57" i="14"/>
  <c r="K31" i="14"/>
  <c r="K19" i="14"/>
  <c r="K64" i="16"/>
  <c r="K16" i="16"/>
  <c r="J34" i="6"/>
  <c r="K26" i="14"/>
  <c r="K16" i="14"/>
  <c r="K31" i="8"/>
  <c r="K41" i="12"/>
  <c r="K34" i="12"/>
  <c r="K26" i="12"/>
  <c r="E121" i="26"/>
  <c r="I134" i="25"/>
  <c r="J134" i="25"/>
  <c r="H166" i="33"/>
  <c r="K131" i="32"/>
  <c r="H131" i="32"/>
  <c r="E131" i="32"/>
  <c r="B136" i="32"/>
  <c r="E130" i="31"/>
  <c r="B135" i="31"/>
  <c r="F134" i="30"/>
  <c r="F129" i="30"/>
  <c r="F139" i="29"/>
  <c r="F134" i="29"/>
  <c r="K17" i="7" l="1"/>
  <c r="K19" i="7"/>
  <c r="K13" i="7"/>
  <c r="K14" i="7"/>
  <c r="K20" i="7"/>
  <c r="K12" i="7"/>
  <c r="K18" i="7"/>
  <c r="K34" i="6"/>
  <c r="K29" i="6"/>
  <c r="K33" i="6"/>
  <c r="K31" i="6"/>
  <c r="K30" i="6"/>
  <c r="K32" i="6"/>
  <c r="K27" i="6"/>
  <c r="K28" i="6"/>
  <c r="L136" i="32"/>
  <c r="L131" i="32"/>
  <c r="E125" i="26"/>
  <c r="E120" i="26"/>
  <c r="E119" i="26"/>
  <c r="J133" i="25"/>
  <c r="I133" i="25"/>
  <c r="J132" i="25"/>
  <c r="I132" i="25"/>
  <c r="I138" i="25"/>
  <c r="J138" i="25"/>
  <c r="B125" i="26"/>
  <c r="L27" i="4"/>
  <c r="E129" i="31"/>
  <c r="E135" i="31"/>
  <c r="C101" i="30"/>
  <c r="F128" i="30"/>
  <c r="S27" i="3" l="1"/>
  <c r="S28" i="3" s="1"/>
  <c r="K27" i="4"/>
  <c r="S27" i="4"/>
  <c r="C131" i="25"/>
  <c r="H28" i="4" l="1"/>
  <c r="J28" i="4"/>
  <c r="H164" i="33"/>
  <c r="K128" i="32"/>
  <c r="H128" i="32"/>
  <c r="E128" i="32"/>
  <c r="L128" i="32" s="1"/>
  <c r="D128" i="31"/>
  <c r="C128" i="31"/>
  <c r="E127" i="31"/>
  <c r="D127" i="30"/>
  <c r="E127" i="30"/>
  <c r="C127" i="30"/>
  <c r="F126" i="30"/>
  <c r="D132" i="29"/>
  <c r="E132" i="29"/>
  <c r="C132" i="29"/>
  <c r="F131" i="29"/>
  <c r="E128" i="31" l="1"/>
  <c r="D118" i="26"/>
  <c r="C118" i="26"/>
  <c r="H131" i="25"/>
  <c r="G131" i="25"/>
  <c r="F131" i="25"/>
  <c r="E131" i="25"/>
  <c r="D131" i="25"/>
  <c r="E117" i="26"/>
  <c r="I130" i="25"/>
  <c r="J130" i="25"/>
  <c r="J131" i="25" l="1"/>
  <c r="I131" i="25"/>
  <c r="H163" i="33" l="1"/>
  <c r="K127" i="32"/>
  <c r="H127" i="32"/>
  <c r="E127" i="32"/>
  <c r="L127" i="32" s="1"/>
  <c r="E126" i="31"/>
  <c r="F125" i="30"/>
  <c r="F130" i="29"/>
  <c r="E116" i="26"/>
  <c r="J129" i="25"/>
  <c r="I129" i="25"/>
  <c r="H162" i="33" l="1"/>
  <c r="H161" i="33"/>
  <c r="H160" i="33"/>
  <c r="K126" i="32"/>
  <c r="H126" i="32"/>
  <c r="E126" i="32"/>
  <c r="E125" i="31"/>
  <c r="F124" i="30"/>
  <c r="F129" i="29"/>
  <c r="L126" i="32" l="1"/>
  <c r="E115" i="26" l="1"/>
  <c r="I128" i="25"/>
  <c r="J128" i="25"/>
  <c r="H159" i="33"/>
  <c r="H158" i="33"/>
  <c r="K125" i="32"/>
  <c r="H125" i="32"/>
  <c r="E125" i="32"/>
  <c r="E124" i="31"/>
  <c r="F123" i="30"/>
  <c r="F128" i="29"/>
  <c r="L125" i="32" l="1"/>
  <c r="E114" i="26" l="1"/>
  <c r="I127" i="25"/>
  <c r="J127" i="25"/>
  <c r="K124" i="32" l="1"/>
  <c r="H124" i="32"/>
  <c r="E124" i="32"/>
  <c r="E123" i="31"/>
  <c r="F122" i="30"/>
  <c r="L124" i="32" l="1"/>
  <c r="F127" i="29"/>
  <c r="E113" i="26"/>
  <c r="J126" i="25"/>
  <c r="I126" i="25"/>
  <c r="K123" i="32" l="1"/>
  <c r="H123" i="32"/>
  <c r="E123" i="32"/>
  <c r="E122" i="31"/>
  <c r="F121" i="30"/>
  <c r="F126" i="29"/>
  <c r="E112" i="26"/>
  <c r="J125" i="25"/>
  <c r="I125" i="25"/>
  <c r="H157" i="33"/>
  <c r="H156" i="33"/>
  <c r="H155" i="33"/>
  <c r="H154" i="33"/>
  <c r="H153" i="33"/>
  <c r="H152" i="33"/>
  <c r="H151" i="33"/>
  <c r="H150" i="33"/>
  <c r="H149" i="33"/>
  <c r="H148" i="33"/>
  <c r="H147" i="33"/>
  <c r="H146" i="33"/>
  <c r="H145" i="33"/>
  <c r="H144" i="33"/>
  <c r="H127" i="33"/>
  <c r="H126" i="33"/>
  <c r="H125" i="33"/>
  <c r="H124" i="33"/>
  <c r="H123" i="33"/>
  <c r="H122" i="33"/>
  <c r="H121" i="33"/>
  <c r="H120" i="33"/>
  <c r="H119" i="33"/>
  <c r="H118" i="33"/>
  <c r="H117" i="33"/>
  <c r="H116" i="33"/>
  <c r="H115" i="33"/>
  <c r="H114" i="33"/>
  <c r="H113" i="33"/>
  <c r="H112" i="33"/>
  <c r="H111" i="33"/>
  <c r="H110" i="33"/>
  <c r="H109" i="33"/>
  <c r="H108" i="33"/>
  <c r="H107" i="33"/>
  <c r="H106" i="33"/>
  <c r="H105" i="33"/>
  <c r="H104" i="33"/>
  <c r="H103" i="33"/>
  <c r="H102" i="33"/>
  <c r="H101" i="33"/>
  <c r="H100" i="33"/>
  <c r="H99" i="33"/>
  <c r="H98" i="33"/>
  <c r="H97" i="33"/>
  <c r="L123" i="32" l="1"/>
  <c r="K122" i="32"/>
  <c r="H122" i="32"/>
  <c r="E122" i="32"/>
  <c r="E121" i="31"/>
  <c r="F120" i="30"/>
  <c r="L122" i="32" l="1"/>
  <c r="F125" i="29" l="1"/>
  <c r="E111" i="26"/>
  <c r="I124" i="25" l="1"/>
  <c r="J124" i="25"/>
  <c r="K121" i="32" l="1"/>
  <c r="H121" i="32"/>
  <c r="E121" i="32"/>
  <c r="E120" i="31"/>
  <c r="F119" i="30"/>
  <c r="F124" i="29"/>
  <c r="E110" i="26"/>
  <c r="I123" i="25"/>
  <c r="J123" i="25"/>
  <c r="L121" i="32" l="1"/>
  <c r="K120" i="32"/>
  <c r="H120" i="32"/>
  <c r="E120" i="32"/>
  <c r="E119" i="31"/>
  <c r="F118" i="30"/>
  <c r="F123" i="29"/>
  <c r="L120" i="32" l="1"/>
  <c r="E109" i="26" l="1"/>
  <c r="J122" i="25"/>
  <c r="I122" i="25"/>
  <c r="E118" i="26" l="1"/>
  <c r="E108" i="26"/>
  <c r="J121" i="25"/>
  <c r="I121" i="25"/>
  <c r="K119" i="32" l="1"/>
  <c r="H119" i="32"/>
  <c r="E119" i="32"/>
  <c r="E118" i="31"/>
  <c r="F127" i="30"/>
  <c r="F117" i="30"/>
  <c r="F132" i="29"/>
  <c r="F122" i="29"/>
  <c r="K118" i="32"/>
  <c r="H118" i="32"/>
  <c r="E118" i="32"/>
  <c r="E117" i="31"/>
  <c r="F116" i="30"/>
  <c r="F121" i="29"/>
  <c r="E107" i="26"/>
  <c r="J120" i="25"/>
  <c r="I120" i="25"/>
  <c r="L119" i="32" l="1"/>
  <c r="L118" i="32"/>
  <c r="B129" i="32"/>
  <c r="K117" i="32"/>
  <c r="K129" i="32" s="1"/>
  <c r="H117" i="32"/>
  <c r="H129" i="32" s="1"/>
  <c r="E117" i="32"/>
  <c r="E129" i="32" s="1"/>
  <c r="B128" i="31"/>
  <c r="E116" i="31"/>
  <c r="F115" i="30"/>
  <c r="F120" i="29"/>
  <c r="L129" i="32" l="1"/>
  <c r="L117" i="32"/>
  <c r="B118" i="26"/>
  <c r="E106" i="26"/>
  <c r="J119" i="25"/>
  <c r="I119" i="25"/>
  <c r="K115" i="32" l="1"/>
  <c r="H115" i="32"/>
  <c r="E115" i="32"/>
  <c r="D115" i="31"/>
  <c r="C115" i="31"/>
  <c r="E114" i="31"/>
  <c r="D114" i="30"/>
  <c r="E114" i="30"/>
  <c r="C114" i="30"/>
  <c r="F113" i="30"/>
  <c r="D119" i="29"/>
  <c r="E119" i="29"/>
  <c r="C119" i="29"/>
  <c r="F118" i="29"/>
  <c r="L115" i="32" l="1"/>
  <c r="D105" i="26"/>
  <c r="C105" i="26"/>
  <c r="E104" i="26"/>
  <c r="H118" i="25"/>
  <c r="G118" i="25"/>
  <c r="F118" i="25"/>
  <c r="E118" i="25"/>
  <c r="D118" i="25"/>
  <c r="C118" i="25"/>
  <c r="J117" i="25"/>
  <c r="I117" i="25"/>
  <c r="K114" i="32"/>
  <c r="H114" i="32"/>
  <c r="E114" i="32"/>
  <c r="L114" i="32" s="1"/>
  <c r="E113" i="31"/>
  <c r="F112" i="30"/>
  <c r="F117" i="29"/>
  <c r="E103" i="26" l="1"/>
  <c r="J116" i="25"/>
  <c r="I116" i="25"/>
  <c r="K113" i="32" l="1"/>
  <c r="H113" i="32"/>
  <c r="E113" i="32"/>
  <c r="E112" i="31"/>
  <c r="F111" i="30"/>
  <c r="B115" i="31"/>
  <c r="F116" i="29"/>
  <c r="H43" i="27"/>
  <c r="G43" i="27"/>
  <c r="F43" i="27"/>
  <c r="E43" i="27"/>
  <c r="H42" i="27"/>
  <c r="G42" i="27"/>
  <c r="F42" i="27"/>
  <c r="E42" i="27"/>
  <c r="I41" i="27"/>
  <c r="I40" i="27"/>
  <c r="I39" i="27"/>
  <c r="I38" i="27"/>
  <c r="I37" i="27"/>
  <c r="I36" i="27"/>
  <c r="I35" i="27"/>
  <c r="I34" i="27"/>
  <c r="I33" i="27"/>
  <c r="I32" i="27"/>
  <c r="I31" i="27"/>
  <c r="I30" i="27"/>
  <c r="I29" i="27"/>
  <c r="I28" i="27"/>
  <c r="I27" i="27"/>
  <c r="I26" i="27"/>
  <c r="I25" i="27"/>
  <c r="I24" i="27"/>
  <c r="I23" i="27"/>
  <c r="I22" i="27"/>
  <c r="I21" i="27"/>
  <c r="I20" i="27"/>
  <c r="I19" i="27"/>
  <c r="I18" i="27"/>
  <c r="I17" i="27"/>
  <c r="I16" i="27"/>
  <c r="I15" i="27"/>
  <c r="I14" i="27"/>
  <c r="I13" i="27"/>
  <c r="I12" i="27"/>
  <c r="I11" i="27"/>
  <c r="I10" i="27"/>
  <c r="E102" i="26"/>
  <c r="I115" i="25"/>
  <c r="J115" i="25"/>
  <c r="L113" i="32" l="1"/>
  <c r="I43" i="27"/>
  <c r="I42" i="27"/>
  <c r="K112" i="32" l="1"/>
  <c r="H112" i="32"/>
  <c r="E112" i="32"/>
  <c r="E111" i="31"/>
  <c r="E115" i="31"/>
  <c r="F110" i="30"/>
  <c r="L112" i="32" l="1"/>
  <c r="F115" i="29"/>
  <c r="E101" i="26"/>
  <c r="I114" i="25"/>
  <c r="J114" i="25"/>
  <c r="K111" i="32" l="1"/>
  <c r="H111" i="32"/>
  <c r="E111" i="32"/>
  <c r="E110" i="31"/>
  <c r="F109" i="30"/>
  <c r="F114" i="29"/>
  <c r="L111" i="32" l="1"/>
  <c r="E100" i="26"/>
  <c r="J113" i="25"/>
  <c r="I113" i="25"/>
  <c r="K110" i="32" l="1"/>
  <c r="H110" i="32"/>
  <c r="E110" i="32"/>
  <c r="E109" i="31"/>
  <c r="F108" i="30"/>
  <c r="F113" i="29"/>
  <c r="L110" i="32" l="1"/>
  <c r="E99" i="26"/>
  <c r="I112" i="25"/>
  <c r="J112" i="25"/>
  <c r="K109" i="32" l="1"/>
  <c r="H109" i="32"/>
  <c r="E109" i="32"/>
  <c r="E108" i="31"/>
  <c r="F107" i="30"/>
  <c r="F119" i="29"/>
  <c r="F112" i="29"/>
  <c r="L109" i="32" l="1"/>
  <c r="E105" i="26"/>
  <c r="E98" i="26"/>
  <c r="J111" i="25"/>
  <c r="I111" i="25"/>
  <c r="K108" i="32" l="1"/>
  <c r="H108" i="32"/>
  <c r="E108" i="32"/>
  <c r="E107" i="31"/>
  <c r="F106" i="30"/>
  <c r="F111" i="29"/>
  <c r="L108" i="32" l="1"/>
  <c r="E97" i="26"/>
  <c r="J110" i="25"/>
  <c r="I110" i="25"/>
  <c r="K107" i="32" l="1"/>
  <c r="H107" i="32"/>
  <c r="E107" i="32"/>
  <c r="B116" i="32"/>
  <c r="E106" i="31"/>
  <c r="F105" i="30"/>
  <c r="F110" i="29"/>
  <c r="L107" i="32" l="1"/>
  <c r="B105" i="26"/>
  <c r="E96" i="26"/>
  <c r="J109" i="25"/>
  <c r="I109" i="25"/>
  <c r="K106" i="32" l="1"/>
  <c r="H106" i="32"/>
  <c r="E106" i="32"/>
  <c r="E105" i="31"/>
  <c r="F104" i="30"/>
  <c r="F109" i="29"/>
  <c r="L106" i="32" l="1"/>
  <c r="E95" i="26"/>
  <c r="I108" i="25"/>
  <c r="J108" i="25"/>
  <c r="L38" i="7" l="1"/>
  <c r="L80" i="12"/>
  <c r="L44" i="13"/>
  <c r="L20" i="8"/>
  <c r="L26" i="9"/>
  <c r="L50" i="9"/>
  <c r="L34" i="6"/>
  <c r="L38" i="8"/>
  <c r="L15" i="5"/>
  <c r="L18" i="6"/>
  <c r="L49" i="10"/>
  <c r="L96" i="10"/>
  <c r="L44" i="11"/>
  <c r="L41" i="12"/>
  <c r="L32" i="34"/>
  <c r="L62" i="34"/>
  <c r="L86" i="13"/>
  <c r="L42" i="18"/>
  <c r="L22" i="18"/>
  <c r="L124" i="19"/>
  <c r="L63" i="19"/>
  <c r="L40" i="17"/>
  <c r="L21" i="17"/>
  <c r="L80" i="16"/>
  <c r="L41" i="16"/>
  <c r="L44" i="15"/>
  <c r="L23" i="15"/>
  <c r="L84" i="14"/>
  <c r="L43" i="14"/>
  <c r="K105" i="32"/>
  <c r="H105" i="32"/>
  <c r="E105" i="32"/>
  <c r="E104" i="31"/>
  <c r="F114" i="30"/>
  <c r="F103" i="30"/>
  <c r="F108" i="29"/>
  <c r="L105" i="32" l="1"/>
  <c r="E94" i="26"/>
  <c r="J107" i="25"/>
  <c r="I107" i="25"/>
  <c r="K104" i="32" l="1"/>
  <c r="H104" i="32"/>
  <c r="H116" i="32" s="1"/>
  <c r="E104" i="32"/>
  <c r="E116" i="32" s="1"/>
  <c r="K103" i="32"/>
  <c r="H103" i="32"/>
  <c r="E103" i="32"/>
  <c r="L102" i="32"/>
  <c r="L101" i="32"/>
  <c r="L100" i="32"/>
  <c r="L99" i="32"/>
  <c r="L98" i="32"/>
  <c r="L97" i="32"/>
  <c r="L96" i="32"/>
  <c r="L95" i="32"/>
  <c r="L94" i="32"/>
  <c r="L93" i="32"/>
  <c r="L92" i="32"/>
  <c r="L91" i="32"/>
  <c r="L89" i="32"/>
  <c r="K88" i="32"/>
  <c r="H88" i="32"/>
  <c r="E88" i="32"/>
  <c r="K87" i="32"/>
  <c r="H87" i="32"/>
  <c r="E87" i="32"/>
  <c r="K86" i="32"/>
  <c r="H86" i="32"/>
  <c r="E86" i="32"/>
  <c r="K85" i="32"/>
  <c r="H85" i="32"/>
  <c r="E85" i="32"/>
  <c r="K84" i="32"/>
  <c r="H84" i="32"/>
  <c r="E84" i="32"/>
  <c r="K83" i="32"/>
  <c r="H83" i="32"/>
  <c r="E83" i="32"/>
  <c r="K82" i="32"/>
  <c r="H82" i="32"/>
  <c r="E82" i="32"/>
  <c r="K81" i="32"/>
  <c r="H81" i="32"/>
  <c r="E81" i="32"/>
  <c r="K80" i="32"/>
  <c r="H80" i="32"/>
  <c r="E80" i="32"/>
  <c r="K79" i="32"/>
  <c r="H79" i="32"/>
  <c r="E79" i="32"/>
  <c r="K78" i="32"/>
  <c r="H78" i="32"/>
  <c r="E78" i="32"/>
  <c r="K76" i="32"/>
  <c r="H76" i="32"/>
  <c r="E76" i="32"/>
  <c r="K75" i="32"/>
  <c r="H75" i="32"/>
  <c r="E75" i="32"/>
  <c r="K74" i="32"/>
  <c r="H74" i="32"/>
  <c r="E74" i="32"/>
  <c r="K73" i="32"/>
  <c r="H73" i="32"/>
  <c r="E73" i="32"/>
  <c r="K72" i="32"/>
  <c r="H72" i="32"/>
  <c r="E72" i="32"/>
  <c r="K71" i="32"/>
  <c r="H71" i="32"/>
  <c r="E71" i="32"/>
  <c r="K70" i="32"/>
  <c r="H70" i="32"/>
  <c r="E70" i="32"/>
  <c r="K69" i="32"/>
  <c r="H69" i="32"/>
  <c r="E69" i="32"/>
  <c r="K68" i="32"/>
  <c r="H68" i="32"/>
  <c r="E68" i="32"/>
  <c r="K67" i="32"/>
  <c r="H67" i="32"/>
  <c r="E67" i="32"/>
  <c r="K66" i="32"/>
  <c r="H66" i="32"/>
  <c r="E66" i="32"/>
  <c r="K65" i="32"/>
  <c r="H65" i="32"/>
  <c r="E65" i="32"/>
  <c r="K63" i="32"/>
  <c r="H63" i="32"/>
  <c r="E63" i="32"/>
  <c r="K62" i="32"/>
  <c r="H62" i="32"/>
  <c r="E62" i="32"/>
  <c r="K61" i="32"/>
  <c r="H61" i="32"/>
  <c r="E61" i="32"/>
  <c r="K60" i="32"/>
  <c r="H60" i="32"/>
  <c r="E60" i="32"/>
  <c r="K59" i="32"/>
  <c r="H59" i="32"/>
  <c r="E59" i="32"/>
  <c r="L59" i="32" s="1"/>
  <c r="K58" i="32"/>
  <c r="H58" i="32"/>
  <c r="E58" i="32"/>
  <c r="K57" i="32"/>
  <c r="H57" i="32"/>
  <c r="E57" i="32"/>
  <c r="K56" i="32"/>
  <c r="H56" i="32"/>
  <c r="E56" i="32"/>
  <c r="L55" i="32"/>
  <c r="L54" i="32"/>
  <c r="L53" i="32"/>
  <c r="L52" i="32"/>
  <c r="K51" i="32"/>
  <c r="H51" i="32"/>
  <c r="E51" i="32"/>
  <c r="L50" i="32"/>
  <c r="L49" i="32"/>
  <c r="L48" i="32"/>
  <c r="L47" i="32"/>
  <c r="L46" i="32"/>
  <c r="L45" i="32"/>
  <c r="L44" i="32"/>
  <c r="L43" i="32"/>
  <c r="L42" i="32"/>
  <c r="L41" i="32"/>
  <c r="L40" i="32"/>
  <c r="L39" i="32"/>
  <c r="K38" i="32"/>
  <c r="H38" i="32"/>
  <c r="E38" i="32"/>
  <c r="L37" i="32"/>
  <c r="L36" i="32"/>
  <c r="L35" i="32"/>
  <c r="L34" i="32"/>
  <c r="L33" i="32"/>
  <c r="L32" i="32"/>
  <c r="L31" i="32"/>
  <c r="L30" i="32"/>
  <c r="L29" i="32"/>
  <c r="L28" i="32"/>
  <c r="L27" i="32"/>
  <c r="L26" i="32"/>
  <c r="K25" i="32"/>
  <c r="H25" i="32"/>
  <c r="E25" i="32"/>
  <c r="L24" i="32"/>
  <c r="L23" i="32"/>
  <c r="L22" i="32"/>
  <c r="L21" i="32"/>
  <c r="L20" i="32"/>
  <c r="L19" i="32"/>
  <c r="L18" i="32"/>
  <c r="L17" i="32"/>
  <c r="L16" i="32"/>
  <c r="L15" i="32"/>
  <c r="L14" i="32"/>
  <c r="L13" i="32"/>
  <c r="L12" i="32"/>
  <c r="K11" i="32"/>
  <c r="H11" i="32"/>
  <c r="E11" i="32"/>
  <c r="E103" i="31"/>
  <c r="E102" i="31"/>
  <c r="D102" i="31"/>
  <c r="C102" i="31"/>
  <c r="F102" i="30"/>
  <c r="E101" i="30"/>
  <c r="D101" i="30"/>
  <c r="F107" i="29"/>
  <c r="F106" i="29"/>
  <c r="E106" i="29"/>
  <c r="D106" i="29"/>
  <c r="C106" i="29"/>
  <c r="F15" i="29"/>
  <c r="C28" i="29"/>
  <c r="F28" i="29"/>
  <c r="C41" i="29"/>
  <c r="F41" i="29"/>
  <c r="C54" i="29"/>
  <c r="F54" i="29"/>
  <c r="F59" i="29"/>
  <c r="F61" i="29"/>
  <c r="F62" i="29"/>
  <c r="F63" i="29"/>
  <c r="F64" i="29"/>
  <c r="F65" i="29"/>
  <c r="F66" i="29"/>
  <c r="C67" i="29"/>
  <c r="F68" i="29"/>
  <c r="F69" i="29"/>
  <c r="F70" i="29"/>
  <c r="F71" i="29"/>
  <c r="F72" i="29"/>
  <c r="F73" i="29"/>
  <c r="F74" i="29"/>
  <c r="F75" i="29"/>
  <c r="F76" i="29"/>
  <c r="F77" i="29"/>
  <c r="F78" i="29"/>
  <c r="F79" i="29"/>
  <c r="C80" i="29"/>
  <c r="D80" i="29"/>
  <c r="E80" i="29"/>
  <c r="F81" i="29"/>
  <c r="F82" i="29"/>
  <c r="F83" i="29"/>
  <c r="F84" i="29"/>
  <c r="F85" i="29"/>
  <c r="F86" i="29"/>
  <c r="F87" i="29"/>
  <c r="F88" i="29"/>
  <c r="F89" i="29"/>
  <c r="F90" i="29"/>
  <c r="F91" i="29"/>
  <c r="C93" i="29"/>
  <c r="D93" i="29"/>
  <c r="E93" i="29"/>
  <c r="L63" i="32" l="1"/>
  <c r="E140" i="29"/>
  <c r="C140" i="29"/>
  <c r="D140" i="29"/>
  <c r="L68" i="32"/>
  <c r="E64" i="32"/>
  <c r="L60" i="32"/>
  <c r="E77" i="32"/>
  <c r="L69" i="32"/>
  <c r="L73" i="32"/>
  <c r="E90" i="32"/>
  <c r="L83" i="32"/>
  <c r="L87" i="32"/>
  <c r="L72" i="32"/>
  <c r="L76" i="32"/>
  <c r="L81" i="32"/>
  <c r="H64" i="32"/>
  <c r="H77" i="32"/>
  <c r="H90" i="32"/>
  <c r="L82" i="32"/>
  <c r="L86" i="32"/>
  <c r="K64" i="32"/>
  <c r="L58" i="32"/>
  <c r="L62" i="32"/>
  <c r="K77" i="32"/>
  <c r="L67" i="32"/>
  <c r="L71" i="32"/>
  <c r="L75" i="32"/>
  <c r="K90" i="32"/>
  <c r="L80" i="32"/>
  <c r="L85" i="32"/>
  <c r="L57" i="32"/>
  <c r="L61" i="32"/>
  <c r="L66" i="32"/>
  <c r="L70" i="32"/>
  <c r="L74" i="32"/>
  <c r="L79" i="32"/>
  <c r="L84" i="32"/>
  <c r="L88" i="32"/>
  <c r="F80" i="29"/>
  <c r="F67" i="29"/>
  <c r="L38" i="32"/>
  <c r="F93" i="29"/>
  <c r="L25" i="32"/>
  <c r="L104" i="32"/>
  <c r="L116" i="32" s="1"/>
  <c r="L11" i="32"/>
  <c r="L56" i="32"/>
  <c r="L65" i="32"/>
  <c r="L78" i="32"/>
  <c r="L103" i="32"/>
  <c r="F101" i="30"/>
  <c r="L51" i="32"/>
  <c r="E93" i="26"/>
  <c r="E92" i="26"/>
  <c r="D92" i="26"/>
  <c r="C92" i="26"/>
  <c r="D79" i="26"/>
  <c r="C79" i="26"/>
  <c r="E76" i="26"/>
  <c r="E75" i="26"/>
  <c r="E74" i="26"/>
  <c r="E73" i="26"/>
  <c r="E72" i="26"/>
  <c r="E71" i="26"/>
  <c r="E70" i="26"/>
  <c r="E68" i="26"/>
  <c r="E67" i="26"/>
  <c r="D66" i="26"/>
  <c r="E65" i="26"/>
  <c r="E64" i="26"/>
  <c r="E63" i="26"/>
  <c r="E62" i="26"/>
  <c r="E61" i="26"/>
  <c r="E60" i="26"/>
  <c r="C66" i="26"/>
  <c r="E58" i="26"/>
  <c r="E57" i="26"/>
  <c r="E56" i="26"/>
  <c r="E55" i="26"/>
  <c r="E54" i="26"/>
  <c r="D53" i="26"/>
  <c r="C53" i="26"/>
  <c r="E52" i="26"/>
  <c r="E51" i="26"/>
  <c r="E50" i="26"/>
  <c r="E49" i="26"/>
  <c r="E48" i="26"/>
  <c r="E47" i="26"/>
  <c r="E46" i="26"/>
  <c r="E45" i="26"/>
  <c r="E44" i="26"/>
  <c r="E43" i="26"/>
  <c r="E42" i="26"/>
  <c r="E41" i="26"/>
  <c r="D40" i="26"/>
  <c r="C40" i="26"/>
  <c r="E39" i="26"/>
  <c r="E38" i="26"/>
  <c r="E37" i="26"/>
  <c r="E36" i="26"/>
  <c r="E35" i="26"/>
  <c r="E34" i="26"/>
  <c r="E33" i="26"/>
  <c r="E32" i="26"/>
  <c r="E31" i="26"/>
  <c r="E30" i="26"/>
  <c r="E29" i="26"/>
  <c r="E28" i="26"/>
  <c r="E27" i="26"/>
  <c r="D27" i="26"/>
  <c r="C27" i="26"/>
  <c r="E14" i="26"/>
  <c r="E13" i="26"/>
  <c r="E12" i="26"/>
  <c r="E11" i="26"/>
  <c r="E10" i="26"/>
  <c r="J106" i="25"/>
  <c r="J118" i="25" s="1"/>
  <c r="I106" i="25"/>
  <c r="I118" i="25" s="1"/>
  <c r="J105" i="25"/>
  <c r="I105" i="25"/>
  <c r="H105" i="25"/>
  <c r="G105" i="25"/>
  <c r="F105" i="25"/>
  <c r="E105" i="25"/>
  <c r="D105" i="25"/>
  <c r="C105" i="25"/>
  <c r="H92" i="25"/>
  <c r="G92" i="25"/>
  <c r="F92" i="25"/>
  <c r="E92" i="25"/>
  <c r="D92" i="25"/>
  <c r="C92" i="25"/>
  <c r="J89" i="25"/>
  <c r="I89" i="25"/>
  <c r="J88" i="25"/>
  <c r="I88" i="25"/>
  <c r="J87" i="25"/>
  <c r="I87" i="25"/>
  <c r="J86" i="25"/>
  <c r="I86" i="25"/>
  <c r="J85" i="25"/>
  <c r="I85" i="25"/>
  <c r="J84" i="25"/>
  <c r="I84" i="25"/>
  <c r="J83" i="25"/>
  <c r="I83" i="25"/>
  <c r="J82" i="25"/>
  <c r="I82" i="25"/>
  <c r="J81" i="25"/>
  <c r="I81" i="25"/>
  <c r="J80" i="25"/>
  <c r="I80" i="25"/>
  <c r="H79" i="25"/>
  <c r="G79" i="25"/>
  <c r="F79" i="25"/>
  <c r="E79" i="25"/>
  <c r="D79" i="25"/>
  <c r="C79" i="25"/>
  <c r="J78" i="25"/>
  <c r="I78" i="25"/>
  <c r="J77" i="25"/>
  <c r="I77" i="25"/>
  <c r="J76" i="25"/>
  <c r="I76" i="25"/>
  <c r="J75" i="25"/>
  <c r="I75" i="25"/>
  <c r="J74" i="25"/>
  <c r="I74" i="25"/>
  <c r="J73" i="25"/>
  <c r="I73" i="25"/>
  <c r="J72" i="25"/>
  <c r="I72" i="25"/>
  <c r="J71" i="25"/>
  <c r="I71" i="25"/>
  <c r="J70" i="25"/>
  <c r="I70" i="25"/>
  <c r="J69" i="25"/>
  <c r="I69" i="25"/>
  <c r="J68" i="25"/>
  <c r="I68" i="25"/>
  <c r="J67" i="25"/>
  <c r="I67" i="25"/>
  <c r="H66" i="25"/>
  <c r="G66" i="25"/>
  <c r="F66" i="25"/>
  <c r="E66" i="25"/>
  <c r="D66" i="25"/>
  <c r="C66" i="25"/>
  <c r="J65" i="25"/>
  <c r="I65" i="25"/>
  <c r="J64" i="25"/>
  <c r="I64" i="25"/>
  <c r="J63" i="25"/>
  <c r="I63" i="25"/>
  <c r="J62" i="25"/>
  <c r="I62" i="25"/>
  <c r="J61" i="25"/>
  <c r="I61" i="25"/>
  <c r="J60" i="25"/>
  <c r="I60" i="25"/>
  <c r="J59" i="25"/>
  <c r="I59" i="25"/>
  <c r="J58" i="25"/>
  <c r="I58" i="25"/>
  <c r="J57" i="25"/>
  <c r="I57" i="25"/>
  <c r="J56" i="25"/>
  <c r="I56" i="25"/>
  <c r="J55" i="25"/>
  <c r="I55" i="25"/>
  <c r="J54" i="25"/>
  <c r="I54" i="25"/>
  <c r="H53" i="25"/>
  <c r="G53" i="25"/>
  <c r="F53" i="25"/>
  <c r="E53" i="25"/>
  <c r="D53" i="25"/>
  <c r="C53" i="25"/>
  <c r="J52" i="25"/>
  <c r="I52" i="25"/>
  <c r="J51" i="25"/>
  <c r="I51" i="25"/>
  <c r="J50" i="25"/>
  <c r="I50" i="25"/>
  <c r="J49" i="25"/>
  <c r="I49" i="25"/>
  <c r="J48" i="25"/>
  <c r="I48" i="25"/>
  <c r="J47" i="25"/>
  <c r="I47" i="25"/>
  <c r="J46" i="25"/>
  <c r="I46" i="25"/>
  <c r="J45" i="25"/>
  <c r="I45" i="25"/>
  <c r="J44" i="25"/>
  <c r="I44" i="25"/>
  <c r="J43" i="25"/>
  <c r="I43" i="25"/>
  <c r="J42" i="25"/>
  <c r="I42" i="25"/>
  <c r="J41" i="25"/>
  <c r="I41" i="25"/>
  <c r="H40" i="25"/>
  <c r="G40" i="25"/>
  <c r="F40" i="25"/>
  <c r="E40" i="25"/>
  <c r="D40" i="25"/>
  <c r="C40" i="25"/>
  <c r="J39" i="25"/>
  <c r="I39" i="25"/>
  <c r="J38" i="25"/>
  <c r="I38" i="25"/>
  <c r="J37" i="25"/>
  <c r="I37" i="25"/>
  <c r="J36" i="25"/>
  <c r="I36" i="25"/>
  <c r="J35" i="25"/>
  <c r="I35" i="25"/>
  <c r="J27" i="25"/>
  <c r="I27" i="25"/>
  <c r="F140" i="29" l="1"/>
  <c r="C126" i="26"/>
  <c r="D126" i="26"/>
  <c r="L64" i="32"/>
  <c r="I40" i="25"/>
  <c r="I79" i="25"/>
  <c r="I53" i="25"/>
  <c r="L90" i="32"/>
  <c r="L77" i="32"/>
  <c r="J66" i="25"/>
  <c r="J92" i="25"/>
  <c r="E79" i="26"/>
  <c r="E40" i="26"/>
  <c r="E53" i="26"/>
  <c r="J53" i="25"/>
  <c r="J79" i="25"/>
  <c r="J40" i="25"/>
  <c r="I66" i="25"/>
  <c r="I92" i="25"/>
  <c r="E59" i="26"/>
  <c r="E66" i="26" s="1"/>
  <c r="I139" i="25" l="1"/>
  <c r="J139" i="25"/>
  <c r="E126" i="26"/>
  <c r="F100" i="30"/>
  <c r="F97" i="30" l="1"/>
  <c r="F96" i="30" l="1"/>
  <c r="F95" i="30" l="1"/>
  <c r="F94" i="30" l="1"/>
  <c r="F93" i="30"/>
  <c r="D89" i="31" l="1"/>
  <c r="C89" i="31"/>
  <c r="E87" i="31"/>
  <c r="E86" i="31"/>
  <c r="E85" i="31"/>
  <c r="E84" i="31"/>
  <c r="E83" i="31"/>
  <c r="E82" i="31"/>
  <c r="E81" i="31"/>
  <c r="E80" i="31"/>
  <c r="E79" i="31"/>
  <c r="E78" i="31"/>
  <c r="E77" i="31"/>
  <c r="D76" i="31"/>
  <c r="C76" i="31"/>
  <c r="E75" i="31"/>
  <c r="E74" i="31"/>
  <c r="E73" i="31"/>
  <c r="E72" i="31"/>
  <c r="E71" i="31"/>
  <c r="E70" i="31"/>
  <c r="E69" i="31"/>
  <c r="E68" i="31"/>
  <c r="E67" i="31"/>
  <c r="E66" i="31"/>
  <c r="E65" i="31"/>
  <c r="E64" i="31"/>
  <c r="E62" i="31"/>
  <c r="E61" i="31"/>
  <c r="E60" i="31"/>
  <c r="E59" i="31"/>
  <c r="E58" i="31"/>
  <c r="E57" i="31"/>
  <c r="E56" i="31"/>
  <c r="E55" i="31"/>
  <c r="E50" i="31"/>
  <c r="E37" i="31"/>
  <c r="E24" i="31"/>
  <c r="E10" i="31"/>
  <c r="F89" i="30"/>
  <c r="E88" i="30"/>
  <c r="D88" i="30"/>
  <c r="C88" i="30"/>
  <c r="F87" i="30"/>
  <c r="F86" i="30"/>
  <c r="F85" i="30"/>
  <c r="F84" i="30"/>
  <c r="F83" i="30"/>
  <c r="F82" i="30"/>
  <c r="F81" i="30"/>
  <c r="F80" i="30"/>
  <c r="F79" i="30"/>
  <c r="F78" i="30"/>
  <c r="F77" i="30"/>
  <c r="F76" i="30"/>
  <c r="E75" i="30"/>
  <c r="D75" i="30"/>
  <c r="C75" i="30"/>
  <c r="F74" i="30"/>
  <c r="F73" i="30"/>
  <c r="F72" i="30"/>
  <c r="F71" i="30"/>
  <c r="F70" i="30"/>
  <c r="F69" i="30"/>
  <c r="F68" i="30"/>
  <c r="F67" i="30"/>
  <c r="F66" i="30"/>
  <c r="F65" i="30"/>
  <c r="F64" i="30"/>
  <c r="F63" i="30"/>
  <c r="E62" i="30"/>
  <c r="D62" i="30"/>
  <c r="C62" i="30"/>
  <c r="F61" i="30"/>
  <c r="F60" i="30"/>
  <c r="F59" i="30"/>
  <c r="F58" i="30"/>
  <c r="F57" i="30"/>
  <c r="F56" i="30"/>
  <c r="F55" i="30"/>
  <c r="F54" i="30"/>
  <c r="F53" i="30"/>
  <c r="F52" i="30"/>
  <c r="F51" i="30"/>
  <c r="F50" i="30"/>
  <c r="E49" i="30"/>
  <c r="D49" i="30"/>
  <c r="C49" i="30"/>
  <c r="F48" i="30"/>
  <c r="F47" i="30"/>
  <c r="F46" i="30"/>
  <c r="F45" i="30"/>
  <c r="F44" i="30"/>
  <c r="F43" i="30"/>
  <c r="F42" i="30"/>
  <c r="F41" i="30"/>
  <c r="F40" i="30"/>
  <c r="F39" i="30"/>
  <c r="F38" i="30"/>
  <c r="F37" i="30"/>
  <c r="E36" i="30"/>
  <c r="D36" i="30"/>
  <c r="C36" i="30"/>
  <c r="F35" i="30"/>
  <c r="F34" i="30"/>
  <c r="F33" i="30"/>
  <c r="F32" i="30"/>
  <c r="F31" i="30"/>
  <c r="F30" i="30"/>
  <c r="F29" i="30"/>
  <c r="F28" i="30"/>
  <c r="F27" i="30"/>
  <c r="F26" i="30"/>
  <c r="F25" i="30"/>
  <c r="F24" i="30"/>
  <c r="E23" i="30"/>
  <c r="D23" i="30"/>
  <c r="C23" i="30"/>
  <c r="F22" i="30"/>
  <c r="F21" i="30"/>
  <c r="F20" i="30"/>
  <c r="F19" i="30"/>
  <c r="F18" i="30"/>
  <c r="F17" i="30"/>
  <c r="F16" i="30"/>
  <c r="F15" i="30"/>
  <c r="F14" i="30"/>
  <c r="F13" i="30"/>
  <c r="F12" i="30"/>
  <c r="F11" i="30"/>
  <c r="F10" i="30"/>
  <c r="F49" i="30" l="1"/>
  <c r="E63" i="31"/>
  <c r="E76" i="31"/>
  <c r="E89" i="31"/>
  <c r="F36" i="30"/>
  <c r="F75" i="30"/>
  <c r="F88" i="30"/>
  <c r="F23" i="30"/>
  <c r="F62" i="30"/>
  <c r="E136" i="31" l="1"/>
  <c r="E61" i="34"/>
  <c r="M61" i="34" s="1"/>
  <c r="E60" i="34"/>
  <c r="M60" i="34" s="1"/>
  <c r="E59" i="34"/>
  <c r="M59" i="34" s="1"/>
  <c r="E58" i="34"/>
  <c r="M58" i="34" s="1"/>
  <c r="E57" i="34"/>
  <c r="M57" i="34" s="1"/>
  <c r="E56" i="34"/>
  <c r="M56" i="34" s="1"/>
  <c r="E55" i="34"/>
  <c r="M55" i="34" s="1"/>
  <c r="E54" i="34"/>
  <c r="M54" i="34" s="1"/>
  <c r="E53" i="34"/>
  <c r="M53" i="34" s="1"/>
  <c r="E52" i="34"/>
  <c r="M52" i="34" s="1"/>
  <c r="E51" i="34"/>
  <c r="M51" i="34" s="1"/>
  <c r="E50" i="34"/>
  <c r="M50" i="34" s="1"/>
  <c r="E49" i="34"/>
  <c r="M49" i="34" s="1"/>
  <c r="E48" i="34"/>
  <c r="M48" i="34" s="1"/>
  <c r="E47" i="34"/>
  <c r="M47" i="34" s="1"/>
  <c r="E46" i="34"/>
  <c r="M46" i="34" s="1"/>
  <c r="E45" i="34"/>
  <c r="M45" i="34" s="1"/>
  <c r="E44" i="34"/>
  <c r="M44" i="34" s="1"/>
  <c r="E43" i="34"/>
  <c r="M43" i="34" s="1"/>
  <c r="E42" i="34"/>
  <c r="M42" i="34" s="1"/>
  <c r="E41" i="34"/>
  <c r="M41" i="34" s="1"/>
  <c r="E79" i="12"/>
  <c r="M79" i="12" s="1"/>
  <c r="E78" i="12"/>
  <c r="M78" i="12" s="1"/>
  <c r="E77" i="12"/>
  <c r="M77" i="12" s="1"/>
  <c r="E76" i="12"/>
  <c r="M76" i="12" s="1"/>
  <c r="E75" i="12"/>
  <c r="M75" i="12" s="1"/>
  <c r="E74" i="12"/>
  <c r="M74" i="12" s="1"/>
  <c r="E73" i="12"/>
  <c r="M73" i="12" s="1"/>
  <c r="E72" i="12"/>
  <c r="M72" i="12" s="1"/>
  <c r="E71" i="12"/>
  <c r="M71" i="12" s="1"/>
  <c r="E70" i="12"/>
  <c r="M70" i="12" s="1"/>
  <c r="E69" i="12"/>
  <c r="M69" i="12" s="1"/>
  <c r="E68" i="12"/>
  <c r="M68" i="12" s="1"/>
  <c r="E67" i="12"/>
  <c r="M67" i="12" s="1"/>
  <c r="E66" i="12"/>
  <c r="M66" i="12" s="1"/>
  <c r="E65" i="12"/>
  <c r="M65" i="12" s="1"/>
  <c r="E64" i="12"/>
  <c r="M64" i="12" s="1"/>
  <c r="E63" i="12"/>
  <c r="M63" i="12" s="1"/>
  <c r="E62" i="12"/>
  <c r="M62" i="12" s="1"/>
  <c r="E61" i="12"/>
  <c r="M61" i="12" s="1"/>
  <c r="E60" i="12"/>
  <c r="M60" i="12" s="1"/>
  <c r="E59" i="12"/>
  <c r="M59" i="12" s="1"/>
  <c r="E58" i="12"/>
  <c r="M58" i="12" s="1"/>
  <c r="E57" i="12"/>
  <c r="M57" i="12" s="1"/>
  <c r="E56" i="12"/>
  <c r="M56" i="12" s="1"/>
  <c r="E55" i="12"/>
  <c r="M55" i="12" s="1"/>
  <c r="E54" i="12"/>
  <c r="M54" i="12" s="1"/>
  <c r="E53" i="12"/>
  <c r="M53" i="12" s="1"/>
  <c r="E52" i="12"/>
  <c r="M52" i="12" s="1"/>
  <c r="E51" i="12"/>
  <c r="M51" i="12" s="1"/>
  <c r="E50" i="12"/>
  <c r="M50" i="12" s="1"/>
  <c r="E31" i="34" l="1"/>
  <c r="M31" i="34" s="1"/>
  <c r="E28" i="34"/>
  <c r="M28" i="34" s="1"/>
  <c r="E27" i="34"/>
  <c r="M27" i="34" s="1"/>
  <c r="E26" i="34"/>
  <c r="M26" i="34" s="1"/>
  <c r="E24" i="34"/>
  <c r="M24" i="34" s="1"/>
  <c r="E23" i="34"/>
  <c r="M23" i="34" s="1"/>
  <c r="E22" i="34"/>
  <c r="M22" i="34" s="1"/>
  <c r="E21" i="34"/>
  <c r="M21" i="34" s="1"/>
  <c r="E20" i="34"/>
  <c r="M20" i="34" s="1"/>
  <c r="E19" i="34"/>
  <c r="M19" i="34" s="1"/>
  <c r="E18" i="34"/>
  <c r="M18" i="34" s="1"/>
  <c r="E16" i="34"/>
  <c r="M16" i="34" s="1"/>
  <c r="E15" i="34"/>
  <c r="M15" i="34" s="1"/>
  <c r="E14" i="34"/>
  <c r="M14" i="34" s="1"/>
  <c r="E12" i="34"/>
  <c r="M12" i="34" s="1"/>
  <c r="B36" i="34"/>
  <c r="B6" i="34"/>
  <c r="D32" i="34" l="1"/>
  <c r="E11" i="34"/>
  <c r="M11" i="34" s="1"/>
  <c r="E30" i="34"/>
  <c r="M30" i="34" s="1"/>
  <c r="E29" i="34"/>
  <c r="M29" i="34" s="1"/>
  <c r="C62" i="34"/>
  <c r="E13" i="34"/>
  <c r="M13" i="34" s="1"/>
  <c r="C32" i="34"/>
  <c r="E25" i="34"/>
  <c r="M25" i="34" s="1"/>
  <c r="E17" i="34"/>
  <c r="M17" i="34" s="1"/>
  <c r="D62" i="34"/>
  <c r="E32" i="34" l="1"/>
  <c r="E62" i="34"/>
  <c r="M62" i="34" l="1"/>
  <c r="E63" i="34" s="1"/>
  <c r="M32" i="34"/>
  <c r="E33" i="34" s="1"/>
  <c r="F17" i="34"/>
  <c r="F32" i="34"/>
  <c r="F11" i="34"/>
  <c r="F15" i="34"/>
  <c r="F22" i="34"/>
  <c r="F23" i="34"/>
  <c r="F30" i="34"/>
  <c r="F31" i="34"/>
  <c r="F14" i="34"/>
  <c r="F24" i="34"/>
  <c r="F21" i="34"/>
  <c r="F26" i="34"/>
  <c r="F13" i="34"/>
  <c r="F16" i="34"/>
  <c r="F29" i="34"/>
  <c r="F27" i="34"/>
  <c r="F20" i="34"/>
  <c r="F28" i="34"/>
  <c r="F18" i="34"/>
  <c r="F12" i="34"/>
  <c r="F19" i="34"/>
  <c r="F25" i="34"/>
  <c r="F62" i="34"/>
  <c r="F60" i="34"/>
  <c r="F56" i="34"/>
  <c r="F52" i="34"/>
  <c r="F48" i="34"/>
  <c r="F44" i="34"/>
  <c r="F61" i="34"/>
  <c r="F57" i="34"/>
  <c r="F53" i="34"/>
  <c r="F49" i="34"/>
  <c r="F45" i="34"/>
  <c r="F41" i="34"/>
  <c r="F58" i="34"/>
  <c r="F54" i="34"/>
  <c r="F50" i="34"/>
  <c r="F46" i="34"/>
  <c r="F42" i="34"/>
  <c r="F59" i="34"/>
  <c r="F43" i="34"/>
  <c r="F47" i="34"/>
  <c r="F51" i="34"/>
  <c r="F55" i="34"/>
  <c r="I33" i="34" l="1"/>
  <c r="H33" i="34"/>
  <c r="G33" i="34"/>
  <c r="J33" i="34"/>
  <c r="L33" i="34"/>
  <c r="C33" i="34"/>
  <c r="D33" i="34"/>
  <c r="I63" i="34"/>
  <c r="G63" i="34"/>
  <c r="J63" i="34"/>
  <c r="H63" i="34"/>
  <c r="L63" i="34"/>
  <c r="M63" i="34" s="1"/>
  <c r="D63" i="34"/>
  <c r="C63" i="34"/>
  <c r="E123" i="19"/>
  <c r="M123" i="19" s="1"/>
  <c r="E122" i="19"/>
  <c r="M122" i="19" s="1"/>
  <c r="E121" i="19"/>
  <c r="M121" i="19" s="1"/>
  <c r="E120" i="19"/>
  <c r="M120" i="19" s="1"/>
  <c r="E119" i="19"/>
  <c r="M119" i="19" s="1"/>
  <c r="E118" i="19"/>
  <c r="M118" i="19" s="1"/>
  <c r="E117" i="19"/>
  <c r="M117" i="19" s="1"/>
  <c r="E116" i="19"/>
  <c r="M116" i="19" s="1"/>
  <c r="E115" i="19"/>
  <c r="M115" i="19" s="1"/>
  <c r="E114" i="19"/>
  <c r="M114" i="19" s="1"/>
  <c r="E113" i="19"/>
  <c r="M113" i="19" s="1"/>
  <c r="E112" i="19"/>
  <c r="M112" i="19" s="1"/>
  <c r="E111" i="19"/>
  <c r="M111" i="19" s="1"/>
  <c r="E110" i="19"/>
  <c r="M110" i="19" s="1"/>
  <c r="E109" i="19"/>
  <c r="M109" i="19" s="1"/>
  <c r="E108" i="19"/>
  <c r="M108" i="19" s="1"/>
  <c r="E107" i="19"/>
  <c r="M107" i="19" s="1"/>
  <c r="E106" i="19"/>
  <c r="M106" i="19" s="1"/>
  <c r="E105" i="19"/>
  <c r="M105" i="19" s="1"/>
  <c r="E104" i="19"/>
  <c r="M104" i="19" s="1"/>
  <c r="E103" i="19"/>
  <c r="M103" i="19" s="1"/>
  <c r="E102" i="19"/>
  <c r="M102" i="19" s="1"/>
  <c r="E101" i="19"/>
  <c r="M101" i="19" s="1"/>
  <c r="E100" i="19"/>
  <c r="M100" i="19" s="1"/>
  <c r="E99" i="19"/>
  <c r="M99" i="19" s="1"/>
  <c r="E98" i="19"/>
  <c r="M98" i="19" s="1"/>
  <c r="E97" i="19"/>
  <c r="M97" i="19" s="1"/>
  <c r="E96" i="19"/>
  <c r="M96" i="19" s="1"/>
  <c r="E95" i="19"/>
  <c r="M95" i="19" s="1"/>
  <c r="E94" i="19"/>
  <c r="M94" i="19" s="1"/>
  <c r="E93" i="19"/>
  <c r="M93" i="19" s="1"/>
  <c r="E92" i="19"/>
  <c r="M92" i="19" s="1"/>
  <c r="E91" i="19"/>
  <c r="M91" i="19" s="1"/>
  <c r="E90" i="19"/>
  <c r="M90" i="19" s="1"/>
  <c r="E89" i="19"/>
  <c r="M89" i="19" s="1"/>
  <c r="E88" i="19"/>
  <c r="M88" i="19" s="1"/>
  <c r="E87" i="19"/>
  <c r="M87" i="19" s="1"/>
  <c r="E86" i="19"/>
  <c r="M86" i="19" s="1"/>
  <c r="E85" i="19"/>
  <c r="M85" i="19" s="1"/>
  <c r="E84" i="19"/>
  <c r="M84" i="19" s="1"/>
  <c r="E83" i="19"/>
  <c r="M83" i="19" s="1"/>
  <c r="E82" i="19"/>
  <c r="M82" i="19" s="1"/>
  <c r="E81" i="19"/>
  <c r="M81" i="19" s="1"/>
  <c r="E80" i="19"/>
  <c r="M80" i="19" s="1"/>
  <c r="E79" i="19"/>
  <c r="M79" i="19" s="1"/>
  <c r="E78" i="19"/>
  <c r="M78" i="19" s="1"/>
  <c r="E77" i="19"/>
  <c r="M77" i="19" s="1"/>
  <c r="E76" i="19"/>
  <c r="M76" i="19" s="1"/>
  <c r="E75" i="19"/>
  <c r="M75" i="19" s="1"/>
  <c r="E74" i="19"/>
  <c r="M74" i="19" s="1"/>
  <c r="E73" i="19"/>
  <c r="M73" i="19" s="1"/>
  <c r="E72" i="19"/>
  <c r="M72" i="19" s="1"/>
  <c r="E62" i="19"/>
  <c r="M62" i="19" s="1"/>
  <c r="E61" i="19"/>
  <c r="M61" i="19" s="1"/>
  <c r="E60" i="19"/>
  <c r="M60" i="19" s="1"/>
  <c r="E59" i="19"/>
  <c r="M59" i="19" s="1"/>
  <c r="E58" i="19"/>
  <c r="M58" i="19" s="1"/>
  <c r="E57" i="19"/>
  <c r="M57" i="19" s="1"/>
  <c r="E56" i="19"/>
  <c r="M56" i="19" s="1"/>
  <c r="E55" i="19"/>
  <c r="M55" i="19" s="1"/>
  <c r="E54" i="19"/>
  <c r="M54" i="19" s="1"/>
  <c r="E53" i="19"/>
  <c r="M53" i="19" s="1"/>
  <c r="E52" i="19"/>
  <c r="M52" i="19" s="1"/>
  <c r="E51" i="19"/>
  <c r="M51" i="19" s="1"/>
  <c r="E50" i="19"/>
  <c r="M50" i="19" s="1"/>
  <c r="E49" i="19"/>
  <c r="M49" i="19" s="1"/>
  <c r="E48" i="19"/>
  <c r="M48" i="19" s="1"/>
  <c r="E47" i="19"/>
  <c r="M47" i="19" s="1"/>
  <c r="E46" i="19"/>
  <c r="M46" i="19" s="1"/>
  <c r="E45" i="19"/>
  <c r="M45" i="19" s="1"/>
  <c r="E44" i="19"/>
  <c r="M44" i="19" s="1"/>
  <c r="E43" i="19"/>
  <c r="M43" i="19" s="1"/>
  <c r="E42" i="19"/>
  <c r="M42" i="19" s="1"/>
  <c r="E41" i="19"/>
  <c r="M41" i="19" s="1"/>
  <c r="E40" i="19"/>
  <c r="M40" i="19" s="1"/>
  <c r="E39" i="19"/>
  <c r="M39" i="19" s="1"/>
  <c r="E38" i="19"/>
  <c r="M38" i="19" s="1"/>
  <c r="E37" i="19"/>
  <c r="M37" i="19" s="1"/>
  <c r="E36" i="19"/>
  <c r="M36" i="19" s="1"/>
  <c r="E35" i="19"/>
  <c r="M35" i="19" s="1"/>
  <c r="E34" i="19"/>
  <c r="M34" i="19" s="1"/>
  <c r="E33" i="19"/>
  <c r="M33" i="19" s="1"/>
  <c r="E32" i="19"/>
  <c r="M32" i="19" s="1"/>
  <c r="E31" i="19"/>
  <c r="M31" i="19" s="1"/>
  <c r="E30" i="19"/>
  <c r="M30" i="19" s="1"/>
  <c r="E29" i="19"/>
  <c r="M29" i="19" s="1"/>
  <c r="E28" i="19"/>
  <c r="M28" i="19" s="1"/>
  <c r="E27" i="19"/>
  <c r="M27" i="19" s="1"/>
  <c r="E26" i="19"/>
  <c r="M26" i="19" s="1"/>
  <c r="E25" i="19"/>
  <c r="M25" i="19" s="1"/>
  <c r="E24" i="19"/>
  <c r="M24" i="19" s="1"/>
  <c r="E23" i="19"/>
  <c r="M23" i="19" s="1"/>
  <c r="E22" i="19"/>
  <c r="M22" i="19" s="1"/>
  <c r="E21" i="19"/>
  <c r="M21" i="19" s="1"/>
  <c r="E20" i="19"/>
  <c r="M20" i="19" s="1"/>
  <c r="E19" i="19"/>
  <c r="M19" i="19" s="1"/>
  <c r="E18" i="19"/>
  <c r="M18" i="19" s="1"/>
  <c r="E17" i="19"/>
  <c r="M17" i="19" s="1"/>
  <c r="E16" i="19"/>
  <c r="M16" i="19" s="1"/>
  <c r="E15" i="19"/>
  <c r="M15" i="19" s="1"/>
  <c r="E14" i="19"/>
  <c r="M14" i="19" s="1"/>
  <c r="E13" i="19"/>
  <c r="M13" i="19" s="1"/>
  <c r="E12" i="19"/>
  <c r="M12" i="19" s="1"/>
  <c r="E11" i="19"/>
  <c r="M11" i="19" s="1"/>
  <c r="E41" i="18"/>
  <c r="M41" i="18" s="1"/>
  <c r="E40" i="18"/>
  <c r="M40" i="18" s="1"/>
  <c r="E39" i="18"/>
  <c r="M39" i="18" s="1"/>
  <c r="E38" i="18"/>
  <c r="M38" i="18" s="1"/>
  <c r="E37" i="18"/>
  <c r="M37" i="18" s="1"/>
  <c r="E36" i="18"/>
  <c r="M36" i="18" s="1"/>
  <c r="E35" i="18"/>
  <c r="M35" i="18" s="1"/>
  <c r="E34" i="18"/>
  <c r="M34" i="18" s="1"/>
  <c r="E33" i="18"/>
  <c r="M33" i="18" s="1"/>
  <c r="E32" i="18"/>
  <c r="M32" i="18" s="1"/>
  <c r="E31" i="18"/>
  <c r="M31" i="18" s="1"/>
  <c r="E21" i="18"/>
  <c r="M21" i="18" s="1"/>
  <c r="E20" i="18"/>
  <c r="M20" i="18" s="1"/>
  <c r="E19" i="18"/>
  <c r="M19" i="18" s="1"/>
  <c r="E18" i="18"/>
  <c r="M18" i="18" s="1"/>
  <c r="E17" i="18"/>
  <c r="M17" i="18" s="1"/>
  <c r="E16" i="18"/>
  <c r="M16" i="18" s="1"/>
  <c r="E15" i="18"/>
  <c r="M15" i="18" s="1"/>
  <c r="E14" i="18"/>
  <c r="M14" i="18" s="1"/>
  <c r="E13" i="18"/>
  <c r="M13" i="18" s="1"/>
  <c r="E12" i="18"/>
  <c r="M12" i="18" s="1"/>
  <c r="E11" i="18"/>
  <c r="M11" i="18" s="1"/>
  <c r="E39" i="17"/>
  <c r="M39" i="17" s="1"/>
  <c r="E38" i="17"/>
  <c r="M38" i="17" s="1"/>
  <c r="E37" i="17"/>
  <c r="M37" i="17" s="1"/>
  <c r="E36" i="17"/>
  <c r="M36" i="17" s="1"/>
  <c r="E35" i="17"/>
  <c r="M35" i="17" s="1"/>
  <c r="E34" i="17"/>
  <c r="M34" i="17" s="1"/>
  <c r="E33" i="17"/>
  <c r="M33" i="17" s="1"/>
  <c r="E32" i="17"/>
  <c r="M32" i="17" s="1"/>
  <c r="E31" i="17"/>
  <c r="M31" i="17" s="1"/>
  <c r="E30" i="17"/>
  <c r="M30" i="17" s="1"/>
  <c r="E20" i="17"/>
  <c r="M20" i="17" s="1"/>
  <c r="E19" i="17"/>
  <c r="M19" i="17" s="1"/>
  <c r="E18" i="17"/>
  <c r="M18" i="17" s="1"/>
  <c r="E17" i="17"/>
  <c r="M17" i="17" s="1"/>
  <c r="E16" i="17"/>
  <c r="M16" i="17" s="1"/>
  <c r="E15" i="17"/>
  <c r="M15" i="17" s="1"/>
  <c r="E14" i="17"/>
  <c r="M14" i="17" s="1"/>
  <c r="E13" i="17"/>
  <c r="M13" i="17" s="1"/>
  <c r="E12" i="17"/>
  <c r="M12" i="17" s="1"/>
  <c r="E11" i="17"/>
  <c r="M11" i="17" s="1"/>
  <c r="E79" i="16"/>
  <c r="M79" i="16" s="1"/>
  <c r="E78" i="16"/>
  <c r="M78" i="16" s="1"/>
  <c r="E77" i="16"/>
  <c r="M77" i="16" s="1"/>
  <c r="E76" i="16"/>
  <c r="M76" i="16" s="1"/>
  <c r="E75" i="16"/>
  <c r="M75" i="16" s="1"/>
  <c r="E74" i="16"/>
  <c r="M74" i="16" s="1"/>
  <c r="E73" i="16"/>
  <c r="M73" i="16" s="1"/>
  <c r="E72" i="16"/>
  <c r="M72" i="16" s="1"/>
  <c r="E71" i="16"/>
  <c r="M71" i="16" s="1"/>
  <c r="E70" i="16"/>
  <c r="M70" i="16" s="1"/>
  <c r="E69" i="16"/>
  <c r="M69" i="16" s="1"/>
  <c r="E68" i="16"/>
  <c r="M68" i="16" s="1"/>
  <c r="E67" i="16"/>
  <c r="M67" i="16" s="1"/>
  <c r="E66" i="16"/>
  <c r="M66" i="16" s="1"/>
  <c r="E65" i="16"/>
  <c r="M65" i="16" s="1"/>
  <c r="E64" i="16"/>
  <c r="M64" i="16" s="1"/>
  <c r="E63" i="16"/>
  <c r="M63" i="16" s="1"/>
  <c r="E62" i="16"/>
  <c r="M62" i="16" s="1"/>
  <c r="E61" i="16"/>
  <c r="M61" i="16" s="1"/>
  <c r="E60" i="16"/>
  <c r="M60" i="16" s="1"/>
  <c r="E59" i="16"/>
  <c r="M59" i="16" s="1"/>
  <c r="E58" i="16"/>
  <c r="M58" i="16" s="1"/>
  <c r="E57" i="16"/>
  <c r="M57" i="16" s="1"/>
  <c r="E56" i="16"/>
  <c r="M56" i="16" s="1"/>
  <c r="E55" i="16"/>
  <c r="M55" i="16" s="1"/>
  <c r="E54" i="16"/>
  <c r="M54" i="16" s="1"/>
  <c r="E53" i="16"/>
  <c r="M53" i="16" s="1"/>
  <c r="E52" i="16"/>
  <c r="M52" i="16" s="1"/>
  <c r="E51" i="16"/>
  <c r="M51" i="16" s="1"/>
  <c r="E50" i="16"/>
  <c r="M50" i="16" s="1"/>
  <c r="E40" i="16"/>
  <c r="M40" i="16" s="1"/>
  <c r="E39" i="16"/>
  <c r="M39" i="16" s="1"/>
  <c r="E38" i="16"/>
  <c r="M38" i="16" s="1"/>
  <c r="E37" i="16"/>
  <c r="M37" i="16" s="1"/>
  <c r="E36" i="16"/>
  <c r="M36" i="16" s="1"/>
  <c r="E35" i="16"/>
  <c r="M35" i="16" s="1"/>
  <c r="E34" i="16"/>
  <c r="M34" i="16" s="1"/>
  <c r="E33" i="16"/>
  <c r="M33" i="16" s="1"/>
  <c r="E32" i="16"/>
  <c r="M32" i="16" s="1"/>
  <c r="E31" i="16"/>
  <c r="M31" i="16" s="1"/>
  <c r="E30" i="16"/>
  <c r="M30" i="16" s="1"/>
  <c r="E29" i="16"/>
  <c r="M29" i="16" s="1"/>
  <c r="E28" i="16"/>
  <c r="M28" i="16" s="1"/>
  <c r="E27" i="16"/>
  <c r="M27" i="16" s="1"/>
  <c r="E26" i="16"/>
  <c r="M26" i="16" s="1"/>
  <c r="E25" i="16"/>
  <c r="M25" i="16" s="1"/>
  <c r="E24" i="16"/>
  <c r="M24" i="16" s="1"/>
  <c r="E23" i="16"/>
  <c r="M23" i="16" s="1"/>
  <c r="E22" i="16"/>
  <c r="M22" i="16" s="1"/>
  <c r="E21" i="16"/>
  <c r="M21" i="16" s="1"/>
  <c r="E20" i="16"/>
  <c r="M20" i="16" s="1"/>
  <c r="E19" i="16"/>
  <c r="M19" i="16" s="1"/>
  <c r="E18" i="16"/>
  <c r="M18" i="16" s="1"/>
  <c r="E17" i="16"/>
  <c r="M17" i="16" s="1"/>
  <c r="E16" i="16"/>
  <c r="M16" i="16" s="1"/>
  <c r="E15" i="16"/>
  <c r="M15" i="16" s="1"/>
  <c r="E14" i="16"/>
  <c r="M14" i="16" s="1"/>
  <c r="E13" i="16"/>
  <c r="M13" i="16" s="1"/>
  <c r="E12" i="16"/>
  <c r="M12" i="16" s="1"/>
  <c r="E11" i="16"/>
  <c r="M11" i="16" s="1"/>
  <c r="E43" i="15"/>
  <c r="M43" i="15" s="1"/>
  <c r="E42" i="15"/>
  <c r="M42" i="15" s="1"/>
  <c r="E41" i="15"/>
  <c r="M41" i="15" s="1"/>
  <c r="E40" i="15"/>
  <c r="M40" i="15" s="1"/>
  <c r="E39" i="15"/>
  <c r="M39" i="15" s="1"/>
  <c r="E38" i="15"/>
  <c r="M38" i="15" s="1"/>
  <c r="E37" i="15"/>
  <c r="M37" i="15" s="1"/>
  <c r="E36" i="15"/>
  <c r="M36" i="15" s="1"/>
  <c r="E35" i="15"/>
  <c r="M35" i="15" s="1"/>
  <c r="E34" i="15"/>
  <c r="M34" i="15" s="1"/>
  <c r="E33" i="15"/>
  <c r="M33" i="15" s="1"/>
  <c r="E32" i="15"/>
  <c r="M32" i="15" s="1"/>
  <c r="E22" i="15"/>
  <c r="M22" i="15" s="1"/>
  <c r="E21" i="15"/>
  <c r="M21" i="15" s="1"/>
  <c r="E20" i="15"/>
  <c r="M20" i="15" s="1"/>
  <c r="E19" i="15"/>
  <c r="M19" i="15" s="1"/>
  <c r="E18" i="15"/>
  <c r="M18" i="15" s="1"/>
  <c r="E17" i="15"/>
  <c r="M17" i="15" s="1"/>
  <c r="E16" i="15"/>
  <c r="M16" i="15" s="1"/>
  <c r="E15" i="15"/>
  <c r="M15" i="15" s="1"/>
  <c r="E14" i="15"/>
  <c r="M14" i="15" s="1"/>
  <c r="E13" i="15"/>
  <c r="M13" i="15" s="1"/>
  <c r="E12" i="15"/>
  <c r="M12" i="15" s="1"/>
  <c r="E11" i="15"/>
  <c r="M11" i="15" s="1"/>
  <c r="E83" i="14"/>
  <c r="M83" i="14" s="1"/>
  <c r="E82" i="14"/>
  <c r="M82" i="14" s="1"/>
  <c r="E81" i="14"/>
  <c r="M81" i="14" s="1"/>
  <c r="E80" i="14"/>
  <c r="M80" i="14" s="1"/>
  <c r="E79" i="14"/>
  <c r="M79" i="14" s="1"/>
  <c r="E78" i="14"/>
  <c r="M78" i="14" s="1"/>
  <c r="E77" i="14"/>
  <c r="M77" i="14" s="1"/>
  <c r="E76" i="14"/>
  <c r="M76" i="14" s="1"/>
  <c r="E75" i="14"/>
  <c r="M75" i="14" s="1"/>
  <c r="E74" i="14"/>
  <c r="M74" i="14" s="1"/>
  <c r="E73" i="14"/>
  <c r="M73" i="14" s="1"/>
  <c r="E72" i="14"/>
  <c r="M72" i="14" s="1"/>
  <c r="E71" i="14"/>
  <c r="M71" i="14" s="1"/>
  <c r="E70" i="14"/>
  <c r="M70" i="14" s="1"/>
  <c r="E69" i="14"/>
  <c r="M69" i="14" s="1"/>
  <c r="E68" i="14"/>
  <c r="M68" i="14" s="1"/>
  <c r="E67" i="14"/>
  <c r="M67" i="14" s="1"/>
  <c r="E66" i="14"/>
  <c r="M66" i="14" s="1"/>
  <c r="E65" i="14"/>
  <c r="M65" i="14" s="1"/>
  <c r="E64" i="14"/>
  <c r="M64" i="14" s="1"/>
  <c r="E63" i="14"/>
  <c r="M63" i="14" s="1"/>
  <c r="E62" i="14"/>
  <c r="M62" i="14" s="1"/>
  <c r="E61" i="14"/>
  <c r="M61" i="14" s="1"/>
  <c r="E60" i="14"/>
  <c r="M60" i="14" s="1"/>
  <c r="E59" i="14"/>
  <c r="M59" i="14" s="1"/>
  <c r="E58" i="14"/>
  <c r="M58" i="14" s="1"/>
  <c r="E57" i="14"/>
  <c r="M57" i="14" s="1"/>
  <c r="E56" i="14"/>
  <c r="M56" i="14" s="1"/>
  <c r="E55" i="14"/>
  <c r="M55" i="14" s="1"/>
  <c r="E54" i="14"/>
  <c r="M54" i="14" s="1"/>
  <c r="E53" i="14"/>
  <c r="M53" i="14" s="1"/>
  <c r="E52" i="14"/>
  <c r="M52" i="14" s="1"/>
  <c r="E42" i="14"/>
  <c r="M42" i="14" s="1"/>
  <c r="E41" i="14"/>
  <c r="M41" i="14" s="1"/>
  <c r="E40" i="14"/>
  <c r="M40" i="14" s="1"/>
  <c r="E39" i="14"/>
  <c r="M39" i="14" s="1"/>
  <c r="E38" i="14"/>
  <c r="M38" i="14" s="1"/>
  <c r="E37" i="14"/>
  <c r="M37" i="14" s="1"/>
  <c r="E36" i="14"/>
  <c r="M36" i="14" s="1"/>
  <c r="E35" i="14"/>
  <c r="M35" i="14" s="1"/>
  <c r="E34" i="14"/>
  <c r="M34" i="14" s="1"/>
  <c r="E33" i="14"/>
  <c r="M33" i="14" s="1"/>
  <c r="E32" i="14"/>
  <c r="M32" i="14" s="1"/>
  <c r="E31" i="14"/>
  <c r="M31" i="14" s="1"/>
  <c r="E30" i="14"/>
  <c r="M30" i="14" s="1"/>
  <c r="E29" i="14"/>
  <c r="M29" i="14" s="1"/>
  <c r="E28" i="14"/>
  <c r="M28" i="14" s="1"/>
  <c r="E27" i="14"/>
  <c r="M27" i="14" s="1"/>
  <c r="E26" i="14"/>
  <c r="M26" i="14" s="1"/>
  <c r="E25" i="14"/>
  <c r="M25" i="14" s="1"/>
  <c r="E24" i="14"/>
  <c r="M24" i="14" s="1"/>
  <c r="E23" i="14"/>
  <c r="M23" i="14" s="1"/>
  <c r="E22" i="14"/>
  <c r="M22" i="14" s="1"/>
  <c r="E21" i="14"/>
  <c r="M21" i="14" s="1"/>
  <c r="E20" i="14"/>
  <c r="M20" i="14" s="1"/>
  <c r="E19" i="14"/>
  <c r="M19" i="14" s="1"/>
  <c r="E18" i="14"/>
  <c r="M18" i="14" s="1"/>
  <c r="E17" i="14"/>
  <c r="M17" i="14" s="1"/>
  <c r="E16" i="14"/>
  <c r="M16" i="14" s="1"/>
  <c r="E15" i="14"/>
  <c r="M15" i="14" s="1"/>
  <c r="E14" i="14"/>
  <c r="M14" i="14" s="1"/>
  <c r="E13" i="14"/>
  <c r="M13" i="14" s="1"/>
  <c r="E12" i="14"/>
  <c r="M12" i="14" s="1"/>
  <c r="E11" i="14"/>
  <c r="M11" i="14" s="1"/>
  <c r="E85" i="13"/>
  <c r="M85" i="13" s="1"/>
  <c r="E84" i="13"/>
  <c r="M84" i="13" s="1"/>
  <c r="E83" i="13"/>
  <c r="M83" i="13" s="1"/>
  <c r="E82" i="13"/>
  <c r="M82" i="13" s="1"/>
  <c r="E81" i="13"/>
  <c r="M81" i="13" s="1"/>
  <c r="E80" i="13"/>
  <c r="M80" i="13" s="1"/>
  <c r="E79" i="13"/>
  <c r="M79" i="13" s="1"/>
  <c r="E78" i="13"/>
  <c r="M78" i="13" s="1"/>
  <c r="E77" i="13"/>
  <c r="M77" i="13" s="1"/>
  <c r="E76" i="13"/>
  <c r="M76" i="13" s="1"/>
  <c r="E75" i="13"/>
  <c r="M75" i="13" s="1"/>
  <c r="E74" i="13"/>
  <c r="M74" i="13" s="1"/>
  <c r="E73" i="13"/>
  <c r="M73" i="13" s="1"/>
  <c r="E72" i="13"/>
  <c r="M72" i="13" s="1"/>
  <c r="E71" i="13"/>
  <c r="M71" i="13" s="1"/>
  <c r="E70" i="13"/>
  <c r="M70" i="13" s="1"/>
  <c r="E69" i="13"/>
  <c r="M69" i="13" s="1"/>
  <c r="E68" i="13"/>
  <c r="M68" i="13" s="1"/>
  <c r="E67" i="13"/>
  <c r="M67" i="13" s="1"/>
  <c r="E66" i="13"/>
  <c r="M66" i="13" s="1"/>
  <c r="E65" i="13"/>
  <c r="M65" i="13" s="1"/>
  <c r="E64" i="13"/>
  <c r="M64" i="13" s="1"/>
  <c r="E63" i="13"/>
  <c r="M63" i="13" s="1"/>
  <c r="E62" i="13"/>
  <c r="M62" i="13" s="1"/>
  <c r="E61" i="13"/>
  <c r="M61" i="13" s="1"/>
  <c r="E60" i="13"/>
  <c r="M60" i="13" s="1"/>
  <c r="E59" i="13"/>
  <c r="M59" i="13" s="1"/>
  <c r="E58" i="13"/>
  <c r="M58" i="13" s="1"/>
  <c r="E57" i="13"/>
  <c r="M57" i="13" s="1"/>
  <c r="E56" i="13"/>
  <c r="M56" i="13" s="1"/>
  <c r="E55" i="13"/>
  <c r="M55" i="13" s="1"/>
  <c r="E54" i="13"/>
  <c r="M54" i="13" s="1"/>
  <c r="E53" i="13"/>
  <c r="M53" i="13" s="1"/>
  <c r="E43" i="13"/>
  <c r="M43" i="13" s="1"/>
  <c r="E42" i="13"/>
  <c r="M42" i="13" s="1"/>
  <c r="E41" i="13"/>
  <c r="M41" i="13" s="1"/>
  <c r="E40" i="13"/>
  <c r="M40" i="13" s="1"/>
  <c r="E39" i="13"/>
  <c r="M39" i="13" s="1"/>
  <c r="E38" i="13"/>
  <c r="M38" i="13" s="1"/>
  <c r="E37" i="13"/>
  <c r="M37" i="13" s="1"/>
  <c r="E36" i="13"/>
  <c r="M36" i="13" s="1"/>
  <c r="E35" i="13"/>
  <c r="M35" i="13" s="1"/>
  <c r="E34" i="13"/>
  <c r="M34" i="13" s="1"/>
  <c r="E33" i="13"/>
  <c r="M33" i="13" s="1"/>
  <c r="E32" i="13"/>
  <c r="M32" i="13" s="1"/>
  <c r="E31" i="13"/>
  <c r="M31" i="13" s="1"/>
  <c r="E30" i="13"/>
  <c r="M30" i="13" s="1"/>
  <c r="E29" i="13"/>
  <c r="M29" i="13" s="1"/>
  <c r="E28" i="13"/>
  <c r="M28" i="13" s="1"/>
  <c r="E27" i="13"/>
  <c r="M27" i="13" s="1"/>
  <c r="E26" i="13"/>
  <c r="M26" i="13" s="1"/>
  <c r="E25" i="13"/>
  <c r="M25" i="13" s="1"/>
  <c r="E24" i="13"/>
  <c r="M24" i="13" s="1"/>
  <c r="E23" i="13"/>
  <c r="M23" i="13" s="1"/>
  <c r="E22" i="13"/>
  <c r="M22" i="13" s="1"/>
  <c r="E21" i="13"/>
  <c r="M21" i="13" s="1"/>
  <c r="E20" i="13"/>
  <c r="M20" i="13" s="1"/>
  <c r="E19" i="13"/>
  <c r="M19" i="13" s="1"/>
  <c r="E18" i="13"/>
  <c r="M18" i="13" s="1"/>
  <c r="E17" i="13"/>
  <c r="M17" i="13" s="1"/>
  <c r="E16" i="13"/>
  <c r="M16" i="13" s="1"/>
  <c r="E15" i="13"/>
  <c r="M15" i="13" s="1"/>
  <c r="E14" i="13"/>
  <c r="M14" i="13" s="1"/>
  <c r="E13" i="13"/>
  <c r="M13" i="13" s="1"/>
  <c r="E12" i="13"/>
  <c r="M12" i="13" s="1"/>
  <c r="E11" i="13"/>
  <c r="M11" i="13" s="1"/>
  <c r="E40" i="12"/>
  <c r="M40" i="12" s="1"/>
  <c r="E39" i="12"/>
  <c r="M39" i="12" s="1"/>
  <c r="E38" i="12"/>
  <c r="M38" i="12" s="1"/>
  <c r="E37" i="12"/>
  <c r="M37" i="12" s="1"/>
  <c r="E36" i="12"/>
  <c r="M36" i="12" s="1"/>
  <c r="E35" i="12"/>
  <c r="M35" i="12" s="1"/>
  <c r="E34" i="12"/>
  <c r="M34" i="12" s="1"/>
  <c r="E33" i="12"/>
  <c r="M33" i="12" s="1"/>
  <c r="E32" i="12"/>
  <c r="M32" i="12" s="1"/>
  <c r="E31" i="12"/>
  <c r="M31" i="12" s="1"/>
  <c r="E30" i="12"/>
  <c r="M30" i="12" s="1"/>
  <c r="E29" i="12"/>
  <c r="M29" i="12" s="1"/>
  <c r="E28" i="12"/>
  <c r="M28" i="12" s="1"/>
  <c r="E27" i="12"/>
  <c r="M27" i="12" s="1"/>
  <c r="E26" i="12"/>
  <c r="M26" i="12" s="1"/>
  <c r="E25" i="12"/>
  <c r="M25" i="12" s="1"/>
  <c r="E24" i="12"/>
  <c r="M24" i="12" s="1"/>
  <c r="E23" i="12"/>
  <c r="M23" i="12" s="1"/>
  <c r="E22" i="12"/>
  <c r="M22" i="12" s="1"/>
  <c r="E21" i="12"/>
  <c r="M21" i="12" s="1"/>
  <c r="E20" i="12"/>
  <c r="M20" i="12" s="1"/>
  <c r="E19" i="12"/>
  <c r="M19" i="12" s="1"/>
  <c r="E18" i="12"/>
  <c r="M18" i="12" s="1"/>
  <c r="E17" i="12"/>
  <c r="M17" i="12" s="1"/>
  <c r="E16" i="12"/>
  <c r="M16" i="12" s="1"/>
  <c r="E15" i="12"/>
  <c r="M15" i="12" s="1"/>
  <c r="E14" i="12"/>
  <c r="M14" i="12" s="1"/>
  <c r="E13" i="12"/>
  <c r="M13" i="12" s="1"/>
  <c r="E12" i="12"/>
  <c r="M12" i="12" s="1"/>
  <c r="E11" i="12"/>
  <c r="M11" i="12" s="1"/>
  <c r="E85" i="11"/>
  <c r="M85" i="11" s="1"/>
  <c r="E84" i="11"/>
  <c r="M84" i="11" s="1"/>
  <c r="E83" i="11"/>
  <c r="M83" i="11" s="1"/>
  <c r="E82" i="11"/>
  <c r="M82" i="11" s="1"/>
  <c r="E81" i="11"/>
  <c r="M81" i="11" s="1"/>
  <c r="E80" i="11"/>
  <c r="M80" i="11" s="1"/>
  <c r="E79" i="11"/>
  <c r="M79" i="11" s="1"/>
  <c r="E78" i="11"/>
  <c r="M78" i="11" s="1"/>
  <c r="E77" i="11"/>
  <c r="M77" i="11" s="1"/>
  <c r="E76" i="11"/>
  <c r="M76" i="11" s="1"/>
  <c r="E75" i="11"/>
  <c r="M75" i="11" s="1"/>
  <c r="E74" i="11"/>
  <c r="M74" i="11" s="1"/>
  <c r="E73" i="11"/>
  <c r="M73" i="11" s="1"/>
  <c r="E72" i="11"/>
  <c r="M72" i="11" s="1"/>
  <c r="E71" i="11"/>
  <c r="M71" i="11" s="1"/>
  <c r="E70" i="11"/>
  <c r="M70" i="11" s="1"/>
  <c r="E69" i="11"/>
  <c r="M69" i="11" s="1"/>
  <c r="E68" i="11"/>
  <c r="M68" i="11" s="1"/>
  <c r="E67" i="11"/>
  <c r="M67" i="11" s="1"/>
  <c r="E66" i="11"/>
  <c r="M66" i="11" s="1"/>
  <c r="E65" i="11"/>
  <c r="M65" i="11" s="1"/>
  <c r="E64" i="11"/>
  <c r="M64" i="11" s="1"/>
  <c r="E63" i="11"/>
  <c r="M63" i="11" s="1"/>
  <c r="E62" i="11"/>
  <c r="M62" i="11" s="1"/>
  <c r="E61" i="11"/>
  <c r="M61" i="11" s="1"/>
  <c r="E60" i="11"/>
  <c r="M60" i="11" s="1"/>
  <c r="E59" i="11"/>
  <c r="M59" i="11" s="1"/>
  <c r="E58" i="11"/>
  <c r="M58" i="11" s="1"/>
  <c r="E57" i="11"/>
  <c r="M57" i="11" s="1"/>
  <c r="E56" i="11"/>
  <c r="M56" i="11" s="1"/>
  <c r="E55" i="11"/>
  <c r="M55" i="11" s="1"/>
  <c r="E54" i="11"/>
  <c r="M54" i="11" s="1"/>
  <c r="E53" i="11"/>
  <c r="M53" i="11" s="1"/>
  <c r="E43" i="11"/>
  <c r="M43" i="11" s="1"/>
  <c r="E42" i="11"/>
  <c r="M42" i="11" s="1"/>
  <c r="E41" i="11"/>
  <c r="M41" i="11" s="1"/>
  <c r="E40" i="11"/>
  <c r="M40" i="11" s="1"/>
  <c r="E39" i="11"/>
  <c r="M39" i="11" s="1"/>
  <c r="E38" i="11"/>
  <c r="M38" i="11" s="1"/>
  <c r="E37" i="11"/>
  <c r="M37" i="11" s="1"/>
  <c r="E36" i="11"/>
  <c r="M36" i="11" s="1"/>
  <c r="E35" i="11"/>
  <c r="M35" i="11" s="1"/>
  <c r="E34" i="11"/>
  <c r="M34" i="11" s="1"/>
  <c r="E33" i="11"/>
  <c r="M33" i="11" s="1"/>
  <c r="E32" i="11"/>
  <c r="M32" i="11" s="1"/>
  <c r="E31" i="11"/>
  <c r="M31" i="11" s="1"/>
  <c r="E30" i="11"/>
  <c r="M30" i="11" s="1"/>
  <c r="E29" i="11"/>
  <c r="M29" i="11" s="1"/>
  <c r="E28" i="11"/>
  <c r="M28" i="11" s="1"/>
  <c r="E27" i="11"/>
  <c r="M27" i="11" s="1"/>
  <c r="E26" i="11"/>
  <c r="M26" i="11" s="1"/>
  <c r="E25" i="11"/>
  <c r="M25" i="11" s="1"/>
  <c r="E24" i="11"/>
  <c r="M24" i="11" s="1"/>
  <c r="E23" i="11"/>
  <c r="M23" i="11" s="1"/>
  <c r="E22" i="11"/>
  <c r="M22" i="11" s="1"/>
  <c r="E21" i="11"/>
  <c r="M21" i="11" s="1"/>
  <c r="E20" i="11"/>
  <c r="M20" i="11" s="1"/>
  <c r="E19" i="11"/>
  <c r="M19" i="11" s="1"/>
  <c r="E18" i="11"/>
  <c r="M18" i="11" s="1"/>
  <c r="E17" i="11"/>
  <c r="M17" i="11" s="1"/>
  <c r="E16" i="11"/>
  <c r="M16" i="11" s="1"/>
  <c r="E15" i="11"/>
  <c r="M15" i="11" s="1"/>
  <c r="E14" i="11"/>
  <c r="M14" i="11" s="1"/>
  <c r="E13" i="11"/>
  <c r="M13" i="11" s="1"/>
  <c r="E12" i="11"/>
  <c r="M12" i="11" s="1"/>
  <c r="E11" i="11"/>
  <c r="M11" i="11" s="1"/>
  <c r="M33" i="34" l="1"/>
  <c r="M22" i="18"/>
  <c r="H23" i="18" s="1"/>
  <c r="M42" i="18"/>
  <c r="E95" i="10"/>
  <c r="M95" i="10" s="1"/>
  <c r="E94" i="10"/>
  <c r="M94" i="10" s="1"/>
  <c r="E93" i="10"/>
  <c r="M93" i="10" s="1"/>
  <c r="E92" i="10"/>
  <c r="M92" i="10" s="1"/>
  <c r="E91" i="10"/>
  <c r="M91" i="10" s="1"/>
  <c r="E90" i="10"/>
  <c r="M90" i="10" s="1"/>
  <c r="E89" i="10"/>
  <c r="M89" i="10" s="1"/>
  <c r="E88" i="10"/>
  <c r="M88" i="10" s="1"/>
  <c r="E87" i="10"/>
  <c r="M87" i="10" s="1"/>
  <c r="E86" i="10"/>
  <c r="M86" i="10" s="1"/>
  <c r="E85" i="10"/>
  <c r="M85" i="10" s="1"/>
  <c r="E84" i="10"/>
  <c r="M84" i="10" s="1"/>
  <c r="E83" i="10"/>
  <c r="M83" i="10" s="1"/>
  <c r="E82" i="10"/>
  <c r="M82" i="10" s="1"/>
  <c r="E81" i="10"/>
  <c r="M81" i="10" s="1"/>
  <c r="E80" i="10"/>
  <c r="M80" i="10" s="1"/>
  <c r="E79" i="10"/>
  <c r="M79" i="10" s="1"/>
  <c r="E78" i="10"/>
  <c r="M78" i="10" s="1"/>
  <c r="E77" i="10"/>
  <c r="M77" i="10" s="1"/>
  <c r="E76" i="10"/>
  <c r="M76" i="10" s="1"/>
  <c r="E75" i="10"/>
  <c r="M75" i="10" s="1"/>
  <c r="E74" i="10"/>
  <c r="M74" i="10" s="1"/>
  <c r="E73" i="10"/>
  <c r="M73" i="10" s="1"/>
  <c r="E72" i="10"/>
  <c r="M72" i="10" s="1"/>
  <c r="E71" i="10"/>
  <c r="M71" i="10" s="1"/>
  <c r="E70" i="10"/>
  <c r="M70" i="10" s="1"/>
  <c r="E69" i="10"/>
  <c r="M69" i="10" s="1"/>
  <c r="E68" i="10"/>
  <c r="M68" i="10" s="1"/>
  <c r="E67" i="10"/>
  <c r="M67" i="10" s="1"/>
  <c r="E66" i="10"/>
  <c r="M66" i="10" s="1"/>
  <c r="E65" i="10"/>
  <c r="M65" i="10" s="1"/>
  <c r="E64" i="10"/>
  <c r="M64" i="10" s="1"/>
  <c r="E63" i="10"/>
  <c r="M63" i="10" s="1"/>
  <c r="E62" i="10"/>
  <c r="M62" i="10" s="1"/>
  <c r="E61" i="10"/>
  <c r="M61" i="10" s="1"/>
  <c r="E60" i="10"/>
  <c r="M60" i="10" s="1"/>
  <c r="E59" i="10"/>
  <c r="M59" i="10" s="1"/>
  <c r="E58" i="10"/>
  <c r="M58" i="10" s="1"/>
  <c r="E48" i="10"/>
  <c r="M48" i="10" s="1"/>
  <c r="E47" i="10"/>
  <c r="M47" i="10" s="1"/>
  <c r="E46" i="10"/>
  <c r="M46" i="10" s="1"/>
  <c r="E45" i="10"/>
  <c r="M45" i="10" s="1"/>
  <c r="E44" i="10"/>
  <c r="M44" i="10" s="1"/>
  <c r="E43" i="10"/>
  <c r="M43" i="10" s="1"/>
  <c r="E42" i="10"/>
  <c r="M42" i="10" s="1"/>
  <c r="E41" i="10"/>
  <c r="M41" i="10" s="1"/>
  <c r="E40" i="10"/>
  <c r="M40" i="10" s="1"/>
  <c r="E39" i="10"/>
  <c r="M39" i="10" s="1"/>
  <c r="E38" i="10"/>
  <c r="M38" i="10" s="1"/>
  <c r="E37" i="10"/>
  <c r="M37" i="10" s="1"/>
  <c r="E36" i="10"/>
  <c r="M36" i="10" s="1"/>
  <c r="E35" i="10"/>
  <c r="M35" i="10" s="1"/>
  <c r="E34" i="10"/>
  <c r="M34" i="10" s="1"/>
  <c r="E33" i="10"/>
  <c r="M33" i="10" s="1"/>
  <c r="E32" i="10"/>
  <c r="M32" i="10" s="1"/>
  <c r="E31" i="10"/>
  <c r="M31" i="10" s="1"/>
  <c r="E30" i="10"/>
  <c r="M30" i="10" s="1"/>
  <c r="E29" i="10"/>
  <c r="M29" i="10" s="1"/>
  <c r="E28" i="10"/>
  <c r="M28" i="10" s="1"/>
  <c r="E27" i="10"/>
  <c r="M27" i="10" s="1"/>
  <c r="E26" i="10"/>
  <c r="M26" i="10" s="1"/>
  <c r="E25" i="10"/>
  <c r="M25" i="10" s="1"/>
  <c r="E24" i="10"/>
  <c r="M24" i="10" s="1"/>
  <c r="E23" i="10"/>
  <c r="M23" i="10" s="1"/>
  <c r="E22" i="10"/>
  <c r="M22" i="10" s="1"/>
  <c r="E21" i="10"/>
  <c r="M21" i="10" s="1"/>
  <c r="E20" i="10"/>
  <c r="M20" i="10" s="1"/>
  <c r="E19" i="10"/>
  <c r="M19" i="10" s="1"/>
  <c r="E18" i="10"/>
  <c r="M18" i="10" s="1"/>
  <c r="E17" i="10"/>
  <c r="M17" i="10" s="1"/>
  <c r="E16" i="10"/>
  <c r="M16" i="10" s="1"/>
  <c r="E15" i="10"/>
  <c r="M15" i="10" s="1"/>
  <c r="E14" i="10"/>
  <c r="M14" i="10" s="1"/>
  <c r="E13" i="10"/>
  <c r="M13" i="10" s="1"/>
  <c r="E12" i="10"/>
  <c r="M12" i="10" s="1"/>
  <c r="E11" i="10"/>
  <c r="M11" i="10" s="1"/>
  <c r="E49" i="9"/>
  <c r="M49" i="9" s="1"/>
  <c r="E48" i="9"/>
  <c r="M48" i="9" s="1"/>
  <c r="E47" i="9"/>
  <c r="M47" i="9" s="1"/>
  <c r="E46" i="9"/>
  <c r="M46" i="9" s="1"/>
  <c r="E45" i="9"/>
  <c r="M45" i="9" s="1"/>
  <c r="E44" i="9"/>
  <c r="M44" i="9" s="1"/>
  <c r="E43" i="9"/>
  <c r="M43" i="9" s="1"/>
  <c r="E42" i="9"/>
  <c r="M42" i="9" s="1"/>
  <c r="E41" i="9"/>
  <c r="M41" i="9" s="1"/>
  <c r="E40" i="9"/>
  <c r="M40" i="9" s="1"/>
  <c r="E39" i="9"/>
  <c r="M39" i="9" s="1"/>
  <c r="E38" i="9"/>
  <c r="M38" i="9" s="1"/>
  <c r="E37" i="9"/>
  <c r="M37" i="9" s="1"/>
  <c r="E36" i="9"/>
  <c r="M36" i="9" s="1"/>
  <c r="E35" i="9"/>
  <c r="M35" i="9" s="1"/>
  <c r="E25" i="9"/>
  <c r="M25" i="9" s="1"/>
  <c r="E24" i="9"/>
  <c r="M24" i="9" s="1"/>
  <c r="E23" i="9"/>
  <c r="M23" i="9" s="1"/>
  <c r="E22" i="9"/>
  <c r="M22" i="9" s="1"/>
  <c r="E21" i="9"/>
  <c r="M21" i="9" s="1"/>
  <c r="E20" i="9"/>
  <c r="M20" i="9" s="1"/>
  <c r="E19" i="9"/>
  <c r="M19" i="9" s="1"/>
  <c r="E18" i="9"/>
  <c r="M18" i="9" s="1"/>
  <c r="E17" i="9"/>
  <c r="M17" i="9" s="1"/>
  <c r="E16" i="9"/>
  <c r="M16" i="9" s="1"/>
  <c r="E15" i="9"/>
  <c r="M15" i="9" s="1"/>
  <c r="E14" i="9"/>
  <c r="M14" i="9" s="1"/>
  <c r="E13" i="9"/>
  <c r="M13" i="9" s="1"/>
  <c r="E12" i="9"/>
  <c r="M12" i="9" s="1"/>
  <c r="E11" i="9"/>
  <c r="M11" i="9" s="1"/>
  <c r="E37" i="8"/>
  <c r="M37" i="8" s="1"/>
  <c r="E36" i="8"/>
  <c r="M36" i="8" s="1"/>
  <c r="E35" i="8"/>
  <c r="M35" i="8" s="1"/>
  <c r="E34" i="8"/>
  <c r="M34" i="8" s="1"/>
  <c r="E33" i="8"/>
  <c r="M33" i="8" s="1"/>
  <c r="E32" i="8"/>
  <c r="M32" i="8" s="1"/>
  <c r="E31" i="8"/>
  <c r="M31" i="8" s="1"/>
  <c r="E30" i="8"/>
  <c r="M30" i="8" s="1"/>
  <c r="E29" i="8"/>
  <c r="M29" i="8" s="1"/>
  <c r="E19" i="8"/>
  <c r="M19" i="8" s="1"/>
  <c r="E18" i="8"/>
  <c r="M18" i="8" s="1"/>
  <c r="E17" i="8"/>
  <c r="M17" i="8" s="1"/>
  <c r="E16" i="8"/>
  <c r="M16" i="8" s="1"/>
  <c r="E15" i="8"/>
  <c r="M15" i="8" s="1"/>
  <c r="E14" i="8"/>
  <c r="M14" i="8" s="1"/>
  <c r="E13" i="8"/>
  <c r="M13" i="8" s="1"/>
  <c r="E12" i="8"/>
  <c r="M12" i="8" s="1"/>
  <c r="E11" i="8"/>
  <c r="M11" i="8" s="1"/>
  <c r="E37" i="7"/>
  <c r="M37" i="7" s="1"/>
  <c r="E36" i="7"/>
  <c r="M36" i="7" s="1"/>
  <c r="E35" i="7"/>
  <c r="M35" i="7" s="1"/>
  <c r="E34" i="7"/>
  <c r="M34" i="7" s="1"/>
  <c r="E33" i="7"/>
  <c r="M33" i="7" s="1"/>
  <c r="E32" i="7"/>
  <c r="M32" i="7" s="1"/>
  <c r="E31" i="7"/>
  <c r="M31" i="7" s="1"/>
  <c r="E30" i="7"/>
  <c r="M30" i="7" s="1"/>
  <c r="E29" i="7"/>
  <c r="M29" i="7" s="1"/>
  <c r="E19" i="7"/>
  <c r="M19" i="7" s="1"/>
  <c r="E18" i="7"/>
  <c r="M18" i="7" s="1"/>
  <c r="E17" i="7"/>
  <c r="M17" i="7" s="1"/>
  <c r="E16" i="7"/>
  <c r="M16" i="7" s="1"/>
  <c r="E15" i="7"/>
  <c r="M15" i="7" s="1"/>
  <c r="E14" i="7"/>
  <c r="M14" i="7" s="1"/>
  <c r="E13" i="7"/>
  <c r="M13" i="7" s="1"/>
  <c r="E12" i="7"/>
  <c r="M12" i="7" s="1"/>
  <c r="E11" i="7"/>
  <c r="M11" i="7" s="1"/>
  <c r="E33" i="6"/>
  <c r="M33" i="6" s="1"/>
  <c r="E32" i="6"/>
  <c r="M32" i="6" s="1"/>
  <c r="E31" i="6"/>
  <c r="M31" i="6" s="1"/>
  <c r="E30" i="6"/>
  <c r="M30" i="6" s="1"/>
  <c r="E29" i="6"/>
  <c r="M29" i="6" s="1"/>
  <c r="E28" i="6"/>
  <c r="M28" i="6" s="1"/>
  <c r="E27" i="6"/>
  <c r="M27" i="6" s="1"/>
  <c r="E17" i="6"/>
  <c r="M17" i="6" s="1"/>
  <c r="E16" i="6"/>
  <c r="M16" i="6" s="1"/>
  <c r="E15" i="6"/>
  <c r="M15" i="6" s="1"/>
  <c r="E14" i="6"/>
  <c r="M14" i="6" s="1"/>
  <c r="E13" i="6"/>
  <c r="M13" i="6" s="1"/>
  <c r="E12" i="6"/>
  <c r="M12" i="6" s="1"/>
  <c r="E11" i="6"/>
  <c r="M11" i="6" s="1"/>
  <c r="C29" i="5"/>
  <c r="H15" i="5"/>
  <c r="G15" i="5"/>
  <c r="D15" i="5"/>
  <c r="C15" i="5"/>
  <c r="E14" i="5"/>
  <c r="E13" i="5"/>
  <c r="E12" i="5"/>
  <c r="E11" i="5"/>
  <c r="L23" i="18" l="1"/>
  <c r="I23" i="18"/>
  <c r="G23" i="18"/>
  <c r="J23" i="18"/>
  <c r="M18" i="6"/>
  <c r="J19" i="6" s="1"/>
  <c r="G43" i="18"/>
  <c r="H43" i="18"/>
  <c r="I43" i="18"/>
  <c r="J43" i="18"/>
  <c r="L43" i="18"/>
  <c r="I15" i="5"/>
  <c r="E15" i="5"/>
  <c r="H30" i="5" l="1"/>
  <c r="M15" i="5"/>
  <c r="F12" i="5"/>
  <c r="F13" i="5"/>
  <c r="F15" i="5"/>
  <c r="F11" i="5"/>
  <c r="F14" i="5"/>
  <c r="J16" i="5" l="1"/>
  <c r="G16" i="5"/>
  <c r="H16" i="5"/>
  <c r="I16" i="5"/>
  <c r="I30" i="5"/>
  <c r="K30" i="5"/>
  <c r="E16" i="5"/>
  <c r="G30" i="5"/>
  <c r="D30" i="5"/>
  <c r="L30" i="5"/>
  <c r="C30" i="5"/>
  <c r="E30" i="5"/>
  <c r="L16" i="5"/>
  <c r="D16" i="5"/>
  <c r="C16" i="5"/>
  <c r="B67" i="19"/>
  <c r="B26" i="18"/>
  <c r="B25" i="17"/>
  <c r="B45" i="16"/>
  <c r="B27" i="15"/>
  <c r="B47" i="14"/>
  <c r="B48" i="13"/>
  <c r="B45" i="12"/>
  <c r="B48" i="11"/>
  <c r="B53" i="10"/>
  <c r="B30" i="9"/>
  <c r="B24" i="8"/>
  <c r="B24" i="7"/>
  <c r="B6" i="7"/>
  <c r="B6" i="8"/>
  <c r="B6" i="9"/>
  <c r="B6" i="10"/>
  <c r="B6" i="11"/>
  <c r="B6" i="12"/>
  <c r="B6" i="13"/>
  <c r="B6" i="14"/>
  <c r="B6" i="15"/>
  <c r="B6" i="16"/>
  <c r="B6" i="17"/>
  <c r="B6" i="18"/>
  <c r="B6" i="19"/>
  <c r="B6" i="6"/>
  <c r="K16" i="5" l="1"/>
  <c r="M30" i="5"/>
  <c r="M16" i="5"/>
  <c r="B22" i="6"/>
  <c r="B20" i="5"/>
  <c r="B6" i="5"/>
  <c r="D63" i="19" l="1"/>
  <c r="C63" i="19"/>
  <c r="C124" i="19"/>
  <c r="D124" i="19"/>
  <c r="D42" i="18"/>
  <c r="D43" i="18" s="1"/>
  <c r="C22" i="18"/>
  <c r="C23" i="18" s="1"/>
  <c r="C42" i="18"/>
  <c r="C43" i="18" s="1"/>
  <c r="D22" i="18"/>
  <c r="D23" i="18" s="1"/>
  <c r="D40" i="17"/>
  <c r="C21" i="17"/>
  <c r="D21" i="17"/>
  <c r="C40" i="17"/>
  <c r="C41" i="16"/>
  <c r="D41" i="16"/>
  <c r="C80" i="16"/>
  <c r="D80" i="16"/>
  <c r="D44" i="15"/>
  <c r="D23" i="15"/>
  <c r="C44" i="15"/>
  <c r="C23" i="15"/>
  <c r="D84" i="14"/>
  <c r="D43" i="14"/>
  <c r="C43" i="14"/>
  <c r="C84" i="14"/>
  <c r="D44" i="13"/>
  <c r="C44" i="13"/>
  <c r="D86" i="13"/>
  <c r="C86" i="13"/>
  <c r="D80" i="12"/>
  <c r="D41" i="12"/>
  <c r="C41" i="12"/>
  <c r="C80" i="12"/>
  <c r="D44" i="11"/>
  <c r="D86" i="11"/>
  <c r="C86" i="11"/>
  <c r="C44" i="11"/>
  <c r="C49" i="10"/>
  <c r="D96" i="10"/>
  <c r="C96" i="10"/>
  <c r="C26" i="9"/>
  <c r="C50" i="9"/>
  <c r="D50" i="9"/>
  <c r="D26" i="9"/>
  <c r="D20" i="8"/>
  <c r="C20" i="8"/>
  <c r="D38" i="8"/>
  <c r="C38" i="8"/>
  <c r="C38" i="7"/>
  <c r="C20" i="7"/>
  <c r="D34" i="6"/>
  <c r="H18" i="6"/>
  <c r="C34" i="6"/>
  <c r="D18" i="6"/>
  <c r="C18" i="6"/>
  <c r="G18" i="6"/>
  <c r="E44" i="15" l="1"/>
  <c r="F44" i="15" s="1"/>
  <c r="E41" i="16"/>
  <c r="E63" i="19"/>
  <c r="E124" i="19"/>
  <c r="E42" i="18"/>
  <c r="E43" i="18" s="1"/>
  <c r="M43" i="18" s="1"/>
  <c r="E22" i="18"/>
  <c r="E23" i="18" s="1"/>
  <c r="M23" i="18" s="1"/>
  <c r="E40" i="17"/>
  <c r="E21" i="17"/>
  <c r="E80" i="16"/>
  <c r="E23" i="15"/>
  <c r="E84" i="14"/>
  <c r="E43" i="14"/>
  <c r="E86" i="13"/>
  <c r="E44" i="13"/>
  <c r="E41" i="12"/>
  <c r="E80" i="12"/>
  <c r="E44" i="11"/>
  <c r="E86" i="11"/>
  <c r="E49" i="10"/>
  <c r="E96" i="10"/>
  <c r="E50" i="9"/>
  <c r="E26" i="9"/>
  <c r="E20" i="8"/>
  <c r="E38" i="8"/>
  <c r="E20" i="7"/>
  <c r="E38" i="7"/>
  <c r="E34" i="6"/>
  <c r="E18" i="6"/>
  <c r="I18" i="6"/>
  <c r="M38" i="8" l="1"/>
  <c r="E39" i="8" s="1"/>
  <c r="M80" i="12"/>
  <c r="E81" i="12" s="1"/>
  <c r="M34" i="6"/>
  <c r="E35" i="6" s="1"/>
  <c r="M20" i="8"/>
  <c r="E21" i="8" s="1"/>
  <c r="M49" i="10"/>
  <c r="E50" i="10" s="1"/>
  <c r="M41" i="12"/>
  <c r="E42" i="12" s="1"/>
  <c r="M84" i="14"/>
  <c r="E85" i="14" s="1"/>
  <c r="M21" i="17"/>
  <c r="E22" i="17" s="1"/>
  <c r="M124" i="19"/>
  <c r="E125" i="19" s="1"/>
  <c r="M38" i="7"/>
  <c r="E39" i="7" s="1"/>
  <c r="M26" i="9"/>
  <c r="E27" i="9" s="1"/>
  <c r="M86" i="11"/>
  <c r="E87" i="11" s="1"/>
  <c r="M44" i="13"/>
  <c r="E45" i="13" s="1"/>
  <c r="M40" i="17"/>
  <c r="E41" i="17" s="1"/>
  <c r="M63" i="19"/>
  <c r="E64" i="19" s="1"/>
  <c r="M96" i="10"/>
  <c r="E97" i="10" s="1"/>
  <c r="M43" i="14"/>
  <c r="E44" i="14" s="1"/>
  <c r="M80" i="16"/>
  <c r="E81" i="16" s="1"/>
  <c r="M44" i="15"/>
  <c r="E45" i="15" s="1"/>
  <c r="M20" i="7"/>
  <c r="E21" i="7" s="1"/>
  <c r="M50" i="9"/>
  <c r="E51" i="9" s="1"/>
  <c r="M44" i="11"/>
  <c r="E45" i="11" s="1"/>
  <c r="M86" i="13"/>
  <c r="E87" i="13" s="1"/>
  <c r="M23" i="15"/>
  <c r="E24" i="15" s="1"/>
  <c r="M41" i="16"/>
  <c r="E42" i="16" s="1"/>
  <c r="F42" i="15"/>
  <c r="F43" i="15"/>
  <c r="F39" i="15"/>
  <c r="F37" i="15"/>
  <c r="F40" i="15"/>
  <c r="F32" i="15"/>
  <c r="F41" i="15"/>
  <c r="F34" i="15"/>
  <c r="F33" i="15"/>
  <c r="F38" i="15"/>
  <c r="F35" i="15"/>
  <c r="F36" i="15"/>
  <c r="F33" i="6"/>
  <c r="F29" i="6"/>
  <c r="F31" i="6"/>
  <c r="F27" i="6"/>
  <c r="F28" i="6"/>
  <c r="F32" i="6"/>
  <c r="F30" i="6"/>
  <c r="F122" i="19"/>
  <c r="F115" i="19"/>
  <c r="F99" i="19"/>
  <c r="F95" i="19"/>
  <c r="F87" i="19"/>
  <c r="F117" i="19"/>
  <c r="F113" i="19"/>
  <c r="F109" i="19"/>
  <c r="F105" i="19"/>
  <c r="F97" i="19"/>
  <c r="F85" i="19"/>
  <c r="F81" i="19"/>
  <c r="F77" i="19"/>
  <c r="F73" i="19"/>
  <c r="F119" i="19"/>
  <c r="F107" i="19"/>
  <c r="F103" i="19"/>
  <c r="F83" i="19"/>
  <c r="F123" i="19"/>
  <c r="F111" i="19"/>
  <c r="F91" i="19"/>
  <c r="F79" i="19"/>
  <c r="F75" i="19"/>
  <c r="F74" i="19"/>
  <c r="F92" i="19"/>
  <c r="F110" i="19"/>
  <c r="F118" i="19"/>
  <c r="F121" i="19"/>
  <c r="F94" i="19"/>
  <c r="F80" i="19"/>
  <c r="F96" i="19"/>
  <c r="F116" i="19"/>
  <c r="F106" i="19"/>
  <c r="F101" i="19"/>
  <c r="F76" i="19"/>
  <c r="F98" i="19"/>
  <c r="F114" i="19"/>
  <c r="F89" i="19"/>
  <c r="F72" i="19"/>
  <c r="F100" i="19"/>
  <c r="F88" i="19"/>
  <c r="F120" i="19"/>
  <c r="F82" i="19"/>
  <c r="F102" i="19"/>
  <c r="F93" i="19"/>
  <c r="F84" i="19"/>
  <c r="F108" i="19"/>
  <c r="F104" i="19"/>
  <c r="F86" i="19"/>
  <c r="F78" i="19"/>
  <c r="F90" i="19"/>
  <c r="F112" i="19"/>
  <c r="F62" i="19"/>
  <c r="F58" i="19"/>
  <c r="F50" i="19"/>
  <c r="F46" i="19"/>
  <c r="F54" i="19"/>
  <c r="F42" i="19"/>
  <c r="F38" i="19"/>
  <c r="F34" i="19"/>
  <c r="F30" i="19"/>
  <c r="F26" i="19"/>
  <c r="F22" i="19"/>
  <c r="F18" i="19"/>
  <c r="F14" i="19"/>
  <c r="F19" i="19"/>
  <c r="F59" i="19"/>
  <c r="F48" i="19"/>
  <c r="F21" i="19"/>
  <c r="F37" i="19"/>
  <c r="F53" i="19"/>
  <c r="F15" i="19"/>
  <c r="F39" i="19"/>
  <c r="F20" i="19"/>
  <c r="F29" i="19"/>
  <c r="F12" i="19"/>
  <c r="F13" i="19"/>
  <c r="F45" i="19"/>
  <c r="F57" i="19"/>
  <c r="F11" i="19"/>
  <c r="F31" i="19"/>
  <c r="F49" i="19"/>
  <c r="F24" i="19"/>
  <c r="F17" i="19"/>
  <c r="F33" i="19"/>
  <c r="F47" i="19"/>
  <c r="F61" i="19"/>
  <c r="F35" i="19"/>
  <c r="F51" i="19"/>
  <c r="F36" i="19"/>
  <c r="F56" i="19"/>
  <c r="F25" i="19"/>
  <c r="F52" i="19"/>
  <c r="F23" i="19"/>
  <c r="F41" i="19"/>
  <c r="F55" i="19"/>
  <c r="F43" i="19"/>
  <c r="F32" i="19"/>
  <c r="F40" i="19"/>
  <c r="F60" i="19"/>
  <c r="F27" i="19"/>
  <c r="F16" i="19"/>
  <c r="F28" i="19"/>
  <c r="F44" i="19"/>
  <c r="F37" i="18"/>
  <c r="F39" i="18"/>
  <c r="F33" i="18"/>
  <c r="F31" i="18"/>
  <c r="F34" i="18"/>
  <c r="F36" i="18"/>
  <c r="F38" i="18"/>
  <c r="F40" i="18"/>
  <c r="F17" i="18"/>
  <c r="F19" i="18"/>
  <c r="F13" i="18"/>
  <c r="F11" i="18"/>
  <c r="F14" i="18"/>
  <c r="F16" i="18"/>
  <c r="F20" i="18"/>
  <c r="F18" i="18"/>
  <c r="F34" i="17"/>
  <c r="F30" i="17"/>
  <c r="F31" i="17"/>
  <c r="F39" i="17"/>
  <c r="F35" i="17"/>
  <c r="F32" i="17"/>
  <c r="F36" i="17"/>
  <c r="F38" i="17"/>
  <c r="F37" i="17"/>
  <c r="F33" i="17"/>
  <c r="F18" i="17"/>
  <c r="F14" i="17"/>
  <c r="F15" i="17"/>
  <c r="F12" i="17"/>
  <c r="F17" i="17"/>
  <c r="F16" i="17"/>
  <c r="F11" i="17"/>
  <c r="F19" i="17"/>
  <c r="F20" i="17"/>
  <c r="F13" i="17"/>
  <c r="F77" i="16"/>
  <c r="F73" i="16"/>
  <c r="F69" i="16"/>
  <c r="F65" i="16"/>
  <c r="F61" i="16"/>
  <c r="F57" i="16"/>
  <c r="F53" i="16"/>
  <c r="F58" i="16"/>
  <c r="F66" i="16"/>
  <c r="F74" i="16"/>
  <c r="F54" i="16"/>
  <c r="F71" i="16"/>
  <c r="F60" i="16"/>
  <c r="F68" i="16"/>
  <c r="F76" i="16"/>
  <c r="F55" i="16"/>
  <c r="F59" i="16"/>
  <c r="F75" i="16"/>
  <c r="F62" i="16"/>
  <c r="F70" i="16"/>
  <c r="F78" i="16"/>
  <c r="F51" i="16"/>
  <c r="F63" i="16"/>
  <c r="F79" i="16"/>
  <c r="F56" i="16"/>
  <c r="F64" i="16"/>
  <c r="F72" i="16"/>
  <c r="F52" i="16"/>
  <c r="F67" i="16"/>
  <c r="F50" i="16"/>
  <c r="F38" i="16"/>
  <c r="F34" i="16"/>
  <c r="F30" i="16"/>
  <c r="F26" i="16"/>
  <c r="F22" i="16"/>
  <c r="F18" i="16"/>
  <c r="F14" i="16"/>
  <c r="F17" i="16"/>
  <c r="F25" i="16"/>
  <c r="F33" i="16"/>
  <c r="F12" i="16"/>
  <c r="F24" i="16"/>
  <c r="F40" i="16"/>
  <c r="F19" i="16"/>
  <c r="F27" i="16"/>
  <c r="F35" i="16"/>
  <c r="F13" i="16"/>
  <c r="F28" i="16"/>
  <c r="F21" i="16"/>
  <c r="F29" i="16"/>
  <c r="F37" i="16"/>
  <c r="F15" i="16"/>
  <c r="F32" i="16"/>
  <c r="F11" i="16"/>
  <c r="F23" i="16"/>
  <c r="F31" i="16"/>
  <c r="F39" i="16"/>
  <c r="F16" i="16"/>
  <c r="F20" i="16"/>
  <c r="F36" i="16"/>
  <c r="F21" i="15"/>
  <c r="F17" i="15"/>
  <c r="F13" i="15"/>
  <c r="F14" i="15"/>
  <c r="F16" i="15"/>
  <c r="F11" i="15"/>
  <c r="F18" i="15"/>
  <c r="F15" i="15"/>
  <c r="F20" i="15"/>
  <c r="F19" i="15"/>
  <c r="F12" i="15"/>
  <c r="F22" i="15"/>
  <c r="F81" i="14"/>
  <c r="F77" i="14"/>
  <c r="F73" i="14"/>
  <c r="F69" i="14"/>
  <c r="F65" i="14"/>
  <c r="F61" i="14"/>
  <c r="F57" i="14"/>
  <c r="F53" i="14"/>
  <c r="F83" i="14"/>
  <c r="F79" i="14"/>
  <c r="F75" i="14"/>
  <c r="F71" i="14"/>
  <c r="F67" i="14"/>
  <c r="F63" i="14"/>
  <c r="F59" i="14"/>
  <c r="F55" i="14"/>
  <c r="F52" i="14"/>
  <c r="F60" i="14"/>
  <c r="F68" i="14"/>
  <c r="F76" i="14"/>
  <c r="F54" i="14"/>
  <c r="F62" i="14"/>
  <c r="F70" i="14"/>
  <c r="F78" i="14"/>
  <c r="F56" i="14"/>
  <c r="F64" i="14"/>
  <c r="F72" i="14"/>
  <c r="F80" i="14"/>
  <c r="F58" i="14"/>
  <c r="F66" i="14"/>
  <c r="F74" i="14"/>
  <c r="F82" i="14"/>
  <c r="F40" i="14"/>
  <c r="F36" i="14"/>
  <c r="F32" i="14"/>
  <c r="F28" i="14"/>
  <c r="F24" i="14"/>
  <c r="F20" i="14"/>
  <c r="F16" i="14"/>
  <c r="F12" i="14"/>
  <c r="F42" i="14"/>
  <c r="F38" i="14"/>
  <c r="F34" i="14"/>
  <c r="F30" i="14"/>
  <c r="F26" i="14"/>
  <c r="F22" i="14"/>
  <c r="F18" i="14"/>
  <c r="F14" i="14"/>
  <c r="F11" i="14"/>
  <c r="F19" i="14"/>
  <c r="F27" i="14"/>
  <c r="F35" i="14"/>
  <c r="F13" i="14"/>
  <c r="F21" i="14"/>
  <c r="F29" i="14"/>
  <c r="F37" i="14"/>
  <c r="F17" i="14"/>
  <c r="F25" i="14"/>
  <c r="F33" i="14"/>
  <c r="F41" i="14"/>
  <c r="F15" i="14"/>
  <c r="F23" i="14"/>
  <c r="F31" i="14"/>
  <c r="F39" i="14"/>
  <c r="F78" i="13"/>
  <c r="F70" i="13"/>
  <c r="F62" i="13"/>
  <c r="F54" i="13"/>
  <c r="F82" i="13"/>
  <c r="F74" i="13"/>
  <c r="F66" i="13"/>
  <c r="F58" i="13"/>
  <c r="F83" i="13"/>
  <c r="F75" i="13"/>
  <c r="F67" i="13"/>
  <c r="F59" i="13"/>
  <c r="F55" i="13"/>
  <c r="F56" i="13"/>
  <c r="F65" i="13"/>
  <c r="F61" i="13"/>
  <c r="F84" i="13"/>
  <c r="F63" i="13"/>
  <c r="F57" i="13"/>
  <c r="F80" i="13"/>
  <c r="F53" i="13"/>
  <c r="F76" i="13"/>
  <c r="F85" i="13"/>
  <c r="F71" i="13"/>
  <c r="F72" i="13"/>
  <c r="F81" i="13"/>
  <c r="F68" i="13"/>
  <c r="F77" i="13"/>
  <c r="F79" i="13"/>
  <c r="F64" i="13"/>
  <c r="F73" i="13"/>
  <c r="F60" i="13"/>
  <c r="F69" i="13"/>
  <c r="F42" i="13"/>
  <c r="F34" i="13"/>
  <c r="F26" i="13"/>
  <c r="F18" i="13"/>
  <c r="F38" i="13"/>
  <c r="F14" i="13"/>
  <c r="F30" i="13"/>
  <c r="F22" i="13"/>
  <c r="F43" i="13"/>
  <c r="F23" i="13"/>
  <c r="F13" i="13"/>
  <c r="F35" i="13"/>
  <c r="F24" i="13"/>
  <c r="F33" i="13"/>
  <c r="F15" i="13"/>
  <c r="F19" i="13"/>
  <c r="F37" i="13"/>
  <c r="F16" i="13"/>
  <c r="F25" i="13"/>
  <c r="F28" i="13"/>
  <c r="F39" i="13"/>
  <c r="F12" i="13"/>
  <c r="F21" i="13"/>
  <c r="F27" i="13"/>
  <c r="F20" i="13"/>
  <c r="F31" i="13"/>
  <c r="F17" i="13"/>
  <c r="F40" i="13"/>
  <c r="F36" i="13"/>
  <c r="F29" i="13"/>
  <c r="F11" i="13"/>
  <c r="F32" i="13"/>
  <c r="F41" i="13"/>
  <c r="F79" i="12"/>
  <c r="F78" i="12"/>
  <c r="F77" i="12"/>
  <c r="F76" i="12"/>
  <c r="F75" i="12"/>
  <c r="F74" i="12"/>
  <c r="F73" i="12"/>
  <c r="F72" i="12"/>
  <c r="F71" i="12"/>
  <c r="F70" i="12"/>
  <c r="F69" i="12"/>
  <c r="F68" i="12"/>
  <c r="F67" i="12"/>
  <c r="F66" i="12"/>
  <c r="F65" i="12"/>
  <c r="F64" i="12"/>
  <c r="F63" i="12"/>
  <c r="F62" i="12"/>
  <c r="F61" i="12"/>
  <c r="F60" i="12"/>
  <c r="F59" i="12"/>
  <c r="F58" i="12"/>
  <c r="F57" i="12"/>
  <c r="F56" i="12"/>
  <c r="F55" i="12"/>
  <c r="F54" i="12"/>
  <c r="F53" i="12"/>
  <c r="F52" i="12"/>
  <c r="F51" i="12"/>
  <c r="F50" i="12"/>
  <c r="F40" i="12"/>
  <c r="F36" i="12"/>
  <c r="F32" i="12"/>
  <c r="F28" i="12"/>
  <c r="F24" i="12"/>
  <c r="F20" i="12"/>
  <c r="F12" i="12"/>
  <c r="F16" i="12"/>
  <c r="F21" i="12"/>
  <c r="F29" i="12"/>
  <c r="F37" i="12"/>
  <c r="F30" i="12"/>
  <c r="F13" i="12"/>
  <c r="F23" i="12"/>
  <c r="F31" i="12"/>
  <c r="F39" i="12"/>
  <c r="F18" i="12"/>
  <c r="F34" i="12"/>
  <c r="F14" i="12"/>
  <c r="F25" i="12"/>
  <c r="F33" i="12"/>
  <c r="F22" i="12"/>
  <c r="F38" i="12"/>
  <c r="F19" i="12"/>
  <c r="F27" i="12"/>
  <c r="F35" i="12"/>
  <c r="F15" i="12"/>
  <c r="F26" i="12"/>
  <c r="F11" i="12"/>
  <c r="F17" i="12"/>
  <c r="F85" i="11"/>
  <c r="F81" i="11"/>
  <c r="F77" i="11"/>
  <c r="F73" i="11"/>
  <c r="F61" i="11"/>
  <c r="F65" i="11"/>
  <c r="F69" i="11"/>
  <c r="F53" i="11"/>
  <c r="F57" i="11"/>
  <c r="F74" i="11"/>
  <c r="F82" i="11"/>
  <c r="F59" i="11"/>
  <c r="F55" i="11"/>
  <c r="F75" i="11"/>
  <c r="F67" i="11"/>
  <c r="F60" i="11"/>
  <c r="F66" i="11"/>
  <c r="F76" i="11"/>
  <c r="F84" i="11"/>
  <c r="F68" i="11"/>
  <c r="F79" i="11"/>
  <c r="F78" i="11"/>
  <c r="F56" i="11"/>
  <c r="F62" i="11"/>
  <c r="F58" i="11"/>
  <c r="F83" i="11"/>
  <c r="F64" i="11"/>
  <c r="F70" i="11"/>
  <c r="F63" i="11"/>
  <c r="F72" i="11"/>
  <c r="F80" i="11"/>
  <c r="F71" i="11"/>
  <c r="F54" i="11"/>
  <c r="F42" i="11"/>
  <c r="F38" i="11"/>
  <c r="F34" i="11"/>
  <c r="F30" i="11"/>
  <c r="F22" i="11"/>
  <c r="F26" i="11"/>
  <c r="F14" i="11"/>
  <c r="F18" i="11"/>
  <c r="F11" i="11"/>
  <c r="F24" i="11"/>
  <c r="F36" i="11"/>
  <c r="F16" i="11"/>
  <c r="F35" i="11"/>
  <c r="F43" i="11"/>
  <c r="F28" i="11"/>
  <c r="F40" i="11"/>
  <c r="F20" i="11"/>
  <c r="F29" i="11"/>
  <c r="F37" i="11"/>
  <c r="F12" i="11"/>
  <c r="F21" i="11"/>
  <c r="F27" i="11"/>
  <c r="F13" i="11"/>
  <c r="F19" i="11"/>
  <c r="F31" i="11"/>
  <c r="F39" i="11"/>
  <c r="F25" i="11"/>
  <c r="F32" i="11"/>
  <c r="F17" i="11"/>
  <c r="F23" i="11"/>
  <c r="F33" i="11"/>
  <c r="F41" i="11"/>
  <c r="F15" i="11"/>
  <c r="F93" i="10"/>
  <c r="F89" i="10"/>
  <c r="F85" i="10"/>
  <c r="F81" i="10"/>
  <c r="F77" i="10"/>
  <c r="F73" i="10"/>
  <c r="F69" i="10"/>
  <c r="F65" i="10"/>
  <c r="F61" i="10"/>
  <c r="F59" i="10"/>
  <c r="F95" i="10"/>
  <c r="F91" i="10"/>
  <c r="F87" i="10"/>
  <c r="F83" i="10"/>
  <c r="F79" i="10"/>
  <c r="F75" i="10"/>
  <c r="F71" i="10"/>
  <c r="F67" i="10"/>
  <c r="F63" i="10"/>
  <c r="F62" i="10"/>
  <c r="F94" i="10"/>
  <c r="F58" i="10"/>
  <c r="F70" i="10"/>
  <c r="F82" i="10"/>
  <c r="F90" i="10"/>
  <c r="F66" i="10"/>
  <c r="F60" i="10"/>
  <c r="F74" i="10"/>
  <c r="F84" i="10"/>
  <c r="F92" i="10"/>
  <c r="F72" i="10"/>
  <c r="F64" i="10"/>
  <c r="F76" i="10"/>
  <c r="F86" i="10"/>
  <c r="F80" i="10"/>
  <c r="F68" i="10"/>
  <c r="F78" i="10"/>
  <c r="F88" i="10"/>
  <c r="F46" i="10"/>
  <c r="F42" i="10"/>
  <c r="F38" i="10"/>
  <c r="F34" i="10"/>
  <c r="F30" i="10"/>
  <c r="F22" i="10"/>
  <c r="F14" i="10"/>
  <c r="F48" i="10"/>
  <c r="F44" i="10"/>
  <c r="F40" i="10"/>
  <c r="F26" i="10"/>
  <c r="F18" i="10"/>
  <c r="F24" i="10"/>
  <c r="F36" i="10"/>
  <c r="F32" i="10"/>
  <c r="F28" i="10"/>
  <c r="F20" i="10"/>
  <c r="F16" i="10"/>
  <c r="F12" i="10"/>
  <c r="F13" i="10"/>
  <c r="F33" i="10"/>
  <c r="F35" i="10"/>
  <c r="F41" i="10"/>
  <c r="F21" i="10"/>
  <c r="F19" i="10"/>
  <c r="F39" i="10"/>
  <c r="F11" i="10"/>
  <c r="F15" i="10"/>
  <c r="F47" i="10"/>
  <c r="F37" i="10"/>
  <c r="F27" i="10"/>
  <c r="F23" i="10"/>
  <c r="F43" i="10"/>
  <c r="F17" i="10"/>
  <c r="F25" i="10"/>
  <c r="F29" i="10"/>
  <c r="F31" i="10"/>
  <c r="F45" i="10"/>
  <c r="F48" i="9"/>
  <c r="F49" i="9"/>
  <c r="F45" i="9"/>
  <c r="F37" i="9"/>
  <c r="F41" i="9"/>
  <c r="F38" i="9"/>
  <c r="F36" i="9"/>
  <c r="F39" i="9"/>
  <c r="F44" i="9"/>
  <c r="F35" i="9"/>
  <c r="F46" i="9"/>
  <c r="F43" i="9"/>
  <c r="F40" i="9"/>
  <c r="F47" i="9"/>
  <c r="F42" i="9"/>
  <c r="F23" i="9"/>
  <c r="F19" i="9"/>
  <c r="F15" i="9"/>
  <c r="F11" i="9"/>
  <c r="F25" i="9"/>
  <c r="F21" i="9"/>
  <c r="F17" i="9"/>
  <c r="F13" i="9"/>
  <c r="F14" i="9"/>
  <c r="F16" i="9"/>
  <c r="F22" i="9"/>
  <c r="F18" i="9"/>
  <c r="F20" i="9"/>
  <c r="F12" i="9"/>
  <c r="F24" i="9"/>
  <c r="F37" i="8"/>
  <c r="F33" i="8"/>
  <c r="F29" i="8"/>
  <c r="F30" i="8"/>
  <c r="F31" i="8"/>
  <c r="F32" i="8"/>
  <c r="F35" i="8"/>
  <c r="F34" i="8"/>
  <c r="F36" i="8"/>
  <c r="F19" i="8"/>
  <c r="F15" i="8"/>
  <c r="F11" i="8"/>
  <c r="F17" i="8"/>
  <c r="F13" i="8"/>
  <c r="F12" i="8"/>
  <c r="F14" i="8"/>
  <c r="F16" i="8"/>
  <c r="F18" i="8"/>
  <c r="F38" i="7"/>
  <c r="F35" i="7"/>
  <c r="F31" i="7"/>
  <c r="F37" i="7"/>
  <c r="F33" i="7"/>
  <c r="F29" i="7"/>
  <c r="F32" i="7"/>
  <c r="F30" i="7"/>
  <c r="F34" i="7"/>
  <c r="F36" i="7"/>
  <c r="F17" i="7"/>
  <c r="F13" i="7"/>
  <c r="F19" i="7"/>
  <c r="F15" i="7"/>
  <c r="F11" i="7"/>
  <c r="F14" i="7"/>
  <c r="F18" i="7"/>
  <c r="F12" i="7"/>
  <c r="F16" i="7"/>
  <c r="F15" i="6"/>
  <c r="F11" i="6"/>
  <c r="F17" i="6"/>
  <c r="F13" i="6"/>
  <c r="F12" i="6"/>
  <c r="F14" i="6"/>
  <c r="F16" i="6"/>
  <c r="F41" i="16"/>
  <c r="F49" i="10"/>
  <c r="F21" i="17"/>
  <c r="F124" i="19"/>
  <c r="F63" i="19"/>
  <c r="F22" i="18"/>
  <c r="F42" i="18"/>
  <c r="F40" i="17"/>
  <c r="F80" i="16"/>
  <c r="F23" i="15"/>
  <c r="F84" i="14"/>
  <c r="F43" i="14"/>
  <c r="F86" i="13"/>
  <c r="F44" i="13"/>
  <c r="F80" i="12"/>
  <c r="F41" i="12"/>
  <c r="F44" i="11"/>
  <c r="F86" i="11"/>
  <c r="F96" i="10"/>
  <c r="F50" i="9"/>
  <c r="F26" i="9"/>
  <c r="F20" i="8"/>
  <c r="F38" i="8"/>
  <c r="F20" i="7"/>
  <c r="F18" i="6"/>
  <c r="F34" i="6"/>
  <c r="G24" i="15" l="1"/>
  <c r="H24" i="15"/>
  <c r="I24" i="15"/>
  <c r="J24" i="15"/>
  <c r="L24" i="15"/>
  <c r="C24" i="15"/>
  <c r="D24" i="15"/>
  <c r="I45" i="11"/>
  <c r="J45" i="11"/>
  <c r="G45" i="11"/>
  <c r="H45" i="11"/>
  <c r="L45" i="11"/>
  <c r="C45" i="11"/>
  <c r="D45" i="11"/>
  <c r="H21" i="7"/>
  <c r="D21" i="7"/>
  <c r="G21" i="7"/>
  <c r="L21" i="7"/>
  <c r="I21" i="7"/>
  <c r="J21" i="7"/>
  <c r="C21" i="7"/>
  <c r="I81" i="16"/>
  <c r="H81" i="16"/>
  <c r="G81" i="16"/>
  <c r="J81" i="16"/>
  <c r="L81" i="16"/>
  <c r="C81" i="16"/>
  <c r="D81" i="16"/>
  <c r="H97" i="10"/>
  <c r="J97" i="10"/>
  <c r="I97" i="10"/>
  <c r="G97" i="10"/>
  <c r="L97" i="10"/>
  <c r="C97" i="10"/>
  <c r="D97" i="10"/>
  <c r="J41" i="17"/>
  <c r="H41" i="17"/>
  <c r="I41" i="17"/>
  <c r="G41" i="17"/>
  <c r="L41" i="17"/>
  <c r="M41" i="17" s="1"/>
  <c r="D41" i="17"/>
  <c r="C41" i="17"/>
  <c r="I87" i="11"/>
  <c r="J87" i="11"/>
  <c r="H87" i="11"/>
  <c r="G87" i="11"/>
  <c r="L87" i="11"/>
  <c r="C87" i="11"/>
  <c r="D87" i="11"/>
  <c r="I39" i="7"/>
  <c r="J39" i="7"/>
  <c r="G39" i="7"/>
  <c r="H39" i="7"/>
  <c r="D39" i="7"/>
  <c r="L39" i="7"/>
  <c r="M39" i="7" s="1"/>
  <c r="C39" i="7"/>
  <c r="G22" i="17"/>
  <c r="I22" i="17"/>
  <c r="J22" i="17"/>
  <c r="H22" i="17"/>
  <c r="L22" i="17"/>
  <c r="D22" i="17"/>
  <c r="C22" i="17"/>
  <c r="G42" i="12"/>
  <c r="I42" i="12"/>
  <c r="H42" i="12"/>
  <c r="J42" i="12"/>
  <c r="L42" i="12"/>
  <c r="C42" i="12"/>
  <c r="D42" i="12"/>
  <c r="G21" i="8"/>
  <c r="H21" i="8"/>
  <c r="I21" i="8"/>
  <c r="J21" i="8"/>
  <c r="L21" i="8"/>
  <c r="C21" i="8"/>
  <c r="D21" i="8"/>
  <c r="H81" i="12"/>
  <c r="I81" i="12"/>
  <c r="J81" i="12"/>
  <c r="G81" i="12"/>
  <c r="L81" i="12"/>
  <c r="D81" i="12"/>
  <c r="C81" i="12"/>
  <c r="J64" i="19"/>
  <c r="G64" i="19"/>
  <c r="I64" i="19"/>
  <c r="H64" i="19"/>
  <c r="L64" i="19"/>
  <c r="C64" i="19"/>
  <c r="D64" i="19"/>
  <c r="I125" i="19"/>
  <c r="H125" i="19"/>
  <c r="G125" i="19"/>
  <c r="J125" i="19"/>
  <c r="L125" i="19"/>
  <c r="C125" i="19"/>
  <c r="D125" i="19"/>
  <c r="I42" i="16"/>
  <c r="H42" i="16"/>
  <c r="G42" i="16"/>
  <c r="J42" i="16"/>
  <c r="L42" i="16"/>
  <c r="D42" i="16"/>
  <c r="C42" i="16"/>
  <c r="J87" i="13"/>
  <c r="G87" i="13"/>
  <c r="H87" i="13"/>
  <c r="I87" i="13"/>
  <c r="L87" i="13"/>
  <c r="C87" i="13"/>
  <c r="D87" i="13"/>
  <c r="G51" i="9"/>
  <c r="H51" i="9"/>
  <c r="I51" i="9"/>
  <c r="J51" i="9"/>
  <c r="L51" i="9"/>
  <c r="D51" i="9"/>
  <c r="C51" i="9"/>
  <c r="H45" i="15"/>
  <c r="G45" i="15"/>
  <c r="I45" i="15"/>
  <c r="J45" i="15"/>
  <c r="L45" i="15"/>
  <c r="C45" i="15"/>
  <c r="D45" i="15"/>
  <c r="H44" i="14"/>
  <c r="I44" i="14"/>
  <c r="G44" i="14"/>
  <c r="J44" i="14"/>
  <c r="L44" i="14"/>
  <c r="C44" i="14"/>
  <c r="D44" i="14"/>
  <c r="G45" i="13"/>
  <c r="H45" i="13"/>
  <c r="I45" i="13"/>
  <c r="J45" i="13"/>
  <c r="L45" i="13"/>
  <c r="C45" i="13"/>
  <c r="D45" i="13"/>
  <c r="H27" i="9"/>
  <c r="G27" i="9"/>
  <c r="I27" i="9"/>
  <c r="J27" i="9"/>
  <c r="L27" i="9"/>
  <c r="C27" i="9"/>
  <c r="D27" i="9"/>
  <c r="I85" i="14"/>
  <c r="G85" i="14"/>
  <c r="H85" i="14"/>
  <c r="J85" i="14"/>
  <c r="L85" i="14"/>
  <c r="C85" i="14"/>
  <c r="D85" i="14"/>
  <c r="D50" i="10"/>
  <c r="I50" i="10"/>
  <c r="J50" i="10"/>
  <c r="G50" i="10"/>
  <c r="H50" i="10"/>
  <c r="L50" i="10"/>
  <c r="C50" i="10"/>
  <c r="H35" i="6"/>
  <c r="I35" i="6"/>
  <c r="G35" i="6"/>
  <c r="J35" i="6"/>
  <c r="L35" i="6"/>
  <c r="C35" i="6"/>
  <c r="D35" i="6"/>
  <c r="G39" i="8"/>
  <c r="I39" i="8"/>
  <c r="J39" i="8"/>
  <c r="H39" i="8"/>
  <c r="L39" i="8"/>
  <c r="C39" i="8"/>
  <c r="D39" i="8"/>
  <c r="L19" i="6"/>
  <c r="H19" i="6"/>
  <c r="C19" i="6"/>
  <c r="G19" i="6"/>
  <c r="D19" i="6"/>
  <c r="I19" i="6"/>
  <c r="E19" i="6"/>
  <c r="M19" i="6" l="1"/>
  <c r="M81" i="12"/>
  <c r="M21" i="7"/>
  <c r="M22" i="17"/>
  <c r="M27" i="9"/>
  <c r="M51" i="9"/>
  <c r="M24" i="15"/>
  <c r="M97" i="10"/>
  <c r="M44" i="14"/>
  <c r="M42" i="16"/>
  <c r="M21" i="8"/>
  <c r="M85" i="14"/>
  <c r="M45" i="15"/>
  <c r="M125" i="19"/>
  <c r="M42" i="12"/>
  <c r="M87" i="11"/>
  <c r="M87" i="13"/>
  <c r="M39" i="8"/>
  <c r="M35" i="6"/>
  <c r="M50" i="10"/>
  <c r="M45" i="13"/>
  <c r="M64" i="19"/>
  <c r="M81" i="16"/>
  <c r="M45" i="11"/>
  <c r="P28" i="4"/>
  <c r="R28" i="4"/>
  <c r="S28" i="4"/>
  <c r="D28" i="4"/>
  <c r="F28" i="4"/>
  <c r="Q28" i="4"/>
  <c r="M28" i="4"/>
  <c r="N28" i="4"/>
  <c r="G28" i="4"/>
  <c r="C28" i="4"/>
  <c r="O28" i="4"/>
  <c r="K28" i="4" l="1"/>
</calcChain>
</file>

<file path=xl/sharedStrings.xml><?xml version="1.0" encoding="utf-8"?>
<sst xmlns="http://schemas.openxmlformats.org/spreadsheetml/2006/main" count="1934" uniqueCount="698">
  <si>
    <t>PERIODO</t>
  </si>
  <si>
    <t xml:space="preserve">PBSI </t>
  </si>
  <si>
    <t>APSV</t>
  </si>
  <si>
    <t xml:space="preserve">APSI </t>
  </si>
  <si>
    <t xml:space="preserve">Femenino </t>
  </si>
  <si>
    <t xml:space="preserve">Masculino </t>
  </si>
  <si>
    <t xml:space="preserve">En IPS </t>
  </si>
  <si>
    <t xml:space="preserve">En AFP </t>
  </si>
  <si>
    <t xml:space="preserve">En Cías. de Seguro </t>
  </si>
  <si>
    <t xml:space="preserve">En Municipio </t>
  </si>
  <si>
    <t>Jul a Dic 2008</t>
  </si>
  <si>
    <t>Total 2009</t>
  </si>
  <si>
    <t>Total 2010</t>
  </si>
  <si>
    <t>Total 2011</t>
  </si>
  <si>
    <t>Total 2012</t>
  </si>
  <si>
    <t>Total 2013</t>
  </si>
  <si>
    <t>Total 2014</t>
  </si>
  <si>
    <t>Total 2015</t>
  </si>
  <si>
    <t>Total 2016</t>
  </si>
  <si>
    <t>Total 2017</t>
  </si>
  <si>
    <t>TOTAL</t>
  </si>
  <si>
    <t>MES</t>
  </si>
  <si>
    <t>Femenino</t>
  </si>
  <si>
    <t>REGIÓN</t>
  </si>
  <si>
    <t>ARICA Y PARINACOTA</t>
  </si>
  <si>
    <t>TARAPACA</t>
  </si>
  <si>
    <t>ANTOFAGASTA</t>
  </si>
  <si>
    <t>ATACAMA</t>
  </si>
  <si>
    <t>COQUIMBO</t>
  </si>
  <si>
    <t>VALPARAISO</t>
  </si>
  <si>
    <t>L. G. B. OHIGGINS</t>
  </si>
  <si>
    <t>MAULE</t>
  </si>
  <si>
    <t>BIO-BIO</t>
  </si>
  <si>
    <t>LA ARAUCANIA</t>
  </si>
  <si>
    <t>LOS RIOS</t>
  </si>
  <si>
    <t>LOS LAGOS</t>
  </si>
  <si>
    <t>AYSÉN</t>
  </si>
  <si>
    <t>MAGALLANES Y ANTARTICA</t>
  </si>
  <si>
    <t>METROPOLITANA</t>
  </si>
  <si>
    <t>Totales</t>
  </si>
  <si>
    <t>Participación sobre el total</t>
  </si>
  <si>
    <t>COMUNA</t>
  </si>
  <si>
    <t>PBSI</t>
  </si>
  <si>
    <t>APSI</t>
  </si>
  <si>
    <t>% respecto del total de solicitudes</t>
  </si>
  <si>
    <t>% respecto del total de concesiones</t>
  </si>
  <si>
    <t>ARICA</t>
  </si>
  <si>
    <t>CAMARONES</t>
  </si>
  <si>
    <t>PUTRE</t>
  </si>
  <si>
    <t>GENERAL LAGOS</t>
  </si>
  <si>
    <t>ALTO HOSPICIO</t>
  </si>
  <si>
    <t>POZO ALMONTE</t>
  </si>
  <si>
    <t>CAMIÑA</t>
  </si>
  <si>
    <t>COLCHANE</t>
  </si>
  <si>
    <t>HUARA</t>
  </si>
  <si>
    <t>PICA</t>
  </si>
  <si>
    <t>Copiar extraccion TODOS desde casilla A140, luego formatear numeros con punto sindecimales</t>
  </si>
  <si>
    <t xml:space="preserve">TOTAL </t>
  </si>
  <si>
    <t>Subsecretaría de Previsión Social</t>
  </si>
  <si>
    <t>Dirección de Estudios Previsionales</t>
  </si>
  <si>
    <t>XV Arica y Parinacota</t>
  </si>
  <si>
    <t>I Tarapaca</t>
  </si>
  <si>
    <t>III Atacama</t>
  </si>
  <si>
    <t>IV Coquimbo</t>
  </si>
  <si>
    <t>V Valparaiso</t>
  </si>
  <si>
    <t>VI Libertador General Bernardo O'Higgins</t>
  </si>
  <si>
    <t>VII Maule</t>
  </si>
  <si>
    <t>VIII Bio Bio</t>
  </si>
  <si>
    <t>II Antofagasta</t>
  </si>
  <si>
    <t>IX Araucania</t>
  </si>
  <si>
    <t>XIV Los Rios</t>
  </si>
  <si>
    <t>X Los Lagos</t>
  </si>
  <si>
    <t>XI Aysen</t>
  </si>
  <si>
    <t>XII Magallanes</t>
  </si>
  <si>
    <t>XIII Metropolitana</t>
  </si>
  <si>
    <t>Introducción</t>
  </si>
  <si>
    <t>Nacional</t>
  </si>
  <si>
    <t>Regional</t>
  </si>
  <si>
    <t>Fuente: Elaboración propia sobre la base de información del IPS.</t>
  </si>
  <si>
    <t>Nota: La información estadística reportada del número de solicitudes concesionadas, en trámite, rechazadas y anuladas varía mes a mes por actualización de cifras.</t>
  </si>
  <si>
    <t>IQUIQUE</t>
  </si>
  <si>
    <t>MEJILLONES</t>
  </si>
  <si>
    <t>SIERRA GORDA</t>
  </si>
  <si>
    <t>TALTAL</t>
  </si>
  <si>
    <t>CALAMA</t>
  </si>
  <si>
    <t>OLLAGUE</t>
  </si>
  <si>
    <t>SAN PEDRO DE ATACAMA</t>
  </si>
  <si>
    <t>TOCOPILLA</t>
  </si>
  <si>
    <t>MARIA ELENA</t>
  </si>
  <si>
    <t>COPIAPO</t>
  </si>
  <si>
    <t>CALDERA</t>
  </si>
  <si>
    <t>TIERRA AMARILLA</t>
  </si>
  <si>
    <t>CHAÑARAL</t>
  </si>
  <si>
    <t>DIEGO DE ALMAGRO</t>
  </si>
  <si>
    <t>VALLENAR</t>
  </si>
  <si>
    <t>ALTO DEL CARMEN</t>
  </si>
  <si>
    <t>FREIRINA</t>
  </si>
  <si>
    <t>HUASCO</t>
  </si>
  <si>
    <t>LA SERENA</t>
  </si>
  <si>
    <t>ANDACOLLO</t>
  </si>
  <si>
    <t>LA HIGUERA</t>
  </si>
  <si>
    <t>PAIHUANO</t>
  </si>
  <si>
    <t>VICUÑA</t>
  </si>
  <si>
    <t>ILLAPEL</t>
  </si>
  <si>
    <t>CANELA</t>
  </si>
  <si>
    <t>LOS VILOS</t>
  </si>
  <si>
    <t>SALAMANCA</t>
  </si>
  <si>
    <t>OVALLE</t>
  </si>
  <si>
    <t>COMBARBALA</t>
  </si>
  <si>
    <t>MONTE PATRIA</t>
  </si>
  <si>
    <t>PUNITAQUI</t>
  </si>
  <si>
    <t>RIO HURTADO</t>
  </si>
  <si>
    <t>CONCON</t>
  </si>
  <si>
    <t>PUCHUNCAVI</t>
  </si>
  <si>
    <t>VIÑA DEL MAR</t>
  </si>
  <si>
    <t>ISLA DE PASCUA</t>
  </si>
  <si>
    <t>LOS ANDES</t>
  </si>
  <si>
    <t>RINCONADA</t>
  </si>
  <si>
    <t>SAN ESTEBAN</t>
  </si>
  <si>
    <t>PAPUDO</t>
  </si>
  <si>
    <t>LA CALERA</t>
  </si>
  <si>
    <t>HIJUELAS</t>
  </si>
  <si>
    <t>LA CRUZ</t>
  </si>
  <si>
    <t>SAN ANTONIO</t>
  </si>
  <si>
    <t>CARTAGENA</t>
  </si>
  <si>
    <t>EL QUISCO</t>
  </si>
  <si>
    <t>SAN FELIPE</t>
  </si>
  <si>
    <t>LLAY LLAY</t>
  </si>
  <si>
    <t>PUTAENDO</t>
  </si>
  <si>
    <t>JUAN FERNANDEZ</t>
  </si>
  <si>
    <t>CASABLANCA</t>
  </si>
  <si>
    <t>QUINTERO</t>
  </si>
  <si>
    <t>QUILLOTA</t>
  </si>
  <si>
    <t>LA LIGUA</t>
  </si>
  <si>
    <t>CABILDO</t>
  </si>
  <si>
    <t>NOGALES</t>
  </si>
  <si>
    <t>ZAPALLAR</t>
  </si>
  <si>
    <t>PETORCA</t>
  </si>
  <si>
    <t>ALGARROBO</t>
  </si>
  <si>
    <t>EL TABO</t>
  </si>
  <si>
    <t>SANTO DOMINGO</t>
  </si>
  <si>
    <t>CALLE LARGA</t>
  </si>
  <si>
    <t>CATEMU</t>
  </si>
  <si>
    <t>PANQUEHUE</t>
  </si>
  <si>
    <t>SANTA MARIA</t>
  </si>
  <si>
    <t>QUILPUE</t>
  </si>
  <si>
    <t>LIMACHE</t>
  </si>
  <si>
    <t>OLMUE</t>
  </si>
  <si>
    <t>VILLA ALEMANA</t>
  </si>
  <si>
    <t>RANCAGUA</t>
  </si>
  <si>
    <t>COLTAUCO</t>
  </si>
  <si>
    <t>GRANEROS</t>
  </si>
  <si>
    <t>PICHIDEGUA</t>
  </si>
  <si>
    <t>REQUINOA</t>
  </si>
  <si>
    <t>LITUECHE</t>
  </si>
  <si>
    <t>PAREDONES</t>
  </si>
  <si>
    <t>CHEPICA</t>
  </si>
  <si>
    <t>PALMILLA</t>
  </si>
  <si>
    <t>PLACILLA</t>
  </si>
  <si>
    <t>SANTA CRUZ</t>
  </si>
  <si>
    <t>CODEGUA</t>
  </si>
  <si>
    <t>LAS CABRAS</t>
  </si>
  <si>
    <t>MOSTAZAL</t>
  </si>
  <si>
    <t>PEUMO</t>
  </si>
  <si>
    <t>QUINTA TILCOCO</t>
  </si>
  <si>
    <t>RENGO</t>
  </si>
  <si>
    <t>MARCHIGUE</t>
  </si>
  <si>
    <t>NAVIDAD</t>
  </si>
  <si>
    <t>CHIMBARONGO</t>
  </si>
  <si>
    <t>COINCO</t>
  </si>
  <si>
    <t>DOÑIHUE</t>
  </si>
  <si>
    <t>MACHALI</t>
  </si>
  <si>
    <t>OLIVAR</t>
  </si>
  <si>
    <t>MALLOA</t>
  </si>
  <si>
    <t>SAN FERNANDO</t>
  </si>
  <si>
    <t>NANCAGUA</t>
  </si>
  <si>
    <t>PERALILLO</t>
  </si>
  <si>
    <t>LOLOL</t>
  </si>
  <si>
    <t>PUMANQUE</t>
  </si>
  <si>
    <t>SAN VICENTE</t>
  </si>
  <si>
    <t>PICHILEMU</t>
  </si>
  <si>
    <t>LA ESTRELLA</t>
  </si>
  <si>
    <t>CUREPTO</t>
  </si>
  <si>
    <t>PELARCO</t>
  </si>
  <si>
    <t>SAN RAFAEL</t>
  </si>
  <si>
    <t>PELLUHUE</t>
  </si>
  <si>
    <t>LICANTEN</t>
  </si>
  <si>
    <t>ROMERAL</t>
  </si>
  <si>
    <t>LONGAVI</t>
  </si>
  <si>
    <t>YERBAS BUENAS</t>
  </si>
  <si>
    <t>EMPEDRADO</t>
  </si>
  <si>
    <t>SAN CLEMENTE</t>
  </si>
  <si>
    <t>CAUQUENES</t>
  </si>
  <si>
    <t>MOLINA</t>
  </si>
  <si>
    <t>RAUCO</t>
  </si>
  <si>
    <t>TENO</t>
  </si>
  <si>
    <t>VICHUQUEN</t>
  </si>
  <si>
    <t>LINARES</t>
  </si>
  <si>
    <t>RETIRO</t>
  </si>
  <si>
    <t>VILLA ALEGRE</t>
  </si>
  <si>
    <t>TALCA</t>
  </si>
  <si>
    <t>PENCAHUE</t>
  </si>
  <si>
    <t>RIO CLARO</t>
  </si>
  <si>
    <t>CURICO</t>
  </si>
  <si>
    <t>SAGRADA FAMILIA</t>
  </si>
  <si>
    <t>HUALAÑE</t>
  </si>
  <si>
    <t>CHANCO</t>
  </si>
  <si>
    <t>CONSTITUCION</t>
  </si>
  <si>
    <t>SAN JAVIER</t>
  </si>
  <si>
    <t>COLBUN</t>
  </si>
  <si>
    <t>PARRAL</t>
  </si>
  <si>
    <t>CHIGUAYANTE</t>
  </si>
  <si>
    <t>LOTA</t>
  </si>
  <si>
    <t>HUALPEN</t>
  </si>
  <si>
    <t>LOS ANGELES</t>
  </si>
  <si>
    <t>LAJA</t>
  </si>
  <si>
    <t>SANTA BARBARA</t>
  </si>
  <si>
    <t>ALTO BIOBIO</t>
  </si>
  <si>
    <t>CHILLAN VIEJO</t>
  </si>
  <si>
    <t>PEMUCO</t>
  </si>
  <si>
    <t>RANQUIL</t>
  </si>
  <si>
    <t>SAN NICOLAS</t>
  </si>
  <si>
    <t>CORONEL</t>
  </si>
  <si>
    <t>HUALQUI</t>
  </si>
  <si>
    <t>PENCO</t>
  </si>
  <si>
    <t>SANTA JUANA</t>
  </si>
  <si>
    <t>TALCAHUANO</t>
  </si>
  <si>
    <t>LEBU</t>
  </si>
  <si>
    <t>CONTULMO</t>
  </si>
  <si>
    <t>LOS ALAMOS</t>
  </si>
  <si>
    <t>TIRUA</t>
  </si>
  <si>
    <t>ANTUCO</t>
  </si>
  <si>
    <t>CABRERO</t>
  </si>
  <si>
    <t>MULCHEN</t>
  </si>
  <si>
    <t>NEGRETE</t>
  </si>
  <si>
    <t>QUILACO</t>
  </si>
  <si>
    <t>SAN ROSENDO</t>
  </si>
  <si>
    <t>TUCAPEL</t>
  </si>
  <si>
    <t>YUMBEL</t>
  </si>
  <si>
    <t>CHILLAN</t>
  </si>
  <si>
    <t>BULNES</t>
  </si>
  <si>
    <t>COELEMU</t>
  </si>
  <si>
    <t>COIHUECO</t>
  </si>
  <si>
    <t>EL CARMEN</t>
  </si>
  <si>
    <t>NINHUE</t>
  </si>
  <si>
    <t>ÑIQUEN</t>
  </si>
  <si>
    <t>PINTO</t>
  </si>
  <si>
    <t>QUILLON</t>
  </si>
  <si>
    <t>QUIRIHUE</t>
  </si>
  <si>
    <t>SAN CARLOS</t>
  </si>
  <si>
    <t>SAN IGNACIO</t>
  </si>
  <si>
    <t>TREHUACO</t>
  </si>
  <si>
    <t>YUNGAY</t>
  </si>
  <si>
    <t>CONCEPCION</t>
  </si>
  <si>
    <t>TOME</t>
  </si>
  <si>
    <t>SAN PEDRO DE LA PAZ</t>
  </si>
  <si>
    <t>FLORIDA</t>
  </si>
  <si>
    <t>ARAUCO</t>
  </si>
  <si>
    <t>CAÑETE</t>
  </si>
  <si>
    <t>CURANILAHUE</t>
  </si>
  <si>
    <t>COBQUECURA</t>
  </si>
  <si>
    <t>PORTEZUELO</t>
  </si>
  <si>
    <t>SAN FABIAN</t>
  </si>
  <si>
    <t>NACIMIENTO</t>
  </si>
  <si>
    <t>QUILLECO</t>
  </si>
  <si>
    <t>CARAHUE</t>
  </si>
  <si>
    <t>CURARREHUE</t>
  </si>
  <si>
    <t>PITRUFQUEN</t>
  </si>
  <si>
    <t>TEODORO SCHMIDT</t>
  </si>
  <si>
    <t>VILLARRICA</t>
  </si>
  <si>
    <t>COLLIPULLI</t>
  </si>
  <si>
    <t>TRAIGUEN</t>
  </si>
  <si>
    <t>TEMUCO</t>
  </si>
  <si>
    <t>CUNCO</t>
  </si>
  <si>
    <t>FREIRE</t>
  </si>
  <si>
    <t>GALVARINO</t>
  </si>
  <si>
    <t>LAUTARO</t>
  </si>
  <si>
    <t>MELIPEUCO</t>
  </si>
  <si>
    <t>PADRE LAS CASAS</t>
  </si>
  <si>
    <t>PERQUENCO</t>
  </si>
  <si>
    <t>PUCON</t>
  </si>
  <si>
    <t>SAAVEDRA</t>
  </si>
  <si>
    <t>TOLTEN</t>
  </si>
  <si>
    <t>VILCUN</t>
  </si>
  <si>
    <t>CHOLCHOL</t>
  </si>
  <si>
    <t>ANGOL</t>
  </si>
  <si>
    <t>CURACAUTIN</t>
  </si>
  <si>
    <t>ERCILLA</t>
  </si>
  <si>
    <t>LOS SAUCES</t>
  </si>
  <si>
    <t>LUMACO</t>
  </si>
  <si>
    <t>RENAICO</t>
  </si>
  <si>
    <t>VICTORIA</t>
  </si>
  <si>
    <t>NUEVA IMPERIAL</t>
  </si>
  <si>
    <t>GORBEA</t>
  </si>
  <si>
    <t>PUREN</t>
  </si>
  <si>
    <t>LONQUIMAY</t>
  </si>
  <si>
    <t>LONCOCHE</t>
  </si>
  <si>
    <t>VALDIVIA</t>
  </si>
  <si>
    <t>CORRAL</t>
  </si>
  <si>
    <t>LANCO</t>
  </si>
  <si>
    <t>MAFIL</t>
  </si>
  <si>
    <t>SAN JOSE DE LA MARIQUINA</t>
  </si>
  <si>
    <t>PAILLACO</t>
  </si>
  <si>
    <t>PANGUIPULLI</t>
  </si>
  <si>
    <t>LA UNION</t>
  </si>
  <si>
    <t>FUTRONO</t>
  </si>
  <si>
    <t>LAGO RANCO</t>
  </si>
  <si>
    <t>RIO BUENO</t>
  </si>
  <si>
    <t>CALBUCO</t>
  </si>
  <si>
    <t>PUERTO VARAS</t>
  </si>
  <si>
    <t>QUELLON</t>
  </si>
  <si>
    <t>QUINCHAO</t>
  </si>
  <si>
    <t>PURRANQUE</t>
  </si>
  <si>
    <t>RIO NEGRO</t>
  </si>
  <si>
    <t>FUTALEUFU</t>
  </si>
  <si>
    <t>PUERTO MONTT</t>
  </si>
  <si>
    <t>COCHAMO</t>
  </si>
  <si>
    <t>MAULLIN</t>
  </si>
  <si>
    <t>ANCUD</t>
  </si>
  <si>
    <t>PUQUELDON</t>
  </si>
  <si>
    <t>QUEILEN</t>
  </si>
  <si>
    <t>PUYEHUE</t>
  </si>
  <si>
    <t>SAN JUAN DE LA COSTA</t>
  </si>
  <si>
    <t>CHAITEN</t>
  </si>
  <si>
    <t>HUALAIHUE</t>
  </si>
  <si>
    <t>OSORNO</t>
  </si>
  <si>
    <t>SAN PABLO</t>
  </si>
  <si>
    <t>PUERTO OCTAY</t>
  </si>
  <si>
    <t>FRUTILLAR</t>
  </si>
  <si>
    <t>FRESIA</t>
  </si>
  <si>
    <t>LLANQUIHUE</t>
  </si>
  <si>
    <t>LOS MUERMOS</t>
  </si>
  <si>
    <t>CASTRO</t>
  </si>
  <si>
    <t>CHONCHI</t>
  </si>
  <si>
    <t>DALCAHUE</t>
  </si>
  <si>
    <t>CURACO DE VELEZ</t>
  </si>
  <si>
    <t>QUEMCHI</t>
  </si>
  <si>
    <t>PALENA</t>
  </si>
  <si>
    <t>COYHAIQUE</t>
  </si>
  <si>
    <t>LAGO VERDE</t>
  </si>
  <si>
    <t>PUERTO AYSEN</t>
  </si>
  <si>
    <t>CISNES</t>
  </si>
  <si>
    <t>GUAITECAS</t>
  </si>
  <si>
    <t>COCHRANE</t>
  </si>
  <si>
    <t>OHIGGINS</t>
  </si>
  <si>
    <t>TORTEL</t>
  </si>
  <si>
    <t>CHILE CHICO</t>
  </si>
  <si>
    <t>RIO IBAÑEZ</t>
  </si>
  <si>
    <t>PUNTA ARENAS</t>
  </si>
  <si>
    <t>LAGUNA BLANCA</t>
  </si>
  <si>
    <t>RIO VERDE</t>
  </si>
  <si>
    <t>SAN GREGORIO</t>
  </si>
  <si>
    <t>CABO DE HORNOS</t>
  </si>
  <si>
    <t>LA ANTARTICA</t>
  </si>
  <si>
    <t>PORVENIR</t>
  </si>
  <si>
    <t>PRIMAVERA</t>
  </si>
  <si>
    <t>TIMAUKEL</t>
  </si>
  <si>
    <t>NATALES</t>
  </si>
  <si>
    <t>TORRES DEL PAINE</t>
  </si>
  <si>
    <t>SANTIAGO</t>
  </si>
  <si>
    <t>CERRILLOS</t>
  </si>
  <si>
    <t>EL BOSQUE</t>
  </si>
  <si>
    <t>HUECHURABA</t>
  </si>
  <si>
    <t>INDEPENDENCIA</t>
  </si>
  <si>
    <t>LA CISTERNA</t>
  </si>
  <si>
    <t>LA PINTANA</t>
  </si>
  <si>
    <t>LAS CONDES</t>
  </si>
  <si>
    <t>LO BARNECHEA</t>
  </si>
  <si>
    <t>LO PRADO</t>
  </si>
  <si>
    <t>MACUL</t>
  </si>
  <si>
    <t>PEDRO AGUIRRE CERDA</t>
  </si>
  <si>
    <t>PEÑALOLEN</t>
  </si>
  <si>
    <t>QUINTA NORMAL</t>
  </si>
  <si>
    <t>RENCA</t>
  </si>
  <si>
    <t>SAN JOAQUIN</t>
  </si>
  <si>
    <t>PUENTE ALTO</t>
  </si>
  <si>
    <t>SAN JOSE DE MAIPO</t>
  </si>
  <si>
    <t>LAMPA</t>
  </si>
  <si>
    <t>TIL TIL</t>
  </si>
  <si>
    <t>BUIN</t>
  </si>
  <si>
    <t>CALERA DE TANGO</t>
  </si>
  <si>
    <t>ALHUE</t>
  </si>
  <si>
    <t>CURACAVI</t>
  </si>
  <si>
    <t>SAN PEDRO</t>
  </si>
  <si>
    <t>EL MONTE</t>
  </si>
  <si>
    <t>PADRE HURTADO</t>
  </si>
  <si>
    <t>PEÑAFLOR</t>
  </si>
  <si>
    <t>QUILICURA</t>
  </si>
  <si>
    <t>CERRO NAVIA</t>
  </si>
  <si>
    <t>CONCHALI</t>
  </si>
  <si>
    <t>RECOLETA</t>
  </si>
  <si>
    <t>COLINA</t>
  </si>
  <si>
    <t>SAN MIGUEL</t>
  </si>
  <si>
    <t>SAN RAMON</t>
  </si>
  <si>
    <t>LA GRANJA</t>
  </si>
  <si>
    <t>LO ESPEJO</t>
  </si>
  <si>
    <t>PIRQUE</t>
  </si>
  <si>
    <t>PAINE</t>
  </si>
  <si>
    <t>SAN BERNARDO</t>
  </si>
  <si>
    <t>ESTACION CENTRAL</t>
  </si>
  <si>
    <t>PUDAHUEL</t>
  </si>
  <si>
    <t>MAIPU</t>
  </si>
  <si>
    <t>TALAGANTE</t>
  </si>
  <si>
    <t>ISLA DE MAIPO</t>
  </si>
  <si>
    <t>MELIPILLA</t>
  </si>
  <si>
    <t>MARIA PINTO</t>
  </si>
  <si>
    <t>PROVIDENCIA</t>
  </si>
  <si>
    <t>VITACURA</t>
  </si>
  <si>
    <t>ÑUÑOA</t>
  </si>
  <si>
    <t>LA REINA</t>
  </si>
  <si>
    <t>LA FLORIDA</t>
  </si>
  <si>
    <t>Mes</t>
  </si>
  <si>
    <t>Número de concesiones de Bono por Hijo, según tipo de pago y mes</t>
  </si>
  <si>
    <t>NÚMERO DE CONCESIONES DE BONO POR HIJO REALIZADAS CADA MES</t>
  </si>
  <si>
    <t xml:space="preserve">Pago Único  </t>
  </si>
  <si>
    <t>Nº Beneficiarias</t>
  </si>
  <si>
    <t>Nº de Hijos</t>
  </si>
  <si>
    <t>Nº de Hijos (causantes)</t>
  </si>
  <si>
    <t>Ago-dic 2009</t>
  </si>
  <si>
    <t>Fuente: IPS</t>
  </si>
  <si>
    <t>Nota: La información corresponde al total de concesiones (beneficiarias) del Bono por Hijo de cada mes.</t>
  </si>
  <si>
    <t>El pago único corresponde a las pensionadas de las AFP y Compañías de Seguros.</t>
  </si>
  <si>
    <t>Número de solicitudes y concesiones de Bono por Hijo, según mes</t>
  </si>
  <si>
    <t>Solicitudes y Concesiones de Bono por Hijo, por mes</t>
  </si>
  <si>
    <t>Número de Solicitudes Concedidas</t>
  </si>
  <si>
    <t>Número de Solicitudes Rechazadas</t>
  </si>
  <si>
    <t>Total Solicitudes</t>
  </si>
  <si>
    <t>S/I</t>
  </si>
  <si>
    <t>Total  2015</t>
  </si>
  <si>
    <t>Nota: Esta estadística reporta el dato del último mes disponible, no se actualizan los meses anteriores.</t>
  </si>
  <si>
    <t>S/I: Sin información</t>
  </si>
  <si>
    <t>Número de concesiones de Bono por Hijo según región y origen de la solicitud</t>
  </si>
  <si>
    <t>Región</t>
  </si>
  <si>
    <t>Total</t>
  </si>
  <si>
    <t>Arica y Parinacota</t>
  </si>
  <si>
    <t>Nº Beneficiarios</t>
  </si>
  <si>
    <t>XV</t>
  </si>
  <si>
    <t>Nº de Causantes (hijos)</t>
  </si>
  <si>
    <t>Tarapacá</t>
  </si>
  <si>
    <t>I</t>
  </si>
  <si>
    <t>Antofagasta</t>
  </si>
  <si>
    <t>II</t>
  </si>
  <si>
    <t>Atacama</t>
  </si>
  <si>
    <t>III</t>
  </si>
  <si>
    <t>Coquimbo</t>
  </si>
  <si>
    <t>IV</t>
  </si>
  <si>
    <t>Valparaíso</t>
  </si>
  <si>
    <t>V</t>
  </si>
  <si>
    <t>B.O'Higgins</t>
  </si>
  <si>
    <t>VI</t>
  </si>
  <si>
    <t>Maule</t>
  </si>
  <si>
    <t>VII</t>
  </si>
  <si>
    <t>Bío Bío</t>
  </si>
  <si>
    <t>VIII</t>
  </si>
  <si>
    <t>Araucanía</t>
  </si>
  <si>
    <t>IX</t>
  </si>
  <si>
    <t>Los Ríos</t>
  </si>
  <si>
    <t>XIV</t>
  </si>
  <si>
    <t>Los Lagos</t>
  </si>
  <si>
    <t>X</t>
  </si>
  <si>
    <t>Aysén</t>
  </si>
  <si>
    <t>XI</t>
  </si>
  <si>
    <t>Magallanes</t>
  </si>
  <si>
    <t>XII</t>
  </si>
  <si>
    <t>Metropolitana</t>
  </si>
  <si>
    <t>XIII</t>
  </si>
  <si>
    <t>Índice</t>
  </si>
  <si>
    <t>Número de solicitudes del Subsidio a la Contratación por parte del empleador, según sexo y mes</t>
  </si>
  <si>
    <t xml:space="preserve">MES </t>
  </si>
  <si>
    <t>TOTAL SOLICITUDES CADA MES 
(Subsidio a la Contratación)</t>
  </si>
  <si>
    <t>Total Trabajadores</t>
  </si>
  <si>
    <t xml:space="preserve">Total </t>
  </si>
  <si>
    <t>Mujeres</t>
  </si>
  <si>
    <t>Hombres</t>
  </si>
  <si>
    <t>Oct. a Dic. 2008</t>
  </si>
  <si>
    <t xml:space="preserve">Nota: El Subsidio a la Contratación comenzó a pagarse en marzo de 2009
Esta estadística reporta el dato del último mes disponible, no se actualizan los meses anteriores. </t>
  </si>
  <si>
    <t>Número de solicitudes de subsidio a la contratación, según estado de la solicitud y mes</t>
  </si>
  <si>
    <t>ESTADO DE LAS SOLICITUDES
 (Subsidio a la  Contratación)</t>
  </si>
  <si>
    <t>CONCEDIDAS</t>
  </si>
  <si>
    <t>RECHAZADAS</t>
  </si>
  <si>
    <t>EN TRÁMITE</t>
  </si>
  <si>
    <t>Número de solicitudes del Subsidio a la cotización según sexo y mes</t>
  </si>
  <si>
    <t>TOTAL SOLICITUDES CADA MES 
(Subsidio a la Cotización)</t>
  </si>
  <si>
    <t>Jul. a Dic. 2011</t>
  </si>
  <si>
    <t>Nota: A partir del 1 de julio de 2011 comenzó a pagarse el Subsidio a la Cotización.
Esta estadística reporta el dato del último mes disponible, no se actualizan los meses anteriores.</t>
  </si>
  <si>
    <t>Número mensual de solicitudes del subsidio a la cotización, según estado de las solicitudes, sexo y mes</t>
  </si>
  <si>
    <t>ESTADO DE LAS SOLICITUDES 
(Subsidio a la Cotización)</t>
  </si>
  <si>
    <t>Número de subsidios pagados según tipo de subsidio</t>
  </si>
  <si>
    <t>Subsidio a la Contratación</t>
  </si>
  <si>
    <t>Subsidio a la Cotización</t>
  </si>
  <si>
    <t xml:space="preserve">Número de subsidios pagados </t>
  </si>
  <si>
    <t>Número de empleadores que recibieron pago en el mes</t>
  </si>
  <si>
    <t xml:space="preserve">Número de trabajadores que recibieron pago en el mes  </t>
  </si>
  <si>
    <t xml:space="preserve">Hombre </t>
  </si>
  <si>
    <t>Mujer</t>
  </si>
  <si>
    <t>-</t>
  </si>
  <si>
    <t>jun-16*</t>
  </si>
  <si>
    <t>jun-17**</t>
  </si>
  <si>
    <t xml:space="preserve">A partir del 1 de julio de 2011 comenzó a solicitarse el subsidio a la Cotización. </t>
  </si>
  <si>
    <t xml:space="preserve">El número de subsidios pagados podría ser mayor que el número de trabajadores que originan el beneficio por cuanto algunos de ellos podrían tener más de un empleo con subsidio. Además incluye pagos retroactivos. </t>
  </si>
  <si>
    <t>S/I: Sin Información.</t>
  </si>
  <si>
    <t>A contar de esa fecha, es el propio Fondo de Salud, quien efectúa a través de Previred la recaudación de las cotizaciones de salud. Por este motivo, IPS no cuenta con la información del pago de salud efectuado a través de Previred, sólo dispone de la información de la recaudación manual y de otros portales de recaudación. En estos momentos se encuentra en tramitación un convenio de transferencia de datos con Fonasa que permita a IPS volver a operar con normalidad distintos procesos  como  el STJ.</t>
  </si>
  <si>
    <t xml:space="preserve">** En el mes de Junio 2017, el IPS cursó pagos retroactivos de Subsidios a la Contratación y Cotización.  Esto fue parte del  proceso de regularización de pagos que no se habían cursado por falta de información para otorgan el beneficio. </t>
  </si>
  <si>
    <t>Estadísticas del Subsidio Previsional a los Trabajadores Jóvenes (STJ)</t>
  </si>
  <si>
    <t>Estadísticas del Bono por Hijo (BxH)</t>
  </si>
  <si>
    <t>Estadísticas Bono por Hijo (BxH)</t>
  </si>
  <si>
    <t>Estadísticas Subsidio Previsional a los Trabajadores Jóvenes (STJ)</t>
  </si>
  <si>
    <t>Se entrega información de los subsidios a la contratación y a la cotización.</t>
  </si>
  <si>
    <t>Volver a Bono por Hijo</t>
  </si>
  <si>
    <t>Volver Sistema de Pensiones Solidarias</t>
  </si>
  <si>
    <t>Volver a Subsidio Previsional a los Trabajadores Jóvenes</t>
  </si>
  <si>
    <t>Volver a Índice</t>
  </si>
  <si>
    <t>Subsecretaría de Previsión Social
Dirección de Estudios Previsionales</t>
  </si>
  <si>
    <t>Cuota Única</t>
  </si>
  <si>
    <t>Ñuble</t>
  </si>
  <si>
    <t>XVI</t>
  </si>
  <si>
    <t>ÑUBLE</t>
  </si>
  <si>
    <t>A dic-18</t>
  </si>
  <si>
    <t>Diciembre de 2018</t>
  </si>
  <si>
    <t>Total 2018</t>
  </si>
  <si>
    <t>IPS</t>
  </si>
  <si>
    <t>AFP y Cías. de Seguros</t>
  </si>
  <si>
    <t>Total 2019</t>
  </si>
  <si>
    <t>Nbis</t>
  </si>
  <si>
    <t>C. Web</t>
  </si>
  <si>
    <t>% de Concesiones</t>
  </si>
  <si>
    <t>* Con fecha marzo 2016 Fonasa puso término al convenio de recaudación que mantenía con IPS.</t>
  </si>
  <si>
    <t>mar-20***</t>
  </si>
  <si>
    <t>XVI Ñuble</t>
  </si>
  <si>
    <t>abr-20***</t>
  </si>
  <si>
    <t>***El número de trabajadores que recibieron el pago el mes de marzo 2020 se explica por el atraso en el envio de la información del pago de cotizaciones electrónicas de FONASA de las remuneraciones del mes de enero, lo que repercutió en una disminución en el número y monto de subsidios pagados en marzo 2020. Dicha situacion se regularizó en los pagos del mes de abril 2020.</t>
  </si>
  <si>
    <t>**** El menor número de subsidios pagados se explica por la disminución en el número de trámites presenciales debido a la cuarentena que existió en varias ciudades del país.</t>
  </si>
  <si>
    <t>jul-20****</t>
  </si>
  <si>
    <t>nov-20*</t>
  </si>
  <si>
    <t>dic-20*</t>
  </si>
  <si>
    <t>Nota: Esta estadística reporta el dato del último mes disponible, no se actualizan los meses anteriores.
*Debido a la Pandemia por Covid-19 el número de solicitudes ha disminuido el número de solicitudes, así como también por el deterioro en la situación económica ha aumentado el número de empleadores con deuda previsional, por lo que hay más pagos suspendidos y rechazados.</t>
  </si>
  <si>
    <t>A abr21</t>
  </si>
  <si>
    <t>Notas: La información estadística reportada del número de solicitudes concesionadas, en trámite, rechazadas y anuladas varía mes a mes por actualización de cifras.</t>
  </si>
  <si>
    <t>SEXO</t>
  </si>
  <si>
    <t>ORIGEN DE TRAMITACIÓN DEL BENEFICIO</t>
  </si>
  <si>
    <t xml:space="preserve">PBSV/PGU No Contributivo </t>
  </si>
  <si>
    <t>TOTAL PGU No Contributiva / PBS</t>
  </si>
  <si>
    <t>PGU Contributivo</t>
  </si>
  <si>
    <t>TOTAL PGU Contributiva / APS</t>
  </si>
  <si>
    <t>TIPO BENEFICIO</t>
  </si>
  <si>
    <t xml:space="preserve">PBSV/PGU No Contributiva </t>
  </si>
  <si>
    <t>PGU Contributiva</t>
  </si>
  <si>
    <t>TOTAL SOLICITUDES
(no incluye ex Pasis)</t>
  </si>
  <si>
    <t>TOTAL CONCEDIDAS
(no incluye ex  Pasis)</t>
  </si>
  <si>
    <t>Total PGU Contributiva+APS</t>
  </si>
  <si>
    <t>%PGU Contributiva+APS</t>
  </si>
  <si>
    <t>PGU Contributivo*</t>
  </si>
  <si>
    <t>El periodo está determinado por la fecha de solicitud del beneficio.</t>
  </si>
  <si>
    <t>TOTAL PGU No Contributiva+PBS</t>
  </si>
  <si>
    <t>% PGU No Contributiva+PBS</t>
  </si>
  <si>
    <t>La información corresponde a la región en que vive el beneficiario.</t>
  </si>
  <si>
    <t>Informe Estadístico Mensual de Pensión Garantizada Universal y Pilar Solidario</t>
  </si>
  <si>
    <t>Estadísticas de Pensión Garantizada Universal (PGU) y Sistema de Pensiones Solidarias (SPS)</t>
  </si>
  <si>
    <t>Pensión Garantizada Universal (PGU) y Sistema de Pensiones Solidarias (SPS)</t>
  </si>
  <si>
    <t>Número de solicitudes mensuales recibidas en PGU y SPS, según tipo de beneficio, sexo y origen de tramitación del beneficio</t>
  </si>
  <si>
    <t>Número de beneficios concedidos mensuales en PGU y SPS, según tipo de beneficio, sexo y origen de tramitación del beneficio</t>
  </si>
  <si>
    <t>Número de solicitudes de PGU y SPS según región, tipo de beneficio, sexo y origen de tramitación del beneficio</t>
  </si>
  <si>
    <t>Número de concesiones de PGU y SPS según región, tipo de beneficio, sexo y origen de tramitación del beneficio</t>
  </si>
  <si>
    <t>Número de Solicitudes de Beneficios de PGU y SPS según tipo de beneficio - I Región de Tarapacá</t>
  </si>
  <si>
    <t>Número de Concesiones de Beneficios de PGU y SPS según tipo de beneficio - I Región de Tarapacá</t>
  </si>
  <si>
    <t>Número de Solicitudes de Beneficios de PGU y SPS según tipo de beneficio - XIII Región Metropolitana</t>
  </si>
  <si>
    <t>Número de Concesiones de Beneficios de PGU y SPS según tipo de beneficio - XIII Región Metropolitana</t>
  </si>
  <si>
    <t>Número de Solicitudes de Beneficios de PGU y SPS según tipo de beneficio - XII Región de Magallanes</t>
  </si>
  <si>
    <t>Número de Concesiones de Beneficios de PGU y SPS según tipo de beneficio - XII Región de Magallanes</t>
  </si>
  <si>
    <t>Número de Solicitudes de Beneficios de PGU y SPS según tipo de beneficio - XI Región de Aysen</t>
  </si>
  <si>
    <t>Número de Conceciones de Beneficios de PGU y SPS según tipo de beneficio - XI Región de Aysen</t>
  </si>
  <si>
    <t>Número de Solicitudes de Beneficios de PGU y SPS según tipo de beneficio - X Región de Los Lagos</t>
  </si>
  <si>
    <t>Número de Concesiones de Beneficios de PGU y SPS según tipo de beneficio - X Región de Los Lagos</t>
  </si>
  <si>
    <t>Número de Solicitudes de Beneficios de PGU y SPS según tipo de beneficio - XIV Región de Los Rios</t>
  </si>
  <si>
    <t>Número de Concesiones de Beneficios de PGU y SPS según tipo de beneficio - XIV Región de Los Rios</t>
  </si>
  <si>
    <t>Número de Solicitudes de Beneficios de PGU y SPS según tipo de beneficio - IX Región de la Araucanía</t>
  </si>
  <si>
    <t>Número de Concesiones de Beneficios de PGU y SPS según tipo de beneficio - IX Región de la Araucanía</t>
  </si>
  <si>
    <t>Número de Solicitudes de Beneficios de PGU y SPS según tipo de beneficio - VIII Región del Bio Bio</t>
  </si>
  <si>
    <t>Número de Concesiones de Beneficios de PGU y SPS según tipo de beneficio - VIII Región del Bio Bio</t>
  </si>
  <si>
    <t>Número de Solicitudes de Beneficios de PGU y SPS según tipo de beneficio - XVI Región de Ñuble</t>
  </si>
  <si>
    <t>Número de Concesiones de Beneficios de PGU y SPS según tipo de beneficio - XVI Región de Ñuble</t>
  </si>
  <si>
    <t>Número de Solicitudes de Beneficios de PGU y SPS según tipo de beneficio - VII Región del Maule</t>
  </si>
  <si>
    <t>Número de Concesiones de Beneficios de PGU y SPS según tipo de beneficio - VII Región del Maule</t>
  </si>
  <si>
    <t>Número de Solicitudes de Beneficios de PGU y SPS según tipo de beneficio - VI Región de L.G.B. O'Higgins</t>
  </si>
  <si>
    <t>Número de Concesiones de Beneficios de PGU y SPS según tipo de beneficio - VI Región de L.G.B. O'Higgins</t>
  </si>
  <si>
    <t>Número de Solicitudes de Beneficios de PGU y SPS según tipo de beneficio - V Región de Vaparaíso</t>
  </si>
  <si>
    <t>Número de Concesiones de Beneficios de PGU y SPS según tipo de beneficio - V Región de Vaparaíso</t>
  </si>
  <si>
    <t>Número de Solicitudes de Beneficios de PGU y SPS según tipo de beneficio - IV Región de Coquimbo</t>
  </si>
  <si>
    <t>Número de Concesiones de Beneficios de PGU y SPS según tipo de beneficio - IV Región de Coquimbo</t>
  </si>
  <si>
    <t>Número de Solicitudes de Beneficios de PGU y SPS según tipo de beneficio - III Región de Atacama</t>
  </si>
  <si>
    <t>Número de concesiones de Beneficios de PGU y SPS según tipo de beneficio - III Región de Atacama</t>
  </si>
  <si>
    <t>Número de Solicitudes de Beneficios de PGU y SPS según tipo de beneficio - II Región de Antofagasta</t>
  </si>
  <si>
    <t>Número de Concesiones de Beneficios de PGU y SPS según tipo de beneficio - II Región de Antofagasta</t>
  </si>
  <si>
    <t>Número de Solicitudes de Beneficios de PGU y SPS según tipo de beneficio - XV Región de Arica y Parinacota</t>
  </si>
  <si>
    <t>Número de Concesiones de Beneficios de PGU y SPS según tipo de beneficio - XV Región de Arica y Parinacota</t>
  </si>
  <si>
    <t>Distribución Regional Solicitudes de PGU y Pilar Solidario - no incluye ex Pasis</t>
  </si>
  <si>
    <t>Concesiones de PGU y Pilar Solidario  a nivel comunal</t>
  </si>
  <si>
    <t xml:space="preserve">Las cifras de solicitudes y concesiones anuales varían respecto de informes anteriores, debido al cambio en la fuente de información, el cual incorpora los beneficios de vejez concedidos de oficio a los beneficiarios de PBSI o APSI al momento de cumplir 65 años.  </t>
  </si>
  <si>
    <t>PGU No Contributiva</t>
  </si>
  <si>
    <t>abr-22*****</t>
  </si>
  <si>
    <t xml:space="preserve">***** El menor número de subsidios pagados se debe a una disminución de la información de pago o declaración de cotizaciones enviada por FONASA de las cotizaciones de las remuneraciones de feb-22. Esta situación se generó producto de los cambios en los porcentajes de cotización para salud a los empleadores vinculados a una Caja de Compensación. </t>
  </si>
  <si>
    <t>Pago Mensual Con PGU no Contributiva</t>
  </si>
  <si>
    <t>Pago Mensual Con PGU Contributiva /APS</t>
  </si>
  <si>
    <t>2012</t>
  </si>
  <si>
    <t>2013</t>
  </si>
  <si>
    <t>2014</t>
  </si>
  <si>
    <t>2015</t>
  </si>
  <si>
    <t>2016</t>
  </si>
  <si>
    <t>2017</t>
  </si>
  <si>
    <t>2018</t>
  </si>
  <si>
    <t>2019</t>
  </si>
  <si>
    <t>2020</t>
  </si>
  <si>
    <t>2022</t>
  </si>
  <si>
    <t>may-22*****</t>
  </si>
  <si>
    <t>*******Regularización proceso de las remuneraciones del de feb-22.</t>
  </si>
  <si>
    <t>El presente archivo contiene los principales cuadros del Informe Estadístico Mensual de Pensión Garatizada Universal y Pilar Solidario del mes de Junio de 2022. 
Correspondiente a:</t>
  </si>
  <si>
    <t>A continuación se entregan los principales cuadros sobre Bono por Hijo que contiene el Informe Estadístico Mensual del Pilar Solidario del mes de junio 2022, incluyendo información de Solicitudes, Concesiones y Rechazos de Bono por hijo a nivel nacional, desde su implementación a la fecha, y las concesiones a nivel regional.</t>
  </si>
  <si>
    <t>Concesiones de Bono por Hijo a nivel nacional, por mes, desde Agosto 2009 a junio 2022</t>
  </si>
  <si>
    <t>Solicitudes, Rechazos y concesiones a nivel nacional, por mes, desde Agosto 2009 a junio 2022</t>
  </si>
  <si>
    <t>Concesiones de Bono por Hijo a nivel regional en el mes de junio 2022</t>
  </si>
  <si>
    <t>Agosto 2009 a junio 2022</t>
  </si>
  <si>
    <t>A jun-22</t>
  </si>
  <si>
    <t>junio 2022</t>
  </si>
  <si>
    <t>A continuación se entregan los principales cuadros sobre el Subsidio Previsional a los Trabajadores Jóvenes del Informe Estadístico Mensual del Pilar Solidario a junio 2022</t>
  </si>
  <si>
    <t>Solicitudes del Subsidio a la Contratación por parte del empleador, por mes, desde octubre 2008 a junio 2022</t>
  </si>
  <si>
    <t>Solicitudes de subsidio a la contratación, según estado de la solicitud, por mes, desde enero 2012 a junio 2022</t>
  </si>
  <si>
    <t>Solicitudes del Subsidio a la cotización según sexo, por mes, julio 2011 a junio 2022</t>
  </si>
  <si>
    <t>Solicitudes del subsidio a la cotización, según estado de las solicitudes, sexo, por mes, desde julio 2011 a junio 2022</t>
  </si>
  <si>
    <t>Subsidios pagados según tipo de subsidio, por mes, desde abril 2009 a junio 2022</t>
  </si>
  <si>
    <t>Octubre de 2008 a junio 2022</t>
  </si>
  <si>
    <t>Marzo 2009 a junio 2022</t>
  </si>
  <si>
    <t>Julio 2011 a junio 2022</t>
  </si>
  <si>
    <t>Enero 2012 a junio 2022</t>
  </si>
  <si>
    <t>A jun-2022</t>
  </si>
  <si>
    <t>Solicitudes recibidas en PGU y SPS, según mes, desde julio 2008 a junio 2022</t>
  </si>
  <si>
    <t>Concesiones en PGU y SPS, por mes, desde julio 2008 a junio 2022</t>
  </si>
  <si>
    <t>Solicitudes recibidas en PGU y SPS acumuladas desde julio 2008 a junio 2022, según región</t>
  </si>
  <si>
    <t>Concesiones en PGU y SPS acumuladas desde julio 2008 a junio 2022, según región</t>
  </si>
  <si>
    <t>Solicitudes y Concesiones en PGU y SPS acumulado a junio 2022 por región y comuna:</t>
  </si>
  <si>
    <t>El presente archivo contiene los principales cuadros sobre la Pensión Garantizada Universal y el Sistema de Pensiones Solidarias del Informe Estadístico Mensual de PGU y Pilar Solidario del mes junio de 2022. 
Los cuadros entregan información de los beneficios solicitados y concedidos mensualmente a nivel nacional, desde julio de 2008 a junio de 2022, asi como también la información de las solicitudes y concesiones a nivel regional y comunal acumulado a junio de 2022.</t>
  </si>
  <si>
    <t>Julio de 2008 a junio de 2022</t>
  </si>
  <si>
    <t>Total PGU+PBS+APS</t>
  </si>
  <si>
    <t>TOTAL SOLICITUDES  
(no incluye ex Pasis)</t>
  </si>
  <si>
    <t>TOTAL CONCEDIDAS  
(no incluye ex Pasis)</t>
  </si>
  <si>
    <t>A contar de la información de Junio-22, el IPS reporta la información en función del tipo de beneficio pagado, por lo tanto, ya no se informa el número de beneficios Nbis y, en el caso del número de beneficios PGU Contributiva, se incluyen los beneficios que fueron concedidos como APSV.</t>
  </si>
  <si>
    <t>El número de beneficios concesionados no coincide con el número de beneficios pagados por las siguientes razones:
•El total acumulado de concesiones de la Reforma Previsional incluye personas fallecidas:
El número de personas fallecidas que recibían PBS y APS durante el año 2021 correspondió a: 73.607
El número de personas fallecidas desde julio de 2008 a diciembre 2020 correspondió a: 574.175
•Existen personas a quienes se les ha extinguido o suspendido el beneficio.
•El mes de concedida la pensión no necesariamente coincide con el primer mes de pago.
El periodo está determinado por la fecha de solicitud del beneficio.
A contar de la información de Junio-22, el IPS reporta la información en función del tipo de beneficio pagado, por lo tanto, ya no se informa el número de beneficios Nbis y, en el caso del número de beneficios PGU Contributiva, se incluyen los beneficios que fueron concedidos como APSV.</t>
  </si>
  <si>
    <t>Enero'19</t>
  </si>
  <si>
    <t>Febrero '19</t>
  </si>
  <si>
    <t>Marzo '19</t>
  </si>
  <si>
    <t>Abril '19</t>
  </si>
  <si>
    <t>Mayo '19</t>
  </si>
  <si>
    <t>Junio '19</t>
  </si>
  <si>
    <t>Julio '19</t>
  </si>
  <si>
    <t>Agosto '19</t>
  </si>
  <si>
    <t>Septiembre '19</t>
  </si>
  <si>
    <t>Octubre '19</t>
  </si>
  <si>
    <t>Noviembre '19</t>
  </si>
  <si>
    <t>Diciembre '19</t>
  </si>
  <si>
    <t>Enero'20</t>
  </si>
  <si>
    <t>Febrero'20</t>
  </si>
  <si>
    <t>Marzo'20</t>
  </si>
  <si>
    <t>Abril'20</t>
  </si>
  <si>
    <t>Mayo'20</t>
  </si>
  <si>
    <t>Junio '20</t>
  </si>
  <si>
    <t>Julio '20</t>
  </si>
  <si>
    <t>Agosto '20</t>
  </si>
  <si>
    <t>Septiembre '20</t>
  </si>
  <si>
    <t>Octubre '20</t>
  </si>
  <si>
    <t>Noviembre '20</t>
  </si>
  <si>
    <t>Diciembre '20</t>
  </si>
  <si>
    <t>Total 2020</t>
  </si>
  <si>
    <t>Enero'21</t>
  </si>
  <si>
    <t>Febrero'21</t>
  </si>
  <si>
    <t>Marzo'21</t>
  </si>
  <si>
    <t>Abril'21</t>
  </si>
  <si>
    <t>Mayo'21</t>
  </si>
  <si>
    <t>Junio '21</t>
  </si>
  <si>
    <t>Julio '21</t>
  </si>
  <si>
    <t>Agosto '21</t>
  </si>
  <si>
    <t>Septiembre '21</t>
  </si>
  <si>
    <t>Octubre '21</t>
  </si>
  <si>
    <t>Noviembre '21</t>
  </si>
  <si>
    <t>Diciembre '21</t>
  </si>
  <si>
    <t>Total 2021</t>
  </si>
  <si>
    <t>Enero'22</t>
  </si>
  <si>
    <t>Febrero'22</t>
  </si>
  <si>
    <t>Marzo'22</t>
  </si>
  <si>
    <t>Abril'22</t>
  </si>
  <si>
    <t>Mayo'22</t>
  </si>
  <si>
    <t>Junio '22</t>
  </si>
  <si>
    <t>a Jun-22</t>
  </si>
  <si>
    <t>Enero' 19</t>
  </si>
  <si>
    <t>Enero' 20</t>
  </si>
  <si>
    <t>Febrero '20</t>
  </si>
  <si>
    <t>Enero' 21</t>
  </si>
  <si>
    <t>Febrero '21</t>
  </si>
  <si>
    <t>Enero' 22</t>
  </si>
  <si>
    <t>Febrero '22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</si>
</sst>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 #,##0_ ;_ * \-#,##0_ ;_ * &quot;-&quot;_ ;_ @_ "/>
    <numFmt numFmtId="164" formatCode="_-* #,##0_-;\-* #,##0_-;_-* &quot;-&quot;_-;_-@_-"/>
    <numFmt numFmtId="165" formatCode="_-* #,##0.00_-;\-* #,##0.00_-;_-* &quot;-&quot;??_-;_-@_-"/>
    <numFmt numFmtId="166" formatCode="_-* #,##0.00\ _€_-;\-* #,##0.00\ _€_-;_-* &quot;-&quot;??\ _€_-;_-@_-"/>
    <numFmt numFmtId="167" formatCode="_-* #,##0_-;\-* #,##0_-;_-* &quot;-&quot;??_-;_-@_-"/>
    <numFmt numFmtId="168" formatCode="0.0%"/>
    <numFmt numFmtId="169" formatCode="0.0"/>
    <numFmt numFmtId="170" formatCode="_-&quot;$&quot;\ * #,##0.00_-;\-&quot;$&quot;\ * #,##0.00_-;_-&quot;$&quot;\ * &quot;-&quot;??_-;_-@_-"/>
    <numFmt numFmtId="171" formatCode="_-[$€-2]\ * #,##0.00_-;\-[$€-2]\ * #,##0.00_-;_-[$€-2]\ * &quot;-&quot;??_-"/>
    <numFmt numFmtId="172" formatCode="_-* #,##0.0_-;\-* #,##0.0_-;_-* &quot;-&quot;??_-;_-@_-"/>
  </numFmts>
  <fonts count="73" x14ac:knownFonts="1">
    <font>
      <sz val="11"/>
      <color theme="1"/>
      <name val="Calibri"/>
      <family val="2"/>
      <scheme val="minor"/>
    </font>
    <font>
      <sz val="11"/>
      <color theme="1"/>
      <name val="Calibri"/>
      <family val="2"/>
      <scheme val="minor"/>
    </font>
    <font>
      <sz val="11"/>
      <color theme="0"/>
      <name val="Calibri"/>
      <family val="2"/>
      <scheme val="minor"/>
    </font>
    <font>
      <b/>
      <sz val="9"/>
      <color theme="0"/>
      <name val="Calibri"/>
      <family val="2"/>
      <scheme val="minor"/>
    </font>
    <font>
      <sz val="9"/>
      <color theme="0"/>
      <name val="Calibri"/>
      <family val="2"/>
      <scheme val="minor"/>
    </font>
    <font>
      <b/>
      <sz val="9"/>
      <name val="Calibri"/>
      <family val="2"/>
      <scheme val="minor"/>
    </font>
    <font>
      <sz val="9"/>
      <name val="Calibri"/>
      <family val="2"/>
      <scheme val="minor"/>
    </font>
    <font>
      <b/>
      <sz val="9"/>
      <color theme="1"/>
      <name val="Calibri"/>
      <family val="2"/>
      <scheme val="minor"/>
    </font>
    <font>
      <sz val="9"/>
      <color theme="1"/>
      <name val="Calibri"/>
      <family val="2"/>
      <scheme val="minor"/>
    </font>
    <font>
      <sz val="10"/>
      <name val="Arial"/>
      <family val="2"/>
    </font>
    <font>
      <u/>
      <sz val="11"/>
      <color theme="10"/>
      <name val="Calibri"/>
      <family val="2"/>
    </font>
    <font>
      <sz val="9"/>
      <color indexed="8"/>
      <name val="Calibri"/>
      <family val="2"/>
      <scheme val="minor"/>
    </font>
    <font>
      <b/>
      <sz val="9"/>
      <color indexed="8"/>
      <name val="Calibri"/>
      <family val="2"/>
      <scheme val="minor"/>
    </font>
    <font>
      <u/>
      <sz val="9"/>
      <color theme="10"/>
      <name val="Calibri"/>
      <family val="2"/>
      <scheme val="minor"/>
    </font>
    <font>
      <b/>
      <u/>
      <sz val="9"/>
      <color indexed="8"/>
      <name val="Calibri"/>
      <family val="2"/>
      <scheme val="minor"/>
    </font>
    <font>
      <b/>
      <sz val="10"/>
      <color theme="1"/>
      <name val="Calibri"/>
      <family val="2"/>
      <scheme val="minor"/>
    </font>
    <font>
      <b/>
      <sz val="9"/>
      <color rgb="FFFFFFFF"/>
      <name val="Calibri"/>
      <family val="2"/>
      <scheme val="minor"/>
    </font>
    <font>
      <b/>
      <sz val="9"/>
      <color rgb="FF000000"/>
      <name val="Calibri"/>
      <family val="2"/>
      <scheme val="minor"/>
    </font>
    <font>
      <sz val="9"/>
      <color rgb="FF000000"/>
      <name val="Calibri"/>
      <family val="2"/>
      <scheme val="minor"/>
    </font>
    <font>
      <u/>
      <sz val="11"/>
      <color theme="10"/>
      <name val="Calibri"/>
      <family val="2"/>
      <scheme val="minor"/>
    </font>
    <font>
      <b/>
      <sz val="11"/>
      <color theme="1"/>
      <name val="Calibri"/>
      <family val="2"/>
      <scheme val="minor"/>
    </font>
    <font>
      <b/>
      <sz val="12"/>
      <color theme="1"/>
      <name val="Calibri"/>
      <family val="2"/>
      <scheme val="minor"/>
    </font>
    <font>
      <sz val="10"/>
      <color theme="1"/>
      <name val="Calibri"/>
      <family val="2"/>
      <scheme val="minor"/>
    </font>
    <font>
      <u/>
      <sz val="10"/>
      <color theme="10"/>
      <name val="Calibri"/>
      <family val="2"/>
    </font>
    <font>
      <b/>
      <sz val="10"/>
      <color indexed="8"/>
      <name val="Calibri"/>
      <family val="2"/>
      <scheme val="minor"/>
    </font>
    <font>
      <b/>
      <u/>
      <sz val="9"/>
      <color theme="10"/>
      <name val="Calibri"/>
      <family val="2"/>
    </font>
    <font>
      <b/>
      <u/>
      <sz val="10"/>
      <color theme="10"/>
      <name val="Calibri"/>
      <family val="2"/>
    </font>
    <font>
      <sz val="9"/>
      <color rgb="FF000000"/>
      <name val="Calibri"/>
      <family val="2"/>
    </font>
    <font>
      <sz val="8"/>
      <name val="Arial"/>
      <family val="2"/>
    </font>
    <font>
      <b/>
      <sz val="9"/>
      <color rgb="FF000000"/>
      <name val="Calibri"/>
      <family val="2"/>
    </font>
    <font>
      <sz val="8"/>
      <color rgb="FF000000"/>
      <name val="Calibri"/>
      <family val="2"/>
    </font>
    <font>
      <sz val="10"/>
      <name val="Arial"/>
      <family val="2"/>
    </font>
    <font>
      <b/>
      <sz val="8"/>
      <color rgb="FF000000"/>
      <name val="Calibri"/>
      <family val="2"/>
    </font>
    <font>
      <b/>
      <sz val="8"/>
      <color rgb="FFFFFFFF"/>
      <name val="Calibri"/>
      <family val="2"/>
    </font>
    <font>
      <b/>
      <sz val="9"/>
      <color rgb="FFFFFFFF"/>
      <name val="Calibri"/>
      <family val="2"/>
    </font>
    <font>
      <sz val="9"/>
      <color rgb="FFFFFFFF"/>
      <name val="Calibri"/>
      <family val="2"/>
    </font>
    <font>
      <b/>
      <sz val="9"/>
      <name val="Calibri"/>
      <family val="2"/>
    </font>
    <font>
      <sz val="9"/>
      <name val="Calibri"/>
      <family val="2"/>
    </font>
    <font>
      <b/>
      <sz val="10"/>
      <color theme="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rgb="FF9C6500"/>
      <name val="Calibri"/>
      <family val="2"/>
      <scheme val="minor"/>
    </font>
    <font>
      <sz val="10"/>
      <color theme="1"/>
      <name val="Arial"/>
      <family val="2"/>
    </font>
    <font>
      <sz val="10"/>
      <color theme="0"/>
      <name val="Arial"/>
      <family val="2"/>
    </font>
    <font>
      <sz val="10"/>
      <color rgb="FF006100"/>
      <name val="Arial"/>
      <family val="2"/>
    </font>
    <font>
      <b/>
      <sz val="10"/>
      <color rgb="FFFA7D00"/>
      <name val="Arial"/>
      <family val="2"/>
    </font>
    <font>
      <b/>
      <sz val="10"/>
      <color theme="0"/>
      <name val="Arial"/>
      <family val="2"/>
    </font>
    <font>
      <sz val="10"/>
      <color rgb="FFFA7D00"/>
      <name val="Arial"/>
      <family val="2"/>
    </font>
    <font>
      <b/>
      <sz val="11"/>
      <color theme="3"/>
      <name val="Arial"/>
      <family val="2"/>
    </font>
    <font>
      <sz val="10"/>
      <color rgb="FF3F3F76"/>
      <name val="Arial"/>
      <family val="2"/>
    </font>
    <font>
      <sz val="10"/>
      <color rgb="FF9C0006"/>
      <name val="Arial"/>
      <family val="2"/>
    </font>
    <font>
      <sz val="10"/>
      <color rgb="FF9C6500"/>
      <name val="Arial"/>
      <family val="2"/>
    </font>
    <font>
      <sz val="10"/>
      <name val="Comic Sans MS"/>
      <family val="4"/>
    </font>
    <font>
      <sz val="10"/>
      <name val="Verdana"/>
      <family val="2"/>
    </font>
    <font>
      <b/>
      <sz val="10"/>
      <color rgb="FF3F3F3F"/>
      <name val="Arial"/>
      <family val="2"/>
    </font>
    <font>
      <sz val="10"/>
      <color rgb="FFFF0000"/>
      <name val="Arial"/>
      <family val="2"/>
    </font>
    <font>
      <i/>
      <sz val="10"/>
      <color rgb="FF7F7F7F"/>
      <name val="Arial"/>
      <family val="2"/>
    </font>
    <font>
      <b/>
      <sz val="15"/>
      <color theme="3"/>
      <name val="Arial"/>
      <family val="2"/>
    </font>
    <font>
      <b/>
      <sz val="13"/>
      <color theme="3"/>
      <name val="Arial"/>
      <family val="2"/>
    </font>
    <font>
      <b/>
      <sz val="10"/>
      <color theme="1"/>
      <name val="Arial"/>
      <family val="2"/>
    </font>
    <font>
      <b/>
      <sz val="18"/>
      <color theme="3"/>
      <name val="Calibri Light"/>
      <family val="2"/>
      <scheme val="major"/>
    </font>
    <font>
      <sz val="8"/>
      <name val="Calibri"/>
      <family val="2"/>
      <scheme val="minor"/>
    </font>
    <font>
      <b/>
      <u/>
      <sz val="11"/>
      <color theme="10"/>
      <name val="Calibri"/>
      <family val="2"/>
    </font>
  </fonts>
  <fills count="46">
    <fill>
      <patternFill patternType="none"/>
    </fill>
    <fill>
      <patternFill patternType="gray125"/>
    </fill>
    <fill>
      <patternFill patternType="solid">
        <fgColor theme="4"/>
      </patternFill>
    </fill>
    <fill>
      <patternFill patternType="solid">
        <fgColor theme="0" tint="-0.14999847407452621"/>
        <bgColor indexed="64"/>
      </patternFill>
    </fill>
    <fill>
      <patternFill patternType="solid">
        <fgColor theme="0"/>
        <bgColor indexed="64"/>
      </patternFill>
    </fill>
    <fill>
      <patternFill patternType="solid">
        <fgColor rgb="FFC0504D"/>
        <bgColor indexed="64"/>
      </patternFill>
    </fill>
    <fill>
      <patternFill patternType="solid">
        <fgColor indexed="9"/>
        <bgColor indexed="64"/>
      </patternFill>
    </fill>
    <fill>
      <patternFill patternType="solid">
        <fgColor rgb="FFD9D9D9"/>
        <bgColor indexed="64"/>
      </patternFill>
    </fill>
    <fill>
      <patternFill patternType="solid">
        <fgColor rgb="FFFFFFFF"/>
        <bgColor indexed="64"/>
      </patternFill>
    </fill>
    <fill>
      <patternFill patternType="solid">
        <fgColor rgb="FFBFBFBF"/>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bgColor indexed="64"/>
      </patternFill>
    </fill>
    <fill>
      <patternFill patternType="solid">
        <fgColor rgb="FFF68A8A"/>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s>
  <borders count="7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diagonal/>
    </border>
    <border>
      <left style="medium">
        <color indexed="64"/>
      </left>
      <right style="medium">
        <color indexed="64"/>
      </right>
      <top/>
      <bottom style="thin">
        <color indexed="64"/>
      </bottom>
      <diagonal/>
    </border>
    <border>
      <left/>
      <right style="thin">
        <color indexed="64"/>
      </right>
      <top/>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style="medium">
        <color indexed="64"/>
      </left>
      <right/>
      <top style="medium">
        <color indexed="64"/>
      </top>
      <bottom/>
      <diagonal/>
    </border>
    <border>
      <left style="thin">
        <color indexed="64"/>
      </left>
      <right/>
      <top/>
      <bottom/>
      <diagonal/>
    </border>
    <border>
      <left/>
      <right/>
      <top style="thin">
        <color indexed="64"/>
      </top>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top/>
      <bottom/>
      <diagonal/>
    </border>
    <border>
      <left/>
      <right/>
      <top style="medium">
        <color indexed="64"/>
      </top>
      <bottom/>
      <diagonal/>
    </border>
    <border>
      <left/>
      <right style="medium">
        <color indexed="64"/>
      </right>
      <top style="thin">
        <color indexed="64"/>
      </top>
      <bottom style="thin">
        <color indexed="64"/>
      </bottom>
      <diagonal/>
    </border>
    <border>
      <left style="thin">
        <color indexed="64"/>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top style="thin">
        <color indexed="64"/>
      </top>
      <bottom style="medium">
        <color indexed="64"/>
      </bottom>
      <diagonal/>
    </border>
    <border>
      <left/>
      <right/>
      <top/>
      <bottom style="medium">
        <color indexed="64"/>
      </bottom>
      <diagonal/>
    </border>
    <border>
      <left/>
      <right style="medium">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s>
  <cellStyleXfs count="243">
    <xf numFmtId="0" fontId="0" fillId="0" borderId="0"/>
    <xf numFmtId="165" fontId="1" fillId="0" borderId="0" applyFont="0" applyFill="0" applyBorder="0" applyAlignment="0" applyProtection="0"/>
    <xf numFmtId="9" fontId="1" fillId="0" borderId="0" applyFont="0" applyFill="0" applyBorder="0" applyAlignment="0" applyProtection="0"/>
    <xf numFmtId="0" fontId="2" fillId="2" borderId="0" applyNumberFormat="0" applyBorder="0" applyAlignment="0" applyProtection="0"/>
    <xf numFmtId="0" fontId="9" fillId="0" borderId="0"/>
    <xf numFmtId="165" fontId="9" fillId="0" borderId="0" applyFont="0" applyFill="0" applyBorder="0" applyAlignment="0" applyProtection="0"/>
    <xf numFmtId="0" fontId="10" fillId="0" borderId="0" applyNumberFormat="0" applyFill="0" applyBorder="0" applyAlignment="0" applyProtection="0">
      <alignment vertical="top"/>
      <protection locked="0"/>
    </xf>
    <xf numFmtId="9" fontId="9" fillId="0" borderId="0" applyFont="0" applyFill="0" applyBorder="0" applyAlignment="0" applyProtection="0"/>
    <xf numFmtId="0" fontId="19" fillId="0" borderId="0" applyNumberFormat="0" applyFill="0" applyBorder="0" applyAlignment="0" applyProtection="0"/>
    <xf numFmtId="0" fontId="9" fillId="0" borderId="0"/>
    <xf numFmtId="0" fontId="9" fillId="0" borderId="0"/>
    <xf numFmtId="0" fontId="31" fillId="0" borderId="0"/>
    <xf numFmtId="0" fontId="1" fillId="0" borderId="0"/>
    <xf numFmtId="0" fontId="9" fillId="0" borderId="0"/>
    <xf numFmtId="0" fontId="1" fillId="0" borderId="0"/>
    <xf numFmtId="0" fontId="1" fillId="0" borderId="0"/>
    <xf numFmtId="0" fontId="40" fillId="0" borderId="42" applyNumberFormat="0" applyFill="0" applyAlignment="0" applyProtection="0"/>
    <xf numFmtId="0" fontId="41" fillId="0" borderId="43" applyNumberFormat="0" applyFill="0" applyAlignment="0" applyProtection="0"/>
    <xf numFmtId="0" fontId="41" fillId="0" borderId="0" applyNumberFormat="0" applyFill="0" applyBorder="0" applyAlignment="0" applyProtection="0"/>
    <xf numFmtId="0" fontId="43" fillId="16" borderId="0" applyNumberFormat="0" applyBorder="0" applyAlignment="0" applyProtection="0"/>
    <xf numFmtId="0" fontId="44" fillId="18" borderId="44" applyNumberFormat="0" applyAlignment="0" applyProtection="0"/>
    <xf numFmtId="0" fontId="45" fillId="19" borderId="45" applyNumberFormat="0" applyAlignment="0" applyProtection="0"/>
    <xf numFmtId="0" fontId="46" fillId="19" borderId="44" applyNumberFormat="0" applyAlignment="0" applyProtection="0"/>
    <xf numFmtId="0" fontId="47" fillId="0" borderId="46" applyNumberFormat="0" applyFill="0" applyAlignment="0" applyProtection="0"/>
    <xf numFmtId="0" fontId="48" fillId="20" borderId="47" applyNumberFormat="0" applyAlignment="0" applyProtection="0"/>
    <xf numFmtId="0" fontId="49" fillId="0" borderId="0" applyNumberFormat="0" applyFill="0" applyBorder="0" applyAlignment="0" applyProtection="0"/>
    <xf numFmtId="0" fontId="50" fillId="0" borderId="0" applyNumberFormat="0" applyFill="0" applyBorder="0" applyAlignment="0" applyProtection="0"/>
    <xf numFmtId="0" fontId="20" fillId="0" borderId="49" applyNumberFormat="0" applyFill="0" applyAlignment="0" applyProtection="0"/>
    <xf numFmtId="0" fontId="1" fillId="22" borderId="0" applyNumberFormat="0" applyBorder="0" applyAlignment="0" applyProtection="0"/>
    <xf numFmtId="0" fontId="1" fillId="23" borderId="0" applyNumberFormat="0" applyBorder="0" applyAlignment="0" applyProtection="0"/>
    <xf numFmtId="0" fontId="2"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2"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2"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9" fontId="9" fillId="0" borderId="0" applyFont="0" applyFill="0" applyBorder="0" applyAlignment="0" applyProtection="0"/>
    <xf numFmtId="0" fontId="1" fillId="0" borderId="0"/>
    <xf numFmtId="0" fontId="9" fillId="0" borderId="0"/>
    <xf numFmtId="0" fontId="1" fillId="0" borderId="0"/>
    <xf numFmtId="0" fontId="1" fillId="0" borderId="0"/>
    <xf numFmtId="0" fontId="52" fillId="30" borderId="0" applyNumberFormat="0" applyBorder="0" applyAlignment="0" applyProtection="0"/>
    <xf numFmtId="0" fontId="1" fillId="34" borderId="0" applyNumberFormat="0" applyBorder="0" applyAlignment="0" applyProtection="0"/>
    <xf numFmtId="0" fontId="1" fillId="30" borderId="0" applyNumberFormat="0" applyBorder="0" applyAlignment="0" applyProtection="0"/>
    <xf numFmtId="0" fontId="52" fillId="26" borderId="0" applyNumberFormat="0" applyBorder="0" applyAlignment="0" applyProtection="0"/>
    <xf numFmtId="0" fontId="1" fillId="26" borderId="0" applyNumberFormat="0" applyBorder="0" applyAlignment="0" applyProtection="0"/>
    <xf numFmtId="0" fontId="52" fillId="22" borderId="0" applyNumberFormat="0" applyBorder="0" applyAlignment="0" applyProtection="0"/>
    <xf numFmtId="0" fontId="1" fillId="22" borderId="0" applyNumberFormat="0" applyBorder="0" applyAlignment="0" applyProtection="0"/>
    <xf numFmtId="0" fontId="52" fillId="34" borderId="0" applyNumberFormat="0" applyBorder="0" applyAlignment="0" applyProtection="0"/>
    <xf numFmtId="0" fontId="1" fillId="38" borderId="0" applyNumberFormat="0" applyBorder="0" applyAlignment="0" applyProtection="0"/>
    <xf numFmtId="0" fontId="52" fillId="38" borderId="0" applyNumberFormat="0" applyBorder="0" applyAlignment="0" applyProtection="0"/>
    <xf numFmtId="0" fontId="1" fillId="42" borderId="0" applyNumberFormat="0" applyBorder="0" applyAlignment="0" applyProtection="0"/>
    <xf numFmtId="0" fontId="52" fillId="42" borderId="0" applyNumberFormat="0" applyBorder="0" applyAlignment="0" applyProtection="0"/>
    <xf numFmtId="0" fontId="1" fillId="23" borderId="0" applyNumberFormat="0" applyBorder="0" applyAlignment="0" applyProtection="0"/>
    <xf numFmtId="0" fontId="52" fillId="23" borderId="0" applyNumberFormat="0" applyBorder="0" applyAlignment="0" applyProtection="0"/>
    <xf numFmtId="0" fontId="1" fillId="27" borderId="0" applyNumberFormat="0" applyBorder="0" applyAlignment="0" applyProtection="0"/>
    <xf numFmtId="0" fontId="52" fillId="27" borderId="0" applyNumberFormat="0" applyBorder="0" applyAlignment="0" applyProtection="0"/>
    <xf numFmtId="0" fontId="1" fillId="31" borderId="0" applyNumberFormat="0" applyBorder="0" applyAlignment="0" applyProtection="0"/>
    <xf numFmtId="0" fontId="52" fillId="31" borderId="0" applyNumberFormat="0" applyBorder="0" applyAlignment="0" applyProtection="0"/>
    <xf numFmtId="0" fontId="1" fillId="35" borderId="0" applyNumberFormat="0" applyBorder="0" applyAlignment="0" applyProtection="0"/>
    <xf numFmtId="0" fontId="52" fillId="35" borderId="0" applyNumberFormat="0" applyBorder="0" applyAlignment="0" applyProtection="0"/>
    <xf numFmtId="0" fontId="1" fillId="39" borderId="0" applyNumberFormat="0" applyBorder="0" applyAlignment="0" applyProtection="0"/>
    <xf numFmtId="0" fontId="52" fillId="39" borderId="0" applyNumberFormat="0" applyBorder="0" applyAlignment="0" applyProtection="0"/>
    <xf numFmtId="0" fontId="1" fillId="43" borderId="0" applyNumberFormat="0" applyBorder="0" applyAlignment="0" applyProtection="0"/>
    <xf numFmtId="0" fontId="52" fillId="43" borderId="0" applyNumberFormat="0" applyBorder="0" applyAlignment="0" applyProtection="0"/>
    <xf numFmtId="0" fontId="2" fillId="24" borderId="0" applyNumberFormat="0" applyBorder="0" applyAlignment="0" applyProtection="0"/>
    <xf numFmtId="0" fontId="53" fillId="24" borderId="0" applyNumberFormat="0" applyBorder="0" applyAlignment="0" applyProtection="0"/>
    <xf numFmtId="0" fontId="2" fillId="28" borderId="0" applyNumberFormat="0" applyBorder="0" applyAlignment="0" applyProtection="0"/>
    <xf numFmtId="0" fontId="53" fillId="28" borderId="0" applyNumberFormat="0" applyBorder="0" applyAlignment="0" applyProtection="0"/>
    <xf numFmtId="0" fontId="2" fillId="32" borderId="0" applyNumberFormat="0" applyBorder="0" applyAlignment="0" applyProtection="0"/>
    <xf numFmtId="0" fontId="53" fillId="32" borderId="0" applyNumberFormat="0" applyBorder="0" applyAlignment="0" applyProtection="0"/>
    <xf numFmtId="0" fontId="2" fillId="36" borderId="0" applyNumberFormat="0" applyBorder="0" applyAlignment="0" applyProtection="0"/>
    <xf numFmtId="0" fontId="53" fillId="36" borderId="0" applyNumberFormat="0" applyBorder="0" applyAlignment="0" applyProtection="0"/>
    <xf numFmtId="0" fontId="2" fillId="40" borderId="0" applyNumberFormat="0" applyBorder="0" applyAlignment="0" applyProtection="0"/>
    <xf numFmtId="0" fontId="53" fillId="40" borderId="0" applyNumberFormat="0" applyBorder="0" applyAlignment="0" applyProtection="0"/>
    <xf numFmtId="0" fontId="2" fillId="44" borderId="0" applyNumberFormat="0" applyBorder="0" applyAlignment="0" applyProtection="0"/>
    <xf numFmtId="0" fontId="53" fillId="44" borderId="0" applyNumberFormat="0" applyBorder="0" applyAlignment="0" applyProtection="0"/>
    <xf numFmtId="0" fontId="42" fillId="15" borderId="0" applyNumberFormat="0" applyBorder="0" applyAlignment="0" applyProtection="0"/>
    <xf numFmtId="0" fontId="54" fillId="15" borderId="0" applyNumberFormat="0" applyBorder="0" applyAlignment="0" applyProtection="0"/>
    <xf numFmtId="0" fontId="46" fillId="19" borderId="44" applyNumberFormat="0" applyAlignment="0" applyProtection="0"/>
    <xf numFmtId="0" fontId="55" fillId="19" borderId="44" applyNumberFormat="0" applyAlignment="0" applyProtection="0"/>
    <xf numFmtId="0" fontId="48" fillId="20" borderId="47" applyNumberFormat="0" applyAlignment="0" applyProtection="0"/>
    <xf numFmtId="0" fontId="56" fillId="20" borderId="47" applyNumberFormat="0" applyAlignment="0" applyProtection="0"/>
    <xf numFmtId="0" fontId="47" fillId="0" borderId="46" applyNumberFormat="0" applyFill="0" applyAlignment="0" applyProtection="0"/>
    <xf numFmtId="0" fontId="57" fillId="0" borderId="46" applyNumberFormat="0" applyFill="0" applyAlignment="0" applyProtection="0"/>
    <xf numFmtId="0" fontId="41" fillId="0" borderId="0" applyNumberFormat="0" applyFill="0" applyBorder="0" applyAlignment="0" applyProtection="0"/>
    <xf numFmtId="0" fontId="58" fillId="0" borderId="0" applyNumberFormat="0" applyFill="0" applyBorder="0" applyAlignment="0" applyProtection="0"/>
    <xf numFmtId="0" fontId="2" fillId="2" borderId="0" applyNumberFormat="0" applyBorder="0" applyAlignment="0" applyProtection="0"/>
    <xf numFmtId="0" fontId="53" fillId="2" borderId="0" applyNumberFormat="0" applyBorder="0" applyAlignment="0" applyProtection="0"/>
    <xf numFmtId="0" fontId="2" fillId="25" borderId="0" applyNumberFormat="0" applyBorder="0" applyAlignment="0" applyProtection="0"/>
    <xf numFmtId="0" fontId="53" fillId="25" borderId="0" applyNumberFormat="0" applyBorder="0" applyAlignment="0" applyProtection="0"/>
    <xf numFmtId="0" fontId="2" fillId="29" borderId="0" applyNumberFormat="0" applyBorder="0" applyAlignment="0" applyProtection="0"/>
    <xf numFmtId="0" fontId="53" fillId="29" borderId="0" applyNumberFormat="0" applyBorder="0" applyAlignment="0" applyProtection="0"/>
    <xf numFmtId="0" fontId="2" fillId="33" borderId="0" applyNumberFormat="0" applyBorder="0" applyAlignment="0" applyProtection="0"/>
    <xf numFmtId="0" fontId="53" fillId="33" borderId="0" applyNumberFormat="0" applyBorder="0" applyAlignment="0" applyProtection="0"/>
    <xf numFmtId="0" fontId="2" fillId="37" borderId="0" applyNumberFormat="0" applyBorder="0" applyAlignment="0" applyProtection="0"/>
    <xf numFmtId="0" fontId="53" fillId="37" borderId="0" applyNumberFormat="0" applyBorder="0" applyAlignment="0" applyProtection="0"/>
    <xf numFmtId="0" fontId="2" fillId="41" borderId="0" applyNumberFormat="0" applyBorder="0" applyAlignment="0" applyProtection="0"/>
    <xf numFmtId="0" fontId="53" fillId="41" borderId="0" applyNumberFormat="0" applyBorder="0" applyAlignment="0" applyProtection="0"/>
    <xf numFmtId="0" fontId="44" fillId="18" borderId="44" applyNumberFormat="0" applyAlignment="0" applyProtection="0"/>
    <xf numFmtId="0" fontId="59" fillId="18" borderId="44" applyNumberFormat="0" applyAlignment="0" applyProtection="0"/>
    <xf numFmtId="171" fontId="9" fillId="0" borderId="0" applyFont="0" applyFill="0" applyBorder="0" applyAlignment="0" applyProtection="0"/>
    <xf numFmtId="171" fontId="9" fillId="0" borderId="0" applyFont="0" applyFill="0" applyBorder="0" applyAlignment="0" applyProtection="0"/>
    <xf numFmtId="0" fontId="43" fillId="16" borderId="0" applyNumberFormat="0" applyBorder="0" applyAlignment="0" applyProtection="0"/>
    <xf numFmtId="0" fontId="60" fillId="16" borderId="0" applyNumberFormat="0" applyBorder="0" applyAlignment="0" applyProtection="0"/>
    <xf numFmtId="164" fontId="9" fillId="0" borderId="0" applyFont="0" applyFill="0" applyBorder="0" applyAlignment="0" applyProtection="0"/>
    <xf numFmtId="165" fontId="9" fillId="0" borderId="0" applyFont="0" applyFill="0" applyBorder="0" applyAlignment="0" applyProtection="0"/>
    <xf numFmtId="166" fontId="9" fillId="0" borderId="0" applyFont="0" applyFill="0" applyBorder="0" applyAlignment="0" applyProtection="0"/>
    <xf numFmtId="0" fontId="51" fillId="17" borderId="0" applyNumberFormat="0" applyBorder="0" applyAlignment="0" applyProtection="0"/>
    <xf numFmtId="0" fontId="61" fillId="1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2" fillId="0" borderId="0"/>
    <xf numFmtId="0" fontId="9" fillId="0" borderId="0"/>
    <xf numFmtId="0" fontId="6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2" fillId="21" borderId="48" applyNumberFormat="0" applyFont="0" applyAlignment="0" applyProtection="0"/>
    <xf numFmtId="9" fontId="9" fillId="0" borderId="0" applyFont="0" applyFill="0" applyBorder="0" applyAlignment="0" applyProtection="0"/>
    <xf numFmtId="0" fontId="45" fillId="19" borderId="45" applyNumberFormat="0" applyAlignment="0" applyProtection="0"/>
    <xf numFmtId="0" fontId="64" fillId="19" borderId="45" applyNumberFormat="0" applyAlignment="0" applyProtection="0"/>
    <xf numFmtId="0" fontId="49" fillId="0" borderId="0" applyNumberFormat="0" applyFill="0" applyBorder="0" applyAlignment="0" applyProtection="0"/>
    <xf numFmtId="0" fontId="65" fillId="0" borderId="0" applyNumberFormat="0" applyFill="0" applyBorder="0" applyAlignment="0" applyProtection="0"/>
    <xf numFmtId="0" fontId="50" fillId="0" borderId="0" applyNumberFormat="0" applyFill="0" applyBorder="0" applyAlignment="0" applyProtection="0"/>
    <xf numFmtId="0" fontId="66" fillId="0" borderId="0" applyNumberFormat="0" applyFill="0" applyBorder="0" applyAlignment="0" applyProtection="0"/>
    <xf numFmtId="0" fontId="39" fillId="0" borderId="41" applyNumberFormat="0" applyFill="0" applyAlignment="0" applyProtection="0"/>
    <xf numFmtId="0" fontId="67" fillId="0" borderId="41" applyNumberFormat="0" applyFill="0" applyAlignment="0" applyProtection="0"/>
    <xf numFmtId="0" fontId="40" fillId="0" borderId="42" applyNumberFormat="0" applyFill="0" applyAlignment="0" applyProtection="0"/>
    <xf numFmtId="0" fontId="68" fillId="0" borderId="42" applyNumberFormat="0" applyFill="0" applyAlignment="0" applyProtection="0"/>
    <xf numFmtId="0" fontId="41" fillId="0" borderId="43" applyNumberFormat="0" applyFill="0" applyAlignment="0" applyProtection="0"/>
    <xf numFmtId="0" fontId="58" fillId="0" borderId="43" applyNumberFormat="0" applyFill="0" applyAlignment="0" applyProtection="0"/>
    <xf numFmtId="0" fontId="20" fillId="0" borderId="49" applyNumberFormat="0" applyFill="0" applyAlignment="0" applyProtection="0"/>
    <xf numFmtId="0" fontId="69" fillId="0" borderId="49" applyNumberFormat="0" applyFill="0" applyAlignment="0" applyProtection="0"/>
    <xf numFmtId="170" fontId="9" fillId="0" borderId="0" applyFont="0" applyFill="0" applyBorder="0" applyAlignment="0" applyProtection="0"/>
    <xf numFmtId="0" fontId="9" fillId="0" borderId="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70" fontId="9" fillId="0" borderId="0" applyFont="0" applyFill="0" applyBorder="0" applyAlignment="0" applyProtection="0"/>
    <xf numFmtId="0" fontId="9" fillId="0" borderId="0"/>
    <xf numFmtId="0" fontId="1" fillId="21" borderId="48" applyNumberFormat="0" applyFont="0" applyAlignment="0" applyProtection="0"/>
    <xf numFmtId="0" fontId="70" fillId="0" borderId="0" applyNumberForma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0" fontId="31" fillId="0" borderId="0"/>
    <xf numFmtId="41" fontId="1" fillId="0" borderId="0" applyFont="0" applyFill="0" applyBorder="0" applyAlignment="0" applyProtection="0"/>
  </cellStyleXfs>
  <cellXfs count="433">
    <xf numFmtId="0" fontId="0" fillId="0" borderId="0" xfId="0"/>
    <xf numFmtId="167" fontId="6" fillId="3" borderId="6" xfId="3" applyNumberFormat="1" applyFont="1" applyFill="1" applyBorder="1" applyAlignment="1">
      <alignment horizontal="center" vertical="center"/>
    </xf>
    <xf numFmtId="167" fontId="5" fillId="3" borderId="10" xfId="3" applyNumberFormat="1" applyFont="1" applyFill="1" applyBorder="1" applyAlignment="1">
      <alignment vertical="center" wrapText="1"/>
    </xf>
    <xf numFmtId="167" fontId="6" fillId="4" borderId="10" xfId="3" applyNumberFormat="1" applyFont="1" applyFill="1" applyBorder="1" applyAlignment="1">
      <alignment vertical="center" wrapText="1"/>
    </xf>
    <xf numFmtId="167" fontId="5" fillId="3" borderId="12" xfId="3" applyNumberFormat="1" applyFont="1" applyFill="1" applyBorder="1" applyAlignment="1">
      <alignment horizontal="left" vertical="center" wrapText="1"/>
    </xf>
    <xf numFmtId="167" fontId="8" fillId="0" borderId="19" xfId="1" applyNumberFormat="1" applyFont="1" applyFill="1" applyBorder="1"/>
    <xf numFmtId="167" fontId="7" fillId="3" borderId="7" xfId="1" applyNumberFormat="1" applyFont="1" applyFill="1" applyBorder="1"/>
    <xf numFmtId="167" fontId="4" fillId="5" borderId="16" xfId="3" applyNumberFormat="1" applyFont="1" applyFill="1" applyBorder="1" applyAlignment="1">
      <alignment horizontal="center" vertical="center"/>
    </xf>
    <xf numFmtId="167" fontId="3" fillId="5" borderId="15" xfId="3" applyNumberFormat="1" applyFont="1" applyFill="1" applyBorder="1" applyAlignment="1">
      <alignment horizontal="center" vertical="center" wrapText="1"/>
    </xf>
    <xf numFmtId="167" fontId="3" fillId="5" borderId="18" xfId="3" applyNumberFormat="1" applyFont="1" applyFill="1" applyBorder="1" applyAlignment="1">
      <alignment horizontal="center" vertical="center" wrapText="1"/>
    </xf>
    <xf numFmtId="0" fontId="3" fillId="5" borderId="18" xfId="3" applyNumberFormat="1" applyFont="1" applyFill="1" applyBorder="1" applyAlignment="1">
      <alignment horizontal="center" vertical="center" wrapText="1"/>
    </xf>
    <xf numFmtId="167" fontId="5" fillId="0" borderId="27" xfId="3" applyNumberFormat="1" applyFont="1" applyFill="1" applyBorder="1" applyAlignment="1">
      <alignment vertical="center" wrapText="1"/>
    </xf>
    <xf numFmtId="167" fontId="5" fillId="3" borderId="31" xfId="3" applyNumberFormat="1" applyFont="1" applyFill="1" applyBorder="1" applyAlignment="1">
      <alignment vertical="center" wrapText="1"/>
    </xf>
    <xf numFmtId="167" fontId="5" fillId="0" borderId="1" xfId="3" applyNumberFormat="1" applyFont="1" applyFill="1" applyBorder="1" applyAlignment="1">
      <alignment vertical="center" wrapText="1"/>
    </xf>
    <xf numFmtId="167" fontId="4" fillId="5" borderId="24" xfId="3" applyNumberFormat="1" applyFont="1" applyFill="1" applyBorder="1" applyAlignment="1">
      <alignment horizontal="center" vertical="center"/>
    </xf>
    <xf numFmtId="167" fontId="5" fillId="4" borderId="27" xfId="3" applyNumberFormat="1" applyFont="1" applyFill="1" applyBorder="1" applyAlignment="1">
      <alignment vertical="center" wrapText="1"/>
    </xf>
    <xf numFmtId="167" fontId="11" fillId="4" borderId="7" xfId="5" applyNumberFormat="1" applyFont="1" applyFill="1" applyBorder="1" applyAlignment="1">
      <alignment vertical="center" wrapText="1"/>
    </xf>
    <xf numFmtId="168" fontId="11" fillId="4" borderId="7" xfId="2" applyNumberFormat="1" applyFont="1" applyFill="1" applyBorder="1" applyAlignment="1">
      <alignment vertical="center" wrapText="1"/>
    </xf>
    <xf numFmtId="167" fontId="12" fillId="4" borderId="7" xfId="5" applyNumberFormat="1" applyFont="1" applyFill="1" applyBorder="1" applyAlignment="1">
      <alignment vertical="center" wrapText="1"/>
    </xf>
    <xf numFmtId="9" fontId="11" fillId="4" borderId="7" xfId="2" applyFont="1" applyFill="1" applyBorder="1" applyAlignment="1">
      <alignment vertical="center" wrapText="1"/>
    </xf>
    <xf numFmtId="167" fontId="4" fillId="5" borderId="7" xfId="5" applyNumberFormat="1" applyFont="1" applyFill="1" applyBorder="1" applyAlignment="1">
      <alignment horizontal="center" vertical="center" wrapText="1"/>
    </xf>
    <xf numFmtId="0" fontId="8" fillId="0" borderId="0" xfId="0" applyFont="1"/>
    <xf numFmtId="167" fontId="11" fillId="6" borderId="0" xfId="5" applyNumberFormat="1" applyFont="1" applyFill="1"/>
    <xf numFmtId="167" fontId="11" fillId="6" borderId="0" xfId="5" applyNumberFormat="1" applyFont="1" applyFill="1" applyBorder="1"/>
    <xf numFmtId="0" fontId="13" fillId="0" borderId="0" xfId="6" applyFont="1" applyAlignment="1" applyProtection="1"/>
    <xf numFmtId="167" fontId="11" fillId="4" borderId="0" xfId="5" applyNumberFormat="1" applyFont="1" applyFill="1" applyAlignment="1"/>
    <xf numFmtId="167" fontId="11" fillId="4" borderId="0" xfId="5" applyNumberFormat="1" applyFont="1" applyFill="1"/>
    <xf numFmtId="168" fontId="11" fillId="6" borderId="0" xfId="2" applyNumberFormat="1" applyFont="1" applyFill="1"/>
    <xf numFmtId="167" fontId="12" fillId="3" borderId="7" xfId="5" applyNumberFormat="1" applyFont="1" applyFill="1" applyBorder="1" applyAlignment="1">
      <alignment vertical="center" wrapText="1"/>
    </xf>
    <xf numFmtId="9" fontId="11" fillId="3" borderId="7" xfId="2" applyFont="1" applyFill="1" applyBorder="1" applyAlignment="1">
      <alignment vertical="center" wrapText="1"/>
    </xf>
    <xf numFmtId="9" fontId="12" fillId="3" borderId="7" xfId="2" applyFont="1" applyFill="1" applyBorder="1" applyAlignment="1">
      <alignment vertical="center" wrapText="1"/>
    </xf>
    <xf numFmtId="167" fontId="12" fillId="0" borderId="0" xfId="5" applyNumberFormat="1" applyFont="1" applyFill="1" applyBorder="1" applyAlignment="1">
      <alignment vertical="center" wrapText="1"/>
    </xf>
    <xf numFmtId="9" fontId="11" fillId="0" borderId="0" xfId="2" applyFont="1" applyFill="1" applyBorder="1" applyAlignment="1">
      <alignment vertical="center" wrapText="1"/>
    </xf>
    <xf numFmtId="9" fontId="12" fillId="0" borderId="0" xfId="2" applyFont="1" applyFill="1" applyBorder="1" applyAlignment="1">
      <alignment vertical="center" wrapText="1"/>
    </xf>
    <xf numFmtId="167" fontId="11" fillId="6" borderId="0" xfId="5" applyNumberFormat="1" applyFont="1" applyFill="1" applyAlignment="1">
      <alignment wrapText="1"/>
    </xf>
    <xf numFmtId="167" fontId="6" fillId="4" borderId="7" xfId="5" applyNumberFormat="1" applyFont="1" applyFill="1" applyBorder="1" applyAlignment="1">
      <alignment vertical="center" wrapText="1"/>
    </xf>
    <xf numFmtId="168" fontId="6" fillId="4" borderId="7" xfId="2" applyNumberFormat="1" applyFont="1" applyFill="1" applyBorder="1" applyAlignment="1">
      <alignment vertical="center" wrapText="1"/>
    </xf>
    <xf numFmtId="167" fontId="5" fillId="4" borderId="7" xfId="5" applyNumberFormat="1" applyFont="1" applyFill="1" applyBorder="1" applyAlignment="1">
      <alignment vertical="center" wrapText="1"/>
    </xf>
    <xf numFmtId="9" fontId="6" fillId="4" borderId="7" xfId="2" applyFont="1" applyFill="1" applyBorder="1" applyAlignment="1">
      <alignment vertical="center" wrapText="1"/>
    </xf>
    <xf numFmtId="9" fontId="12" fillId="4" borderId="7" xfId="2" applyFont="1" applyFill="1" applyBorder="1" applyAlignment="1">
      <alignment vertical="center" wrapText="1"/>
    </xf>
    <xf numFmtId="0" fontId="7" fillId="0" borderId="0" xfId="0" applyFont="1"/>
    <xf numFmtId="167" fontId="5" fillId="3" borderId="7" xfId="5" applyNumberFormat="1" applyFont="1" applyFill="1" applyBorder="1" applyAlignment="1">
      <alignment vertical="center" wrapText="1"/>
    </xf>
    <xf numFmtId="9" fontId="11" fillId="0" borderId="0" xfId="7" applyFont="1" applyFill="1" applyBorder="1" applyAlignment="1">
      <alignment vertical="center" wrapText="1"/>
    </xf>
    <xf numFmtId="9" fontId="12" fillId="0" borderId="0" xfId="7" applyFont="1" applyFill="1" applyBorder="1" applyAlignment="1">
      <alignment vertical="center" wrapText="1"/>
    </xf>
    <xf numFmtId="167" fontId="11" fillId="0" borderId="0" xfId="5" applyNumberFormat="1" applyFont="1" applyFill="1" applyAlignment="1">
      <alignment wrapText="1"/>
    </xf>
    <xf numFmtId="167" fontId="11" fillId="0" borderId="0" xfId="5" applyNumberFormat="1" applyFont="1" applyFill="1"/>
    <xf numFmtId="167" fontId="11" fillId="0" borderId="7" xfId="5" applyNumberFormat="1" applyFont="1" applyFill="1" applyBorder="1" applyAlignment="1">
      <alignment vertical="center" wrapText="1"/>
    </xf>
    <xf numFmtId="167" fontId="12" fillId="0" borderId="7" xfId="5" applyNumberFormat="1" applyFont="1" applyFill="1" applyBorder="1" applyAlignment="1">
      <alignment vertical="center" wrapText="1"/>
    </xf>
    <xf numFmtId="167" fontId="11" fillId="4" borderId="0" xfId="5" applyNumberFormat="1" applyFont="1" applyFill="1" applyBorder="1" applyAlignment="1"/>
    <xf numFmtId="167" fontId="11" fillId="4" borderId="7" xfId="5" applyNumberFormat="1" applyFont="1" applyFill="1" applyBorder="1" applyAlignment="1">
      <alignment horizontal="right" vertical="center" wrapText="1"/>
    </xf>
    <xf numFmtId="168" fontId="11" fillId="4" borderId="7" xfId="2" applyNumberFormat="1" applyFont="1" applyFill="1" applyBorder="1" applyAlignment="1">
      <alignment horizontal="right" vertical="center" wrapText="1"/>
    </xf>
    <xf numFmtId="167" fontId="12" fillId="4" borderId="7" xfId="5" applyNumberFormat="1" applyFont="1" applyFill="1" applyBorder="1" applyAlignment="1">
      <alignment horizontal="right" vertical="center" wrapText="1"/>
    </xf>
    <xf numFmtId="9" fontId="11" fillId="4" borderId="7" xfId="2" applyFont="1" applyFill="1" applyBorder="1" applyAlignment="1">
      <alignment horizontal="right" vertical="center" wrapText="1"/>
    </xf>
    <xf numFmtId="9" fontId="11" fillId="6" borderId="0" xfId="2" applyFont="1" applyFill="1"/>
    <xf numFmtId="167" fontId="12" fillId="4" borderId="0" xfId="5" applyNumberFormat="1" applyFont="1" applyFill="1" applyBorder="1" applyAlignment="1"/>
    <xf numFmtId="167" fontId="11" fillId="4" borderId="0" xfId="5" applyNumberFormat="1" applyFont="1" applyFill="1" applyBorder="1"/>
    <xf numFmtId="167" fontId="14" fillId="6" borderId="0" xfId="5" applyNumberFormat="1" applyFont="1" applyFill="1" applyBorder="1" applyAlignment="1">
      <alignment horizontal="center" vertical="center" wrapText="1"/>
    </xf>
    <xf numFmtId="167" fontId="8" fillId="6" borderId="0" xfId="5" applyNumberFormat="1" applyFont="1" applyFill="1" applyBorder="1" applyAlignment="1">
      <alignment horizontal="center" vertical="center"/>
    </xf>
    <xf numFmtId="167" fontId="14" fillId="6" borderId="0" xfId="5" applyNumberFormat="1" applyFont="1" applyFill="1" applyBorder="1" applyAlignment="1">
      <alignment vertical="center" wrapText="1"/>
    </xf>
    <xf numFmtId="167" fontId="12" fillId="6" borderId="0" xfId="5" applyNumberFormat="1" applyFont="1" applyFill="1" applyBorder="1" applyAlignment="1">
      <alignment horizontal="center" vertical="center" wrapText="1"/>
    </xf>
    <xf numFmtId="10" fontId="12" fillId="6" borderId="0" xfId="7" applyNumberFormat="1" applyFont="1" applyFill="1" applyBorder="1" applyAlignment="1">
      <alignment vertical="center" wrapText="1"/>
    </xf>
    <xf numFmtId="0" fontId="8" fillId="0" borderId="0" xfId="0" applyFont="1" applyAlignment="1">
      <alignment vertical="top"/>
    </xf>
    <xf numFmtId="0" fontId="15" fillId="0" borderId="0" xfId="0" applyFont="1"/>
    <xf numFmtId="0" fontId="8" fillId="0" borderId="0" xfId="0" applyFont="1" applyAlignment="1">
      <alignment horizontal="left" vertical="top" wrapText="1"/>
    </xf>
    <xf numFmtId="169" fontId="8" fillId="0" borderId="0" xfId="0" applyNumberFormat="1" applyFont="1"/>
    <xf numFmtId="168" fontId="8" fillId="0" borderId="0" xfId="2" applyNumberFormat="1" applyFont="1"/>
    <xf numFmtId="17" fontId="7" fillId="11" borderId="7" xfId="0" applyNumberFormat="1" applyFont="1" applyFill="1" applyBorder="1" applyAlignment="1">
      <alignment horizontal="left"/>
    </xf>
    <xf numFmtId="0" fontId="7" fillId="11" borderId="7" xfId="0" applyFont="1" applyFill="1" applyBorder="1" applyAlignment="1">
      <alignment horizontal="left"/>
    </xf>
    <xf numFmtId="167" fontId="5" fillId="11" borderId="7" xfId="1" applyNumberFormat="1" applyFont="1" applyFill="1" applyBorder="1"/>
    <xf numFmtId="17" fontId="8" fillId="4" borderId="7" xfId="0" applyNumberFormat="1" applyFont="1" applyFill="1" applyBorder="1" applyAlignment="1">
      <alignment horizontal="left"/>
    </xf>
    <xf numFmtId="167" fontId="6" fillId="4" borderId="7" xfId="1" applyNumberFormat="1" applyFont="1" applyFill="1" applyBorder="1"/>
    <xf numFmtId="167" fontId="8" fillId="4" borderId="7" xfId="1" applyNumberFormat="1" applyFont="1" applyFill="1" applyBorder="1"/>
    <xf numFmtId="167" fontId="8" fillId="4" borderId="7" xfId="1" applyNumberFormat="1" applyFont="1" applyFill="1" applyBorder="1" applyAlignment="1">
      <alignment horizontal="right"/>
    </xf>
    <xf numFmtId="167" fontId="7" fillId="4" borderId="7" xfId="1" applyNumberFormat="1" applyFont="1" applyFill="1" applyBorder="1" applyAlignment="1">
      <alignment horizontal="right"/>
    </xf>
    <xf numFmtId="0" fontId="7" fillId="4" borderId="7" xfId="0" applyFont="1" applyFill="1" applyBorder="1" applyAlignment="1">
      <alignment horizontal="right"/>
    </xf>
    <xf numFmtId="167" fontId="7" fillId="3" borderId="7" xfId="1" applyNumberFormat="1" applyFont="1" applyFill="1" applyBorder="1" applyAlignment="1">
      <alignment horizontal="right"/>
    </xf>
    <xf numFmtId="0" fontId="8" fillId="4" borderId="7" xfId="0" applyFont="1" applyFill="1" applyBorder="1" applyAlignment="1">
      <alignment horizontal="right"/>
    </xf>
    <xf numFmtId="167" fontId="8" fillId="3" borderId="7" xfId="1" applyNumberFormat="1" applyFont="1" applyFill="1" applyBorder="1" applyAlignment="1">
      <alignment horizontal="right"/>
    </xf>
    <xf numFmtId="17" fontId="8" fillId="0" borderId="7" xfId="0" applyNumberFormat="1" applyFont="1" applyBorder="1" applyAlignment="1">
      <alignment horizontal="left"/>
    </xf>
    <xf numFmtId="17" fontId="8" fillId="4" borderId="22" xfId="0" applyNumberFormat="1" applyFont="1" applyFill="1" applyBorder="1" applyAlignment="1">
      <alignment horizontal="left"/>
    </xf>
    <xf numFmtId="167" fontId="7" fillId="3" borderId="7" xfId="0" applyNumberFormat="1" applyFont="1" applyFill="1" applyBorder="1"/>
    <xf numFmtId="0" fontId="7" fillId="3" borderId="7" xfId="0" applyFont="1" applyFill="1" applyBorder="1" applyAlignment="1">
      <alignment horizontal="left"/>
    </xf>
    <xf numFmtId="3" fontId="8" fillId="8" borderId="7" xfId="0" applyNumberFormat="1" applyFont="1" applyFill="1" applyBorder="1" applyAlignment="1">
      <alignment horizontal="center" vertical="center"/>
    </xf>
    <xf numFmtId="0" fontId="8" fillId="8" borderId="7" xfId="0" applyFont="1" applyFill="1" applyBorder="1" applyAlignment="1">
      <alignment horizontal="center" vertical="center"/>
    </xf>
    <xf numFmtId="0" fontId="8" fillId="4" borderId="7" xfId="0" applyFont="1" applyFill="1" applyBorder="1" applyAlignment="1">
      <alignment horizontal="center" vertical="center"/>
    </xf>
    <xf numFmtId="3" fontId="8" fillId="4" borderId="7" xfId="0" applyNumberFormat="1" applyFont="1" applyFill="1" applyBorder="1" applyAlignment="1">
      <alignment horizontal="center" vertical="center"/>
    </xf>
    <xf numFmtId="0" fontId="8" fillId="0" borderId="0" xfId="0" applyFont="1" applyAlignment="1">
      <alignment vertical="top" wrapText="1"/>
    </xf>
    <xf numFmtId="0" fontId="0" fillId="13" borderId="0" xfId="0" applyFill="1"/>
    <xf numFmtId="0" fontId="10" fillId="0" borderId="0" xfId="6" applyAlignment="1" applyProtection="1"/>
    <xf numFmtId="167" fontId="13" fillId="6" borderId="0" xfId="5" applyNumberFormat="1" applyFont="1" applyFill="1" applyBorder="1"/>
    <xf numFmtId="0" fontId="13" fillId="0" borderId="0" xfId="0" applyFont="1"/>
    <xf numFmtId="0" fontId="21" fillId="0" borderId="0" xfId="0" applyFont="1"/>
    <xf numFmtId="0" fontId="20" fillId="0" borderId="0" xfId="0" applyFont="1"/>
    <xf numFmtId="0" fontId="10" fillId="0" borderId="0" xfId="6" quotePrefix="1" applyFill="1" applyBorder="1" applyAlignment="1" applyProtection="1"/>
    <xf numFmtId="0" fontId="10" fillId="0" borderId="0" xfId="6" quotePrefix="1" applyAlignment="1" applyProtection="1"/>
    <xf numFmtId="0" fontId="15" fillId="0" borderId="0" xfId="0" applyFont="1" applyAlignment="1">
      <alignment vertical="center" wrapText="1"/>
    </xf>
    <xf numFmtId="0" fontId="20" fillId="13" borderId="0" xfId="0" applyFont="1" applyFill="1"/>
    <xf numFmtId="0" fontId="22" fillId="0" borderId="0" xfId="0" applyFont="1"/>
    <xf numFmtId="0" fontId="15" fillId="0" borderId="32" xfId="0" applyFont="1" applyBorder="1"/>
    <xf numFmtId="0" fontId="22" fillId="0" borderId="39" xfId="0" applyFont="1" applyBorder="1"/>
    <xf numFmtId="0" fontId="22" fillId="0" borderId="11" xfId="0" applyFont="1" applyBorder="1"/>
    <xf numFmtId="0" fontId="22" fillId="0" borderId="40" xfId="0" applyFont="1" applyBorder="1"/>
    <xf numFmtId="0" fontId="22" fillId="0" borderId="19" xfId="0" applyFont="1" applyBorder="1"/>
    <xf numFmtId="0" fontId="23" fillId="0" borderId="0" xfId="6" applyFont="1" applyAlignment="1" applyProtection="1"/>
    <xf numFmtId="0" fontId="25" fillId="0" borderId="0" xfId="6" applyFont="1" applyAlignment="1" applyProtection="1"/>
    <xf numFmtId="0" fontId="25" fillId="0" borderId="0" xfId="6" quotePrefix="1" applyFont="1" applyAlignment="1" applyProtection="1"/>
    <xf numFmtId="0" fontId="22" fillId="0" borderId="38" xfId="0" applyFont="1" applyBorder="1"/>
    <xf numFmtId="0" fontId="22" fillId="0" borderId="13" xfId="0" applyFont="1" applyBorder="1"/>
    <xf numFmtId="0" fontId="22" fillId="0" borderId="21" xfId="0" applyFont="1" applyBorder="1"/>
    <xf numFmtId="0" fontId="17" fillId="0" borderId="0" xfId="0" applyFont="1" applyAlignment="1">
      <alignment horizontal="left" vertical="center"/>
    </xf>
    <xf numFmtId="0" fontId="26" fillId="0" borderId="0" xfId="6" applyFont="1" applyAlignment="1" applyProtection="1"/>
    <xf numFmtId="0" fontId="28" fillId="0" borderId="7" xfId="9" applyFont="1" applyBorder="1" applyAlignment="1">
      <alignment horizontal="center" vertical="center"/>
    </xf>
    <xf numFmtId="0" fontId="28" fillId="0" borderId="7" xfId="10" applyFont="1" applyBorder="1" applyAlignment="1">
      <alignment horizontal="center" vertical="center"/>
    </xf>
    <xf numFmtId="17" fontId="22" fillId="0" borderId="7" xfId="0" applyNumberFormat="1" applyFont="1" applyBorder="1" applyAlignment="1">
      <alignment horizontal="left"/>
    </xf>
    <xf numFmtId="17" fontId="30" fillId="0" borderId="7" xfId="0" applyNumberFormat="1" applyFont="1" applyBorder="1" applyAlignment="1">
      <alignment horizontal="left" vertical="center"/>
    </xf>
    <xf numFmtId="3" fontId="30" fillId="0" borderId="7" xfId="0" applyNumberFormat="1" applyFont="1" applyBorder="1" applyAlignment="1">
      <alignment horizontal="right" vertical="center"/>
    </xf>
    <xf numFmtId="0" fontId="32" fillId="7" borderId="7" xfId="0" applyFont="1" applyFill="1" applyBorder="1" applyAlignment="1">
      <alignment horizontal="left" vertical="center"/>
    </xf>
    <xf numFmtId="3" fontId="32" fillId="3" borderId="7" xfId="0" applyNumberFormat="1" applyFont="1" applyFill="1" applyBorder="1" applyAlignment="1">
      <alignment horizontal="right" vertical="center"/>
    </xf>
    <xf numFmtId="0" fontId="11" fillId="0" borderId="7" xfId="10" applyFont="1" applyBorder="1" applyAlignment="1">
      <alignment horizontal="right"/>
    </xf>
    <xf numFmtId="3" fontId="8" fillId="0" borderId="7" xfId="13" applyNumberFormat="1" applyFont="1" applyBorder="1" applyAlignment="1">
      <alignment horizontal="right"/>
    </xf>
    <xf numFmtId="3" fontId="6" fillId="0" borderId="7" xfId="13" applyNumberFormat="1" applyFont="1" applyBorder="1" applyAlignment="1">
      <alignment horizontal="right"/>
    </xf>
    <xf numFmtId="3" fontId="11" fillId="0" borderId="7" xfId="10" applyNumberFormat="1" applyFont="1" applyBorder="1" applyAlignment="1">
      <alignment horizontal="right"/>
    </xf>
    <xf numFmtId="3" fontId="8" fillId="0" borderId="7" xfId="10" applyNumberFormat="1" applyFont="1" applyBorder="1" applyAlignment="1">
      <alignment horizontal="right"/>
    </xf>
    <xf numFmtId="3" fontId="6" fillId="0" borderId="7" xfId="10" applyNumberFormat="1" applyFont="1" applyBorder="1" applyAlignment="1">
      <alignment horizontal="right"/>
    </xf>
    <xf numFmtId="0" fontId="15" fillId="4" borderId="7" xfId="0" applyFont="1" applyFill="1" applyBorder="1" applyAlignment="1">
      <alignment horizontal="left"/>
    </xf>
    <xf numFmtId="167" fontId="15" fillId="0" borderId="7" xfId="1" applyNumberFormat="1" applyFont="1" applyBorder="1"/>
    <xf numFmtId="0" fontId="0" fillId="0" borderId="0" xfId="0" applyAlignment="1">
      <alignment horizontal="left" vertical="top" wrapText="1"/>
    </xf>
    <xf numFmtId="0" fontId="3" fillId="5" borderId="7" xfId="0" applyFont="1" applyFill="1" applyBorder="1" applyAlignment="1">
      <alignment horizontal="center"/>
    </xf>
    <xf numFmtId="0" fontId="3" fillId="5" borderId="7" xfId="0" applyFont="1" applyFill="1" applyBorder="1" applyAlignment="1">
      <alignment horizontal="center" vertical="center" wrapText="1"/>
    </xf>
    <xf numFmtId="167" fontId="7" fillId="3" borderId="19" xfId="1" applyNumberFormat="1" applyFont="1" applyFill="1" applyBorder="1"/>
    <xf numFmtId="167" fontId="7" fillId="0" borderId="19" xfId="1" applyNumberFormat="1" applyFont="1" applyFill="1" applyBorder="1"/>
    <xf numFmtId="0" fontId="32" fillId="7" borderId="7" xfId="0" applyFont="1" applyFill="1" applyBorder="1" applyAlignment="1">
      <alignment horizontal="left" vertical="center" wrapText="1"/>
    </xf>
    <xf numFmtId="0" fontId="30" fillId="7" borderId="7" xfId="0" applyFont="1" applyFill="1" applyBorder="1" applyAlignment="1">
      <alignment horizontal="center" vertical="center" wrapText="1"/>
    </xf>
    <xf numFmtId="3" fontId="32" fillId="7" borderId="7" xfId="0" applyNumberFormat="1" applyFont="1" applyFill="1" applyBorder="1" applyAlignment="1">
      <alignment horizontal="right" vertical="center" wrapText="1"/>
    </xf>
    <xf numFmtId="0" fontId="30" fillId="0" borderId="7" xfId="0" applyFont="1" applyBorder="1" applyAlignment="1">
      <alignment horizontal="right" vertical="center"/>
    </xf>
    <xf numFmtId="3" fontId="30" fillId="8" borderId="7" xfId="0" applyNumberFormat="1" applyFont="1" applyFill="1" applyBorder="1" applyAlignment="1">
      <alignment horizontal="right" vertical="center"/>
    </xf>
    <xf numFmtId="0" fontId="30" fillId="8" borderId="7" xfId="0" applyFont="1" applyFill="1" applyBorder="1" applyAlignment="1">
      <alignment horizontal="right" vertical="center"/>
    </xf>
    <xf numFmtId="3" fontId="32" fillId="7" borderId="7" xfId="0" applyNumberFormat="1" applyFont="1" applyFill="1" applyBorder="1" applyAlignment="1">
      <alignment horizontal="right" vertical="center"/>
    </xf>
    <xf numFmtId="167" fontId="8" fillId="11" borderId="7" xfId="1" applyNumberFormat="1" applyFont="1" applyFill="1" applyBorder="1"/>
    <xf numFmtId="17" fontId="15" fillId="4" borderId="7" xfId="0" applyNumberFormat="1" applyFont="1" applyFill="1" applyBorder="1" applyAlignment="1">
      <alignment horizontal="left"/>
    </xf>
    <xf numFmtId="167" fontId="15" fillId="4" borderId="7" xfId="1" applyNumberFormat="1" applyFont="1" applyFill="1" applyBorder="1"/>
    <xf numFmtId="17" fontId="22" fillId="4" borderId="7" xfId="0" applyNumberFormat="1" applyFont="1" applyFill="1" applyBorder="1" applyAlignment="1">
      <alignment horizontal="left"/>
    </xf>
    <xf numFmtId="167" fontId="22" fillId="4" borderId="7" xfId="1" applyNumberFormat="1" applyFont="1" applyFill="1" applyBorder="1"/>
    <xf numFmtId="167" fontId="22" fillId="0" borderId="7" xfId="1" applyNumberFormat="1" applyFont="1" applyFill="1" applyBorder="1"/>
    <xf numFmtId="0" fontId="22" fillId="0" borderId="7" xfId="0" applyFont="1" applyBorder="1"/>
    <xf numFmtId="167" fontId="15" fillId="0" borderId="7" xfId="0" applyNumberFormat="1" applyFont="1" applyBorder="1"/>
    <xf numFmtId="167" fontId="15" fillId="0" borderId="7" xfId="1" applyNumberFormat="1" applyFont="1" applyFill="1" applyBorder="1"/>
    <xf numFmtId="0" fontId="15" fillId="0" borderId="7" xfId="0" applyFont="1" applyBorder="1"/>
    <xf numFmtId="0" fontId="38" fillId="5" borderId="7" xfId="0" applyFont="1" applyFill="1" applyBorder="1" applyAlignment="1">
      <alignment horizontal="center" vertical="center"/>
    </xf>
    <xf numFmtId="0" fontId="38" fillId="5" borderId="7" xfId="0" applyFont="1" applyFill="1" applyBorder="1" applyAlignment="1">
      <alignment horizontal="center"/>
    </xf>
    <xf numFmtId="0" fontId="6" fillId="14" borderId="7" xfId="0" applyFont="1" applyFill="1" applyBorder="1" applyAlignment="1">
      <alignment horizontal="center" vertical="center" wrapText="1"/>
    </xf>
    <xf numFmtId="167" fontId="7" fillId="11" borderId="7" xfId="1" applyNumberFormat="1" applyFont="1" applyFill="1" applyBorder="1"/>
    <xf numFmtId="17" fontId="7" fillId="12" borderId="7" xfId="0" applyNumberFormat="1" applyFont="1" applyFill="1" applyBorder="1" applyAlignment="1">
      <alignment horizontal="left"/>
    </xf>
    <xf numFmtId="167" fontId="7" fillId="12" borderId="7" xfId="0" applyNumberFormat="1" applyFont="1" applyFill="1" applyBorder="1"/>
    <xf numFmtId="167" fontId="22" fillId="0" borderId="7" xfId="1" applyNumberFormat="1" applyFont="1" applyBorder="1"/>
    <xf numFmtId="17" fontId="8" fillId="8" borderId="7" xfId="0" applyNumberFormat="1" applyFont="1" applyFill="1" applyBorder="1" applyAlignment="1">
      <alignment horizontal="left" vertical="center"/>
    </xf>
    <xf numFmtId="167" fontId="7" fillId="12" borderId="7" xfId="0" applyNumberFormat="1" applyFont="1" applyFill="1" applyBorder="1" applyAlignment="1">
      <alignment horizontal="right"/>
    </xf>
    <xf numFmtId="3" fontId="6" fillId="0" borderId="7" xfId="10" applyNumberFormat="1" applyFont="1" applyBorder="1" applyAlignment="1">
      <alignment horizontal="center"/>
    </xf>
    <xf numFmtId="0" fontId="6" fillId="0" borderId="7" xfId="10" applyFont="1" applyBorder="1" applyAlignment="1">
      <alignment horizontal="center" vertical="center"/>
    </xf>
    <xf numFmtId="3" fontId="18" fillId="8" borderId="7" xfId="14" applyNumberFormat="1" applyFont="1" applyFill="1" applyBorder="1" applyAlignment="1">
      <alignment horizontal="center" wrapText="1"/>
    </xf>
    <xf numFmtId="0" fontId="16" fillId="5" borderId="7" xfId="0" applyFont="1" applyFill="1" applyBorder="1" applyAlignment="1">
      <alignment horizontal="center" vertical="center"/>
    </xf>
    <xf numFmtId="0" fontId="16" fillId="5" borderId="7" xfId="0" applyFont="1" applyFill="1" applyBorder="1" applyAlignment="1">
      <alignment horizontal="center" vertical="center" wrapText="1"/>
    </xf>
    <xf numFmtId="3" fontId="8" fillId="0" borderId="7" xfId="12" applyNumberFormat="1" applyFont="1" applyBorder="1"/>
    <xf numFmtId="3" fontId="8" fillId="0" borderId="23" xfId="15" applyNumberFormat="1" applyFont="1" applyBorder="1"/>
    <xf numFmtId="3" fontId="8" fillId="0" borderId="7" xfId="15" applyNumberFormat="1" applyFont="1" applyBorder="1"/>
    <xf numFmtId="3" fontId="8" fillId="0" borderId="7" xfId="49" applyNumberFormat="1" applyFont="1" applyBorder="1"/>
    <xf numFmtId="167" fontId="6" fillId="3" borderId="7" xfId="3" applyNumberFormat="1" applyFont="1" applyFill="1" applyBorder="1" applyAlignment="1">
      <alignment horizontal="center" vertical="center"/>
    </xf>
    <xf numFmtId="167" fontId="6" fillId="3" borderId="59" xfId="3" applyNumberFormat="1" applyFont="1" applyFill="1" applyBorder="1" applyAlignment="1">
      <alignment horizontal="center" vertical="center"/>
    </xf>
    <xf numFmtId="0" fontId="33" fillId="5" borderId="7" xfId="0" applyFont="1" applyFill="1" applyBorder="1" applyAlignment="1">
      <alignment horizontal="center" vertical="center" wrapText="1"/>
    </xf>
    <xf numFmtId="167" fontId="4" fillId="5" borderId="26" xfId="3" applyNumberFormat="1" applyFont="1" applyFill="1" applyBorder="1" applyAlignment="1">
      <alignment horizontal="center" vertical="center"/>
    </xf>
    <xf numFmtId="167" fontId="3" fillId="5" borderId="26" xfId="3" applyNumberFormat="1" applyFont="1" applyFill="1" applyBorder="1" applyAlignment="1">
      <alignment horizontal="center" vertical="center" wrapText="1"/>
    </xf>
    <xf numFmtId="167" fontId="3" fillId="5" borderId="60" xfId="3" applyNumberFormat="1" applyFont="1" applyFill="1" applyBorder="1" applyAlignment="1">
      <alignment horizontal="center" vertical="center" wrapText="1"/>
    </xf>
    <xf numFmtId="3" fontId="32" fillId="9" borderId="7" xfId="0" applyNumberFormat="1" applyFont="1" applyFill="1" applyBorder="1" applyAlignment="1">
      <alignment horizontal="right" vertical="center"/>
    </xf>
    <xf numFmtId="168" fontId="12" fillId="0" borderId="7" xfId="2" applyNumberFormat="1" applyFont="1" applyFill="1" applyBorder="1" applyAlignment="1">
      <alignment vertical="center" wrapText="1"/>
    </xf>
    <xf numFmtId="168" fontId="11" fillId="0" borderId="7" xfId="2" applyNumberFormat="1" applyFont="1" applyFill="1" applyBorder="1" applyAlignment="1">
      <alignment vertical="center" wrapText="1"/>
    </xf>
    <xf numFmtId="17" fontId="18" fillId="0" borderId="7" xfId="0" applyNumberFormat="1" applyFont="1" applyBorder="1" applyAlignment="1">
      <alignment horizontal="left" vertical="center"/>
    </xf>
    <xf numFmtId="3" fontId="8" fillId="0" borderId="7" xfId="192" applyNumberFormat="1" applyFont="1" applyBorder="1"/>
    <xf numFmtId="17" fontId="17" fillId="3" borderId="7" xfId="0" applyNumberFormat="1" applyFont="1" applyFill="1" applyBorder="1" applyAlignment="1">
      <alignment horizontal="left" vertical="center"/>
    </xf>
    <xf numFmtId="3" fontId="18" fillId="3" borderId="7" xfId="0" applyNumberFormat="1" applyFont="1" applyFill="1" applyBorder="1" applyAlignment="1">
      <alignment horizontal="right" vertical="center"/>
    </xf>
    <xf numFmtId="0" fontId="17" fillId="10" borderId="7" xfId="0" applyFont="1" applyFill="1" applyBorder="1" applyAlignment="1">
      <alignment horizontal="left" vertical="center"/>
    </xf>
    <xf numFmtId="3" fontId="17" fillId="10" borderId="7" xfId="0" applyNumberFormat="1" applyFont="1" applyFill="1" applyBorder="1" applyAlignment="1">
      <alignment horizontal="right" vertical="center"/>
    </xf>
    <xf numFmtId="3" fontId="6" fillId="0" borderId="7" xfId="241" applyNumberFormat="1" applyFont="1" applyBorder="1" applyAlignment="1">
      <alignment horizontal="center"/>
    </xf>
    <xf numFmtId="3" fontId="18" fillId="8" borderId="65" xfId="241" applyNumberFormat="1" applyFont="1" applyFill="1" applyBorder="1" applyAlignment="1">
      <alignment horizontal="center" wrapText="1"/>
    </xf>
    <xf numFmtId="167" fontId="6" fillId="0" borderId="30" xfId="3" applyNumberFormat="1" applyFont="1" applyFill="1" applyBorder="1" applyAlignment="1">
      <alignment horizontal="center" vertical="center" wrapText="1"/>
    </xf>
    <xf numFmtId="167" fontId="6" fillId="0" borderId="61" xfId="3" applyNumberFormat="1" applyFont="1" applyFill="1" applyBorder="1" applyAlignment="1">
      <alignment horizontal="center" vertical="center" wrapText="1"/>
    </xf>
    <xf numFmtId="167" fontId="6" fillId="0" borderId="55" xfId="3" applyNumberFormat="1" applyFont="1" applyFill="1" applyBorder="1" applyAlignment="1">
      <alignment horizontal="center" vertical="center" wrapText="1"/>
    </xf>
    <xf numFmtId="167" fontId="6" fillId="0" borderId="62" xfId="3" applyNumberFormat="1" applyFont="1" applyFill="1" applyBorder="1" applyAlignment="1">
      <alignment horizontal="center" vertical="center" wrapText="1"/>
    </xf>
    <xf numFmtId="167" fontId="6" fillId="0" borderId="9" xfId="3" applyNumberFormat="1" applyFont="1" applyFill="1" applyBorder="1" applyAlignment="1">
      <alignment horizontal="center" vertical="center" wrapText="1"/>
    </xf>
    <xf numFmtId="167" fontId="6" fillId="0" borderId="7" xfId="3" applyNumberFormat="1" applyFont="1" applyFill="1" applyBorder="1" applyAlignment="1">
      <alignment horizontal="center" vertical="center" wrapText="1"/>
    </xf>
    <xf numFmtId="167" fontId="6" fillId="0" borderId="22" xfId="3" applyNumberFormat="1" applyFont="1" applyFill="1" applyBorder="1" applyAlignment="1">
      <alignment horizontal="center" vertical="center" wrapText="1"/>
    </xf>
    <xf numFmtId="167" fontId="6" fillId="0" borderId="8" xfId="3" applyNumberFormat="1" applyFont="1" applyFill="1" applyBorder="1" applyAlignment="1">
      <alignment horizontal="center" vertical="center" wrapText="1"/>
    </xf>
    <xf numFmtId="167" fontId="5" fillId="45" borderId="51" xfId="3" applyNumberFormat="1" applyFont="1" applyFill="1" applyBorder="1" applyAlignment="1">
      <alignment horizontal="center" vertical="center" wrapText="1"/>
    </xf>
    <xf numFmtId="167" fontId="5" fillId="45" borderId="52" xfId="3" applyNumberFormat="1" applyFont="1" applyFill="1" applyBorder="1" applyAlignment="1">
      <alignment horizontal="center" vertical="center" wrapText="1"/>
    </xf>
    <xf numFmtId="167" fontId="5" fillId="45" borderId="56" xfId="3" applyNumberFormat="1" applyFont="1" applyFill="1" applyBorder="1" applyAlignment="1">
      <alignment horizontal="center" vertical="center" wrapText="1"/>
    </xf>
    <xf numFmtId="167" fontId="5" fillId="45" borderId="53" xfId="3" applyNumberFormat="1" applyFont="1" applyFill="1" applyBorder="1" applyAlignment="1">
      <alignment horizontal="center" vertical="center" wrapText="1"/>
    </xf>
    <xf numFmtId="9" fontId="5" fillId="0" borderId="33" xfId="2" applyFont="1" applyFill="1" applyBorder="1" applyAlignment="1">
      <alignment horizontal="center" vertical="center" wrapText="1"/>
    </xf>
    <xf numFmtId="9" fontId="5" fillId="0" borderId="34" xfId="2" applyFont="1" applyFill="1" applyBorder="1" applyAlignment="1">
      <alignment horizontal="center" vertical="center" wrapText="1"/>
    </xf>
    <xf numFmtId="9" fontId="5" fillId="0" borderId="36" xfId="2" applyFont="1" applyFill="1" applyBorder="1" applyAlignment="1">
      <alignment horizontal="center" vertical="center" wrapText="1"/>
    </xf>
    <xf numFmtId="9" fontId="5" fillId="0" borderId="35" xfId="2" applyFont="1" applyFill="1" applyBorder="1" applyAlignment="1">
      <alignment horizontal="center" vertical="center" wrapText="1"/>
    </xf>
    <xf numFmtId="167" fontId="6" fillId="4" borderId="28" xfId="3" applyNumberFormat="1" applyFont="1" applyFill="1" applyBorder="1" applyAlignment="1">
      <alignment horizontal="center" vertical="center" wrapText="1"/>
    </xf>
    <xf numFmtId="167" fontId="6" fillId="4" borderId="20" xfId="3" applyNumberFormat="1" applyFont="1" applyFill="1" applyBorder="1" applyAlignment="1">
      <alignment horizontal="center" vertical="center" wrapText="1"/>
    </xf>
    <xf numFmtId="167" fontId="6" fillId="4" borderId="54" xfId="3" applyNumberFormat="1" applyFont="1" applyFill="1" applyBorder="1" applyAlignment="1">
      <alignment horizontal="center" vertical="center" wrapText="1"/>
    </xf>
    <xf numFmtId="167" fontId="6" fillId="4" borderId="9" xfId="3" applyNumberFormat="1" applyFont="1" applyFill="1" applyBorder="1" applyAlignment="1">
      <alignment horizontal="center" vertical="center" wrapText="1"/>
    </xf>
    <xf numFmtId="167" fontId="6" fillId="4" borderId="7" xfId="3" applyNumberFormat="1" applyFont="1" applyFill="1" applyBorder="1" applyAlignment="1">
      <alignment horizontal="center" vertical="center" wrapText="1"/>
    </xf>
    <xf numFmtId="167" fontId="6" fillId="4" borderId="8" xfId="3" applyNumberFormat="1" applyFont="1" applyFill="1" applyBorder="1" applyAlignment="1">
      <alignment horizontal="center" vertical="center" wrapText="1"/>
    </xf>
    <xf numFmtId="9" fontId="5" fillId="0" borderId="51" xfId="2" applyFont="1" applyFill="1" applyBorder="1" applyAlignment="1">
      <alignment horizontal="center" vertical="center" wrapText="1"/>
    </xf>
    <xf numFmtId="9" fontId="5" fillId="0" borderId="52" xfId="2" applyFont="1" applyFill="1" applyBorder="1" applyAlignment="1">
      <alignment horizontal="center" vertical="center" wrapText="1"/>
    </xf>
    <xf numFmtId="9" fontId="5" fillId="0" borderId="53" xfId="2" applyFont="1" applyFill="1" applyBorder="1" applyAlignment="1">
      <alignment horizontal="center" vertical="center" wrapText="1"/>
    </xf>
    <xf numFmtId="0" fontId="17" fillId="7" borderId="7" xfId="0" applyFont="1" applyFill="1" applyBorder="1" applyAlignment="1">
      <alignment horizontal="left" vertical="center" wrapText="1"/>
    </xf>
    <xf numFmtId="3" fontId="17" fillId="3" borderId="7" xfId="0" applyNumberFormat="1" applyFont="1" applyFill="1" applyBorder="1" applyAlignment="1">
      <alignment horizontal="right" vertical="center"/>
    </xf>
    <xf numFmtId="0" fontId="17" fillId="3" borderId="7" xfId="0" applyFont="1" applyFill="1" applyBorder="1" applyAlignment="1">
      <alignment horizontal="left" vertical="center"/>
    </xf>
    <xf numFmtId="3" fontId="18" fillId="0" borderId="7" xfId="0" applyNumberFormat="1" applyFont="1" applyBorder="1" applyAlignment="1">
      <alignment horizontal="right" vertical="center"/>
    </xf>
    <xf numFmtId="0" fontId="18" fillId="0" borderId="7" xfId="0" applyFont="1" applyBorder="1" applyAlignment="1">
      <alignment horizontal="right" vertical="center"/>
    </xf>
    <xf numFmtId="0" fontId="18" fillId="0" borderId="0" xfId="0" applyFont="1" applyAlignment="1">
      <alignment vertical="center"/>
    </xf>
    <xf numFmtId="0" fontId="27" fillId="0" borderId="7" xfId="0" applyFont="1" applyBorder="1" applyAlignment="1">
      <alignment vertical="center"/>
    </xf>
    <xf numFmtId="3" fontId="37" fillId="0" borderId="7" xfId="0" applyNumberFormat="1" applyFont="1" applyBorder="1" applyAlignment="1">
      <alignment horizontal="right" vertical="center"/>
    </xf>
    <xf numFmtId="0" fontId="37" fillId="0" borderId="7" xfId="0" applyFont="1" applyBorder="1" applyAlignment="1">
      <alignment vertical="center"/>
    </xf>
    <xf numFmtId="0" fontId="29" fillId="9" borderId="7" xfId="0" applyFont="1" applyFill="1" applyBorder="1" applyAlignment="1">
      <alignment vertical="center"/>
    </xf>
    <xf numFmtId="3" fontId="36" fillId="9" borderId="7" xfId="0" applyNumberFormat="1" applyFont="1" applyFill="1" applyBorder="1" applyAlignment="1">
      <alignment horizontal="right" vertical="center"/>
    </xf>
    <xf numFmtId="0" fontId="36" fillId="9" borderId="7" xfId="0" applyFont="1" applyFill="1" applyBorder="1" applyAlignment="1">
      <alignment vertical="center"/>
    </xf>
    <xf numFmtId="0" fontId="18" fillId="0" borderId="0" xfId="0" applyFont="1" applyAlignment="1">
      <alignment horizontal="left" vertical="center"/>
    </xf>
    <xf numFmtId="0" fontId="18" fillId="0" borderId="0" xfId="0" applyFont="1" applyAlignment="1">
      <alignment horizontal="left" vertical="top"/>
    </xf>
    <xf numFmtId="9" fontId="5" fillId="0" borderId="66" xfId="2" applyFont="1" applyFill="1" applyBorder="1" applyAlignment="1">
      <alignment horizontal="center" vertical="center" wrapText="1"/>
    </xf>
    <xf numFmtId="167" fontId="7" fillId="3" borderId="20" xfId="1" applyNumberFormat="1" applyFont="1" applyFill="1" applyBorder="1"/>
    <xf numFmtId="167" fontId="7" fillId="0" borderId="20" xfId="1" applyNumberFormat="1" applyFont="1" applyFill="1" applyBorder="1"/>
    <xf numFmtId="167" fontId="7" fillId="3" borderId="28" xfId="1" applyNumberFormat="1" applyFont="1" applyFill="1" applyBorder="1"/>
    <xf numFmtId="167" fontId="8" fillId="0" borderId="28" xfId="1" applyNumberFormat="1" applyFont="1" applyFill="1" applyBorder="1"/>
    <xf numFmtId="167" fontId="3" fillId="5" borderId="24" xfId="3" applyNumberFormat="1" applyFont="1" applyFill="1" applyBorder="1" applyAlignment="1">
      <alignment horizontal="center" vertical="center" wrapText="1"/>
    </xf>
    <xf numFmtId="167" fontId="3" fillId="5" borderId="3" xfId="3" applyNumberFormat="1" applyFont="1" applyFill="1" applyBorder="1" applyAlignment="1">
      <alignment horizontal="center" vertical="center" wrapText="1"/>
    </xf>
    <xf numFmtId="167" fontId="7" fillId="3" borderId="68" xfId="1" applyNumberFormat="1" applyFont="1" applyFill="1" applyBorder="1"/>
    <xf numFmtId="167" fontId="8" fillId="0" borderId="68" xfId="1" applyNumberFormat="1" applyFont="1" applyFill="1" applyBorder="1"/>
    <xf numFmtId="167" fontId="6" fillId="0" borderId="69" xfId="3" applyNumberFormat="1" applyFont="1" applyFill="1" applyBorder="1" applyAlignment="1">
      <alignment horizontal="center" vertical="center" wrapText="1"/>
    </xf>
    <xf numFmtId="167" fontId="6" fillId="0" borderId="6" xfId="3" applyNumberFormat="1" applyFont="1" applyFill="1" applyBorder="1" applyAlignment="1">
      <alignment horizontal="center" vertical="center" wrapText="1"/>
    </xf>
    <xf numFmtId="167" fontId="5" fillId="45" borderId="70" xfId="3" applyNumberFormat="1" applyFont="1" applyFill="1" applyBorder="1" applyAlignment="1">
      <alignment horizontal="center" vertical="center" wrapText="1"/>
    </xf>
    <xf numFmtId="9" fontId="5" fillId="0" borderId="24" xfId="2" applyFont="1" applyFill="1" applyBorder="1" applyAlignment="1">
      <alignment horizontal="center" vertical="center" wrapText="1"/>
    </xf>
    <xf numFmtId="9" fontId="5" fillId="0" borderId="16" xfId="2" applyFont="1" applyFill="1" applyBorder="1" applyAlignment="1">
      <alignment horizontal="center" vertical="center" wrapText="1"/>
    </xf>
    <xf numFmtId="9" fontId="5" fillId="0" borderId="18" xfId="2" applyFont="1" applyFill="1" applyBorder="1" applyAlignment="1">
      <alignment horizontal="center" vertical="center" wrapText="1"/>
    </xf>
    <xf numFmtId="167" fontId="6" fillId="4" borderId="19" xfId="3" applyNumberFormat="1" applyFont="1" applyFill="1" applyBorder="1" applyAlignment="1">
      <alignment horizontal="center" vertical="center" wrapText="1"/>
    </xf>
    <xf numFmtId="167" fontId="6" fillId="4" borderId="6" xfId="3" applyNumberFormat="1" applyFont="1" applyFill="1" applyBorder="1" applyAlignment="1">
      <alignment horizontal="center" vertical="center" wrapText="1"/>
    </xf>
    <xf numFmtId="167" fontId="11" fillId="6" borderId="7" xfId="5" applyNumberFormat="1" applyFont="1" applyFill="1" applyBorder="1"/>
    <xf numFmtId="41" fontId="11" fillId="6" borderId="0" xfId="242" applyFont="1" applyFill="1"/>
    <xf numFmtId="0" fontId="8" fillId="0" borderId="0" xfId="0" applyFont="1" applyAlignment="1">
      <alignment horizontal="left"/>
    </xf>
    <xf numFmtId="167" fontId="7" fillId="3" borderId="40" xfId="1" applyNumberFormat="1" applyFont="1" applyFill="1" applyBorder="1"/>
    <xf numFmtId="167" fontId="7" fillId="0" borderId="40" xfId="1" applyNumberFormat="1" applyFont="1" applyFill="1" applyBorder="1"/>
    <xf numFmtId="167" fontId="6" fillId="3" borderId="9" xfId="3" applyNumberFormat="1" applyFont="1" applyFill="1" applyBorder="1" applyAlignment="1">
      <alignment horizontal="center" vertical="center"/>
    </xf>
    <xf numFmtId="0" fontId="34" fillId="5" borderId="7" xfId="0" applyFont="1" applyFill="1" applyBorder="1" applyAlignment="1">
      <alignment horizontal="center" vertical="center"/>
    </xf>
    <xf numFmtId="49" fontId="8" fillId="0" borderId="0" xfId="0" applyNumberFormat="1" applyFont="1"/>
    <xf numFmtId="17" fontId="8" fillId="0" borderId="0" xfId="0" quotePrefix="1" applyNumberFormat="1" applyFont="1"/>
    <xf numFmtId="0" fontId="8" fillId="0" borderId="0" xfId="0" quotePrefix="1" applyFont="1"/>
    <xf numFmtId="17" fontId="8" fillId="0" borderId="7" xfId="0" quotePrefix="1" applyNumberFormat="1" applyFont="1" applyBorder="1" applyAlignment="1">
      <alignment horizontal="left"/>
    </xf>
    <xf numFmtId="167" fontId="5" fillId="0" borderId="14" xfId="3" applyNumberFormat="1" applyFont="1" applyFill="1" applyBorder="1" applyAlignment="1">
      <alignment vertical="center" wrapText="1"/>
    </xf>
    <xf numFmtId="167" fontId="7" fillId="0" borderId="33" xfId="1" applyNumberFormat="1" applyFont="1" applyFill="1" applyBorder="1" applyAlignment="1">
      <alignment vertical="center"/>
    </xf>
    <xf numFmtId="167" fontId="7" fillId="0" borderId="63" xfId="1" applyNumberFormat="1" applyFont="1" applyFill="1" applyBorder="1" applyAlignment="1">
      <alignment vertical="center"/>
    </xf>
    <xf numFmtId="1" fontId="17" fillId="3" borderId="7" xfId="0" applyNumberFormat="1" applyFont="1" applyFill="1" applyBorder="1" applyAlignment="1">
      <alignment horizontal="left" vertical="center"/>
    </xf>
    <xf numFmtId="17" fontId="8" fillId="8" borderId="0" xfId="0" applyNumberFormat="1" applyFont="1" applyFill="1" applyAlignment="1">
      <alignment horizontal="left" vertical="center"/>
    </xf>
    <xf numFmtId="3" fontId="6" fillId="0" borderId="0" xfId="10" applyNumberFormat="1" applyFont="1" applyAlignment="1">
      <alignment horizontal="center"/>
    </xf>
    <xf numFmtId="0" fontId="28" fillId="0" borderId="0" xfId="0" applyFont="1" applyAlignment="1">
      <alignment horizontal="center" vertical="center"/>
    </xf>
    <xf numFmtId="3" fontId="18" fillId="8" borderId="0" xfId="14" applyNumberFormat="1" applyFont="1" applyFill="1" applyAlignment="1">
      <alignment horizontal="center" wrapText="1"/>
    </xf>
    <xf numFmtId="3" fontId="18" fillId="0" borderId="7" xfId="14" applyNumberFormat="1" applyFont="1" applyBorder="1" applyAlignment="1">
      <alignment horizontal="center" wrapText="1"/>
    </xf>
    <xf numFmtId="3" fontId="18" fillId="0" borderId="0" xfId="14" applyNumberFormat="1" applyFont="1" applyAlignment="1">
      <alignment horizontal="center" wrapText="1"/>
    </xf>
    <xf numFmtId="0" fontId="5" fillId="14" borderId="7" xfId="0" applyFont="1" applyFill="1" applyBorder="1" applyAlignment="1">
      <alignment horizontal="center" vertical="center" wrapText="1"/>
    </xf>
    <xf numFmtId="3" fontId="8" fillId="0" borderId="7" xfId="0" applyNumberFormat="1" applyFont="1" applyBorder="1" applyAlignment="1">
      <alignment horizontal="center" vertical="center"/>
    </xf>
    <xf numFmtId="3" fontId="18" fillId="0" borderId="65" xfId="241" applyNumberFormat="1" applyFont="1" applyBorder="1" applyAlignment="1">
      <alignment horizontal="center" wrapText="1"/>
    </xf>
    <xf numFmtId="17" fontId="8" fillId="8" borderId="7" xfId="0" quotePrefix="1" applyNumberFormat="1" applyFont="1" applyFill="1" applyBorder="1" applyAlignment="1">
      <alignment horizontal="left" vertical="center"/>
    </xf>
    <xf numFmtId="17" fontId="8" fillId="0" borderId="7" xfId="0" applyNumberFormat="1" applyFont="1" applyBorder="1" applyAlignment="1">
      <alignment horizontal="left" vertical="center"/>
    </xf>
    <xf numFmtId="167" fontId="8" fillId="0" borderId="7" xfId="1" applyNumberFormat="1" applyFont="1" applyBorder="1"/>
    <xf numFmtId="167" fontId="7" fillId="0" borderId="67" xfId="1" applyNumberFormat="1" applyFont="1" applyFill="1" applyBorder="1" applyAlignment="1">
      <alignment vertical="center"/>
    </xf>
    <xf numFmtId="167" fontId="5" fillId="0" borderId="72" xfId="3" applyNumberFormat="1" applyFont="1" applyFill="1" applyBorder="1" applyAlignment="1">
      <alignment vertical="center" wrapText="1"/>
    </xf>
    <xf numFmtId="167" fontId="7" fillId="0" borderId="33" xfId="1" applyNumberFormat="1" applyFont="1" applyFill="1" applyBorder="1"/>
    <xf numFmtId="167" fontId="7" fillId="0" borderId="63" xfId="1" applyNumberFormat="1" applyFont="1" applyFill="1" applyBorder="1"/>
    <xf numFmtId="167" fontId="7" fillId="0" borderId="71" xfId="1" applyNumberFormat="1" applyFont="1" applyFill="1" applyBorder="1"/>
    <xf numFmtId="167" fontId="7" fillId="0" borderId="67" xfId="1" applyNumberFormat="1" applyFont="1" applyFill="1" applyBorder="1"/>
    <xf numFmtId="17" fontId="32" fillId="7" borderId="7" xfId="0" applyNumberFormat="1" applyFont="1" applyFill="1" applyBorder="1" applyAlignment="1">
      <alignment horizontal="left" vertical="center"/>
    </xf>
    <xf numFmtId="167" fontId="6" fillId="3" borderId="22" xfId="3" applyNumberFormat="1" applyFont="1" applyFill="1" applyBorder="1" applyAlignment="1">
      <alignment horizontal="center" vertical="center"/>
    </xf>
    <xf numFmtId="167" fontId="7" fillId="3" borderId="9" xfId="1" applyNumberFormat="1" applyFont="1" applyFill="1" applyBorder="1"/>
    <xf numFmtId="167" fontId="7" fillId="0" borderId="9" xfId="1" applyNumberFormat="1" applyFont="1" applyFill="1" applyBorder="1"/>
    <xf numFmtId="167" fontId="7" fillId="0" borderId="51" xfId="1" applyNumberFormat="1" applyFont="1" applyFill="1" applyBorder="1" applyAlignment="1">
      <alignment vertical="center"/>
    </xf>
    <xf numFmtId="167" fontId="6" fillId="3" borderId="28" xfId="3" applyNumberFormat="1" applyFont="1" applyFill="1" applyBorder="1" applyAlignment="1">
      <alignment horizontal="center" vertical="center"/>
    </xf>
    <xf numFmtId="167" fontId="6" fillId="3" borderId="20" xfId="3" applyNumberFormat="1" applyFont="1" applyFill="1" applyBorder="1" applyAlignment="1">
      <alignment horizontal="center" vertical="center"/>
    </xf>
    <xf numFmtId="167" fontId="3" fillId="5" borderId="16" xfId="3" applyNumberFormat="1" applyFont="1" applyFill="1" applyBorder="1" applyAlignment="1">
      <alignment horizontal="center" vertical="center" wrapText="1"/>
    </xf>
    <xf numFmtId="167" fontId="3" fillId="5" borderId="17" xfId="3" applyNumberFormat="1" applyFont="1" applyFill="1" applyBorder="1" applyAlignment="1">
      <alignment horizontal="center" vertical="center" wrapText="1"/>
    </xf>
    <xf numFmtId="167" fontId="6" fillId="3" borderId="21" xfId="3" applyNumberFormat="1" applyFont="1" applyFill="1" applyBorder="1" applyAlignment="1">
      <alignment horizontal="center" vertical="center"/>
    </xf>
    <xf numFmtId="167" fontId="6" fillId="3" borderId="68" xfId="3" applyNumberFormat="1" applyFont="1" applyFill="1" applyBorder="1" applyAlignment="1">
      <alignment horizontal="center" vertical="center"/>
    </xf>
    <xf numFmtId="167" fontId="4" fillId="5" borderId="16" xfId="3" applyNumberFormat="1" applyFont="1" applyFill="1" applyBorder="1" applyAlignment="1">
      <alignment horizontal="center" vertical="center" wrapText="1"/>
    </xf>
    <xf numFmtId="167" fontId="6" fillId="4" borderId="22" xfId="3" applyNumberFormat="1" applyFont="1" applyFill="1" applyBorder="1" applyAlignment="1">
      <alignment horizontal="center" vertical="center" wrapText="1"/>
    </xf>
    <xf numFmtId="167" fontId="3" fillId="5" borderId="1" xfId="3" applyNumberFormat="1" applyFont="1" applyFill="1" applyBorder="1" applyAlignment="1">
      <alignment horizontal="center" vertical="center" wrapText="1"/>
    </xf>
    <xf numFmtId="9" fontId="5" fillId="0" borderId="70" xfId="2" applyFont="1" applyFill="1" applyBorder="1" applyAlignment="1">
      <alignment horizontal="center" vertical="center" wrapText="1"/>
    </xf>
    <xf numFmtId="167" fontId="6" fillId="4" borderId="21" xfId="3" applyNumberFormat="1" applyFont="1" applyFill="1" applyBorder="1" applyAlignment="1">
      <alignment horizontal="center" vertical="center" wrapText="1"/>
    </xf>
    <xf numFmtId="1" fontId="7" fillId="3" borderId="7" xfId="0" applyNumberFormat="1" applyFont="1" applyFill="1" applyBorder="1" applyAlignment="1">
      <alignment horizontal="left"/>
    </xf>
    <xf numFmtId="167" fontId="7" fillId="3" borderId="62" xfId="1" applyNumberFormat="1" applyFont="1" applyFill="1" applyBorder="1"/>
    <xf numFmtId="167" fontId="7" fillId="3" borderId="8" xfId="1" applyNumberFormat="1" applyFont="1" applyFill="1" applyBorder="1"/>
    <xf numFmtId="167" fontId="7" fillId="0" borderId="8" xfId="1" applyNumberFormat="1" applyFont="1" applyFill="1" applyBorder="1"/>
    <xf numFmtId="167" fontId="7" fillId="0" borderId="53" xfId="1" applyNumberFormat="1" applyFont="1" applyFill="1" applyBorder="1"/>
    <xf numFmtId="10" fontId="6" fillId="0" borderId="8" xfId="2" applyNumberFormat="1" applyFont="1" applyFill="1" applyBorder="1" applyAlignment="1">
      <alignment horizontal="center" vertical="center" wrapText="1"/>
    </xf>
    <xf numFmtId="10" fontId="5" fillId="45" borderId="53" xfId="2" applyNumberFormat="1" applyFont="1" applyFill="1" applyBorder="1" applyAlignment="1">
      <alignment horizontal="center" vertical="center" wrapText="1"/>
    </xf>
    <xf numFmtId="10" fontId="6" fillId="4" borderId="8" xfId="2" applyNumberFormat="1" applyFont="1" applyFill="1" applyBorder="1" applyAlignment="1">
      <alignment horizontal="center" vertical="center" wrapText="1"/>
    </xf>
    <xf numFmtId="167" fontId="3" fillId="5" borderId="7" xfId="5" applyNumberFormat="1" applyFont="1" applyFill="1" applyBorder="1" applyAlignment="1">
      <alignment horizontal="center" vertical="center" wrapText="1"/>
    </xf>
    <xf numFmtId="167" fontId="6" fillId="3" borderId="30" xfId="3" applyNumberFormat="1" applyFont="1" applyFill="1" applyBorder="1" applyAlignment="1">
      <alignment horizontal="center" vertical="center"/>
    </xf>
    <xf numFmtId="167" fontId="6" fillId="3" borderId="69" xfId="3" applyNumberFormat="1" applyFont="1" applyFill="1" applyBorder="1" applyAlignment="1">
      <alignment horizontal="center" vertical="center"/>
    </xf>
    <xf numFmtId="167" fontId="6" fillId="3" borderId="73" xfId="3" applyNumberFormat="1" applyFont="1" applyFill="1" applyBorder="1" applyAlignment="1">
      <alignment horizontal="center" vertical="center"/>
    </xf>
    <xf numFmtId="167" fontId="4" fillId="5" borderId="25" xfId="3" applyNumberFormat="1" applyFont="1" applyFill="1" applyBorder="1" applyAlignment="1">
      <alignment horizontal="center" vertical="center" wrapText="1"/>
    </xf>
    <xf numFmtId="167" fontId="6" fillId="0" borderId="28" xfId="3" applyNumberFormat="1" applyFont="1" applyFill="1" applyBorder="1" applyAlignment="1">
      <alignment horizontal="center" vertical="center" wrapText="1"/>
    </xf>
    <xf numFmtId="10" fontId="6" fillId="0" borderId="54" xfId="2" applyNumberFormat="1" applyFont="1" applyFill="1" applyBorder="1" applyAlignment="1">
      <alignment horizontal="center" vertical="center" wrapText="1"/>
    </xf>
    <xf numFmtId="167" fontId="6" fillId="0" borderId="54" xfId="3" applyNumberFormat="1" applyFont="1" applyFill="1" applyBorder="1" applyAlignment="1">
      <alignment horizontal="center" vertical="center" wrapText="1"/>
    </xf>
    <xf numFmtId="167" fontId="4" fillId="5" borderId="24" xfId="3" applyNumberFormat="1" applyFont="1" applyFill="1" applyBorder="1" applyAlignment="1">
      <alignment horizontal="center" vertical="center" wrapText="1"/>
    </xf>
    <xf numFmtId="167" fontId="4" fillId="5" borderId="18" xfId="3" applyNumberFormat="1" applyFont="1" applyFill="1" applyBorder="1" applyAlignment="1">
      <alignment horizontal="center" vertical="center"/>
    </xf>
    <xf numFmtId="10" fontId="6" fillId="4" borderId="54" xfId="2" applyNumberFormat="1" applyFont="1" applyFill="1" applyBorder="1" applyAlignment="1">
      <alignment horizontal="center" vertical="center" wrapText="1"/>
    </xf>
    <xf numFmtId="167" fontId="3" fillId="5" borderId="6" xfId="5" applyNumberFormat="1" applyFont="1" applyFill="1" applyBorder="1" applyAlignment="1">
      <alignment vertical="center" wrapText="1"/>
    </xf>
    <xf numFmtId="41" fontId="12" fillId="0" borderId="7" xfId="242" applyFont="1" applyFill="1" applyBorder="1" applyAlignment="1">
      <alignment vertical="center" wrapText="1"/>
    </xf>
    <xf numFmtId="168" fontId="12" fillId="4" borderId="7" xfId="2" applyNumberFormat="1" applyFont="1" applyFill="1" applyBorder="1" applyAlignment="1">
      <alignment vertical="center" wrapText="1"/>
    </xf>
    <xf numFmtId="41" fontId="11" fillId="4" borderId="7" xfId="242" applyFont="1" applyFill="1" applyBorder="1" applyAlignment="1">
      <alignment vertical="center" wrapText="1"/>
    </xf>
    <xf numFmtId="168" fontId="11" fillId="4" borderId="7" xfId="5" applyNumberFormat="1" applyFont="1" applyFill="1" applyBorder="1" applyAlignment="1">
      <alignment vertical="center" wrapText="1"/>
    </xf>
    <xf numFmtId="168" fontId="12" fillId="4" borderId="7" xfId="5" applyNumberFormat="1" applyFont="1" applyFill="1" applyBorder="1" applyAlignment="1">
      <alignment vertical="center" wrapText="1"/>
    </xf>
    <xf numFmtId="172" fontId="11" fillId="4" borderId="7" xfId="5" applyNumberFormat="1" applyFont="1" applyFill="1" applyBorder="1" applyAlignment="1">
      <alignment vertical="center" wrapText="1"/>
    </xf>
    <xf numFmtId="167" fontId="8" fillId="3" borderId="19" xfId="1" applyNumberFormat="1" applyFont="1" applyFill="1" applyBorder="1"/>
    <xf numFmtId="167" fontId="8" fillId="0" borderId="40" xfId="1" applyNumberFormat="1" applyFont="1" applyFill="1" applyBorder="1"/>
    <xf numFmtId="167" fontId="5" fillId="3" borderId="20" xfId="3" applyNumberFormat="1" applyFont="1" applyFill="1" applyBorder="1" applyAlignment="1">
      <alignment horizontal="center" vertical="center"/>
    </xf>
    <xf numFmtId="167" fontId="5" fillId="3" borderId="7" xfId="3" applyNumberFormat="1" applyFont="1" applyFill="1" applyBorder="1" applyAlignment="1">
      <alignment horizontal="center" vertical="center"/>
    </xf>
    <xf numFmtId="167" fontId="5" fillId="3" borderId="28" xfId="3" applyNumberFormat="1" applyFont="1" applyFill="1" applyBorder="1" applyAlignment="1">
      <alignment horizontal="center" vertical="center"/>
    </xf>
    <xf numFmtId="167" fontId="5" fillId="3" borderId="9" xfId="3" applyNumberFormat="1" applyFont="1" applyFill="1" applyBorder="1" applyAlignment="1">
      <alignment horizontal="center" vertical="center"/>
    </xf>
    <xf numFmtId="167" fontId="8" fillId="3" borderId="28" xfId="1" applyNumberFormat="1" applyFont="1" applyFill="1" applyBorder="1"/>
    <xf numFmtId="167" fontId="8" fillId="3" borderId="68" xfId="1" applyNumberFormat="1" applyFont="1" applyFill="1" applyBorder="1"/>
    <xf numFmtId="0" fontId="3" fillId="5" borderId="16" xfId="3" applyNumberFormat="1" applyFont="1" applyFill="1" applyBorder="1" applyAlignment="1">
      <alignment horizontal="center" vertical="center" wrapText="1"/>
    </xf>
    <xf numFmtId="167" fontId="7" fillId="3" borderId="61" xfId="1" applyNumberFormat="1" applyFont="1" applyFill="1" applyBorder="1"/>
    <xf numFmtId="167" fontId="7" fillId="0" borderId="7" xfId="1" applyNumberFormat="1" applyFont="1" applyFill="1" applyBorder="1"/>
    <xf numFmtId="167" fontId="8" fillId="0" borderId="7" xfId="1" applyNumberFormat="1" applyFont="1" applyFill="1" applyBorder="1"/>
    <xf numFmtId="167" fontId="7" fillId="0" borderId="52" xfId="1" applyNumberFormat="1" applyFont="1" applyFill="1" applyBorder="1"/>
    <xf numFmtId="0" fontId="34" fillId="5" borderId="7" xfId="0" applyFont="1" applyFill="1" applyBorder="1" applyAlignment="1">
      <alignment horizontal="center" vertical="center" wrapText="1"/>
    </xf>
    <xf numFmtId="17" fontId="7" fillId="4" borderId="7" xfId="0" quotePrefix="1" applyNumberFormat="1" applyFont="1" applyFill="1" applyBorder="1" applyAlignment="1">
      <alignment horizontal="left"/>
    </xf>
    <xf numFmtId="17" fontId="7" fillId="3" borderId="7" xfId="0" quotePrefix="1" applyNumberFormat="1" applyFont="1" applyFill="1" applyBorder="1" applyAlignment="1">
      <alignment horizontal="left"/>
    </xf>
    <xf numFmtId="0" fontId="72" fillId="0" borderId="0" xfId="6" applyFont="1" applyAlignment="1" applyProtection="1"/>
    <xf numFmtId="0" fontId="26" fillId="0" borderId="0" xfId="0" applyFont="1"/>
    <xf numFmtId="0" fontId="10" fillId="0" borderId="0" xfId="6" quotePrefix="1" applyBorder="1" applyAlignment="1" applyProtection="1">
      <alignment vertical="top"/>
    </xf>
    <xf numFmtId="0" fontId="71" fillId="0" borderId="7" xfId="10" applyFont="1" applyBorder="1" applyAlignment="1">
      <alignment horizontal="center" vertical="center"/>
    </xf>
    <xf numFmtId="0" fontId="71" fillId="0" borderId="7" xfId="0" applyFont="1" applyBorder="1" applyAlignment="1">
      <alignment horizontal="center" vertical="center"/>
    </xf>
    <xf numFmtId="0" fontId="22" fillId="0" borderId="38" xfId="0" applyFont="1" applyBorder="1" applyAlignment="1">
      <alignment horizontal="left" vertical="top" wrapText="1"/>
    </xf>
    <xf numFmtId="0" fontId="22" fillId="0" borderId="0" xfId="0" applyFont="1" applyAlignment="1">
      <alignment horizontal="left" vertical="top" wrapText="1"/>
    </xf>
    <xf numFmtId="0" fontId="22" fillId="0" borderId="13" xfId="0" applyFont="1" applyBorder="1" applyAlignment="1">
      <alignment horizontal="left" vertical="top" wrapText="1"/>
    </xf>
    <xf numFmtId="0" fontId="22" fillId="0" borderId="21" xfId="0" applyFont="1" applyBorder="1" applyAlignment="1">
      <alignment horizontal="left" vertical="top" wrapText="1"/>
    </xf>
    <xf numFmtId="0" fontId="22" fillId="0" borderId="40" xfId="0" applyFont="1" applyBorder="1" applyAlignment="1">
      <alignment horizontal="left" vertical="top" wrapText="1"/>
    </xf>
    <xf numFmtId="0" fontId="22" fillId="0" borderId="19" xfId="0" applyFont="1" applyBorder="1" applyAlignment="1">
      <alignment horizontal="left" vertical="top" wrapText="1"/>
    </xf>
    <xf numFmtId="0" fontId="23" fillId="0" borderId="0" xfId="6" quotePrefix="1" applyFont="1" applyAlignment="1" applyProtection="1">
      <alignment horizontal="left"/>
    </xf>
    <xf numFmtId="0" fontId="23" fillId="0" borderId="0" xfId="6" applyFont="1" applyAlignment="1" applyProtection="1">
      <alignment horizontal="left"/>
    </xf>
    <xf numFmtId="0" fontId="23" fillId="0" borderId="0" xfId="6" applyFont="1" applyAlignment="1" applyProtection="1"/>
    <xf numFmtId="0" fontId="15" fillId="0" borderId="0" xfId="0" applyFont="1" applyAlignment="1">
      <alignment horizontal="center"/>
    </xf>
    <xf numFmtId="167" fontId="3" fillId="5" borderId="37" xfId="3" applyNumberFormat="1" applyFont="1" applyFill="1" applyBorder="1" applyAlignment="1">
      <alignment horizontal="center" vertical="center" wrapText="1"/>
    </xf>
    <xf numFmtId="167" fontId="3" fillId="5" borderId="57" xfId="3" applyNumberFormat="1" applyFont="1" applyFill="1" applyBorder="1" applyAlignment="1">
      <alignment horizontal="center" vertical="center" wrapText="1"/>
    </xf>
    <xf numFmtId="0" fontId="5" fillId="0" borderId="1" xfId="0" applyFont="1" applyBorder="1" applyAlignment="1">
      <alignment horizontal="center" vertical="center"/>
    </xf>
    <xf numFmtId="0" fontId="5" fillId="0" borderId="3" xfId="0" applyFont="1" applyBorder="1"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wrapText="1"/>
    </xf>
    <xf numFmtId="0" fontId="5" fillId="0" borderId="58" xfId="0" applyFont="1" applyBorder="1" applyAlignment="1">
      <alignment horizontal="center" vertical="center"/>
    </xf>
    <xf numFmtId="0" fontId="8" fillId="0" borderId="0" xfId="0" applyFont="1" applyAlignment="1">
      <alignment horizontal="left" vertical="top" wrapText="1"/>
    </xf>
    <xf numFmtId="167" fontId="3" fillId="5" borderId="4" xfId="3" applyNumberFormat="1" applyFont="1" applyFill="1" applyBorder="1" applyAlignment="1">
      <alignment horizontal="center" vertical="center" wrapText="1"/>
    </xf>
    <xf numFmtId="167" fontId="3" fillId="5" borderId="14" xfId="3" applyNumberFormat="1" applyFont="1" applyFill="1" applyBorder="1" applyAlignment="1">
      <alignment horizontal="center" vertical="center" wrapText="1"/>
    </xf>
    <xf numFmtId="0" fontId="5" fillId="0" borderId="1" xfId="0" applyFont="1" applyBorder="1" applyAlignment="1">
      <alignment horizontal="center"/>
    </xf>
    <xf numFmtId="0" fontId="5" fillId="0" borderId="3" xfId="0" applyFont="1" applyBorder="1" applyAlignment="1">
      <alignment horizontal="center"/>
    </xf>
    <xf numFmtId="0" fontId="5" fillId="0" borderId="2" xfId="0" applyFont="1" applyBorder="1" applyAlignment="1">
      <alignment horizontal="center"/>
    </xf>
    <xf numFmtId="9" fontId="5" fillId="0" borderId="1" xfId="2" applyFont="1" applyFill="1" applyBorder="1" applyAlignment="1">
      <alignment horizontal="center" vertical="center" wrapText="1"/>
    </xf>
    <xf numFmtId="9" fontId="5" fillId="0" borderId="3" xfId="2" applyFont="1" applyFill="1" applyBorder="1" applyAlignment="1">
      <alignment horizontal="center" vertical="center" wrapText="1"/>
    </xf>
    <xf numFmtId="0" fontId="5" fillId="0" borderId="24" xfId="0" applyFont="1" applyBorder="1" applyAlignment="1">
      <alignment horizontal="center"/>
    </xf>
    <xf numFmtId="0" fontId="5" fillId="0" borderId="18" xfId="0" applyFont="1" applyBorder="1" applyAlignment="1">
      <alignment horizontal="center"/>
    </xf>
    <xf numFmtId="0" fontId="5" fillId="0" borderId="1" xfId="0" applyFont="1" applyBorder="1" applyAlignment="1">
      <alignment horizontal="center" wrapText="1"/>
    </xf>
    <xf numFmtId="0" fontId="5" fillId="0" borderId="58" xfId="0" applyFont="1" applyBorder="1" applyAlignment="1">
      <alignment horizontal="center"/>
    </xf>
    <xf numFmtId="0" fontId="24" fillId="0" borderId="0" xfId="0" applyFont="1" applyAlignment="1">
      <alignment horizontal="center"/>
    </xf>
    <xf numFmtId="9" fontId="5" fillId="0" borderId="34" xfId="4" applyNumberFormat="1" applyFont="1" applyBorder="1" applyAlignment="1">
      <alignment horizontal="center"/>
    </xf>
    <xf numFmtId="167" fontId="3" fillId="5" borderId="5" xfId="3" applyNumberFormat="1" applyFont="1" applyFill="1" applyBorder="1" applyAlignment="1">
      <alignment horizontal="center" vertical="center" wrapText="1"/>
    </xf>
    <xf numFmtId="167" fontId="3" fillId="5" borderId="50" xfId="3" applyNumberFormat="1" applyFont="1" applyFill="1" applyBorder="1" applyAlignment="1">
      <alignment horizontal="center" vertical="center" wrapText="1"/>
    </xf>
    <xf numFmtId="0" fontId="5" fillId="0" borderId="33" xfId="0" applyFont="1" applyBorder="1" applyAlignment="1">
      <alignment horizontal="center" vertical="center"/>
    </xf>
    <xf numFmtId="0" fontId="5" fillId="0" borderId="36" xfId="0" applyFont="1" applyBorder="1" applyAlignment="1">
      <alignment horizontal="center" vertical="center"/>
    </xf>
    <xf numFmtId="167" fontId="3" fillId="5" borderId="22" xfId="5" applyNumberFormat="1" applyFont="1" applyFill="1" applyBorder="1" applyAlignment="1">
      <alignment horizontal="center" vertical="center" wrapText="1"/>
    </xf>
    <xf numFmtId="167" fontId="3" fillId="5" borderId="29" xfId="5" applyNumberFormat="1" applyFont="1" applyFill="1" applyBorder="1" applyAlignment="1">
      <alignment horizontal="center" vertical="center" wrapText="1"/>
    </xf>
    <xf numFmtId="167" fontId="3" fillId="5" borderId="6" xfId="5" applyNumberFormat="1" applyFont="1" applyFill="1" applyBorder="1" applyAlignment="1">
      <alignment horizontal="center" vertical="center" wrapText="1"/>
    </xf>
    <xf numFmtId="167" fontId="3" fillId="5" borderId="7" xfId="5" applyNumberFormat="1" applyFont="1" applyFill="1" applyBorder="1" applyAlignment="1">
      <alignment horizontal="center" vertical="center" wrapText="1"/>
    </xf>
    <xf numFmtId="17" fontId="15" fillId="0" borderId="0" xfId="0" applyNumberFormat="1" applyFont="1" applyAlignment="1">
      <alignment horizontal="center"/>
    </xf>
    <xf numFmtId="167" fontId="3" fillId="5" borderId="23" xfId="5" applyNumberFormat="1" applyFont="1" applyFill="1" applyBorder="1" applyAlignment="1">
      <alignment horizontal="center" vertical="center" wrapText="1"/>
    </xf>
    <xf numFmtId="167" fontId="3" fillId="5" borderId="20" xfId="5" applyNumberFormat="1" applyFont="1" applyFill="1" applyBorder="1" applyAlignment="1">
      <alignment horizontal="center" vertical="center" wrapText="1"/>
    </xf>
    <xf numFmtId="167" fontId="24" fillId="0" borderId="0" xfId="5" applyNumberFormat="1" applyFont="1" applyFill="1" applyBorder="1" applyAlignment="1">
      <alignment horizontal="center" vertical="center"/>
    </xf>
    <xf numFmtId="0" fontId="32" fillId="0" borderId="7" xfId="0" applyFont="1" applyBorder="1" applyAlignment="1">
      <alignment horizontal="center" vertical="center"/>
    </xf>
    <xf numFmtId="0" fontId="33" fillId="5" borderId="23" xfId="0" applyFont="1" applyFill="1" applyBorder="1" applyAlignment="1">
      <alignment horizontal="center" vertical="center" wrapText="1"/>
    </xf>
    <xf numFmtId="0" fontId="33" fillId="5" borderId="64" xfId="0" applyFont="1" applyFill="1" applyBorder="1" applyAlignment="1">
      <alignment horizontal="center" vertical="center" wrapText="1"/>
    </xf>
    <xf numFmtId="0" fontId="33" fillId="5" borderId="20" xfId="0" applyFont="1" applyFill="1" applyBorder="1" applyAlignment="1">
      <alignment horizontal="center" vertical="center" wrapText="1"/>
    </xf>
    <xf numFmtId="0" fontId="33" fillId="5" borderId="22" xfId="0" applyFont="1" applyFill="1" applyBorder="1" applyAlignment="1">
      <alignment horizontal="center" vertical="center"/>
    </xf>
    <xf numFmtId="0" fontId="33" fillId="5" borderId="29" xfId="0" applyFont="1" applyFill="1" applyBorder="1" applyAlignment="1">
      <alignment horizontal="center" vertical="center"/>
    </xf>
    <xf numFmtId="0" fontId="33" fillId="5" borderId="6" xfId="0" applyFont="1" applyFill="1" applyBorder="1" applyAlignment="1">
      <alignment horizontal="center" vertical="center"/>
    </xf>
    <xf numFmtId="0" fontId="33" fillId="5" borderId="22" xfId="0" applyFont="1" applyFill="1" applyBorder="1" applyAlignment="1">
      <alignment horizontal="center" vertical="center" wrapText="1"/>
    </xf>
    <xf numFmtId="0" fontId="33" fillId="5" borderId="6" xfId="0" applyFont="1" applyFill="1" applyBorder="1" applyAlignment="1">
      <alignment horizontal="center" vertical="center" wrapText="1"/>
    </xf>
    <xf numFmtId="0" fontId="3" fillId="5" borderId="7" xfId="0" applyFont="1" applyFill="1" applyBorder="1" applyAlignment="1">
      <alignment horizontal="center"/>
    </xf>
    <xf numFmtId="17" fontId="15" fillId="0" borderId="0" xfId="0" quotePrefix="1" applyNumberFormat="1" applyFont="1" applyAlignment="1">
      <alignment horizontal="center"/>
    </xf>
    <xf numFmtId="0" fontId="15" fillId="0" borderId="0" xfId="0" quotePrefix="1" applyFont="1" applyAlignment="1">
      <alignment horizontal="center"/>
    </xf>
    <xf numFmtId="0" fontId="34" fillId="5" borderId="7" xfId="0" applyFont="1" applyFill="1" applyBorder="1" applyAlignment="1">
      <alignment horizontal="center" vertical="center"/>
    </xf>
    <xf numFmtId="0" fontId="35" fillId="5" borderId="7" xfId="0" applyFont="1" applyFill="1" applyBorder="1" applyAlignment="1">
      <alignment horizontal="center" vertical="center"/>
    </xf>
    <xf numFmtId="0" fontId="36" fillId="0" borderId="7" xfId="0" applyFont="1" applyBorder="1" applyAlignment="1">
      <alignment horizontal="center" vertical="center"/>
    </xf>
    <xf numFmtId="0" fontId="36" fillId="9" borderId="7" xfId="0" applyFont="1" applyFill="1" applyBorder="1" applyAlignment="1">
      <alignment horizontal="center" vertical="center"/>
    </xf>
    <xf numFmtId="0" fontId="23" fillId="0" borderId="0" xfId="6" quotePrefix="1" applyFont="1" applyFill="1" applyBorder="1" applyAlignment="1" applyProtection="1">
      <alignment horizontal="left"/>
    </xf>
    <xf numFmtId="0" fontId="15" fillId="0" borderId="0" xfId="0" applyFont="1" applyAlignment="1">
      <alignment horizontal="center" vertical="top" wrapText="1"/>
    </xf>
    <xf numFmtId="0" fontId="3" fillId="5" borderId="23" xfId="0" applyFont="1" applyFill="1" applyBorder="1" applyAlignment="1">
      <alignment horizontal="center" vertical="center" wrapText="1"/>
    </xf>
    <xf numFmtId="0" fontId="3" fillId="5" borderId="64" xfId="0" applyFont="1" applyFill="1" applyBorder="1" applyAlignment="1">
      <alignment horizontal="center" vertical="center" wrapText="1"/>
    </xf>
    <xf numFmtId="0" fontId="3" fillId="5" borderId="20" xfId="0" applyFont="1" applyFill="1" applyBorder="1" applyAlignment="1">
      <alignment horizontal="center" vertical="center" wrapText="1"/>
    </xf>
    <xf numFmtId="0" fontId="3" fillId="5" borderId="22" xfId="0" applyFont="1" applyFill="1" applyBorder="1" applyAlignment="1">
      <alignment horizontal="center" vertical="center" wrapText="1"/>
    </xf>
    <xf numFmtId="0" fontId="3" fillId="5" borderId="29"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15" fillId="0" borderId="0" xfId="0" applyFont="1" applyAlignment="1">
      <alignment horizontal="center" wrapText="1"/>
    </xf>
    <xf numFmtId="0" fontId="15" fillId="0" borderId="0" xfId="0" applyFont="1" applyAlignment="1">
      <alignment horizontal="center" vertical="center"/>
    </xf>
    <xf numFmtId="0" fontId="3" fillId="5" borderId="7" xfId="0" applyFont="1" applyFill="1" applyBorder="1" applyAlignment="1">
      <alignment horizontal="center" vertical="center"/>
    </xf>
    <xf numFmtId="0" fontId="3" fillId="5" borderId="29" xfId="0" applyFont="1" applyFill="1" applyBorder="1" applyAlignment="1">
      <alignment horizontal="center" vertical="center"/>
    </xf>
    <xf numFmtId="0" fontId="3" fillId="5" borderId="6" xfId="0" applyFont="1" applyFill="1" applyBorder="1" applyAlignment="1">
      <alignment horizontal="center" vertical="center"/>
    </xf>
    <xf numFmtId="17" fontId="7" fillId="3" borderId="22" xfId="0" applyNumberFormat="1" applyFont="1" applyFill="1" applyBorder="1" applyAlignment="1">
      <alignment horizontal="left"/>
    </xf>
    <xf numFmtId="17" fontId="7" fillId="3" borderId="29" xfId="0" applyNumberFormat="1" applyFont="1" applyFill="1" applyBorder="1" applyAlignment="1">
      <alignment horizontal="left"/>
    </xf>
    <xf numFmtId="17" fontId="7" fillId="3" borderId="6" xfId="0" applyNumberFormat="1" applyFont="1" applyFill="1" applyBorder="1" applyAlignment="1">
      <alignment horizontal="left"/>
    </xf>
    <xf numFmtId="0" fontId="7" fillId="3" borderId="22" xfId="0" applyFont="1" applyFill="1" applyBorder="1" applyAlignment="1">
      <alignment horizontal="left"/>
    </xf>
    <xf numFmtId="0" fontId="7" fillId="3" borderId="29" xfId="0" applyFont="1" applyFill="1" applyBorder="1" applyAlignment="1">
      <alignment horizontal="left"/>
    </xf>
    <xf numFmtId="0" fontId="7" fillId="3" borderId="6" xfId="0" applyFont="1" applyFill="1" applyBorder="1" applyAlignment="1">
      <alignment horizontal="left"/>
    </xf>
    <xf numFmtId="17" fontId="7" fillId="12" borderId="7" xfId="0" applyNumberFormat="1" applyFont="1" applyFill="1" applyBorder="1" applyAlignment="1">
      <alignment horizontal="center"/>
    </xf>
    <xf numFmtId="0" fontId="38" fillId="5" borderId="7" xfId="0" applyFont="1" applyFill="1" applyBorder="1" applyAlignment="1">
      <alignment horizontal="center" vertical="center"/>
    </xf>
    <xf numFmtId="0" fontId="38" fillId="5" borderId="7" xfId="0" applyFont="1" applyFill="1" applyBorder="1" applyAlignment="1">
      <alignment horizontal="center" vertical="center" wrapText="1"/>
    </xf>
    <xf numFmtId="0" fontId="38" fillId="5" borderId="7" xfId="0" applyFont="1" applyFill="1" applyBorder="1" applyAlignment="1">
      <alignment horizontal="center"/>
    </xf>
    <xf numFmtId="49" fontId="15" fillId="0" borderId="0" xfId="0" applyNumberFormat="1" applyFont="1" applyAlignment="1">
      <alignment horizontal="center"/>
    </xf>
    <xf numFmtId="0" fontId="7" fillId="0" borderId="23" xfId="0" applyFont="1" applyBorder="1" applyAlignment="1">
      <alignment horizontal="center" vertical="center" wrapText="1"/>
    </xf>
    <xf numFmtId="0" fontId="7" fillId="0" borderId="64" xfId="0" applyFont="1" applyBorder="1" applyAlignment="1">
      <alignment horizontal="center" vertical="center" wrapText="1"/>
    </xf>
    <xf numFmtId="0" fontId="7" fillId="0" borderId="20" xfId="0" applyFont="1" applyBorder="1" applyAlignment="1">
      <alignment horizontal="center" vertical="center" wrapText="1"/>
    </xf>
    <xf numFmtId="0" fontId="16" fillId="5" borderId="22" xfId="0" applyFont="1" applyFill="1" applyBorder="1" applyAlignment="1">
      <alignment horizontal="center" vertical="center"/>
    </xf>
    <xf numFmtId="0" fontId="16" fillId="5" borderId="6" xfId="0" applyFont="1" applyFill="1" applyBorder="1" applyAlignment="1">
      <alignment horizontal="center" vertical="center"/>
    </xf>
    <xf numFmtId="0" fontId="5" fillId="14" borderId="22" xfId="0" applyFont="1" applyFill="1" applyBorder="1" applyAlignment="1">
      <alignment horizontal="center" vertical="center"/>
    </xf>
    <xf numFmtId="0" fontId="5" fillId="14" borderId="29" xfId="0" applyFont="1" applyFill="1" applyBorder="1" applyAlignment="1">
      <alignment horizontal="center" vertical="center"/>
    </xf>
    <xf numFmtId="0" fontId="5" fillId="14" borderId="6" xfId="0" applyFont="1" applyFill="1" applyBorder="1" applyAlignment="1">
      <alignment horizontal="center" vertical="center"/>
    </xf>
    <xf numFmtId="0" fontId="16" fillId="5" borderId="23" xfId="0" applyFont="1" applyFill="1" applyBorder="1" applyAlignment="1">
      <alignment horizontal="center" vertical="center" wrapText="1"/>
    </xf>
    <xf numFmtId="0" fontId="16" fillId="5" borderId="20" xfId="0" applyFont="1" applyFill="1" applyBorder="1" applyAlignment="1">
      <alignment horizontal="center" vertical="center" wrapText="1"/>
    </xf>
    <xf numFmtId="0" fontId="5" fillId="14" borderId="23" xfId="0" applyFont="1" applyFill="1" applyBorder="1" applyAlignment="1">
      <alignment horizontal="center" vertical="center" wrapText="1"/>
    </xf>
    <xf numFmtId="0" fontId="5" fillId="14" borderId="20" xfId="0" applyFont="1" applyFill="1" applyBorder="1" applyAlignment="1">
      <alignment horizontal="center" vertical="center" wrapText="1"/>
    </xf>
    <xf numFmtId="0" fontId="5" fillId="14" borderId="22" xfId="0" applyFont="1" applyFill="1" applyBorder="1" applyAlignment="1">
      <alignment horizontal="center" vertical="center" wrapText="1"/>
    </xf>
    <xf numFmtId="0" fontId="5" fillId="14" borderId="29" xfId="0" applyFont="1" applyFill="1" applyBorder="1" applyAlignment="1">
      <alignment horizontal="center" vertical="center" wrapText="1"/>
    </xf>
    <xf numFmtId="0" fontId="5" fillId="14" borderId="6" xfId="0" applyFont="1" applyFill="1" applyBorder="1" applyAlignment="1">
      <alignment horizontal="center" vertical="center" wrapText="1"/>
    </xf>
  </cellXfs>
  <cellStyles count="243">
    <cellStyle name="20% - Énfasis1" xfId="28" builtinId="30" customBuiltin="1"/>
    <cellStyle name="20% - Énfasis1 2" xfId="56" xr:uid="{00000000-0005-0000-0000-000001000000}"/>
    <cellStyle name="20% - Énfasis1 3" xfId="55" xr:uid="{00000000-0005-0000-0000-000002000000}"/>
    <cellStyle name="20% - Énfasis2" xfId="31" builtinId="34" customBuiltin="1"/>
    <cellStyle name="20% - Énfasis2 2" xfId="54" xr:uid="{00000000-0005-0000-0000-000004000000}"/>
    <cellStyle name="20% - Énfasis2 3" xfId="53" xr:uid="{00000000-0005-0000-0000-000005000000}"/>
    <cellStyle name="20% - Énfasis3" xfId="34" builtinId="38" customBuiltin="1"/>
    <cellStyle name="20% - Énfasis3 2" xfId="52" xr:uid="{00000000-0005-0000-0000-000007000000}"/>
    <cellStyle name="20% - Énfasis3 3" xfId="50" xr:uid="{00000000-0005-0000-0000-000008000000}"/>
    <cellStyle name="20% - Énfasis4" xfId="37" builtinId="42" customBuiltin="1"/>
    <cellStyle name="20% - Énfasis4 2" xfId="51" xr:uid="{00000000-0005-0000-0000-00000A000000}"/>
    <cellStyle name="20% - Énfasis4 3" xfId="57" xr:uid="{00000000-0005-0000-0000-00000B000000}"/>
    <cellStyle name="20% - Énfasis5" xfId="40" builtinId="46" customBuiltin="1"/>
    <cellStyle name="20% - Énfasis5 2" xfId="58" xr:uid="{00000000-0005-0000-0000-00000D000000}"/>
    <cellStyle name="20% - Énfasis5 3" xfId="59" xr:uid="{00000000-0005-0000-0000-00000E000000}"/>
    <cellStyle name="20% - Énfasis6" xfId="43" builtinId="50" customBuiltin="1"/>
    <cellStyle name="20% - Énfasis6 2" xfId="60" xr:uid="{00000000-0005-0000-0000-000010000000}"/>
    <cellStyle name="20% - Énfasis6 3" xfId="61" xr:uid="{00000000-0005-0000-0000-000011000000}"/>
    <cellStyle name="40% - Énfasis1" xfId="29" builtinId="31" customBuiltin="1"/>
    <cellStyle name="40% - Énfasis1 2" xfId="62" xr:uid="{00000000-0005-0000-0000-000013000000}"/>
    <cellStyle name="40% - Énfasis1 3" xfId="63" xr:uid="{00000000-0005-0000-0000-000014000000}"/>
    <cellStyle name="40% - Énfasis2" xfId="32" builtinId="35" customBuiltin="1"/>
    <cellStyle name="40% - Énfasis2 2" xfId="64" xr:uid="{00000000-0005-0000-0000-000016000000}"/>
    <cellStyle name="40% - Énfasis2 3" xfId="65" xr:uid="{00000000-0005-0000-0000-000017000000}"/>
    <cellStyle name="40% - Énfasis3" xfId="35" builtinId="39" customBuiltin="1"/>
    <cellStyle name="40% - Énfasis3 2" xfId="66" xr:uid="{00000000-0005-0000-0000-000019000000}"/>
    <cellStyle name="40% - Énfasis3 3" xfId="67" xr:uid="{00000000-0005-0000-0000-00001A000000}"/>
    <cellStyle name="40% - Énfasis4" xfId="38" builtinId="43" customBuiltin="1"/>
    <cellStyle name="40% - Énfasis4 2" xfId="68" xr:uid="{00000000-0005-0000-0000-00001C000000}"/>
    <cellStyle name="40% - Énfasis4 3" xfId="69" xr:uid="{00000000-0005-0000-0000-00001D000000}"/>
    <cellStyle name="40% - Énfasis5" xfId="41" builtinId="47" customBuiltin="1"/>
    <cellStyle name="40% - Énfasis5 2" xfId="70" xr:uid="{00000000-0005-0000-0000-00001F000000}"/>
    <cellStyle name="40% - Énfasis5 3" xfId="71" xr:uid="{00000000-0005-0000-0000-000020000000}"/>
    <cellStyle name="40% - Énfasis6" xfId="44" builtinId="51" customBuiltin="1"/>
    <cellStyle name="40% - Énfasis6 2" xfId="72" xr:uid="{00000000-0005-0000-0000-000022000000}"/>
    <cellStyle name="40% - Énfasis6 3" xfId="73" xr:uid="{00000000-0005-0000-0000-000023000000}"/>
    <cellStyle name="60% - Énfasis1 2" xfId="74" xr:uid="{00000000-0005-0000-0000-000024000000}"/>
    <cellStyle name="60% - Énfasis1 3" xfId="75" xr:uid="{00000000-0005-0000-0000-000025000000}"/>
    <cellStyle name="60% - Énfasis2 2" xfId="76" xr:uid="{00000000-0005-0000-0000-000026000000}"/>
    <cellStyle name="60% - Énfasis2 3" xfId="77" xr:uid="{00000000-0005-0000-0000-000027000000}"/>
    <cellStyle name="60% - Énfasis3 2" xfId="78" xr:uid="{00000000-0005-0000-0000-000028000000}"/>
    <cellStyle name="60% - Énfasis3 3" xfId="79" xr:uid="{00000000-0005-0000-0000-000029000000}"/>
    <cellStyle name="60% - Énfasis4 2" xfId="80" xr:uid="{00000000-0005-0000-0000-00002A000000}"/>
    <cellStyle name="60% - Énfasis4 3" xfId="81" xr:uid="{00000000-0005-0000-0000-00002B000000}"/>
    <cellStyle name="60% - Énfasis5 2" xfId="82" xr:uid="{00000000-0005-0000-0000-00002C000000}"/>
    <cellStyle name="60% - Énfasis5 3" xfId="83" xr:uid="{00000000-0005-0000-0000-00002D000000}"/>
    <cellStyle name="60% - Énfasis6 2" xfId="84" xr:uid="{00000000-0005-0000-0000-00002E000000}"/>
    <cellStyle name="60% - Énfasis6 3" xfId="85" xr:uid="{00000000-0005-0000-0000-00002F000000}"/>
    <cellStyle name="Buena 2" xfId="86" xr:uid="{00000000-0005-0000-0000-000030000000}"/>
    <cellStyle name="Buena 3" xfId="87" xr:uid="{00000000-0005-0000-0000-000031000000}"/>
    <cellStyle name="Cálculo" xfId="22" builtinId="22" customBuiltin="1"/>
    <cellStyle name="Cálculo 2" xfId="88" xr:uid="{00000000-0005-0000-0000-000033000000}"/>
    <cellStyle name="Cálculo 3" xfId="89" xr:uid="{00000000-0005-0000-0000-000034000000}"/>
    <cellStyle name="Celda de comprobación" xfId="24" builtinId="23" customBuiltin="1"/>
    <cellStyle name="Celda de comprobación 2" xfId="90" xr:uid="{00000000-0005-0000-0000-000036000000}"/>
    <cellStyle name="Celda de comprobación 3" xfId="91" xr:uid="{00000000-0005-0000-0000-000037000000}"/>
    <cellStyle name="Celda vinculada" xfId="23" builtinId="24" customBuiltin="1"/>
    <cellStyle name="Celda vinculada 2" xfId="92" xr:uid="{00000000-0005-0000-0000-000039000000}"/>
    <cellStyle name="Celda vinculada 3" xfId="93" xr:uid="{00000000-0005-0000-0000-00003A000000}"/>
    <cellStyle name="Encabezado 4" xfId="18" builtinId="19" customBuiltin="1"/>
    <cellStyle name="Encabezado 4 2" xfId="94" xr:uid="{00000000-0005-0000-0000-00003C000000}"/>
    <cellStyle name="Encabezado 4 3" xfId="95" xr:uid="{00000000-0005-0000-0000-00003D000000}"/>
    <cellStyle name="Énfasis1" xfId="3" builtinId="29" customBuiltin="1"/>
    <cellStyle name="Énfasis1 2" xfId="96" xr:uid="{00000000-0005-0000-0000-00003F000000}"/>
    <cellStyle name="Énfasis1 3" xfId="97" xr:uid="{00000000-0005-0000-0000-000040000000}"/>
    <cellStyle name="Énfasis2" xfId="30" builtinId="33" customBuiltin="1"/>
    <cellStyle name="Énfasis2 2" xfId="98" xr:uid="{00000000-0005-0000-0000-000042000000}"/>
    <cellStyle name="Énfasis2 3" xfId="99" xr:uid="{00000000-0005-0000-0000-000043000000}"/>
    <cellStyle name="Énfasis3" xfId="33" builtinId="37" customBuiltin="1"/>
    <cellStyle name="Énfasis3 2" xfId="100" xr:uid="{00000000-0005-0000-0000-000045000000}"/>
    <cellStyle name="Énfasis3 3" xfId="101" xr:uid="{00000000-0005-0000-0000-000046000000}"/>
    <cellStyle name="Énfasis4" xfId="36" builtinId="41" customBuiltin="1"/>
    <cellStyle name="Énfasis4 2" xfId="102" xr:uid="{00000000-0005-0000-0000-000048000000}"/>
    <cellStyle name="Énfasis4 3" xfId="103" xr:uid="{00000000-0005-0000-0000-000049000000}"/>
    <cellStyle name="Énfasis5" xfId="39" builtinId="45" customBuiltin="1"/>
    <cellStyle name="Énfasis5 2" xfId="104" xr:uid="{00000000-0005-0000-0000-00004B000000}"/>
    <cellStyle name="Énfasis5 3" xfId="105" xr:uid="{00000000-0005-0000-0000-00004C000000}"/>
    <cellStyle name="Énfasis6" xfId="42" builtinId="49" customBuiltin="1"/>
    <cellStyle name="Énfasis6 2" xfId="106" xr:uid="{00000000-0005-0000-0000-00004E000000}"/>
    <cellStyle name="Énfasis6 3" xfId="107" xr:uid="{00000000-0005-0000-0000-00004F000000}"/>
    <cellStyle name="Entrada" xfId="20" builtinId="20" customBuiltin="1"/>
    <cellStyle name="Entrada 2" xfId="108" xr:uid="{00000000-0005-0000-0000-000051000000}"/>
    <cellStyle name="Entrada 3" xfId="109" xr:uid="{00000000-0005-0000-0000-000052000000}"/>
    <cellStyle name="Euro" xfId="110" xr:uid="{00000000-0005-0000-0000-000053000000}"/>
    <cellStyle name="Euro 2" xfId="111" xr:uid="{00000000-0005-0000-0000-000054000000}"/>
    <cellStyle name="Hipervínculo" xfId="6" builtinId="8"/>
    <cellStyle name="Hipervínculo 2" xfId="8" xr:uid="{00000000-0005-0000-0000-000056000000}"/>
    <cellStyle name="Incorrecto" xfId="19" builtinId="27" customBuiltin="1"/>
    <cellStyle name="Incorrecto 2" xfId="112" xr:uid="{00000000-0005-0000-0000-000058000000}"/>
    <cellStyle name="Incorrecto 3" xfId="113" xr:uid="{00000000-0005-0000-0000-000059000000}"/>
    <cellStyle name="Millares" xfId="1" builtinId="3"/>
    <cellStyle name="Millares [0]" xfId="242" builtinId="6"/>
    <cellStyle name="Millares [0] 2" xfId="114" xr:uid="{00000000-0005-0000-0000-00005C000000}"/>
    <cellStyle name="Millares 10" xfId="211" xr:uid="{00000000-0005-0000-0000-00005D000000}"/>
    <cellStyle name="Millares 11" xfId="223" xr:uid="{00000000-0005-0000-0000-00005E000000}"/>
    <cellStyle name="Millares 12" xfId="212" xr:uid="{00000000-0005-0000-0000-00005F000000}"/>
    <cellStyle name="Millares 13" xfId="225" xr:uid="{00000000-0005-0000-0000-000060000000}"/>
    <cellStyle name="Millares 14" xfId="224" xr:uid="{00000000-0005-0000-0000-000061000000}"/>
    <cellStyle name="Millares 15" xfId="226" xr:uid="{00000000-0005-0000-0000-000062000000}"/>
    <cellStyle name="Millares 16" xfId="231" xr:uid="{00000000-0005-0000-0000-000063000000}"/>
    <cellStyle name="Millares 17" xfId="230" xr:uid="{00000000-0005-0000-0000-000064000000}"/>
    <cellStyle name="Millares 18" xfId="232" xr:uid="{00000000-0005-0000-0000-000065000000}"/>
    <cellStyle name="Millares 19" xfId="229" xr:uid="{00000000-0005-0000-0000-000066000000}"/>
    <cellStyle name="Millares 2" xfId="115" xr:uid="{00000000-0005-0000-0000-000067000000}"/>
    <cellStyle name="Millares 2 3" xfId="5" xr:uid="{00000000-0005-0000-0000-000068000000}"/>
    <cellStyle name="Millares 20" xfId="233" xr:uid="{00000000-0005-0000-0000-000069000000}"/>
    <cellStyle name="Millares 21" xfId="228" xr:uid="{00000000-0005-0000-0000-00006A000000}"/>
    <cellStyle name="Millares 22" xfId="227" xr:uid="{00000000-0005-0000-0000-00006B000000}"/>
    <cellStyle name="Millares 23" xfId="234" xr:uid="{00000000-0005-0000-0000-00006C000000}"/>
    <cellStyle name="Millares 24" xfId="235" xr:uid="{00000000-0005-0000-0000-00006D000000}"/>
    <cellStyle name="Millares 25" xfId="236" xr:uid="{00000000-0005-0000-0000-00006E000000}"/>
    <cellStyle name="Millares 26" xfId="237" xr:uid="{00000000-0005-0000-0000-00006F000000}"/>
    <cellStyle name="Millares 27" xfId="238" xr:uid="{00000000-0005-0000-0000-000070000000}"/>
    <cellStyle name="Millares 28" xfId="239" xr:uid="{00000000-0005-0000-0000-000071000000}"/>
    <cellStyle name="Millares 29" xfId="240" xr:uid="{00000000-0005-0000-0000-000072000000}"/>
    <cellStyle name="Millares 3" xfId="116" xr:uid="{00000000-0005-0000-0000-000073000000}"/>
    <cellStyle name="Millares 4" xfId="215" xr:uid="{00000000-0005-0000-0000-000074000000}"/>
    <cellStyle name="Millares 5" xfId="221" xr:uid="{00000000-0005-0000-0000-000075000000}"/>
    <cellStyle name="Millares 6" xfId="213" xr:uid="{00000000-0005-0000-0000-000076000000}"/>
    <cellStyle name="Millares 7" xfId="220" xr:uid="{00000000-0005-0000-0000-000077000000}"/>
    <cellStyle name="Millares 8" xfId="214" xr:uid="{00000000-0005-0000-0000-000078000000}"/>
    <cellStyle name="Millares 9" xfId="222" xr:uid="{00000000-0005-0000-0000-000079000000}"/>
    <cellStyle name="Moneda 2" xfId="209" xr:uid="{00000000-0005-0000-0000-00007A000000}"/>
    <cellStyle name="Moneda 3" xfId="216" xr:uid="{00000000-0005-0000-0000-00007B000000}"/>
    <cellStyle name="Neutral 2" xfId="117" xr:uid="{00000000-0005-0000-0000-00007C000000}"/>
    <cellStyle name="Neutral 3" xfId="118" xr:uid="{00000000-0005-0000-0000-00007D000000}"/>
    <cellStyle name="Normal" xfId="0" builtinId="0"/>
    <cellStyle name="Normal 10" xfId="10" xr:uid="{00000000-0005-0000-0000-00007F000000}"/>
    <cellStyle name="Normal 11" xfId="119" xr:uid="{00000000-0005-0000-0000-000080000000}"/>
    <cellStyle name="Normal 12" xfId="120" xr:uid="{00000000-0005-0000-0000-000081000000}"/>
    <cellStyle name="Normal 13" xfId="121" xr:uid="{00000000-0005-0000-0000-000082000000}"/>
    <cellStyle name="Normal 14" xfId="122" xr:uid="{00000000-0005-0000-0000-000083000000}"/>
    <cellStyle name="Normal 15" xfId="123" xr:uid="{00000000-0005-0000-0000-000084000000}"/>
    <cellStyle name="Normal 16" xfId="124" xr:uid="{00000000-0005-0000-0000-000085000000}"/>
    <cellStyle name="Normal 17" xfId="125" xr:uid="{00000000-0005-0000-0000-000086000000}"/>
    <cellStyle name="Normal 18" xfId="126" xr:uid="{00000000-0005-0000-0000-000087000000}"/>
    <cellStyle name="Normal 19" xfId="127" xr:uid="{00000000-0005-0000-0000-000088000000}"/>
    <cellStyle name="Normal 2" xfId="4" xr:uid="{00000000-0005-0000-0000-000089000000}"/>
    <cellStyle name="Normal 2 2" xfId="12" xr:uid="{00000000-0005-0000-0000-00008A000000}"/>
    <cellStyle name="Normal 2 2 2" xfId="128" xr:uid="{00000000-0005-0000-0000-00008B000000}"/>
    <cellStyle name="Normal 2 3" xfId="129" xr:uid="{00000000-0005-0000-0000-00008C000000}"/>
    <cellStyle name="Normal 2 4" xfId="217" xr:uid="{00000000-0005-0000-0000-00008D000000}"/>
    <cellStyle name="Normal 2 5" xfId="241" xr:uid="{00000000-0005-0000-0000-00008E000000}"/>
    <cellStyle name="Normal 20" xfId="130" xr:uid="{00000000-0005-0000-0000-00008F000000}"/>
    <cellStyle name="Normal 21" xfId="131" xr:uid="{00000000-0005-0000-0000-000090000000}"/>
    <cellStyle name="Normal 22" xfId="132" xr:uid="{00000000-0005-0000-0000-000091000000}"/>
    <cellStyle name="Normal 23" xfId="133" xr:uid="{00000000-0005-0000-0000-000092000000}"/>
    <cellStyle name="Normal 24" xfId="134" xr:uid="{00000000-0005-0000-0000-000093000000}"/>
    <cellStyle name="Normal 25" xfId="135" xr:uid="{00000000-0005-0000-0000-000094000000}"/>
    <cellStyle name="Normal 26" xfId="136" xr:uid="{00000000-0005-0000-0000-000095000000}"/>
    <cellStyle name="Normal 27" xfId="137" xr:uid="{00000000-0005-0000-0000-000096000000}"/>
    <cellStyle name="Normal 28" xfId="138" xr:uid="{00000000-0005-0000-0000-000097000000}"/>
    <cellStyle name="Normal 29" xfId="139" xr:uid="{00000000-0005-0000-0000-000098000000}"/>
    <cellStyle name="Normal 3" xfId="46" xr:uid="{00000000-0005-0000-0000-000099000000}"/>
    <cellStyle name="Normal 3 2" xfId="141" xr:uid="{00000000-0005-0000-0000-00009A000000}"/>
    <cellStyle name="Normal 3 3" xfId="142" xr:uid="{00000000-0005-0000-0000-00009B000000}"/>
    <cellStyle name="Normal 3 4" xfId="143" xr:uid="{00000000-0005-0000-0000-00009C000000}"/>
    <cellStyle name="Normal 3 5" xfId="14" xr:uid="{00000000-0005-0000-0000-00009D000000}"/>
    <cellStyle name="Normal 3 6" xfId="140" xr:uid="{00000000-0005-0000-0000-00009E000000}"/>
    <cellStyle name="Normal 30" xfId="144" xr:uid="{00000000-0005-0000-0000-00009F000000}"/>
    <cellStyle name="Normal 31" xfId="145" xr:uid="{00000000-0005-0000-0000-0000A0000000}"/>
    <cellStyle name="Normal 32" xfId="146" xr:uid="{00000000-0005-0000-0000-0000A1000000}"/>
    <cellStyle name="Normal 33" xfId="147" xr:uid="{00000000-0005-0000-0000-0000A2000000}"/>
    <cellStyle name="Normal 34" xfId="148" xr:uid="{00000000-0005-0000-0000-0000A3000000}"/>
    <cellStyle name="Normal 35" xfId="149" xr:uid="{00000000-0005-0000-0000-0000A4000000}"/>
    <cellStyle name="Normal 36" xfId="150" xr:uid="{00000000-0005-0000-0000-0000A5000000}"/>
    <cellStyle name="Normal 37" xfId="151" xr:uid="{00000000-0005-0000-0000-0000A6000000}"/>
    <cellStyle name="Normal 38" xfId="152" xr:uid="{00000000-0005-0000-0000-0000A7000000}"/>
    <cellStyle name="Normal 39" xfId="153" xr:uid="{00000000-0005-0000-0000-0000A8000000}"/>
    <cellStyle name="Normal 4" xfId="11" xr:uid="{00000000-0005-0000-0000-0000A9000000}"/>
    <cellStyle name="Normal 4 2" xfId="47" xr:uid="{00000000-0005-0000-0000-0000AA000000}"/>
    <cellStyle name="Normal 40" xfId="154" xr:uid="{00000000-0005-0000-0000-0000AB000000}"/>
    <cellStyle name="Normal 41" xfId="155" xr:uid="{00000000-0005-0000-0000-0000AC000000}"/>
    <cellStyle name="Normal 42" xfId="156" xr:uid="{00000000-0005-0000-0000-0000AD000000}"/>
    <cellStyle name="Normal 43" xfId="157" xr:uid="{00000000-0005-0000-0000-0000AE000000}"/>
    <cellStyle name="Normal 44" xfId="158" xr:uid="{00000000-0005-0000-0000-0000AF000000}"/>
    <cellStyle name="Normal 45" xfId="159" xr:uid="{00000000-0005-0000-0000-0000B0000000}"/>
    <cellStyle name="Normal 46" xfId="9" xr:uid="{00000000-0005-0000-0000-0000B1000000}"/>
    <cellStyle name="Normal 47" xfId="160" xr:uid="{00000000-0005-0000-0000-0000B2000000}"/>
    <cellStyle name="Normal 48" xfId="161" xr:uid="{00000000-0005-0000-0000-0000B3000000}"/>
    <cellStyle name="Normal 49" xfId="162" xr:uid="{00000000-0005-0000-0000-0000B4000000}"/>
    <cellStyle name="Normal 5" xfId="48" xr:uid="{00000000-0005-0000-0000-0000B5000000}"/>
    <cellStyle name="Normal 5 2" xfId="163" xr:uid="{00000000-0005-0000-0000-0000B6000000}"/>
    <cellStyle name="Normal 50" xfId="164" xr:uid="{00000000-0005-0000-0000-0000B7000000}"/>
    <cellStyle name="Normal 51" xfId="165" xr:uid="{00000000-0005-0000-0000-0000B8000000}"/>
    <cellStyle name="Normal 52" xfId="166" xr:uid="{00000000-0005-0000-0000-0000B9000000}"/>
    <cellStyle name="Normal 53" xfId="167" xr:uid="{00000000-0005-0000-0000-0000BA000000}"/>
    <cellStyle name="Normal 54" xfId="168" xr:uid="{00000000-0005-0000-0000-0000BB000000}"/>
    <cellStyle name="Normal 55" xfId="169" xr:uid="{00000000-0005-0000-0000-0000BC000000}"/>
    <cellStyle name="Normal 56" xfId="170" xr:uid="{00000000-0005-0000-0000-0000BD000000}"/>
    <cellStyle name="Normal 57" xfId="171" xr:uid="{00000000-0005-0000-0000-0000BE000000}"/>
    <cellStyle name="Normal 58" xfId="172" xr:uid="{00000000-0005-0000-0000-0000BF000000}"/>
    <cellStyle name="Normal 59" xfId="173" xr:uid="{00000000-0005-0000-0000-0000C0000000}"/>
    <cellStyle name="Normal 6" xfId="15" xr:uid="{00000000-0005-0000-0000-0000C1000000}"/>
    <cellStyle name="Normal 6 2" xfId="174" xr:uid="{00000000-0005-0000-0000-0000C2000000}"/>
    <cellStyle name="Normal 60" xfId="175" xr:uid="{00000000-0005-0000-0000-0000C3000000}"/>
    <cellStyle name="Normal 61" xfId="176" xr:uid="{00000000-0005-0000-0000-0000C4000000}"/>
    <cellStyle name="Normal 62" xfId="177" xr:uid="{00000000-0005-0000-0000-0000C5000000}"/>
    <cellStyle name="Normal 63" xfId="178" xr:uid="{00000000-0005-0000-0000-0000C6000000}"/>
    <cellStyle name="Normal 64" xfId="179" xr:uid="{00000000-0005-0000-0000-0000C7000000}"/>
    <cellStyle name="Normal 65" xfId="180" xr:uid="{00000000-0005-0000-0000-0000C8000000}"/>
    <cellStyle name="Normal 66" xfId="181" xr:uid="{00000000-0005-0000-0000-0000C9000000}"/>
    <cellStyle name="Normal 67" xfId="182" xr:uid="{00000000-0005-0000-0000-0000CA000000}"/>
    <cellStyle name="Normal 68" xfId="183" xr:uid="{00000000-0005-0000-0000-0000CB000000}"/>
    <cellStyle name="Normal 69" xfId="184" xr:uid="{00000000-0005-0000-0000-0000CC000000}"/>
    <cellStyle name="Normal 7" xfId="49" xr:uid="{00000000-0005-0000-0000-0000CD000000}"/>
    <cellStyle name="Normal 7 2" xfId="210" xr:uid="{00000000-0005-0000-0000-0000CE000000}"/>
    <cellStyle name="Normal 70" xfId="185" xr:uid="{00000000-0005-0000-0000-0000CF000000}"/>
    <cellStyle name="Normal 71" xfId="186" xr:uid="{00000000-0005-0000-0000-0000D0000000}"/>
    <cellStyle name="Normal 72" xfId="187" xr:uid="{00000000-0005-0000-0000-0000D1000000}"/>
    <cellStyle name="Normal 73" xfId="188" xr:uid="{00000000-0005-0000-0000-0000D2000000}"/>
    <cellStyle name="Normal 74" xfId="189" xr:uid="{00000000-0005-0000-0000-0000D3000000}"/>
    <cellStyle name="Normal 75" xfId="190" xr:uid="{00000000-0005-0000-0000-0000D4000000}"/>
    <cellStyle name="Normal 76" xfId="13" xr:uid="{00000000-0005-0000-0000-0000D5000000}"/>
    <cellStyle name="Normal 8" xfId="191" xr:uid="{00000000-0005-0000-0000-0000D6000000}"/>
    <cellStyle name="Normal 9" xfId="192" xr:uid="{00000000-0005-0000-0000-0000D7000000}"/>
    <cellStyle name="Notas 2" xfId="193" xr:uid="{00000000-0005-0000-0000-0000D8000000}"/>
    <cellStyle name="Notas 2 2" xfId="218" xr:uid="{00000000-0005-0000-0000-0000D9000000}"/>
    <cellStyle name="Porcentaje" xfId="2" builtinId="5"/>
    <cellStyle name="Porcentaje 2" xfId="45" xr:uid="{00000000-0005-0000-0000-0000DB000000}"/>
    <cellStyle name="Porcentaje 3" xfId="194" xr:uid="{00000000-0005-0000-0000-0000DC000000}"/>
    <cellStyle name="Porcentual 2" xfId="7" xr:uid="{00000000-0005-0000-0000-0000DD000000}"/>
    <cellStyle name="Salida" xfId="21" builtinId="21" customBuiltin="1"/>
    <cellStyle name="Salida 2" xfId="195" xr:uid="{00000000-0005-0000-0000-0000DF000000}"/>
    <cellStyle name="Salida 3" xfId="196" xr:uid="{00000000-0005-0000-0000-0000E0000000}"/>
    <cellStyle name="Texto de advertencia" xfId="25" builtinId="11" customBuiltin="1"/>
    <cellStyle name="Texto de advertencia 2" xfId="197" xr:uid="{00000000-0005-0000-0000-0000E2000000}"/>
    <cellStyle name="Texto de advertencia 3" xfId="198" xr:uid="{00000000-0005-0000-0000-0000E3000000}"/>
    <cellStyle name="Texto explicativo" xfId="26" builtinId="53" customBuiltin="1"/>
    <cellStyle name="Texto explicativo 2" xfId="199" xr:uid="{00000000-0005-0000-0000-0000E5000000}"/>
    <cellStyle name="Texto explicativo 3" xfId="200" xr:uid="{00000000-0005-0000-0000-0000E6000000}"/>
    <cellStyle name="Título 1 2" xfId="201" xr:uid="{00000000-0005-0000-0000-0000E7000000}"/>
    <cellStyle name="Título 1 3" xfId="202" xr:uid="{00000000-0005-0000-0000-0000E8000000}"/>
    <cellStyle name="Título 2" xfId="16" builtinId="17" customBuiltin="1"/>
    <cellStyle name="Título 2 2" xfId="203" xr:uid="{00000000-0005-0000-0000-0000EA000000}"/>
    <cellStyle name="Título 2 3" xfId="204" xr:uid="{00000000-0005-0000-0000-0000EB000000}"/>
    <cellStyle name="Título 3" xfId="17" builtinId="18" customBuiltin="1"/>
    <cellStyle name="Título 3 2" xfId="205" xr:uid="{00000000-0005-0000-0000-0000ED000000}"/>
    <cellStyle name="Título 3 3" xfId="206" xr:uid="{00000000-0005-0000-0000-0000EE000000}"/>
    <cellStyle name="Título 4" xfId="219" xr:uid="{00000000-0005-0000-0000-0000EF000000}"/>
    <cellStyle name="Total" xfId="27" builtinId="25" customBuiltin="1"/>
    <cellStyle name="Total 2" xfId="207" xr:uid="{00000000-0005-0000-0000-0000F1000000}"/>
    <cellStyle name="Total 3" xfId="208" xr:uid="{00000000-0005-0000-0000-0000F2000000}"/>
  </cellStyles>
  <dxfs count="0"/>
  <tableStyles count="0" defaultTableStyle="TableStyleMedium2" defaultPivotStyle="PivotStyleLight16"/>
  <colors>
    <mruColors>
      <color rgb="FFF68A8A"/>
      <color rgb="FFFF7C80"/>
      <color rgb="FFC050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885825</xdr:colOff>
      <xdr:row>1</xdr:row>
      <xdr:rowOff>0</xdr:rowOff>
    </xdr:to>
    <xdr:pic>
      <xdr:nvPicPr>
        <xdr:cNvPr id="3" name="Imagen 2" descr="cid:image001.png@01CC8988.715F2480">
          <a:extLst>
            <a:ext uri="{FF2B5EF4-FFF2-40B4-BE49-F238E27FC236}">
              <a16:creationId xmlns:a16="http://schemas.microsoft.com/office/drawing/2014/main" id="{BDFB6859-6759-4EF2-9F07-F96F12AE9496}"/>
            </a:ext>
          </a:extLst>
        </xdr:cNvPr>
        <xdr:cNvPicPr/>
      </xdr:nvPicPr>
      <xdr:blipFill>
        <a:blip xmlns:r="http://schemas.openxmlformats.org/officeDocument/2006/relationships" r:embed="rId1"/>
        <a:srcRect/>
        <a:stretch>
          <a:fillRect/>
        </a:stretch>
      </xdr:blipFill>
      <xdr:spPr bwMode="auto">
        <a:xfrm>
          <a:off x="0" y="0"/>
          <a:ext cx="885825" cy="790575"/>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2"/>
  <sheetViews>
    <sheetView workbookViewId="0">
      <selection activeCell="B3" sqref="B3"/>
    </sheetView>
  </sheetViews>
  <sheetFormatPr baseColWidth="10" defaultRowHeight="15" x14ac:dyDescent="0.25"/>
  <sheetData>
    <row r="2" spans="1:2" x14ac:dyDescent="0.25">
      <c r="A2" t="s">
        <v>411</v>
      </c>
      <c r="B2" t="s">
        <v>518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504D"/>
  </sheetPr>
  <dimension ref="A1:N16"/>
  <sheetViews>
    <sheetView showGridLines="0" tabSelected="1" zoomScaleNormal="100" workbookViewId="0">
      <selection activeCell="A2" sqref="A2"/>
    </sheetView>
  </sheetViews>
  <sheetFormatPr baseColWidth="10" defaultRowHeight="15" x14ac:dyDescent="0.25"/>
  <cols>
    <col min="1" max="1" width="13.5703125" customWidth="1"/>
    <col min="2" max="2" width="62.7109375" customWidth="1"/>
  </cols>
  <sheetData>
    <row r="1" spans="1:14" ht="62.25" customHeight="1" x14ac:dyDescent="0.25">
      <c r="B1" s="95" t="s">
        <v>512</v>
      </c>
    </row>
    <row r="2" spans="1:14" x14ac:dyDescent="0.25">
      <c r="A2" s="92"/>
      <c r="B2" s="21"/>
      <c r="C2" s="21"/>
    </row>
    <row r="3" spans="1:14" x14ac:dyDescent="0.25">
      <c r="A3" s="92"/>
      <c r="B3" s="21"/>
      <c r="C3" s="21"/>
    </row>
    <row r="4" spans="1:14" x14ac:dyDescent="0.25">
      <c r="A4" s="40"/>
      <c r="B4" s="21"/>
      <c r="C4" s="21"/>
    </row>
    <row r="5" spans="1:14" ht="15.75" x14ac:dyDescent="0.25">
      <c r="A5" s="40"/>
      <c r="B5" s="91" t="s">
        <v>556</v>
      </c>
      <c r="C5" s="21"/>
    </row>
    <row r="7" spans="1:14" s="21" customFormat="1" x14ac:dyDescent="0.25">
      <c r="B7" s="92" t="s">
        <v>75</v>
      </c>
    </row>
    <row r="8" spans="1:14" s="21" customFormat="1" ht="47.25" customHeight="1" x14ac:dyDescent="0.2">
      <c r="B8" s="126" t="s">
        <v>615</v>
      </c>
      <c r="C8" s="63"/>
      <c r="D8" s="63"/>
      <c r="E8" s="63"/>
      <c r="F8" s="63"/>
      <c r="G8" s="63"/>
      <c r="H8" s="63"/>
      <c r="I8" s="63"/>
      <c r="J8" s="63"/>
      <c r="K8" s="63"/>
      <c r="L8" s="63"/>
      <c r="M8" s="63"/>
    </row>
    <row r="9" spans="1:14" s="21" customFormat="1" ht="15" customHeight="1" x14ac:dyDescent="0.2">
      <c r="B9" s="63"/>
      <c r="C9" s="63"/>
      <c r="D9" s="63"/>
      <c r="E9" s="63"/>
      <c r="F9" s="63"/>
      <c r="G9" s="63"/>
      <c r="H9" s="63"/>
      <c r="I9" s="63"/>
      <c r="J9" s="63"/>
      <c r="K9" s="63"/>
      <c r="L9" s="63"/>
      <c r="M9" s="63"/>
      <c r="N9" s="86"/>
    </row>
    <row r="10" spans="1:14" s="21" customFormat="1" x14ac:dyDescent="0.2">
      <c r="B10" s="332" t="s">
        <v>557</v>
      </c>
      <c r="C10" s="86"/>
      <c r="D10" s="86"/>
      <c r="E10" s="86"/>
      <c r="F10" s="86"/>
      <c r="G10" s="86"/>
      <c r="H10" s="86"/>
      <c r="I10" s="86"/>
      <c r="J10" s="86"/>
      <c r="K10" s="86"/>
      <c r="L10" s="86"/>
      <c r="M10" s="86"/>
      <c r="N10" s="86"/>
    </row>
    <row r="11" spans="1:14" s="21" customFormat="1" x14ac:dyDescent="0.25">
      <c r="B11" s="93" t="s">
        <v>504</v>
      </c>
      <c r="N11" s="86"/>
    </row>
    <row r="12" spans="1:14" s="21" customFormat="1" x14ac:dyDescent="0.25">
      <c r="B12" s="94" t="s">
        <v>503</v>
      </c>
    </row>
    <row r="13" spans="1:14" s="21" customFormat="1" ht="12" x14ac:dyDescent="0.2"/>
    <row r="14" spans="1:14" s="21" customFormat="1" ht="12" x14ac:dyDescent="0.2"/>
    <row r="15" spans="1:14" s="21" customFormat="1" ht="12" x14ac:dyDescent="0.2"/>
    <row r="16" spans="1:14" s="21" customFormat="1" ht="12" x14ac:dyDescent="0.2"/>
  </sheetData>
  <hyperlinks>
    <hyperlink ref="B10" location="'Índice PGU y SPS'!A1" display="Estadísticas de Pensión Garantizada Universal (PGU) y Sistema de Pensiones Solidarias (SPS)" xr:uid="{00000000-0004-0000-0100-000000000000}"/>
    <hyperlink ref="B11" location="'Índice BxH'!A1" display="'Índice BxH'!A1" xr:uid="{00000000-0004-0000-0100-000001000000}"/>
    <hyperlink ref="B12" location="'Índice STJ'!A1" display="'Índice STJ'!A1" xr:uid="{00000000-0004-0000-0100-000002000000}"/>
  </hyperlinks>
  <pageMargins left="0.7" right="0.7" top="0.75" bottom="0.75" header="0.3" footer="0.3"/>
  <pageSetup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2:N36"/>
  <sheetViews>
    <sheetView showGridLines="0" workbookViewId="0"/>
  </sheetViews>
  <sheetFormatPr baseColWidth="10" defaultColWidth="11.42578125" defaultRowHeight="12" x14ac:dyDescent="0.2"/>
  <cols>
    <col min="1" max="1" width="6" style="21" customWidth="1"/>
    <col min="2" max="7" width="11.42578125" style="21"/>
    <col min="8" max="8" width="13.5703125" style="21" customWidth="1"/>
    <col min="9" max="16384" width="11.42578125" style="21"/>
  </cols>
  <sheetData>
    <row r="2" spans="1:14" x14ac:dyDescent="0.2">
      <c r="A2" s="40" t="s">
        <v>58</v>
      </c>
    </row>
    <row r="3" spans="1:14" x14ac:dyDescent="0.2">
      <c r="A3" s="40" t="s">
        <v>59</v>
      </c>
    </row>
    <row r="4" spans="1:14" ht="15.75" customHeight="1" x14ac:dyDescent="0.2">
      <c r="A4" s="40"/>
    </row>
    <row r="5" spans="1:14" ht="15" x14ac:dyDescent="0.25">
      <c r="A5" s="40"/>
      <c r="B5" s="96" t="s">
        <v>558</v>
      </c>
      <c r="C5" s="96"/>
      <c r="D5" s="96"/>
      <c r="E5" s="96"/>
      <c r="F5" s="96"/>
      <c r="G5" s="96"/>
      <c r="N5" s="110" t="s">
        <v>511</v>
      </c>
    </row>
    <row r="7" spans="1:14" s="97" customFormat="1" ht="12.75" x14ac:dyDescent="0.2">
      <c r="B7" s="98" t="s">
        <v>75</v>
      </c>
      <c r="C7" s="99"/>
      <c r="D7" s="99"/>
      <c r="E7" s="99"/>
      <c r="F7" s="99"/>
      <c r="G7" s="99"/>
      <c r="H7" s="99"/>
      <c r="I7" s="99"/>
      <c r="J7" s="99"/>
      <c r="K7" s="99"/>
      <c r="L7" s="99"/>
      <c r="M7" s="99"/>
      <c r="N7" s="100"/>
    </row>
    <row r="8" spans="1:14" s="97" customFormat="1" ht="12.75" x14ac:dyDescent="0.2">
      <c r="B8" s="335" t="s">
        <v>639</v>
      </c>
      <c r="C8" s="336"/>
      <c r="D8" s="336"/>
      <c r="E8" s="336"/>
      <c r="F8" s="336"/>
      <c r="G8" s="336"/>
      <c r="H8" s="336"/>
      <c r="I8" s="336"/>
      <c r="J8" s="336"/>
      <c r="K8" s="336"/>
      <c r="L8" s="336"/>
      <c r="M8" s="336"/>
      <c r="N8" s="337"/>
    </row>
    <row r="9" spans="1:14" s="97" customFormat="1" ht="12.75" x14ac:dyDescent="0.2">
      <c r="B9" s="335"/>
      <c r="C9" s="336"/>
      <c r="D9" s="336"/>
      <c r="E9" s="336"/>
      <c r="F9" s="336"/>
      <c r="G9" s="336"/>
      <c r="H9" s="336"/>
      <c r="I9" s="336"/>
      <c r="J9" s="336"/>
      <c r="K9" s="336"/>
      <c r="L9" s="336"/>
      <c r="M9" s="336"/>
      <c r="N9" s="337"/>
    </row>
    <row r="10" spans="1:14" s="97" customFormat="1" ht="27.75" customHeight="1" x14ac:dyDescent="0.2">
      <c r="B10" s="338"/>
      <c r="C10" s="339"/>
      <c r="D10" s="339"/>
      <c r="E10" s="339"/>
      <c r="F10" s="339"/>
      <c r="G10" s="339"/>
      <c r="H10" s="339"/>
      <c r="I10" s="339"/>
      <c r="J10" s="339"/>
      <c r="K10" s="339"/>
      <c r="L10" s="339"/>
      <c r="M10" s="339"/>
      <c r="N10" s="340"/>
    </row>
    <row r="11" spans="1:14" s="97" customFormat="1" ht="12.75" x14ac:dyDescent="0.2"/>
    <row r="12" spans="1:14" s="97" customFormat="1" ht="12.75" x14ac:dyDescent="0.2">
      <c r="B12" s="62" t="s">
        <v>76</v>
      </c>
    </row>
    <row r="13" spans="1:14" s="97" customFormat="1" ht="12.75" x14ac:dyDescent="0.2">
      <c r="B13" s="341" t="s">
        <v>634</v>
      </c>
      <c r="C13" s="341"/>
      <c r="D13" s="341"/>
      <c r="E13" s="341"/>
      <c r="F13" s="341"/>
      <c r="G13" s="341"/>
      <c r="H13" s="341"/>
      <c r="I13" s="341"/>
    </row>
    <row r="14" spans="1:14" s="97" customFormat="1" ht="12.75" x14ac:dyDescent="0.2">
      <c r="B14" s="341" t="s">
        <v>635</v>
      </c>
      <c r="C14" s="341"/>
      <c r="D14" s="341"/>
      <c r="E14" s="341"/>
      <c r="F14" s="341"/>
      <c r="G14" s="341"/>
      <c r="H14" s="341"/>
    </row>
    <row r="15" spans="1:14" s="97" customFormat="1" ht="12.75" x14ac:dyDescent="0.2"/>
    <row r="16" spans="1:14" s="97" customFormat="1" ht="12.75" x14ac:dyDescent="0.2">
      <c r="B16" s="62" t="s">
        <v>77</v>
      </c>
    </row>
    <row r="17" spans="2:10" s="97" customFormat="1" ht="12.75" x14ac:dyDescent="0.2">
      <c r="B17" s="342" t="s">
        <v>636</v>
      </c>
      <c r="C17" s="342"/>
      <c r="D17" s="342"/>
      <c r="E17" s="342"/>
      <c r="F17" s="342"/>
      <c r="G17" s="342"/>
      <c r="H17" s="342"/>
      <c r="I17" s="342"/>
      <c r="J17" s="342"/>
    </row>
    <row r="18" spans="2:10" s="97" customFormat="1" ht="12.75" x14ac:dyDescent="0.2">
      <c r="B18" s="342" t="s">
        <v>637</v>
      </c>
      <c r="C18" s="342"/>
      <c r="D18" s="342"/>
      <c r="E18" s="342"/>
      <c r="F18" s="342"/>
      <c r="G18" s="342"/>
      <c r="H18" s="342"/>
      <c r="I18" s="342"/>
    </row>
    <row r="19" spans="2:10" s="97" customFormat="1" ht="12.75" x14ac:dyDescent="0.2">
      <c r="B19" s="103"/>
    </row>
    <row r="20" spans="2:10" s="97" customFormat="1" ht="12.75" x14ac:dyDescent="0.2">
      <c r="B20" s="62" t="s">
        <v>638</v>
      </c>
    </row>
    <row r="21" spans="2:10" s="97" customFormat="1" ht="12.75" x14ac:dyDescent="0.2">
      <c r="B21" s="342" t="s">
        <v>60</v>
      </c>
      <c r="C21" s="342"/>
      <c r="D21" s="342"/>
    </row>
    <row r="22" spans="2:10" s="97" customFormat="1" ht="12.75" x14ac:dyDescent="0.2">
      <c r="B22" s="342" t="s">
        <v>61</v>
      </c>
      <c r="C22" s="342"/>
      <c r="D22" s="342"/>
    </row>
    <row r="23" spans="2:10" s="97" customFormat="1" ht="12.75" x14ac:dyDescent="0.2">
      <c r="B23" s="342" t="s">
        <v>68</v>
      </c>
      <c r="C23" s="342"/>
      <c r="D23" s="342"/>
    </row>
    <row r="24" spans="2:10" s="97" customFormat="1" ht="12.75" x14ac:dyDescent="0.2">
      <c r="B24" s="342" t="s">
        <v>62</v>
      </c>
      <c r="C24" s="342"/>
      <c r="D24" s="342"/>
    </row>
    <row r="25" spans="2:10" s="97" customFormat="1" ht="12.75" x14ac:dyDescent="0.2">
      <c r="B25" s="342" t="s">
        <v>63</v>
      </c>
      <c r="C25" s="342"/>
      <c r="D25" s="342"/>
    </row>
    <row r="26" spans="2:10" s="97" customFormat="1" ht="12.75" x14ac:dyDescent="0.2">
      <c r="B26" s="342" t="s">
        <v>64</v>
      </c>
      <c r="C26" s="342"/>
      <c r="D26" s="342"/>
    </row>
    <row r="27" spans="2:10" s="97" customFormat="1" ht="12.75" x14ac:dyDescent="0.2">
      <c r="B27" s="342" t="s">
        <v>65</v>
      </c>
      <c r="C27" s="342"/>
      <c r="D27" s="342"/>
    </row>
    <row r="28" spans="2:10" s="97" customFormat="1" ht="12.75" x14ac:dyDescent="0.2">
      <c r="B28" s="342" t="s">
        <v>66</v>
      </c>
      <c r="C28" s="342"/>
      <c r="D28" s="342"/>
    </row>
    <row r="29" spans="2:10" s="97" customFormat="1" ht="12.75" x14ac:dyDescent="0.2">
      <c r="B29" s="343" t="s">
        <v>528</v>
      </c>
      <c r="C29" s="343"/>
      <c r="D29" s="343"/>
    </row>
    <row r="30" spans="2:10" s="97" customFormat="1" ht="12.75" x14ac:dyDescent="0.2">
      <c r="B30" s="342" t="s">
        <v>67</v>
      </c>
      <c r="C30" s="342"/>
      <c r="D30" s="342"/>
    </row>
    <row r="31" spans="2:10" s="97" customFormat="1" ht="12.75" x14ac:dyDescent="0.2">
      <c r="B31" s="342" t="s">
        <v>69</v>
      </c>
      <c r="C31" s="342"/>
      <c r="D31" s="342"/>
    </row>
    <row r="32" spans="2:10" s="97" customFormat="1" ht="12.75" x14ac:dyDescent="0.2">
      <c r="B32" s="342" t="s">
        <v>70</v>
      </c>
      <c r="C32" s="342"/>
      <c r="D32" s="342"/>
    </row>
    <row r="33" spans="2:4" s="97" customFormat="1" ht="12.75" x14ac:dyDescent="0.2">
      <c r="B33" s="342" t="s">
        <v>71</v>
      </c>
      <c r="C33" s="342"/>
      <c r="D33" s="342"/>
    </row>
    <row r="34" spans="2:4" s="97" customFormat="1" ht="12.75" x14ac:dyDescent="0.2">
      <c r="B34" s="342" t="s">
        <v>72</v>
      </c>
      <c r="C34" s="342"/>
      <c r="D34" s="342"/>
    </row>
    <row r="35" spans="2:4" s="97" customFormat="1" ht="12.75" x14ac:dyDescent="0.2">
      <c r="B35" s="342" t="s">
        <v>73</v>
      </c>
      <c r="C35" s="342"/>
      <c r="D35" s="342"/>
    </row>
    <row r="36" spans="2:4" s="97" customFormat="1" ht="12.75" x14ac:dyDescent="0.2">
      <c r="B36" s="342" t="s">
        <v>74</v>
      </c>
      <c r="C36" s="342"/>
      <c r="D36" s="342"/>
    </row>
  </sheetData>
  <mergeCells count="21">
    <mergeCell ref="B34:D34"/>
    <mergeCell ref="B35:D35"/>
    <mergeCell ref="B36:D36"/>
    <mergeCell ref="B28:D28"/>
    <mergeCell ref="B30:D30"/>
    <mergeCell ref="B31:D31"/>
    <mergeCell ref="B32:D32"/>
    <mergeCell ref="B33:D33"/>
    <mergeCell ref="B29:D29"/>
    <mergeCell ref="B27:D27"/>
    <mergeCell ref="B21:D21"/>
    <mergeCell ref="B22:D22"/>
    <mergeCell ref="B23:D23"/>
    <mergeCell ref="B24:D24"/>
    <mergeCell ref="B25:D25"/>
    <mergeCell ref="B26:D26"/>
    <mergeCell ref="B8:N10"/>
    <mergeCell ref="B14:H14"/>
    <mergeCell ref="B17:J17"/>
    <mergeCell ref="B18:I18"/>
    <mergeCell ref="B13:I13"/>
  </mergeCells>
  <hyperlinks>
    <hyperlink ref="B14" location="'Concesiones Nacional'!A1" display="Concesiones en el Sistema de Pensiones Solidarias, por mes, desde julio 2008 a marzo 2018" xr:uid="{00000000-0004-0000-0200-000000000000}"/>
    <hyperlink ref="B18" location="'Concesiones Regiones'!A1" display="Concesiones Regiones" xr:uid="{00000000-0004-0000-0200-000001000000}"/>
    <hyperlink ref="B21" location="XV!A1" display="XV Arica y Parinacota" xr:uid="{00000000-0004-0000-0200-000002000000}"/>
    <hyperlink ref="B22" location="I!A1" display="I Tarapaca" xr:uid="{00000000-0004-0000-0200-000003000000}"/>
    <hyperlink ref="B23" location="II!A1" display="II Antofagasta" xr:uid="{00000000-0004-0000-0200-000004000000}"/>
    <hyperlink ref="B24" location="III!A1" display="III Atacama" xr:uid="{00000000-0004-0000-0200-000005000000}"/>
    <hyperlink ref="B25" location="IV!A1" display="IV Coquimbo" xr:uid="{00000000-0004-0000-0200-000006000000}"/>
    <hyperlink ref="B26" location="V!A1" display="V Valparaiso" xr:uid="{00000000-0004-0000-0200-000007000000}"/>
    <hyperlink ref="B27" location="VI!A1" display="VI Libertador General Bernardo O'Higgins" xr:uid="{00000000-0004-0000-0200-000008000000}"/>
    <hyperlink ref="B28" location="VII!A1" display="VII Maule" xr:uid="{00000000-0004-0000-0200-000009000000}"/>
    <hyperlink ref="B30" location="VIII!A1" display="VIII Bio Bio" xr:uid="{00000000-0004-0000-0200-00000A000000}"/>
    <hyperlink ref="B31" location="IX!A1" display="IX Araucania" xr:uid="{00000000-0004-0000-0200-00000B000000}"/>
    <hyperlink ref="B32" location="XIV!A1" display="XIV Los Rios" xr:uid="{00000000-0004-0000-0200-00000C000000}"/>
    <hyperlink ref="B33" location="X!A1" display="X Los Lagos" xr:uid="{00000000-0004-0000-0200-00000D000000}"/>
    <hyperlink ref="B34" location="XI!A1" display="XI Aysen" xr:uid="{00000000-0004-0000-0200-00000E000000}"/>
    <hyperlink ref="B35" location="XII!A1" display="XII Magallanes" xr:uid="{00000000-0004-0000-0200-00000F000000}"/>
    <hyperlink ref="B36" location="XIII!A1" display="XIII Metropolitana" xr:uid="{00000000-0004-0000-0200-000010000000}"/>
    <hyperlink ref="B17" location="'Solicitudes Regiones'!A1" display="Solicitudes Regiones" xr:uid="{00000000-0004-0000-0200-000011000000}"/>
    <hyperlink ref="N5" location="Índice!A1" display="Volver" xr:uid="{00000000-0004-0000-0200-000012000000}"/>
    <hyperlink ref="B13" location="'Solicitudes Nacional'!A1" display="Solicitudes recibidas en el Sistema de Pensiones Solidarias, según mes, desde julio 2008 a marzo 2018" xr:uid="{00000000-0004-0000-0200-000013000000}"/>
    <hyperlink ref="B29" location="VII!A1" display="VII Maule" xr:uid="{00000000-0004-0000-0200-000014000000}"/>
    <hyperlink ref="B29:D29" location="XVI!A1" display="XVI Ñuble" xr:uid="{00000000-0004-0000-0200-000015000000}"/>
  </hyperlink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
  <dimension ref="A2:S72"/>
  <sheetViews>
    <sheetView showGridLines="0" zoomScale="90" zoomScaleNormal="90" workbookViewId="0">
      <pane xSplit="2" ySplit="10" topLeftCell="C44" activePane="bottomRight" state="frozen"/>
      <selection activeCell="U41" sqref="U41"/>
      <selection pane="topRight" activeCell="U41" sqref="U41"/>
      <selection pane="bottomLeft" activeCell="U41" sqref="U41"/>
      <selection pane="bottomRight" activeCell="B71" sqref="B71"/>
    </sheetView>
  </sheetViews>
  <sheetFormatPr baseColWidth="10" defaultColWidth="11.42578125" defaultRowHeight="12" x14ac:dyDescent="0.2"/>
  <cols>
    <col min="1" max="1" width="6" style="21" customWidth="1"/>
    <col min="2" max="2" width="13.42578125" style="21" customWidth="1"/>
    <col min="3" max="9" width="11.42578125" style="21"/>
    <col min="10" max="10" width="0" style="21" hidden="1" customWidth="1"/>
    <col min="11" max="16384" width="11.42578125" style="21"/>
  </cols>
  <sheetData>
    <row r="2" spans="1:19" s="97" customFormat="1" ht="12.75" x14ac:dyDescent="0.2">
      <c r="A2" s="40" t="s">
        <v>58</v>
      </c>
    </row>
    <row r="3" spans="1:19" s="97" customFormat="1" ht="12.75" x14ac:dyDescent="0.2">
      <c r="A3" s="40" t="s">
        <v>59</v>
      </c>
    </row>
    <row r="4" spans="1:19" s="97" customFormat="1" ht="12.75" x14ac:dyDescent="0.2"/>
    <row r="5" spans="1:19" s="97" customFormat="1" ht="12.75" x14ac:dyDescent="0.2">
      <c r="B5" s="344" t="s">
        <v>559</v>
      </c>
      <c r="C5" s="344"/>
      <c r="D5" s="344"/>
      <c r="E5" s="344"/>
      <c r="F5" s="344"/>
      <c r="G5" s="344"/>
      <c r="H5" s="344"/>
      <c r="I5" s="344"/>
      <c r="J5" s="344"/>
      <c r="K5" s="344"/>
      <c r="L5" s="344"/>
      <c r="M5" s="344"/>
      <c r="N5" s="344"/>
      <c r="O5" s="344"/>
      <c r="P5" s="344"/>
      <c r="Q5" s="344"/>
      <c r="S5" s="110" t="s">
        <v>509</v>
      </c>
    </row>
    <row r="6" spans="1:19" s="97" customFormat="1" ht="12.75" x14ac:dyDescent="0.2">
      <c r="B6" s="344" t="s">
        <v>640</v>
      </c>
      <c r="C6" s="344"/>
      <c r="D6" s="344"/>
      <c r="E6" s="344"/>
      <c r="F6" s="344"/>
      <c r="G6" s="344"/>
      <c r="H6" s="344"/>
      <c r="I6" s="344"/>
      <c r="J6" s="344"/>
      <c r="K6" s="344"/>
      <c r="L6" s="344"/>
      <c r="M6" s="344"/>
      <c r="N6" s="344"/>
      <c r="O6" s="344"/>
      <c r="P6" s="344"/>
      <c r="Q6" s="344"/>
    </row>
    <row r="7" spans="1:19" ht="12.75" thickBot="1" x14ac:dyDescent="0.25"/>
    <row r="8" spans="1:19" ht="22.5" customHeight="1" thickBot="1" x14ac:dyDescent="0.25">
      <c r="B8" s="350" t="s">
        <v>642</v>
      </c>
      <c r="C8" s="349"/>
      <c r="D8" s="349"/>
      <c r="E8" s="349"/>
      <c r="F8" s="349"/>
      <c r="G8" s="349"/>
      <c r="H8" s="349"/>
      <c r="I8" s="349"/>
      <c r="J8" s="349"/>
      <c r="K8" s="351"/>
      <c r="L8" s="349"/>
      <c r="M8" s="349"/>
      <c r="N8" s="349"/>
      <c r="O8" s="349"/>
      <c r="P8" s="349"/>
      <c r="Q8" s="349"/>
      <c r="R8" s="348"/>
    </row>
    <row r="9" spans="1:19" ht="15.75" customHeight="1" thickBot="1" x14ac:dyDescent="0.25">
      <c r="B9" s="345" t="s">
        <v>0</v>
      </c>
      <c r="C9" s="347" t="s">
        <v>544</v>
      </c>
      <c r="D9" s="349"/>
      <c r="E9" s="349"/>
      <c r="F9" s="349"/>
      <c r="G9" s="349"/>
      <c r="H9" s="349"/>
      <c r="I9" s="349"/>
      <c r="J9" s="349"/>
      <c r="K9" s="348"/>
      <c r="L9" s="347" t="s">
        <v>538</v>
      </c>
      <c r="M9" s="348"/>
      <c r="N9" s="347" t="s">
        <v>539</v>
      </c>
      <c r="O9" s="349"/>
      <c r="P9" s="349"/>
      <c r="Q9" s="349"/>
      <c r="R9" s="348"/>
    </row>
    <row r="10" spans="1:19" ht="48.75" thickBot="1" x14ac:dyDescent="0.25">
      <c r="B10" s="346"/>
      <c r="C10" s="14" t="s">
        <v>540</v>
      </c>
      <c r="D10" s="7" t="s">
        <v>1</v>
      </c>
      <c r="E10" s="279" t="s">
        <v>541</v>
      </c>
      <c r="F10" s="279" t="s">
        <v>551</v>
      </c>
      <c r="G10" s="283" t="s">
        <v>2</v>
      </c>
      <c r="H10" s="7" t="s">
        <v>3</v>
      </c>
      <c r="I10" s="279" t="s">
        <v>543</v>
      </c>
      <c r="J10" s="10" t="s">
        <v>523</v>
      </c>
      <c r="K10" s="227" t="s">
        <v>641</v>
      </c>
      <c r="L10" s="227" t="s">
        <v>4</v>
      </c>
      <c r="M10" s="9" t="s">
        <v>5</v>
      </c>
      <c r="N10" s="8" t="s">
        <v>6</v>
      </c>
      <c r="O10" s="8" t="s">
        <v>7</v>
      </c>
      <c r="P10" s="8" t="s">
        <v>8</v>
      </c>
      <c r="Q10" s="8" t="s">
        <v>9</v>
      </c>
      <c r="R10" s="228" t="s">
        <v>524</v>
      </c>
    </row>
    <row r="11" spans="1:19" x14ac:dyDescent="0.2">
      <c r="B11" s="4" t="s">
        <v>10</v>
      </c>
      <c r="C11" s="278">
        <v>83903</v>
      </c>
      <c r="D11" s="278">
        <v>36885</v>
      </c>
      <c r="E11" s="316">
        <v>120788</v>
      </c>
      <c r="F11" s="278">
        <v>11268</v>
      </c>
      <c r="G11" s="278">
        <v>1362</v>
      </c>
      <c r="H11" s="278">
        <v>5944</v>
      </c>
      <c r="I11" s="316">
        <v>18574</v>
      </c>
      <c r="J11" s="281">
        <v>0</v>
      </c>
      <c r="K11" s="318">
        <v>139362</v>
      </c>
      <c r="L11" s="277">
        <v>107640</v>
      </c>
      <c r="M11" s="282">
        <v>31722</v>
      </c>
      <c r="N11" s="297">
        <v>95475</v>
      </c>
      <c r="O11" s="298">
        <v>1029</v>
      </c>
      <c r="P11" s="298">
        <v>0</v>
      </c>
      <c r="Q11" s="298">
        <v>42858</v>
      </c>
      <c r="R11" s="299">
        <v>0</v>
      </c>
    </row>
    <row r="12" spans="1:19" x14ac:dyDescent="0.2">
      <c r="B12" s="4" t="s">
        <v>11</v>
      </c>
      <c r="C12" s="166">
        <v>59154</v>
      </c>
      <c r="D12" s="166">
        <v>35458</v>
      </c>
      <c r="E12" s="317">
        <v>94612</v>
      </c>
      <c r="F12" s="166">
        <v>279540</v>
      </c>
      <c r="G12" s="166">
        <v>18581</v>
      </c>
      <c r="H12" s="166">
        <v>11707</v>
      </c>
      <c r="I12" s="317">
        <v>309828</v>
      </c>
      <c r="J12" s="273">
        <v>0</v>
      </c>
      <c r="K12" s="319">
        <v>404440</v>
      </c>
      <c r="L12" s="244">
        <v>256079</v>
      </c>
      <c r="M12" s="167">
        <v>148361</v>
      </c>
      <c r="N12" s="244">
        <v>299851</v>
      </c>
      <c r="O12" s="1">
        <v>30362</v>
      </c>
      <c r="P12" s="1">
        <v>0</v>
      </c>
      <c r="Q12" s="1">
        <v>74227</v>
      </c>
      <c r="R12" s="167">
        <v>0</v>
      </c>
    </row>
    <row r="13" spans="1:19" x14ac:dyDescent="0.2">
      <c r="B13" s="4" t="s">
        <v>12</v>
      </c>
      <c r="C13" s="166">
        <v>40733</v>
      </c>
      <c r="D13" s="166">
        <v>24967</v>
      </c>
      <c r="E13" s="317">
        <v>65700</v>
      </c>
      <c r="F13" s="166">
        <v>133261</v>
      </c>
      <c r="G13" s="166">
        <v>34785</v>
      </c>
      <c r="H13" s="166">
        <v>11929</v>
      </c>
      <c r="I13" s="317">
        <v>179975</v>
      </c>
      <c r="J13" s="273">
        <v>0</v>
      </c>
      <c r="K13" s="319">
        <v>245675</v>
      </c>
      <c r="L13" s="244">
        <v>152798</v>
      </c>
      <c r="M13" s="167">
        <v>92877</v>
      </c>
      <c r="N13" s="244">
        <v>148063</v>
      </c>
      <c r="O13" s="1">
        <v>32918</v>
      </c>
      <c r="P13" s="1">
        <v>5301</v>
      </c>
      <c r="Q13" s="1">
        <v>59393</v>
      </c>
      <c r="R13" s="167">
        <v>0</v>
      </c>
    </row>
    <row r="14" spans="1:19" x14ac:dyDescent="0.2">
      <c r="B14" s="4" t="s">
        <v>13</v>
      </c>
      <c r="C14" s="166">
        <v>37414</v>
      </c>
      <c r="D14" s="166">
        <v>20938</v>
      </c>
      <c r="E14" s="317">
        <v>58352</v>
      </c>
      <c r="F14" s="166">
        <v>89501</v>
      </c>
      <c r="G14" s="166">
        <v>36570</v>
      </c>
      <c r="H14" s="166">
        <v>10368</v>
      </c>
      <c r="I14" s="317">
        <v>136439</v>
      </c>
      <c r="J14" s="273">
        <v>0</v>
      </c>
      <c r="K14" s="319">
        <v>194791</v>
      </c>
      <c r="L14" s="244">
        <v>123376</v>
      </c>
      <c r="M14" s="167">
        <v>71415</v>
      </c>
      <c r="N14" s="244">
        <v>114399</v>
      </c>
      <c r="O14" s="1">
        <v>25990</v>
      </c>
      <c r="P14" s="1">
        <v>11377</v>
      </c>
      <c r="Q14" s="1">
        <v>43025</v>
      </c>
      <c r="R14" s="167">
        <v>0</v>
      </c>
    </row>
    <row r="15" spans="1:19" x14ac:dyDescent="0.2">
      <c r="B15" s="4" t="s">
        <v>14</v>
      </c>
      <c r="C15" s="166">
        <v>34111</v>
      </c>
      <c r="D15" s="166">
        <v>19594</v>
      </c>
      <c r="E15" s="317">
        <v>53705</v>
      </c>
      <c r="F15" s="166">
        <v>111445</v>
      </c>
      <c r="G15" s="166">
        <v>18894</v>
      </c>
      <c r="H15" s="166">
        <v>8226</v>
      </c>
      <c r="I15" s="317">
        <v>138565</v>
      </c>
      <c r="J15" s="273">
        <v>0</v>
      </c>
      <c r="K15" s="319">
        <v>192270</v>
      </c>
      <c r="L15" s="244">
        <v>118771</v>
      </c>
      <c r="M15" s="167">
        <v>73499</v>
      </c>
      <c r="N15" s="244">
        <v>126850</v>
      </c>
      <c r="O15" s="1">
        <v>24058</v>
      </c>
      <c r="P15" s="1">
        <v>9223</v>
      </c>
      <c r="Q15" s="1">
        <v>32139</v>
      </c>
      <c r="R15" s="167">
        <v>0</v>
      </c>
    </row>
    <row r="16" spans="1:19" x14ac:dyDescent="0.2">
      <c r="B16" s="4" t="s">
        <v>15</v>
      </c>
      <c r="C16" s="166">
        <v>32718</v>
      </c>
      <c r="D16" s="166">
        <v>17032</v>
      </c>
      <c r="E16" s="317">
        <v>49750</v>
      </c>
      <c r="F16" s="166">
        <v>65156</v>
      </c>
      <c r="G16" s="166">
        <v>11833</v>
      </c>
      <c r="H16" s="166">
        <v>7295</v>
      </c>
      <c r="I16" s="317">
        <v>84284</v>
      </c>
      <c r="J16" s="273">
        <v>0</v>
      </c>
      <c r="K16" s="319">
        <v>134034</v>
      </c>
      <c r="L16" s="244">
        <v>82046</v>
      </c>
      <c r="M16" s="167">
        <v>51988</v>
      </c>
      <c r="N16" s="244">
        <v>83745</v>
      </c>
      <c r="O16" s="1">
        <v>22686</v>
      </c>
      <c r="P16" s="1">
        <v>6357</v>
      </c>
      <c r="Q16" s="1">
        <v>21246</v>
      </c>
      <c r="R16" s="167">
        <v>0</v>
      </c>
    </row>
    <row r="17" spans="2:18" x14ac:dyDescent="0.2">
      <c r="B17" s="4" t="s">
        <v>16</v>
      </c>
      <c r="C17" s="166">
        <v>39392</v>
      </c>
      <c r="D17" s="166">
        <v>17573</v>
      </c>
      <c r="E17" s="317">
        <v>56965</v>
      </c>
      <c r="F17" s="166">
        <v>70471</v>
      </c>
      <c r="G17" s="166">
        <v>18074</v>
      </c>
      <c r="H17" s="166">
        <v>6054</v>
      </c>
      <c r="I17" s="317">
        <v>94599</v>
      </c>
      <c r="J17" s="273">
        <v>0</v>
      </c>
      <c r="K17" s="319">
        <v>151564</v>
      </c>
      <c r="L17" s="244">
        <v>92858</v>
      </c>
      <c r="M17" s="167">
        <v>58706</v>
      </c>
      <c r="N17" s="244">
        <v>94143</v>
      </c>
      <c r="O17" s="1">
        <v>27044</v>
      </c>
      <c r="P17" s="1">
        <v>6542</v>
      </c>
      <c r="Q17" s="1">
        <v>23835</v>
      </c>
      <c r="R17" s="167">
        <v>0</v>
      </c>
    </row>
    <row r="18" spans="2:18" x14ac:dyDescent="0.2">
      <c r="B18" s="4" t="s">
        <v>17</v>
      </c>
      <c r="C18" s="166">
        <v>31042</v>
      </c>
      <c r="D18" s="166">
        <v>18557</v>
      </c>
      <c r="E18" s="317">
        <v>49599</v>
      </c>
      <c r="F18" s="166">
        <v>71608</v>
      </c>
      <c r="G18" s="166">
        <v>17270</v>
      </c>
      <c r="H18" s="166">
        <v>2501</v>
      </c>
      <c r="I18" s="317">
        <v>91379</v>
      </c>
      <c r="J18" s="273">
        <v>0</v>
      </c>
      <c r="K18" s="319">
        <v>140978</v>
      </c>
      <c r="L18" s="244">
        <v>86238</v>
      </c>
      <c r="M18" s="167">
        <v>54740</v>
      </c>
      <c r="N18" s="244">
        <v>84139</v>
      </c>
      <c r="O18" s="1">
        <v>29604</v>
      </c>
      <c r="P18" s="1">
        <v>5381</v>
      </c>
      <c r="Q18" s="1">
        <v>21854</v>
      </c>
      <c r="R18" s="167">
        <v>0</v>
      </c>
    </row>
    <row r="19" spans="2:18" x14ac:dyDescent="0.2">
      <c r="B19" s="4" t="s">
        <v>18</v>
      </c>
      <c r="C19" s="166">
        <v>30685</v>
      </c>
      <c r="D19" s="166">
        <v>18094</v>
      </c>
      <c r="E19" s="317">
        <v>48779</v>
      </c>
      <c r="F19" s="166">
        <v>81220</v>
      </c>
      <c r="G19" s="166">
        <v>6212</v>
      </c>
      <c r="H19" s="166">
        <v>2577</v>
      </c>
      <c r="I19" s="317">
        <v>90009</v>
      </c>
      <c r="J19" s="273">
        <v>0</v>
      </c>
      <c r="K19" s="319">
        <v>138788</v>
      </c>
      <c r="L19" s="244">
        <v>86383</v>
      </c>
      <c r="M19" s="167">
        <v>52405</v>
      </c>
      <c r="N19" s="244">
        <v>84299</v>
      </c>
      <c r="O19" s="1">
        <v>29016</v>
      </c>
      <c r="P19" s="1">
        <v>4531</v>
      </c>
      <c r="Q19" s="1">
        <v>20904</v>
      </c>
      <c r="R19" s="167">
        <v>38</v>
      </c>
    </row>
    <row r="20" spans="2:18" x14ac:dyDescent="0.2">
      <c r="B20" s="4" t="s">
        <v>19</v>
      </c>
      <c r="C20" s="314">
        <v>32028</v>
      </c>
      <c r="D20" s="314">
        <v>18335</v>
      </c>
      <c r="E20" s="223">
        <v>50363</v>
      </c>
      <c r="F20" s="314">
        <v>101491</v>
      </c>
      <c r="G20" s="314">
        <v>2045</v>
      </c>
      <c r="H20" s="314">
        <v>3167</v>
      </c>
      <c r="I20" s="129">
        <v>106703</v>
      </c>
      <c r="J20" s="242">
        <v>0</v>
      </c>
      <c r="K20" s="274">
        <v>157066</v>
      </c>
      <c r="L20" s="320">
        <v>95362</v>
      </c>
      <c r="M20" s="321">
        <v>61704</v>
      </c>
      <c r="N20" s="320">
        <v>94990</v>
      </c>
      <c r="O20" s="314">
        <v>34397</v>
      </c>
      <c r="P20" s="314">
        <v>4540</v>
      </c>
      <c r="Q20" s="314">
        <v>22824</v>
      </c>
      <c r="R20" s="321">
        <v>315</v>
      </c>
    </row>
    <row r="21" spans="2:18" x14ac:dyDescent="0.2">
      <c r="B21" s="2" t="s">
        <v>519</v>
      </c>
      <c r="C21" s="314">
        <v>31567</v>
      </c>
      <c r="D21" s="314">
        <v>16995</v>
      </c>
      <c r="E21" s="223">
        <v>48562</v>
      </c>
      <c r="F21" s="314">
        <v>121449</v>
      </c>
      <c r="G21" s="314">
        <v>2118</v>
      </c>
      <c r="H21" s="314">
        <v>6272</v>
      </c>
      <c r="I21" s="129">
        <v>129839</v>
      </c>
      <c r="J21" s="242">
        <v>0</v>
      </c>
      <c r="K21" s="274">
        <v>178401</v>
      </c>
      <c r="L21" s="320">
        <v>107375</v>
      </c>
      <c r="M21" s="321">
        <v>71026</v>
      </c>
      <c r="N21" s="320">
        <v>106236</v>
      </c>
      <c r="O21" s="314">
        <v>43517</v>
      </c>
      <c r="P21" s="314">
        <v>4894</v>
      </c>
      <c r="Q21" s="314">
        <v>22939</v>
      </c>
      <c r="R21" s="321">
        <v>815</v>
      </c>
    </row>
    <row r="22" spans="2:18" x14ac:dyDescent="0.2">
      <c r="B22" s="3" t="s">
        <v>646</v>
      </c>
      <c r="C22" s="5">
        <v>2750</v>
      </c>
      <c r="D22" s="5">
        <v>1462</v>
      </c>
      <c r="E22" s="224">
        <v>4212</v>
      </c>
      <c r="F22" s="5">
        <v>10056</v>
      </c>
      <c r="G22" s="5">
        <v>144</v>
      </c>
      <c r="H22" s="5">
        <v>565</v>
      </c>
      <c r="I22" s="130">
        <v>10765</v>
      </c>
      <c r="J22" s="315">
        <v>0</v>
      </c>
      <c r="K22" s="275">
        <v>14977</v>
      </c>
      <c r="L22" s="226">
        <v>9003</v>
      </c>
      <c r="M22" s="230">
        <v>5974</v>
      </c>
      <c r="N22" s="226">
        <v>8617</v>
      </c>
      <c r="O22" s="5">
        <v>4044</v>
      </c>
      <c r="P22" s="5">
        <v>339</v>
      </c>
      <c r="Q22" s="5">
        <v>1910</v>
      </c>
      <c r="R22" s="230">
        <v>67</v>
      </c>
    </row>
    <row r="23" spans="2:18" x14ac:dyDescent="0.2">
      <c r="B23" s="3" t="s">
        <v>647</v>
      </c>
      <c r="C23" s="5">
        <v>2188</v>
      </c>
      <c r="D23" s="5">
        <v>1293</v>
      </c>
      <c r="E23" s="224">
        <v>3481</v>
      </c>
      <c r="F23" s="5">
        <v>8435</v>
      </c>
      <c r="G23" s="5">
        <v>156</v>
      </c>
      <c r="H23" s="5">
        <v>685</v>
      </c>
      <c r="I23" s="130">
        <v>9276</v>
      </c>
      <c r="J23" s="315">
        <v>0</v>
      </c>
      <c r="K23" s="275">
        <v>12757</v>
      </c>
      <c r="L23" s="226">
        <v>7581</v>
      </c>
      <c r="M23" s="230">
        <v>5176</v>
      </c>
      <c r="N23" s="226">
        <v>7323</v>
      </c>
      <c r="O23" s="5">
        <v>3594</v>
      </c>
      <c r="P23" s="5">
        <v>294</v>
      </c>
      <c r="Q23" s="5">
        <v>1482</v>
      </c>
      <c r="R23" s="230">
        <v>64</v>
      </c>
    </row>
    <row r="24" spans="2:18" x14ac:dyDescent="0.2">
      <c r="B24" s="3" t="s">
        <v>648</v>
      </c>
      <c r="C24" s="5">
        <v>2496</v>
      </c>
      <c r="D24" s="5">
        <v>1471</v>
      </c>
      <c r="E24" s="224">
        <v>3967</v>
      </c>
      <c r="F24" s="5">
        <v>9263</v>
      </c>
      <c r="G24" s="5">
        <v>155</v>
      </c>
      <c r="H24" s="5">
        <v>638</v>
      </c>
      <c r="I24" s="130">
        <v>10056</v>
      </c>
      <c r="J24" s="315">
        <v>0</v>
      </c>
      <c r="K24" s="275">
        <v>14023</v>
      </c>
      <c r="L24" s="226">
        <v>8438</v>
      </c>
      <c r="M24" s="230">
        <v>5585</v>
      </c>
      <c r="N24" s="226">
        <v>8031</v>
      </c>
      <c r="O24" s="5">
        <v>3742</v>
      </c>
      <c r="P24" s="5">
        <v>350</v>
      </c>
      <c r="Q24" s="5">
        <v>1818</v>
      </c>
      <c r="R24" s="230">
        <v>82</v>
      </c>
    </row>
    <row r="25" spans="2:18" x14ac:dyDescent="0.2">
      <c r="B25" s="3" t="s">
        <v>649</v>
      </c>
      <c r="C25" s="5">
        <v>2388</v>
      </c>
      <c r="D25" s="5">
        <v>1544</v>
      </c>
      <c r="E25" s="224">
        <v>3932</v>
      </c>
      <c r="F25" s="5">
        <v>9022</v>
      </c>
      <c r="G25" s="5">
        <v>164</v>
      </c>
      <c r="H25" s="5">
        <v>584</v>
      </c>
      <c r="I25" s="130">
        <v>9770</v>
      </c>
      <c r="J25" s="315">
        <v>0</v>
      </c>
      <c r="K25" s="275">
        <v>13702</v>
      </c>
      <c r="L25" s="226">
        <v>8166</v>
      </c>
      <c r="M25" s="230">
        <v>5536</v>
      </c>
      <c r="N25" s="226">
        <v>7657</v>
      </c>
      <c r="O25" s="5">
        <v>3751</v>
      </c>
      <c r="P25" s="5">
        <v>317</v>
      </c>
      <c r="Q25" s="5">
        <v>1883</v>
      </c>
      <c r="R25" s="230">
        <v>94</v>
      </c>
    </row>
    <row r="26" spans="2:18" x14ac:dyDescent="0.2">
      <c r="B26" s="3" t="s">
        <v>650</v>
      </c>
      <c r="C26" s="5">
        <v>2428</v>
      </c>
      <c r="D26" s="5">
        <v>1373</v>
      </c>
      <c r="E26" s="224">
        <v>3801</v>
      </c>
      <c r="F26" s="5">
        <v>9324</v>
      </c>
      <c r="G26" s="5">
        <v>133</v>
      </c>
      <c r="H26" s="5">
        <v>483</v>
      </c>
      <c r="I26" s="130">
        <v>9940</v>
      </c>
      <c r="J26" s="315">
        <v>0</v>
      </c>
      <c r="K26" s="275">
        <v>13741</v>
      </c>
      <c r="L26" s="226">
        <v>7921</v>
      </c>
      <c r="M26" s="230">
        <v>5820</v>
      </c>
      <c r="N26" s="226">
        <v>7667</v>
      </c>
      <c r="O26" s="5">
        <v>3704</v>
      </c>
      <c r="P26" s="5">
        <v>346</v>
      </c>
      <c r="Q26" s="5">
        <v>1942</v>
      </c>
      <c r="R26" s="230">
        <v>82</v>
      </c>
    </row>
    <row r="27" spans="2:18" x14ac:dyDescent="0.2">
      <c r="B27" s="3" t="s">
        <v>651</v>
      </c>
      <c r="C27" s="5">
        <v>2221</v>
      </c>
      <c r="D27" s="5">
        <v>1366</v>
      </c>
      <c r="E27" s="224">
        <v>3587</v>
      </c>
      <c r="F27" s="5">
        <v>7938</v>
      </c>
      <c r="G27" s="5">
        <v>112</v>
      </c>
      <c r="H27" s="5">
        <v>401</v>
      </c>
      <c r="I27" s="130">
        <v>8451</v>
      </c>
      <c r="J27" s="315">
        <v>0</v>
      </c>
      <c r="K27" s="275">
        <v>12038</v>
      </c>
      <c r="L27" s="226">
        <v>7065</v>
      </c>
      <c r="M27" s="230">
        <v>4973</v>
      </c>
      <c r="N27" s="226">
        <v>7108</v>
      </c>
      <c r="O27" s="5">
        <v>3016</v>
      </c>
      <c r="P27" s="5">
        <v>301</v>
      </c>
      <c r="Q27" s="5">
        <v>1499</v>
      </c>
      <c r="R27" s="230">
        <v>114</v>
      </c>
    </row>
    <row r="28" spans="2:18" x14ac:dyDescent="0.2">
      <c r="B28" s="3" t="s">
        <v>652</v>
      </c>
      <c r="C28" s="5">
        <v>2612</v>
      </c>
      <c r="D28" s="5">
        <v>1574</v>
      </c>
      <c r="E28" s="224">
        <v>4186</v>
      </c>
      <c r="F28" s="5">
        <v>10066</v>
      </c>
      <c r="G28" s="5">
        <v>127</v>
      </c>
      <c r="H28" s="5">
        <v>470</v>
      </c>
      <c r="I28" s="130">
        <v>10663</v>
      </c>
      <c r="J28" s="315">
        <v>0</v>
      </c>
      <c r="K28" s="275">
        <v>14849</v>
      </c>
      <c r="L28" s="226">
        <v>8799</v>
      </c>
      <c r="M28" s="230">
        <v>6050</v>
      </c>
      <c r="N28" s="226">
        <v>8644</v>
      </c>
      <c r="O28" s="5">
        <v>3852</v>
      </c>
      <c r="P28" s="5">
        <v>378</v>
      </c>
      <c r="Q28" s="5">
        <v>1852</v>
      </c>
      <c r="R28" s="230">
        <v>123</v>
      </c>
    </row>
    <row r="29" spans="2:18" x14ac:dyDescent="0.2">
      <c r="B29" s="3" t="s">
        <v>653</v>
      </c>
      <c r="C29" s="5">
        <v>2584</v>
      </c>
      <c r="D29" s="5">
        <v>1488</v>
      </c>
      <c r="E29" s="224">
        <v>4072</v>
      </c>
      <c r="F29" s="5">
        <v>9593</v>
      </c>
      <c r="G29" s="5">
        <v>119</v>
      </c>
      <c r="H29" s="5">
        <v>424</v>
      </c>
      <c r="I29" s="130">
        <v>10136</v>
      </c>
      <c r="J29" s="315">
        <v>0</v>
      </c>
      <c r="K29" s="275">
        <v>14208</v>
      </c>
      <c r="L29" s="226">
        <v>8602</v>
      </c>
      <c r="M29" s="230">
        <v>5606</v>
      </c>
      <c r="N29" s="226">
        <v>8948</v>
      </c>
      <c r="O29" s="5">
        <v>3217</v>
      </c>
      <c r="P29" s="5">
        <v>273</v>
      </c>
      <c r="Q29" s="5">
        <v>1636</v>
      </c>
      <c r="R29" s="230">
        <v>134</v>
      </c>
    </row>
    <row r="30" spans="2:18" x14ac:dyDescent="0.2">
      <c r="B30" s="3" t="s">
        <v>654</v>
      </c>
      <c r="C30" s="5">
        <v>2469</v>
      </c>
      <c r="D30" s="5">
        <v>1221</v>
      </c>
      <c r="E30" s="224">
        <v>3690</v>
      </c>
      <c r="F30" s="5">
        <v>8643</v>
      </c>
      <c r="G30" s="5">
        <v>152</v>
      </c>
      <c r="H30" s="5">
        <v>457</v>
      </c>
      <c r="I30" s="130">
        <v>9252</v>
      </c>
      <c r="J30" s="315">
        <v>0</v>
      </c>
      <c r="K30" s="275">
        <v>12942</v>
      </c>
      <c r="L30" s="226">
        <v>7820</v>
      </c>
      <c r="M30" s="230">
        <v>5122</v>
      </c>
      <c r="N30" s="226">
        <v>7406</v>
      </c>
      <c r="O30" s="5">
        <v>3565</v>
      </c>
      <c r="P30" s="5">
        <v>280</v>
      </c>
      <c r="Q30" s="5">
        <v>1592</v>
      </c>
      <c r="R30" s="230">
        <v>99</v>
      </c>
    </row>
    <row r="31" spans="2:18" x14ac:dyDescent="0.2">
      <c r="B31" s="3" t="s">
        <v>655</v>
      </c>
      <c r="C31" s="5">
        <v>2384</v>
      </c>
      <c r="D31" s="5">
        <v>1180</v>
      </c>
      <c r="E31" s="224">
        <v>3564</v>
      </c>
      <c r="F31" s="5">
        <v>7731</v>
      </c>
      <c r="G31" s="5">
        <v>118</v>
      </c>
      <c r="H31" s="5">
        <v>360</v>
      </c>
      <c r="I31" s="130">
        <v>8209</v>
      </c>
      <c r="J31" s="315">
        <v>0</v>
      </c>
      <c r="K31" s="275">
        <v>11773</v>
      </c>
      <c r="L31" s="226">
        <v>7331</v>
      </c>
      <c r="M31" s="230">
        <v>4442</v>
      </c>
      <c r="N31" s="226">
        <v>6567</v>
      </c>
      <c r="O31" s="5">
        <v>3124</v>
      </c>
      <c r="P31" s="5">
        <v>230</v>
      </c>
      <c r="Q31" s="5">
        <v>1744</v>
      </c>
      <c r="R31" s="230">
        <v>108</v>
      </c>
    </row>
    <row r="32" spans="2:18" x14ac:dyDescent="0.2">
      <c r="B32" s="3" t="s">
        <v>656</v>
      </c>
      <c r="C32" s="5">
        <v>2268</v>
      </c>
      <c r="D32" s="5">
        <v>1004</v>
      </c>
      <c r="E32" s="224">
        <v>3272</v>
      </c>
      <c r="F32" s="5">
        <v>7767</v>
      </c>
      <c r="G32" s="5">
        <v>113</v>
      </c>
      <c r="H32" s="5">
        <v>388</v>
      </c>
      <c r="I32" s="130">
        <v>8268</v>
      </c>
      <c r="J32" s="315">
        <v>0</v>
      </c>
      <c r="K32" s="275">
        <v>11540</v>
      </c>
      <c r="L32" s="226">
        <v>6998</v>
      </c>
      <c r="M32" s="230">
        <v>4542</v>
      </c>
      <c r="N32" s="226">
        <v>5736</v>
      </c>
      <c r="O32" s="5">
        <v>3456</v>
      </c>
      <c r="P32" s="5">
        <v>307</v>
      </c>
      <c r="Q32" s="5">
        <v>1828</v>
      </c>
      <c r="R32" s="230">
        <v>213</v>
      </c>
    </row>
    <row r="33" spans="2:18" x14ac:dyDescent="0.2">
      <c r="B33" s="3" t="s">
        <v>657</v>
      </c>
      <c r="C33" s="5">
        <v>2945</v>
      </c>
      <c r="D33" s="5">
        <v>1661</v>
      </c>
      <c r="E33" s="224">
        <v>4606</v>
      </c>
      <c r="F33" s="5">
        <v>12996</v>
      </c>
      <c r="G33" s="5">
        <v>540</v>
      </c>
      <c r="H33" s="5">
        <v>620</v>
      </c>
      <c r="I33" s="130">
        <v>14156</v>
      </c>
      <c r="J33" s="315">
        <v>0</v>
      </c>
      <c r="K33" s="275">
        <v>18762</v>
      </c>
      <c r="L33" s="226">
        <v>10998</v>
      </c>
      <c r="M33" s="230">
        <v>7764</v>
      </c>
      <c r="N33" s="226">
        <v>11485</v>
      </c>
      <c r="O33" s="5">
        <v>4156</v>
      </c>
      <c r="P33" s="5">
        <v>762</v>
      </c>
      <c r="Q33" s="5">
        <v>2155</v>
      </c>
      <c r="R33" s="230">
        <v>204</v>
      </c>
    </row>
    <row r="34" spans="2:18" x14ac:dyDescent="0.2">
      <c r="B34" s="2" t="s">
        <v>522</v>
      </c>
      <c r="C34" s="129">
        <v>29733</v>
      </c>
      <c r="D34" s="129">
        <v>16637</v>
      </c>
      <c r="E34" s="223">
        <v>46370</v>
      </c>
      <c r="F34" s="129">
        <v>110834</v>
      </c>
      <c r="G34" s="129">
        <v>2033</v>
      </c>
      <c r="H34" s="129">
        <v>6075</v>
      </c>
      <c r="I34" s="129">
        <v>118942</v>
      </c>
      <c r="J34" s="242">
        <v>0</v>
      </c>
      <c r="K34" s="274">
        <v>165312</v>
      </c>
      <c r="L34" s="225">
        <v>98722</v>
      </c>
      <c r="M34" s="229">
        <v>66590</v>
      </c>
      <c r="N34" s="225">
        <v>95189</v>
      </c>
      <c r="O34" s="129">
        <v>43221</v>
      </c>
      <c r="P34" s="129">
        <v>4177</v>
      </c>
      <c r="Q34" s="129">
        <v>21341</v>
      </c>
      <c r="R34" s="229">
        <v>1384</v>
      </c>
    </row>
    <row r="35" spans="2:18" x14ac:dyDescent="0.2">
      <c r="B35" s="3" t="s">
        <v>658</v>
      </c>
      <c r="C35" s="5">
        <v>3010</v>
      </c>
      <c r="D35" s="5">
        <v>1753</v>
      </c>
      <c r="E35" s="224">
        <v>4763</v>
      </c>
      <c r="F35" s="5">
        <v>9920</v>
      </c>
      <c r="G35" s="5">
        <v>9971</v>
      </c>
      <c r="H35" s="5">
        <v>741</v>
      </c>
      <c r="I35" s="130">
        <v>20632</v>
      </c>
      <c r="J35" s="315">
        <v>0</v>
      </c>
      <c r="K35" s="275">
        <v>25395</v>
      </c>
      <c r="L35" s="226">
        <v>14138</v>
      </c>
      <c r="M35" s="230">
        <v>11257</v>
      </c>
      <c r="N35" s="226">
        <v>15001</v>
      </c>
      <c r="O35" s="5">
        <v>6259</v>
      </c>
      <c r="P35" s="5">
        <v>1418</v>
      </c>
      <c r="Q35" s="5">
        <v>2413</v>
      </c>
      <c r="R35" s="230">
        <v>304</v>
      </c>
    </row>
    <row r="36" spans="2:18" x14ac:dyDescent="0.2">
      <c r="B36" s="3" t="s">
        <v>659</v>
      </c>
      <c r="C36" s="5">
        <v>2521</v>
      </c>
      <c r="D36" s="5">
        <v>1559</v>
      </c>
      <c r="E36" s="224">
        <v>4080</v>
      </c>
      <c r="F36" s="5">
        <v>10173</v>
      </c>
      <c r="G36" s="5">
        <v>13986</v>
      </c>
      <c r="H36" s="5">
        <v>845</v>
      </c>
      <c r="I36" s="130">
        <v>25004</v>
      </c>
      <c r="J36" s="315">
        <v>0</v>
      </c>
      <c r="K36" s="275">
        <v>29084</v>
      </c>
      <c r="L36" s="226">
        <v>16298</v>
      </c>
      <c r="M36" s="230">
        <v>12786</v>
      </c>
      <c r="N36" s="226">
        <v>19034</v>
      </c>
      <c r="O36" s="5">
        <v>6699</v>
      </c>
      <c r="P36" s="5">
        <v>997</v>
      </c>
      <c r="Q36" s="5">
        <v>2050</v>
      </c>
      <c r="R36" s="230">
        <v>304</v>
      </c>
    </row>
    <row r="37" spans="2:18" x14ac:dyDescent="0.2">
      <c r="B37" s="3" t="s">
        <v>660</v>
      </c>
      <c r="C37" s="5">
        <v>2000</v>
      </c>
      <c r="D37" s="5">
        <v>1119</v>
      </c>
      <c r="E37" s="224">
        <v>3119</v>
      </c>
      <c r="F37" s="5">
        <v>6959</v>
      </c>
      <c r="G37" s="5">
        <v>5689</v>
      </c>
      <c r="H37" s="5">
        <v>527</v>
      </c>
      <c r="I37" s="130">
        <v>13175</v>
      </c>
      <c r="J37" s="315">
        <v>0</v>
      </c>
      <c r="K37" s="275">
        <v>16294</v>
      </c>
      <c r="L37" s="226">
        <v>9029</v>
      </c>
      <c r="M37" s="230">
        <v>7265</v>
      </c>
      <c r="N37" s="226">
        <v>9050</v>
      </c>
      <c r="O37" s="5">
        <v>4526</v>
      </c>
      <c r="P37" s="5">
        <v>596</v>
      </c>
      <c r="Q37" s="5">
        <v>1605</v>
      </c>
      <c r="R37" s="230">
        <v>517</v>
      </c>
    </row>
    <row r="38" spans="2:18" x14ac:dyDescent="0.2">
      <c r="B38" s="3" t="s">
        <v>661</v>
      </c>
      <c r="C38" s="5">
        <v>1368</v>
      </c>
      <c r="D38" s="5">
        <v>462</v>
      </c>
      <c r="E38" s="224">
        <v>1830</v>
      </c>
      <c r="F38" s="5">
        <v>4679</v>
      </c>
      <c r="G38" s="5">
        <v>2138</v>
      </c>
      <c r="H38" s="5">
        <v>450</v>
      </c>
      <c r="I38" s="130">
        <v>7267</v>
      </c>
      <c r="J38" s="315">
        <v>0</v>
      </c>
      <c r="K38" s="275">
        <v>9097</v>
      </c>
      <c r="L38" s="226">
        <v>4937</v>
      </c>
      <c r="M38" s="230">
        <v>4160</v>
      </c>
      <c r="N38" s="226">
        <v>3322</v>
      </c>
      <c r="O38" s="5">
        <v>3657</v>
      </c>
      <c r="P38" s="5">
        <v>316</v>
      </c>
      <c r="Q38" s="5">
        <v>1022</v>
      </c>
      <c r="R38" s="230">
        <v>780</v>
      </c>
    </row>
    <row r="39" spans="2:18" x14ac:dyDescent="0.2">
      <c r="B39" s="3" t="s">
        <v>662</v>
      </c>
      <c r="C39" s="5">
        <v>2058</v>
      </c>
      <c r="D39" s="5">
        <v>843</v>
      </c>
      <c r="E39" s="224">
        <v>2901</v>
      </c>
      <c r="F39" s="5">
        <v>7287</v>
      </c>
      <c r="G39" s="5">
        <v>3602</v>
      </c>
      <c r="H39" s="5">
        <v>718</v>
      </c>
      <c r="I39" s="130">
        <v>11607</v>
      </c>
      <c r="J39" s="315">
        <v>0</v>
      </c>
      <c r="K39" s="275">
        <v>14508</v>
      </c>
      <c r="L39" s="226">
        <v>7783</v>
      </c>
      <c r="M39" s="230">
        <v>6725</v>
      </c>
      <c r="N39" s="226">
        <v>5395</v>
      </c>
      <c r="O39" s="5">
        <v>4963</v>
      </c>
      <c r="P39" s="5">
        <v>365</v>
      </c>
      <c r="Q39" s="5">
        <v>1049</v>
      </c>
      <c r="R39" s="230">
        <v>2736</v>
      </c>
    </row>
    <row r="40" spans="2:18" x14ac:dyDescent="0.2">
      <c r="B40" s="3" t="s">
        <v>663</v>
      </c>
      <c r="C40" s="5">
        <v>1919</v>
      </c>
      <c r="D40" s="5">
        <v>773</v>
      </c>
      <c r="E40" s="224">
        <v>2692</v>
      </c>
      <c r="F40" s="5">
        <v>6576</v>
      </c>
      <c r="G40" s="5">
        <v>3025</v>
      </c>
      <c r="H40" s="5">
        <v>637</v>
      </c>
      <c r="I40" s="130">
        <v>10238</v>
      </c>
      <c r="J40" s="315">
        <v>0</v>
      </c>
      <c r="K40" s="275">
        <v>12930</v>
      </c>
      <c r="L40" s="226">
        <v>7088</v>
      </c>
      <c r="M40" s="230">
        <v>5842</v>
      </c>
      <c r="N40" s="226">
        <v>4633</v>
      </c>
      <c r="O40" s="5">
        <v>4756</v>
      </c>
      <c r="P40" s="5">
        <v>409</v>
      </c>
      <c r="Q40" s="5">
        <v>997</v>
      </c>
      <c r="R40" s="230">
        <v>2135</v>
      </c>
    </row>
    <row r="41" spans="2:18" x14ac:dyDescent="0.2">
      <c r="B41" s="3" t="s">
        <v>664</v>
      </c>
      <c r="C41" s="5">
        <v>2816</v>
      </c>
      <c r="D41" s="5">
        <v>939</v>
      </c>
      <c r="E41" s="224">
        <v>3755</v>
      </c>
      <c r="F41" s="5">
        <v>7132</v>
      </c>
      <c r="G41" s="5">
        <v>4282</v>
      </c>
      <c r="H41" s="5">
        <v>530</v>
      </c>
      <c r="I41" s="130">
        <v>11944</v>
      </c>
      <c r="J41" s="315">
        <v>0</v>
      </c>
      <c r="K41" s="275">
        <v>15699</v>
      </c>
      <c r="L41" s="226">
        <v>9234</v>
      </c>
      <c r="M41" s="230">
        <v>6465</v>
      </c>
      <c r="N41" s="226">
        <v>6985</v>
      </c>
      <c r="O41" s="5">
        <v>3426</v>
      </c>
      <c r="P41" s="5">
        <v>485</v>
      </c>
      <c r="Q41" s="5">
        <v>1437</v>
      </c>
      <c r="R41" s="230">
        <v>3366</v>
      </c>
    </row>
    <row r="42" spans="2:18" x14ac:dyDescent="0.2">
      <c r="B42" s="3" t="s">
        <v>665</v>
      </c>
      <c r="C42" s="5">
        <v>3066</v>
      </c>
      <c r="D42" s="5">
        <v>1181</v>
      </c>
      <c r="E42" s="224">
        <v>4247</v>
      </c>
      <c r="F42" s="5">
        <v>7931</v>
      </c>
      <c r="G42" s="5">
        <v>6872</v>
      </c>
      <c r="H42" s="5">
        <v>627</v>
      </c>
      <c r="I42" s="130">
        <v>15430</v>
      </c>
      <c r="J42" s="315">
        <v>0</v>
      </c>
      <c r="K42" s="275">
        <v>19677</v>
      </c>
      <c r="L42" s="226">
        <v>11444</v>
      </c>
      <c r="M42" s="230">
        <v>8233</v>
      </c>
      <c r="N42" s="226">
        <v>9081</v>
      </c>
      <c r="O42" s="5">
        <v>3183</v>
      </c>
      <c r="P42" s="5">
        <v>840</v>
      </c>
      <c r="Q42" s="5">
        <v>1615</v>
      </c>
      <c r="R42" s="230">
        <v>4958</v>
      </c>
    </row>
    <row r="43" spans="2:18" x14ac:dyDescent="0.2">
      <c r="B43" s="3" t="s">
        <v>666</v>
      </c>
      <c r="C43" s="5">
        <v>3009</v>
      </c>
      <c r="D43" s="5">
        <v>1422</v>
      </c>
      <c r="E43" s="224">
        <v>4431</v>
      </c>
      <c r="F43" s="130">
        <v>8604</v>
      </c>
      <c r="G43" s="5">
        <v>5809</v>
      </c>
      <c r="H43" s="5">
        <v>732</v>
      </c>
      <c r="I43" s="130">
        <v>15145</v>
      </c>
      <c r="J43" s="315">
        <v>0</v>
      </c>
      <c r="K43" s="275">
        <v>19576</v>
      </c>
      <c r="L43" s="226">
        <v>11810</v>
      </c>
      <c r="M43" s="230">
        <v>7766</v>
      </c>
      <c r="N43" s="226">
        <v>8794</v>
      </c>
      <c r="O43" s="5">
        <v>4085</v>
      </c>
      <c r="P43" s="5">
        <v>572</v>
      </c>
      <c r="Q43" s="5">
        <v>1625</v>
      </c>
      <c r="R43" s="230">
        <v>4500</v>
      </c>
    </row>
    <row r="44" spans="2:18" x14ac:dyDescent="0.2">
      <c r="B44" s="3" t="s">
        <v>667</v>
      </c>
      <c r="C44" s="5">
        <v>3231</v>
      </c>
      <c r="D44" s="5">
        <v>1811</v>
      </c>
      <c r="E44" s="224">
        <v>5042</v>
      </c>
      <c r="F44" s="5">
        <v>9850</v>
      </c>
      <c r="G44" s="5">
        <v>5563</v>
      </c>
      <c r="H44" s="5">
        <v>835</v>
      </c>
      <c r="I44" s="130">
        <v>16248</v>
      </c>
      <c r="J44" s="315">
        <v>0</v>
      </c>
      <c r="K44" s="275">
        <v>21290</v>
      </c>
      <c r="L44" s="226">
        <v>12900</v>
      </c>
      <c r="M44" s="230">
        <v>8390</v>
      </c>
      <c r="N44" s="226">
        <v>9185</v>
      </c>
      <c r="O44" s="5">
        <v>6240</v>
      </c>
      <c r="P44" s="5">
        <v>649</v>
      </c>
      <c r="Q44" s="5">
        <v>1926</v>
      </c>
      <c r="R44" s="230">
        <v>3290</v>
      </c>
    </row>
    <row r="45" spans="2:18" x14ac:dyDescent="0.2">
      <c r="B45" s="3" t="s">
        <v>668</v>
      </c>
      <c r="C45" s="5">
        <v>2859</v>
      </c>
      <c r="D45" s="5">
        <v>1602</v>
      </c>
      <c r="E45" s="224">
        <v>4461</v>
      </c>
      <c r="F45" s="5">
        <v>8217</v>
      </c>
      <c r="G45" s="5">
        <v>5766</v>
      </c>
      <c r="H45" s="5">
        <v>605</v>
      </c>
      <c r="I45" s="130">
        <v>14588</v>
      </c>
      <c r="J45" s="315">
        <v>0</v>
      </c>
      <c r="K45" s="275">
        <v>19049</v>
      </c>
      <c r="L45" s="226">
        <v>11461</v>
      </c>
      <c r="M45" s="230">
        <v>7588</v>
      </c>
      <c r="N45" s="226">
        <v>8429</v>
      </c>
      <c r="O45" s="5">
        <v>4936</v>
      </c>
      <c r="P45" s="5">
        <v>679</v>
      </c>
      <c r="Q45" s="5">
        <v>1876</v>
      </c>
      <c r="R45" s="230">
        <v>3129</v>
      </c>
    </row>
    <row r="46" spans="2:18" x14ac:dyDescent="0.2">
      <c r="B46" s="3" t="s">
        <v>669</v>
      </c>
      <c r="C46" s="5">
        <v>2625</v>
      </c>
      <c r="D46" s="5">
        <v>1544</v>
      </c>
      <c r="E46" s="224">
        <v>4169</v>
      </c>
      <c r="F46" s="5">
        <v>6951</v>
      </c>
      <c r="G46" s="5">
        <v>5599</v>
      </c>
      <c r="H46" s="5">
        <v>491</v>
      </c>
      <c r="I46" s="130">
        <v>13041</v>
      </c>
      <c r="J46" s="315">
        <v>0</v>
      </c>
      <c r="K46" s="275">
        <v>17210</v>
      </c>
      <c r="L46" s="226">
        <v>10260</v>
      </c>
      <c r="M46" s="230">
        <v>6950</v>
      </c>
      <c r="N46" s="226">
        <v>8251</v>
      </c>
      <c r="O46" s="5">
        <v>3537</v>
      </c>
      <c r="P46" s="5">
        <v>769</v>
      </c>
      <c r="Q46" s="5">
        <v>1665</v>
      </c>
      <c r="R46" s="230">
        <v>2988</v>
      </c>
    </row>
    <row r="47" spans="2:18" x14ac:dyDescent="0.2">
      <c r="B47" s="2" t="s">
        <v>670</v>
      </c>
      <c r="C47" s="129">
        <v>30482</v>
      </c>
      <c r="D47" s="129">
        <v>15008</v>
      </c>
      <c r="E47" s="223">
        <v>45490</v>
      </c>
      <c r="F47" s="129">
        <v>94279</v>
      </c>
      <c r="G47" s="129">
        <v>72302</v>
      </c>
      <c r="H47" s="129">
        <v>7738</v>
      </c>
      <c r="I47" s="129">
        <v>174319</v>
      </c>
      <c r="J47" s="242">
        <v>0</v>
      </c>
      <c r="K47" s="274">
        <v>219809</v>
      </c>
      <c r="L47" s="225">
        <v>126382</v>
      </c>
      <c r="M47" s="229">
        <v>93427</v>
      </c>
      <c r="N47" s="225">
        <v>107160</v>
      </c>
      <c r="O47" s="129">
        <v>56267</v>
      </c>
      <c r="P47" s="129">
        <v>8095</v>
      </c>
      <c r="Q47" s="129">
        <v>19280</v>
      </c>
      <c r="R47" s="229">
        <v>29007</v>
      </c>
    </row>
    <row r="48" spans="2:18" x14ac:dyDescent="0.2">
      <c r="B48" s="3" t="s">
        <v>671</v>
      </c>
      <c r="C48" s="5">
        <v>2624</v>
      </c>
      <c r="D48" s="5">
        <v>1886</v>
      </c>
      <c r="E48" s="224">
        <v>4510</v>
      </c>
      <c r="F48" s="5">
        <v>7578</v>
      </c>
      <c r="G48" s="5">
        <v>5119</v>
      </c>
      <c r="H48" s="5">
        <v>945</v>
      </c>
      <c r="I48" s="130">
        <v>13642</v>
      </c>
      <c r="J48" s="315">
        <v>0</v>
      </c>
      <c r="K48" s="275">
        <v>18152</v>
      </c>
      <c r="L48" s="226">
        <v>10959</v>
      </c>
      <c r="M48" s="230">
        <v>7193</v>
      </c>
      <c r="N48" s="226">
        <v>8352</v>
      </c>
      <c r="O48" s="5">
        <v>4195</v>
      </c>
      <c r="P48" s="5">
        <v>577</v>
      </c>
      <c r="Q48" s="5">
        <v>1756</v>
      </c>
      <c r="R48" s="230">
        <v>3272</v>
      </c>
    </row>
    <row r="49" spans="2:18" x14ac:dyDescent="0.2">
      <c r="B49" s="3" t="s">
        <v>672</v>
      </c>
      <c r="C49" s="5">
        <v>2353</v>
      </c>
      <c r="D49" s="5">
        <v>1607</v>
      </c>
      <c r="E49" s="224">
        <v>3960</v>
      </c>
      <c r="F49" s="5">
        <v>7379</v>
      </c>
      <c r="G49" s="5">
        <v>4826</v>
      </c>
      <c r="H49" s="5">
        <v>862</v>
      </c>
      <c r="I49" s="130">
        <v>13067</v>
      </c>
      <c r="J49" s="315">
        <v>0</v>
      </c>
      <c r="K49" s="275">
        <v>17027</v>
      </c>
      <c r="L49" s="226">
        <v>10129</v>
      </c>
      <c r="M49" s="230">
        <v>6898</v>
      </c>
      <c r="N49" s="226">
        <v>7713</v>
      </c>
      <c r="O49" s="5">
        <v>4444</v>
      </c>
      <c r="P49" s="5">
        <v>565</v>
      </c>
      <c r="Q49" s="5">
        <v>1522</v>
      </c>
      <c r="R49" s="230">
        <v>2783</v>
      </c>
    </row>
    <row r="50" spans="2:18" x14ac:dyDescent="0.2">
      <c r="B50" s="3" t="s">
        <v>673</v>
      </c>
      <c r="C50" s="5">
        <v>2678</v>
      </c>
      <c r="D50" s="5">
        <v>1932</v>
      </c>
      <c r="E50" s="224">
        <v>4610</v>
      </c>
      <c r="F50" s="5">
        <v>8490</v>
      </c>
      <c r="G50" s="5">
        <v>6104</v>
      </c>
      <c r="H50" s="5">
        <v>2799</v>
      </c>
      <c r="I50" s="130">
        <v>17393</v>
      </c>
      <c r="J50" s="315">
        <v>0</v>
      </c>
      <c r="K50" s="275">
        <v>22003</v>
      </c>
      <c r="L50" s="226">
        <v>12465</v>
      </c>
      <c r="M50" s="230">
        <v>9538</v>
      </c>
      <c r="N50" s="226">
        <v>9005</v>
      </c>
      <c r="O50" s="5">
        <v>6039</v>
      </c>
      <c r="P50" s="5">
        <v>684</v>
      </c>
      <c r="Q50" s="5">
        <v>1939</v>
      </c>
      <c r="R50" s="230">
        <v>4336</v>
      </c>
    </row>
    <row r="51" spans="2:18" x14ac:dyDescent="0.2">
      <c r="B51" s="3" t="s">
        <v>674</v>
      </c>
      <c r="C51" s="5">
        <v>2953</v>
      </c>
      <c r="D51" s="5">
        <v>2127</v>
      </c>
      <c r="E51" s="224">
        <v>5080</v>
      </c>
      <c r="F51" s="5">
        <v>8276</v>
      </c>
      <c r="G51" s="5">
        <v>5477</v>
      </c>
      <c r="H51" s="5">
        <v>3063</v>
      </c>
      <c r="I51" s="130">
        <v>16816</v>
      </c>
      <c r="J51" s="315">
        <v>0</v>
      </c>
      <c r="K51" s="275">
        <v>21896</v>
      </c>
      <c r="L51" s="226">
        <v>12777</v>
      </c>
      <c r="M51" s="230">
        <v>9119</v>
      </c>
      <c r="N51" s="226">
        <v>7789</v>
      </c>
      <c r="O51" s="5">
        <v>5833</v>
      </c>
      <c r="P51" s="5">
        <v>465</v>
      </c>
      <c r="Q51" s="5">
        <v>1791</v>
      </c>
      <c r="R51" s="230">
        <v>6018</v>
      </c>
    </row>
    <row r="52" spans="2:18" x14ac:dyDescent="0.2">
      <c r="B52" s="3" t="s">
        <v>675</v>
      </c>
      <c r="C52" s="5">
        <v>3346</v>
      </c>
      <c r="D52" s="5">
        <v>2277</v>
      </c>
      <c r="E52" s="224">
        <v>5623</v>
      </c>
      <c r="F52" s="5">
        <v>8504</v>
      </c>
      <c r="G52" s="5">
        <v>5225</v>
      </c>
      <c r="H52" s="5">
        <v>2119</v>
      </c>
      <c r="I52" s="130">
        <v>15848</v>
      </c>
      <c r="J52" s="315">
        <v>0</v>
      </c>
      <c r="K52" s="275">
        <v>21471</v>
      </c>
      <c r="L52" s="226">
        <v>12656</v>
      </c>
      <c r="M52" s="230">
        <v>8815</v>
      </c>
      <c r="N52" s="226">
        <v>8648</v>
      </c>
      <c r="O52" s="5">
        <v>5537</v>
      </c>
      <c r="P52" s="5">
        <v>535</v>
      </c>
      <c r="Q52" s="5">
        <v>1858</v>
      </c>
      <c r="R52" s="230">
        <v>4893</v>
      </c>
    </row>
    <row r="53" spans="2:18" x14ac:dyDescent="0.2">
      <c r="B53" s="3" t="s">
        <v>676</v>
      </c>
      <c r="C53" s="5">
        <v>3596</v>
      </c>
      <c r="D53" s="5">
        <v>2125</v>
      </c>
      <c r="E53" s="224">
        <v>5721</v>
      </c>
      <c r="F53" s="5">
        <v>8725</v>
      </c>
      <c r="G53" s="5">
        <v>4772</v>
      </c>
      <c r="H53" s="5">
        <v>1738</v>
      </c>
      <c r="I53" s="130">
        <v>15235</v>
      </c>
      <c r="J53" s="315">
        <v>0</v>
      </c>
      <c r="K53" s="275">
        <v>20956</v>
      </c>
      <c r="L53" s="226">
        <v>12516</v>
      </c>
      <c r="M53" s="230">
        <v>8440</v>
      </c>
      <c r="N53" s="226">
        <v>8255</v>
      </c>
      <c r="O53" s="5">
        <v>5321</v>
      </c>
      <c r="P53" s="5">
        <v>484</v>
      </c>
      <c r="Q53" s="5">
        <v>1978</v>
      </c>
      <c r="R53" s="230">
        <v>4918</v>
      </c>
    </row>
    <row r="54" spans="2:18" x14ac:dyDescent="0.2">
      <c r="B54" s="3" t="s">
        <v>677</v>
      </c>
      <c r="C54" s="5">
        <v>4119</v>
      </c>
      <c r="D54" s="5">
        <v>2409</v>
      </c>
      <c r="E54" s="224">
        <v>6528</v>
      </c>
      <c r="F54" s="5">
        <v>10205</v>
      </c>
      <c r="G54" s="5">
        <v>5614</v>
      </c>
      <c r="H54" s="5">
        <v>1609</v>
      </c>
      <c r="I54" s="130">
        <v>17428</v>
      </c>
      <c r="J54" s="315">
        <v>0</v>
      </c>
      <c r="K54" s="275">
        <v>23956</v>
      </c>
      <c r="L54" s="226">
        <v>14385</v>
      </c>
      <c r="M54" s="230">
        <v>9571</v>
      </c>
      <c r="N54" s="226">
        <v>9834</v>
      </c>
      <c r="O54" s="5">
        <v>6378</v>
      </c>
      <c r="P54" s="5">
        <v>585</v>
      </c>
      <c r="Q54" s="5">
        <v>2314</v>
      </c>
      <c r="R54" s="230">
        <v>4845</v>
      </c>
    </row>
    <row r="55" spans="2:18" x14ac:dyDescent="0.2">
      <c r="B55" s="3" t="s">
        <v>678</v>
      </c>
      <c r="C55" s="5">
        <v>4297</v>
      </c>
      <c r="D55" s="5">
        <v>2641</v>
      </c>
      <c r="E55" s="224">
        <v>6938</v>
      </c>
      <c r="F55" s="5">
        <v>11281</v>
      </c>
      <c r="G55" s="5">
        <v>6942</v>
      </c>
      <c r="H55" s="5">
        <v>1553</v>
      </c>
      <c r="I55" s="130">
        <v>19776</v>
      </c>
      <c r="J55" s="315">
        <v>0</v>
      </c>
      <c r="K55" s="275">
        <v>26714</v>
      </c>
      <c r="L55" s="226">
        <v>15708</v>
      </c>
      <c r="M55" s="230">
        <v>11006</v>
      </c>
      <c r="N55" s="226">
        <v>11064</v>
      </c>
      <c r="O55" s="5">
        <v>7196</v>
      </c>
      <c r="P55" s="5">
        <v>632</v>
      </c>
      <c r="Q55" s="5">
        <v>2358</v>
      </c>
      <c r="R55" s="230">
        <v>5464</v>
      </c>
    </row>
    <row r="56" spans="2:18" x14ac:dyDescent="0.2">
      <c r="B56" s="3" t="s">
        <v>679</v>
      </c>
      <c r="C56" s="5">
        <v>4527</v>
      </c>
      <c r="D56" s="5">
        <v>2331</v>
      </c>
      <c r="E56" s="224">
        <v>6858</v>
      </c>
      <c r="F56" s="5">
        <v>12122</v>
      </c>
      <c r="G56" s="5">
        <v>7695</v>
      </c>
      <c r="H56" s="5">
        <v>1443</v>
      </c>
      <c r="I56" s="130">
        <v>21260</v>
      </c>
      <c r="J56" s="315">
        <v>0</v>
      </c>
      <c r="K56" s="275">
        <v>28118</v>
      </c>
      <c r="L56" s="226">
        <v>16645</v>
      </c>
      <c r="M56" s="230">
        <v>11473</v>
      </c>
      <c r="N56" s="226">
        <v>12439</v>
      </c>
      <c r="O56" s="5">
        <v>7118</v>
      </c>
      <c r="P56" s="5">
        <v>719</v>
      </c>
      <c r="Q56" s="5">
        <v>2229</v>
      </c>
      <c r="R56" s="230">
        <v>5613</v>
      </c>
    </row>
    <row r="57" spans="2:18" x14ac:dyDescent="0.2">
      <c r="B57" s="3" t="s">
        <v>680</v>
      </c>
      <c r="C57" s="5">
        <v>3476</v>
      </c>
      <c r="D57" s="5">
        <v>2465</v>
      </c>
      <c r="E57" s="224">
        <v>5941</v>
      </c>
      <c r="F57" s="5">
        <v>10498</v>
      </c>
      <c r="G57" s="5">
        <v>7204</v>
      </c>
      <c r="H57" s="5">
        <v>1431</v>
      </c>
      <c r="I57" s="130">
        <v>19133</v>
      </c>
      <c r="J57" s="315">
        <v>0</v>
      </c>
      <c r="K57" s="275">
        <v>25074</v>
      </c>
      <c r="L57" s="226">
        <v>14740</v>
      </c>
      <c r="M57" s="230">
        <v>10334</v>
      </c>
      <c r="N57" s="226">
        <v>10333</v>
      </c>
      <c r="O57" s="5">
        <v>7122</v>
      </c>
      <c r="P57" s="5">
        <v>630</v>
      </c>
      <c r="Q57" s="5">
        <v>2100</v>
      </c>
      <c r="R57" s="230">
        <v>4889</v>
      </c>
    </row>
    <row r="58" spans="2:18" x14ac:dyDescent="0.2">
      <c r="B58" s="3" t="s">
        <v>681</v>
      </c>
      <c r="C58" s="5">
        <v>3884</v>
      </c>
      <c r="D58" s="5">
        <v>2663</v>
      </c>
      <c r="E58" s="224">
        <v>6547</v>
      </c>
      <c r="F58" s="5">
        <v>11710</v>
      </c>
      <c r="G58" s="5">
        <v>8446</v>
      </c>
      <c r="H58" s="5">
        <v>1492</v>
      </c>
      <c r="I58" s="130">
        <v>21648</v>
      </c>
      <c r="J58" s="315">
        <v>0</v>
      </c>
      <c r="K58" s="275">
        <v>28195</v>
      </c>
      <c r="L58" s="226">
        <v>16925</v>
      </c>
      <c r="M58" s="230">
        <v>11270</v>
      </c>
      <c r="N58" s="226">
        <v>12837</v>
      </c>
      <c r="O58" s="5">
        <v>7394</v>
      </c>
      <c r="P58" s="5">
        <v>599</v>
      </c>
      <c r="Q58" s="5">
        <v>2318</v>
      </c>
      <c r="R58" s="230">
        <v>5047</v>
      </c>
    </row>
    <row r="59" spans="2:18" x14ac:dyDescent="0.2">
      <c r="B59" s="3" t="s">
        <v>682</v>
      </c>
      <c r="C59" s="5">
        <v>3784</v>
      </c>
      <c r="D59" s="5">
        <v>2520</v>
      </c>
      <c r="E59" s="224">
        <v>6304</v>
      </c>
      <c r="F59" s="5">
        <v>12033</v>
      </c>
      <c r="G59" s="5">
        <v>6869</v>
      </c>
      <c r="H59" s="5">
        <v>1442</v>
      </c>
      <c r="I59" s="130">
        <v>20344</v>
      </c>
      <c r="J59" s="315">
        <v>0</v>
      </c>
      <c r="K59" s="275">
        <v>26648</v>
      </c>
      <c r="L59" s="226">
        <v>15446</v>
      </c>
      <c r="M59" s="230">
        <v>11202</v>
      </c>
      <c r="N59" s="226">
        <v>11710</v>
      </c>
      <c r="O59" s="5">
        <v>7198</v>
      </c>
      <c r="P59" s="5">
        <v>689</v>
      </c>
      <c r="Q59" s="5">
        <v>2170</v>
      </c>
      <c r="R59" s="230">
        <v>4881</v>
      </c>
    </row>
    <row r="60" spans="2:18" x14ac:dyDescent="0.2">
      <c r="B60" s="2" t="s">
        <v>683</v>
      </c>
      <c r="C60" s="129">
        <v>41637</v>
      </c>
      <c r="D60" s="129">
        <v>26983</v>
      </c>
      <c r="E60" s="223">
        <v>68620</v>
      </c>
      <c r="F60" s="129">
        <v>116801</v>
      </c>
      <c r="G60" s="129">
        <v>74293</v>
      </c>
      <c r="H60" s="129">
        <v>20496</v>
      </c>
      <c r="I60" s="129">
        <v>211590</v>
      </c>
      <c r="J60" s="242">
        <v>0</v>
      </c>
      <c r="K60" s="274">
        <v>280210</v>
      </c>
      <c r="L60" s="225">
        <v>165351</v>
      </c>
      <c r="M60" s="229">
        <v>114859</v>
      </c>
      <c r="N60" s="225">
        <v>117979</v>
      </c>
      <c r="O60" s="129">
        <v>73775</v>
      </c>
      <c r="P60" s="129">
        <v>7164</v>
      </c>
      <c r="Q60" s="129">
        <v>24333</v>
      </c>
      <c r="R60" s="229">
        <v>56959</v>
      </c>
    </row>
    <row r="61" spans="2:18" x14ac:dyDescent="0.2">
      <c r="B61" s="3" t="s">
        <v>684</v>
      </c>
      <c r="C61" s="5">
        <v>4843</v>
      </c>
      <c r="D61" s="5">
        <v>3220</v>
      </c>
      <c r="E61" s="224">
        <v>8063</v>
      </c>
      <c r="F61" s="5">
        <v>19436</v>
      </c>
      <c r="G61" s="5">
        <v>2570</v>
      </c>
      <c r="H61" s="5">
        <v>1543</v>
      </c>
      <c r="I61" s="130">
        <v>23549</v>
      </c>
      <c r="J61" s="315">
        <v>0</v>
      </c>
      <c r="K61" s="275">
        <v>31612</v>
      </c>
      <c r="L61" s="226">
        <v>18246</v>
      </c>
      <c r="M61" s="230">
        <v>13366</v>
      </c>
      <c r="N61" s="226">
        <v>13175</v>
      </c>
      <c r="O61" s="5">
        <v>8657</v>
      </c>
      <c r="P61" s="5">
        <v>684</v>
      </c>
      <c r="Q61" s="5">
        <v>2599</v>
      </c>
      <c r="R61" s="230">
        <v>6497</v>
      </c>
    </row>
    <row r="62" spans="2:18" ht="11.25" customHeight="1" x14ac:dyDescent="0.2">
      <c r="B62" s="3" t="s">
        <v>685</v>
      </c>
      <c r="C62" s="5">
        <v>9555</v>
      </c>
      <c r="D62" s="5">
        <v>3014</v>
      </c>
      <c r="E62" s="224">
        <v>12569</v>
      </c>
      <c r="F62" s="5">
        <v>139631</v>
      </c>
      <c r="G62" s="5">
        <v>0</v>
      </c>
      <c r="H62" s="5">
        <v>3330</v>
      </c>
      <c r="I62" s="130">
        <v>142961</v>
      </c>
      <c r="J62" s="315">
        <v>0</v>
      </c>
      <c r="K62" s="275">
        <v>155530</v>
      </c>
      <c r="L62" s="226">
        <v>79291</v>
      </c>
      <c r="M62" s="230">
        <v>76239</v>
      </c>
      <c r="N62" s="226">
        <v>36623</v>
      </c>
      <c r="O62" s="5">
        <v>10553</v>
      </c>
      <c r="P62" s="5">
        <v>1866</v>
      </c>
      <c r="Q62" s="5">
        <v>2797</v>
      </c>
      <c r="R62" s="230">
        <v>103691</v>
      </c>
    </row>
    <row r="63" spans="2:18" ht="11.25" customHeight="1" x14ac:dyDescent="0.2">
      <c r="B63" s="3" t="s">
        <v>686</v>
      </c>
      <c r="C63" s="5">
        <v>2053</v>
      </c>
      <c r="D63" s="5">
        <v>3467</v>
      </c>
      <c r="E63" s="224">
        <v>5520</v>
      </c>
      <c r="F63" s="5">
        <v>55813</v>
      </c>
      <c r="G63" s="5">
        <v>1</v>
      </c>
      <c r="H63" s="5">
        <v>1887</v>
      </c>
      <c r="I63" s="130">
        <v>57701</v>
      </c>
      <c r="J63" s="315">
        <v>0</v>
      </c>
      <c r="K63" s="275">
        <v>63221</v>
      </c>
      <c r="L63" s="226">
        <v>31252</v>
      </c>
      <c r="M63" s="230">
        <v>31969</v>
      </c>
      <c r="N63" s="226">
        <v>27229</v>
      </c>
      <c r="O63" s="5">
        <v>10459</v>
      </c>
      <c r="P63" s="5">
        <v>1190</v>
      </c>
      <c r="Q63" s="5">
        <v>2969</v>
      </c>
      <c r="R63" s="230">
        <v>21374</v>
      </c>
    </row>
    <row r="64" spans="2:18" ht="11.25" customHeight="1" x14ac:dyDescent="0.2">
      <c r="B64" s="3" t="s">
        <v>687</v>
      </c>
      <c r="C64" s="5">
        <v>2645</v>
      </c>
      <c r="D64" s="5">
        <v>3147</v>
      </c>
      <c r="E64" s="224">
        <v>5792</v>
      </c>
      <c r="F64" s="5">
        <v>34035</v>
      </c>
      <c r="G64" s="5">
        <v>0</v>
      </c>
      <c r="H64" s="5">
        <v>1313</v>
      </c>
      <c r="I64" s="130">
        <v>35348</v>
      </c>
      <c r="J64" s="315">
        <v>0</v>
      </c>
      <c r="K64" s="275">
        <v>41140</v>
      </c>
      <c r="L64" s="226">
        <v>20230</v>
      </c>
      <c r="M64" s="230">
        <v>20910</v>
      </c>
      <c r="N64" s="226">
        <v>17877</v>
      </c>
      <c r="O64" s="5">
        <v>8258</v>
      </c>
      <c r="P64" s="5">
        <v>705</v>
      </c>
      <c r="Q64" s="5">
        <v>2517</v>
      </c>
      <c r="R64" s="230">
        <v>11783</v>
      </c>
    </row>
    <row r="65" spans="2:18" ht="11.25" customHeight="1" x14ac:dyDescent="0.2">
      <c r="B65" s="3" t="s">
        <v>688</v>
      </c>
      <c r="C65" s="5">
        <v>4121</v>
      </c>
      <c r="D65" s="5">
        <v>3090</v>
      </c>
      <c r="E65" s="224">
        <v>7211</v>
      </c>
      <c r="F65" s="5">
        <v>31188</v>
      </c>
      <c r="G65" s="5">
        <v>0</v>
      </c>
      <c r="H65" s="5">
        <v>1376</v>
      </c>
      <c r="I65" s="130">
        <v>32564</v>
      </c>
      <c r="J65" s="315">
        <v>0</v>
      </c>
      <c r="K65" s="275">
        <v>39775</v>
      </c>
      <c r="L65" s="226">
        <v>19365</v>
      </c>
      <c r="M65" s="230">
        <v>20410</v>
      </c>
      <c r="N65" s="226">
        <v>17344</v>
      </c>
      <c r="O65" s="5">
        <v>8738</v>
      </c>
      <c r="P65" s="5">
        <v>606</v>
      </c>
      <c r="Q65" s="5">
        <v>2593</v>
      </c>
      <c r="R65" s="230">
        <v>10494</v>
      </c>
    </row>
    <row r="66" spans="2:18" ht="11.25" customHeight="1" x14ac:dyDescent="0.2">
      <c r="B66" s="3" t="s">
        <v>689</v>
      </c>
      <c r="C66" s="5">
        <v>4064</v>
      </c>
      <c r="D66" s="5">
        <v>2717</v>
      </c>
      <c r="E66" s="224">
        <v>6781</v>
      </c>
      <c r="F66" s="5">
        <v>31910</v>
      </c>
      <c r="G66" s="5">
        <v>0</v>
      </c>
      <c r="H66" s="5">
        <v>1330</v>
      </c>
      <c r="I66" s="130">
        <v>33240</v>
      </c>
      <c r="J66" s="315">
        <v>0</v>
      </c>
      <c r="K66" s="275">
        <v>40021</v>
      </c>
      <c r="L66" s="226">
        <v>19182</v>
      </c>
      <c r="M66" s="230">
        <v>20839</v>
      </c>
      <c r="N66" s="226">
        <v>17426</v>
      </c>
      <c r="O66" s="5">
        <v>8319</v>
      </c>
      <c r="P66" s="5">
        <v>727</v>
      </c>
      <c r="Q66" s="5">
        <v>2271</v>
      </c>
      <c r="R66" s="230">
        <v>11278</v>
      </c>
    </row>
    <row r="67" spans="2:18" x14ac:dyDescent="0.2">
      <c r="B67" s="2" t="s">
        <v>690</v>
      </c>
      <c r="C67" s="129">
        <v>27281</v>
      </c>
      <c r="D67" s="129">
        <v>18655</v>
      </c>
      <c r="E67" s="223">
        <v>45936</v>
      </c>
      <c r="F67" s="129">
        <v>312013</v>
      </c>
      <c r="G67" s="129">
        <v>2571</v>
      </c>
      <c r="H67" s="129">
        <v>10779</v>
      </c>
      <c r="I67" s="129">
        <v>325363</v>
      </c>
      <c r="J67" s="242">
        <v>0</v>
      </c>
      <c r="K67" s="274">
        <v>371299</v>
      </c>
      <c r="L67" s="225">
        <v>187566</v>
      </c>
      <c r="M67" s="229">
        <v>183733</v>
      </c>
      <c r="N67" s="225">
        <v>129674</v>
      </c>
      <c r="O67" s="129">
        <v>54984</v>
      </c>
      <c r="P67" s="129">
        <v>5778</v>
      </c>
      <c r="Q67" s="129">
        <v>15746</v>
      </c>
      <c r="R67" s="229">
        <v>165117</v>
      </c>
    </row>
    <row r="68" spans="2:18" ht="12.75" thickBot="1" x14ac:dyDescent="0.25">
      <c r="B68" s="250" t="s">
        <v>20</v>
      </c>
      <c r="C68" s="251">
        <v>581880</v>
      </c>
      <c r="D68" s="252">
        <v>321711</v>
      </c>
      <c r="E68" s="252">
        <v>903591</v>
      </c>
      <c r="F68" s="252">
        <v>1770337</v>
      </c>
      <c r="G68" s="252">
        <v>318943</v>
      </c>
      <c r="H68" s="252">
        <v>121128</v>
      </c>
      <c r="I68" s="252">
        <v>2210408</v>
      </c>
      <c r="J68" s="266">
        <v>0</v>
      </c>
      <c r="K68" s="276">
        <v>3113999</v>
      </c>
      <c r="L68" s="268">
        <v>1886947</v>
      </c>
      <c r="M68" s="270">
        <v>1227052</v>
      </c>
      <c r="N68" s="268">
        <v>1782192</v>
      </c>
      <c r="O68" s="269">
        <v>528868</v>
      </c>
      <c r="P68" s="269">
        <v>83360</v>
      </c>
      <c r="Q68" s="269">
        <v>465944</v>
      </c>
      <c r="R68" s="270">
        <v>253635</v>
      </c>
    </row>
    <row r="69" spans="2:18" x14ac:dyDescent="0.2">
      <c r="B69" s="21" t="s">
        <v>78</v>
      </c>
    </row>
    <row r="70" spans="2:18" x14ac:dyDescent="0.2">
      <c r="B70" s="246" t="s">
        <v>644</v>
      </c>
    </row>
    <row r="71" spans="2:18" x14ac:dyDescent="0.2">
      <c r="B71" s="21" t="s">
        <v>552</v>
      </c>
    </row>
    <row r="72" spans="2:18" x14ac:dyDescent="0.2">
      <c r="B72" s="21" t="s">
        <v>597</v>
      </c>
    </row>
  </sheetData>
  <mergeCells count="7">
    <mergeCell ref="B5:Q5"/>
    <mergeCell ref="B6:Q6"/>
    <mergeCell ref="B9:B10"/>
    <mergeCell ref="L9:M9"/>
    <mergeCell ref="N9:R9"/>
    <mergeCell ref="B8:R8"/>
    <mergeCell ref="C9:K9"/>
  </mergeCells>
  <phoneticPr fontId="71" type="noConversion"/>
  <hyperlinks>
    <hyperlink ref="S5" location="'Índice PGU y SPS'!A1" display="Volver Sistema de Pensiones Solidarias" xr:uid="{00000000-0004-0000-0300-000000000000}"/>
  </hyperlinks>
  <pageMargins left="0.7" right="0.7" top="0.75" bottom="0.75" header="0.3" footer="0.3"/>
  <pageSetup orientation="portrait"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2"/>
  <dimension ref="A2:S77"/>
  <sheetViews>
    <sheetView showGridLines="0" zoomScale="90" zoomScaleNormal="90" workbookViewId="0">
      <pane xSplit="2" ySplit="10" topLeftCell="C30" activePane="bottomRight" state="frozen"/>
      <selection activeCell="U41" sqref="U41"/>
      <selection pane="topRight" activeCell="U41" sqref="U41"/>
      <selection pane="bottomLeft" activeCell="U41" sqref="U41"/>
      <selection pane="bottomRight" activeCell="A4" sqref="A4"/>
    </sheetView>
  </sheetViews>
  <sheetFormatPr baseColWidth="10" defaultColWidth="11.42578125" defaultRowHeight="12" x14ac:dyDescent="0.2"/>
  <cols>
    <col min="1" max="1" width="6" style="21" customWidth="1"/>
    <col min="2" max="2" width="14" style="21" customWidth="1"/>
    <col min="3" max="9" width="11.42578125" style="21"/>
    <col min="10" max="10" width="0" style="21" hidden="1" customWidth="1"/>
    <col min="11" max="16384" width="11.42578125" style="21"/>
  </cols>
  <sheetData>
    <row r="2" spans="1:19" s="97" customFormat="1" ht="12.75" x14ac:dyDescent="0.2">
      <c r="A2" s="40" t="s">
        <v>58</v>
      </c>
    </row>
    <row r="3" spans="1:19" s="97" customFormat="1" ht="12.75" x14ac:dyDescent="0.2">
      <c r="A3" s="40" t="s">
        <v>59</v>
      </c>
    </row>
    <row r="4" spans="1:19" s="97" customFormat="1" ht="12.75" x14ac:dyDescent="0.2"/>
    <row r="5" spans="1:19" s="97" customFormat="1" ht="12.75" x14ac:dyDescent="0.2">
      <c r="B5" s="344" t="s">
        <v>560</v>
      </c>
      <c r="C5" s="344"/>
      <c r="D5" s="344"/>
      <c r="E5" s="344"/>
      <c r="F5" s="344"/>
      <c r="G5" s="344"/>
      <c r="H5" s="344"/>
      <c r="I5" s="344"/>
      <c r="J5" s="344"/>
      <c r="K5" s="344"/>
      <c r="L5" s="344"/>
      <c r="M5" s="344"/>
      <c r="N5" s="344"/>
      <c r="O5" s="344"/>
      <c r="P5" s="344"/>
      <c r="Q5" s="344"/>
      <c r="S5" s="110" t="s">
        <v>509</v>
      </c>
    </row>
    <row r="6" spans="1:19" s="97" customFormat="1" ht="12.75" x14ac:dyDescent="0.2">
      <c r="B6" s="344" t="str">
        <f>'Solicitudes Nacional'!B6:Q6</f>
        <v>Julio de 2008 a junio de 2022</v>
      </c>
      <c r="C6" s="344"/>
      <c r="D6" s="344"/>
      <c r="E6" s="344"/>
      <c r="F6" s="344"/>
      <c r="G6" s="344"/>
      <c r="H6" s="344"/>
      <c r="I6" s="344"/>
      <c r="J6" s="344"/>
      <c r="K6" s="344"/>
      <c r="L6" s="344"/>
      <c r="M6" s="344"/>
      <c r="N6" s="344"/>
      <c r="O6" s="344"/>
      <c r="P6" s="344"/>
      <c r="Q6" s="344"/>
    </row>
    <row r="7" spans="1:19" ht="12.75" thickBot="1" x14ac:dyDescent="0.25"/>
    <row r="8" spans="1:19" ht="24.75" customHeight="1" thickBot="1" x14ac:dyDescent="0.25">
      <c r="B8" s="350" t="s">
        <v>643</v>
      </c>
      <c r="C8" s="349"/>
      <c r="D8" s="349"/>
      <c r="E8" s="349"/>
      <c r="F8" s="349"/>
      <c r="G8" s="349"/>
      <c r="H8" s="349"/>
      <c r="I8" s="349"/>
      <c r="J8" s="349"/>
      <c r="K8" s="349"/>
      <c r="L8" s="349"/>
      <c r="M8" s="349"/>
      <c r="N8" s="349"/>
      <c r="O8" s="349"/>
      <c r="P8" s="349"/>
      <c r="Q8" s="349"/>
      <c r="R8" s="348"/>
    </row>
    <row r="9" spans="1:19" ht="12.75" thickBot="1" x14ac:dyDescent="0.25">
      <c r="B9" s="353" t="s">
        <v>21</v>
      </c>
      <c r="C9" s="347" t="s">
        <v>544</v>
      </c>
      <c r="D9" s="349"/>
      <c r="E9" s="349"/>
      <c r="F9" s="349"/>
      <c r="G9" s="349"/>
      <c r="H9" s="349"/>
      <c r="I9" s="349"/>
      <c r="J9" s="349"/>
      <c r="K9" s="348"/>
      <c r="L9" s="355" t="s">
        <v>538</v>
      </c>
      <c r="M9" s="356"/>
      <c r="N9" s="355" t="s">
        <v>539</v>
      </c>
      <c r="O9" s="357"/>
      <c r="P9" s="357"/>
      <c r="Q9" s="357"/>
      <c r="R9" s="356"/>
    </row>
    <row r="10" spans="1:19" ht="48.75" thickBot="1" x14ac:dyDescent="0.25">
      <c r="B10" s="354"/>
      <c r="C10" s="14" t="s">
        <v>540</v>
      </c>
      <c r="D10" s="7" t="s">
        <v>1</v>
      </c>
      <c r="E10" s="279" t="s">
        <v>541</v>
      </c>
      <c r="F10" s="279" t="s">
        <v>551</v>
      </c>
      <c r="G10" s="283" t="s">
        <v>2</v>
      </c>
      <c r="H10" s="7" t="s">
        <v>3</v>
      </c>
      <c r="I10" s="279" t="s">
        <v>543</v>
      </c>
      <c r="J10" s="322" t="s">
        <v>523</v>
      </c>
      <c r="K10" s="9" t="s">
        <v>641</v>
      </c>
      <c r="L10" s="227" t="s">
        <v>22</v>
      </c>
      <c r="M10" s="9" t="s">
        <v>5</v>
      </c>
      <c r="N10" s="227" t="s">
        <v>6</v>
      </c>
      <c r="O10" s="8" t="s">
        <v>7</v>
      </c>
      <c r="P10" s="8" t="s">
        <v>8</v>
      </c>
      <c r="Q10" s="8" t="s">
        <v>9</v>
      </c>
      <c r="R10" s="228" t="s">
        <v>524</v>
      </c>
    </row>
    <row r="11" spans="1:19" x14ac:dyDescent="0.2">
      <c r="B11" s="4" t="s">
        <v>10</v>
      </c>
      <c r="C11" s="320">
        <v>83064</v>
      </c>
      <c r="D11" s="314">
        <v>21142</v>
      </c>
      <c r="E11" s="129">
        <v>104206</v>
      </c>
      <c r="F11" s="314">
        <v>9153</v>
      </c>
      <c r="G11" s="314">
        <v>193</v>
      </c>
      <c r="H11" s="314">
        <v>1529</v>
      </c>
      <c r="I11" s="242">
        <v>10875</v>
      </c>
      <c r="J11" s="323">
        <v>0</v>
      </c>
      <c r="K11" s="289">
        <v>115081</v>
      </c>
      <c r="L11" s="314">
        <v>88629</v>
      </c>
      <c r="M11" s="321">
        <v>26452</v>
      </c>
      <c r="N11" s="314">
        <v>77649</v>
      </c>
      <c r="O11" s="314">
        <v>988</v>
      </c>
      <c r="P11" s="314">
        <v>0</v>
      </c>
      <c r="Q11" s="314">
        <v>36444</v>
      </c>
      <c r="R11" s="321">
        <v>0</v>
      </c>
    </row>
    <row r="12" spans="1:19" x14ac:dyDescent="0.2">
      <c r="B12" s="4" t="s">
        <v>11</v>
      </c>
      <c r="C12" s="320">
        <v>57810</v>
      </c>
      <c r="D12" s="314">
        <v>21206</v>
      </c>
      <c r="E12" s="129">
        <v>79016</v>
      </c>
      <c r="F12" s="314">
        <v>264252</v>
      </c>
      <c r="G12" s="314">
        <v>12834</v>
      </c>
      <c r="H12" s="314">
        <v>9856</v>
      </c>
      <c r="I12" s="242">
        <v>286942</v>
      </c>
      <c r="J12" s="6">
        <v>0</v>
      </c>
      <c r="K12" s="290">
        <v>365958</v>
      </c>
      <c r="L12" s="314">
        <v>225147</v>
      </c>
      <c r="M12" s="321">
        <v>140811</v>
      </c>
      <c r="N12" s="314">
        <v>273101</v>
      </c>
      <c r="O12" s="314">
        <v>26670</v>
      </c>
      <c r="P12" s="314">
        <v>0</v>
      </c>
      <c r="Q12" s="314">
        <v>66187</v>
      </c>
      <c r="R12" s="321">
        <v>0</v>
      </c>
    </row>
    <row r="13" spans="1:19" x14ac:dyDescent="0.2">
      <c r="B13" s="4" t="s">
        <v>12</v>
      </c>
      <c r="C13" s="320">
        <v>36125</v>
      </c>
      <c r="D13" s="314">
        <v>13245</v>
      </c>
      <c r="E13" s="129">
        <v>49370</v>
      </c>
      <c r="F13" s="314">
        <v>129479</v>
      </c>
      <c r="G13" s="314">
        <v>8407</v>
      </c>
      <c r="H13" s="314">
        <v>9914</v>
      </c>
      <c r="I13" s="242">
        <v>147800</v>
      </c>
      <c r="J13" s="6">
        <v>0</v>
      </c>
      <c r="K13" s="290">
        <v>197170</v>
      </c>
      <c r="L13" s="314">
        <v>119671</v>
      </c>
      <c r="M13" s="321">
        <v>77499</v>
      </c>
      <c r="N13" s="314">
        <v>120976</v>
      </c>
      <c r="O13" s="314">
        <v>25694</v>
      </c>
      <c r="P13" s="314">
        <v>3818</v>
      </c>
      <c r="Q13" s="314">
        <v>46682</v>
      </c>
      <c r="R13" s="321">
        <v>0</v>
      </c>
    </row>
    <row r="14" spans="1:19" x14ac:dyDescent="0.2">
      <c r="B14" s="4" t="s">
        <v>13</v>
      </c>
      <c r="C14" s="320">
        <v>29976</v>
      </c>
      <c r="D14" s="314">
        <v>10364</v>
      </c>
      <c r="E14" s="129">
        <v>40340</v>
      </c>
      <c r="F14" s="314">
        <v>86298</v>
      </c>
      <c r="G14" s="314">
        <v>3969</v>
      </c>
      <c r="H14" s="314">
        <v>8697</v>
      </c>
      <c r="I14" s="242">
        <v>98964</v>
      </c>
      <c r="J14" s="6">
        <v>0</v>
      </c>
      <c r="K14" s="290">
        <v>139304</v>
      </c>
      <c r="L14" s="314">
        <v>84838</v>
      </c>
      <c r="M14" s="321">
        <v>54466</v>
      </c>
      <c r="N14" s="314">
        <v>81473</v>
      </c>
      <c r="O14" s="314">
        <v>19161</v>
      </c>
      <c r="P14" s="314">
        <v>8010</v>
      </c>
      <c r="Q14" s="314">
        <v>30660</v>
      </c>
      <c r="R14" s="321">
        <v>0</v>
      </c>
    </row>
    <row r="15" spans="1:19" x14ac:dyDescent="0.2">
      <c r="B15" s="4" t="s">
        <v>14</v>
      </c>
      <c r="C15" s="320">
        <v>29369</v>
      </c>
      <c r="D15" s="314">
        <v>10380</v>
      </c>
      <c r="E15" s="129">
        <v>39749</v>
      </c>
      <c r="F15" s="314">
        <v>109712</v>
      </c>
      <c r="G15" s="314">
        <v>3652</v>
      </c>
      <c r="H15" s="314">
        <v>7014</v>
      </c>
      <c r="I15" s="242">
        <v>120378</v>
      </c>
      <c r="J15" s="6">
        <v>0</v>
      </c>
      <c r="K15" s="290">
        <v>160127</v>
      </c>
      <c r="L15" s="314">
        <v>95751</v>
      </c>
      <c r="M15" s="321">
        <v>64376</v>
      </c>
      <c r="N15" s="314">
        <v>106541</v>
      </c>
      <c r="O15" s="314">
        <v>20848</v>
      </c>
      <c r="P15" s="314">
        <v>7845</v>
      </c>
      <c r="Q15" s="314">
        <v>24893</v>
      </c>
      <c r="R15" s="321">
        <v>0</v>
      </c>
    </row>
    <row r="16" spans="1:19" x14ac:dyDescent="0.2">
      <c r="B16" s="4" t="s">
        <v>15</v>
      </c>
      <c r="C16" s="320">
        <v>29479</v>
      </c>
      <c r="D16" s="314">
        <v>9014</v>
      </c>
      <c r="E16" s="129">
        <v>38493</v>
      </c>
      <c r="F16" s="314">
        <v>63674</v>
      </c>
      <c r="G16" s="314">
        <v>1893</v>
      </c>
      <c r="H16" s="314">
        <v>6048</v>
      </c>
      <c r="I16" s="242">
        <v>71615</v>
      </c>
      <c r="J16" s="6">
        <v>0</v>
      </c>
      <c r="K16" s="290">
        <v>110108</v>
      </c>
      <c r="L16" s="314">
        <v>65748</v>
      </c>
      <c r="M16" s="321">
        <v>44360</v>
      </c>
      <c r="N16" s="314">
        <v>68722</v>
      </c>
      <c r="O16" s="314">
        <v>19387</v>
      </c>
      <c r="P16" s="314">
        <v>5326</v>
      </c>
      <c r="Q16" s="314">
        <v>16673</v>
      </c>
      <c r="R16" s="321">
        <v>0</v>
      </c>
    </row>
    <row r="17" spans="2:18" x14ac:dyDescent="0.2">
      <c r="B17" s="4" t="s">
        <v>16</v>
      </c>
      <c r="C17" s="320">
        <v>32567</v>
      </c>
      <c r="D17" s="314">
        <v>9988</v>
      </c>
      <c r="E17" s="129">
        <v>42555</v>
      </c>
      <c r="F17" s="314">
        <v>68708</v>
      </c>
      <c r="G17" s="314">
        <v>1352</v>
      </c>
      <c r="H17" s="314">
        <v>5270</v>
      </c>
      <c r="I17" s="242">
        <v>75330</v>
      </c>
      <c r="J17" s="6">
        <v>0</v>
      </c>
      <c r="K17" s="290">
        <v>117885</v>
      </c>
      <c r="L17" s="314">
        <v>70004</v>
      </c>
      <c r="M17" s="321">
        <v>47881</v>
      </c>
      <c r="N17" s="314">
        <v>72035</v>
      </c>
      <c r="O17" s="314">
        <v>22552</v>
      </c>
      <c r="P17" s="314">
        <v>5134</v>
      </c>
      <c r="Q17" s="314">
        <v>18164</v>
      </c>
      <c r="R17" s="321">
        <v>0</v>
      </c>
    </row>
    <row r="18" spans="2:18" x14ac:dyDescent="0.2">
      <c r="B18" s="4" t="s">
        <v>17</v>
      </c>
      <c r="C18" s="320">
        <v>26363</v>
      </c>
      <c r="D18" s="314">
        <v>11711</v>
      </c>
      <c r="E18" s="129">
        <v>38074</v>
      </c>
      <c r="F18" s="314">
        <v>70084</v>
      </c>
      <c r="G18" s="314">
        <v>1106</v>
      </c>
      <c r="H18" s="314">
        <v>2081</v>
      </c>
      <c r="I18" s="242">
        <v>73271</v>
      </c>
      <c r="J18" s="6">
        <v>0</v>
      </c>
      <c r="K18" s="290">
        <v>111345</v>
      </c>
      <c r="L18" s="314">
        <v>65990</v>
      </c>
      <c r="M18" s="321">
        <v>45355</v>
      </c>
      <c r="N18" s="314">
        <v>65223</v>
      </c>
      <c r="O18" s="314">
        <v>24957</v>
      </c>
      <c r="P18" s="314">
        <v>4304</v>
      </c>
      <c r="Q18" s="314">
        <v>16861</v>
      </c>
      <c r="R18" s="321">
        <v>0</v>
      </c>
    </row>
    <row r="19" spans="2:18" x14ac:dyDescent="0.2">
      <c r="B19" s="4" t="s">
        <v>18</v>
      </c>
      <c r="C19" s="320">
        <v>24913</v>
      </c>
      <c r="D19" s="314">
        <v>11810</v>
      </c>
      <c r="E19" s="129">
        <v>36723</v>
      </c>
      <c r="F19" s="314">
        <v>66862</v>
      </c>
      <c r="G19" s="314">
        <v>896</v>
      </c>
      <c r="H19" s="314">
        <v>2218</v>
      </c>
      <c r="I19" s="242">
        <v>69976</v>
      </c>
      <c r="J19" s="6">
        <v>0</v>
      </c>
      <c r="K19" s="290">
        <v>106699</v>
      </c>
      <c r="L19" s="314">
        <v>64506</v>
      </c>
      <c r="M19" s="321">
        <v>42193</v>
      </c>
      <c r="N19" s="314">
        <v>64019</v>
      </c>
      <c r="O19" s="314">
        <v>23640</v>
      </c>
      <c r="P19" s="314">
        <v>3451</v>
      </c>
      <c r="Q19" s="314">
        <v>15560</v>
      </c>
      <c r="R19" s="321">
        <v>29</v>
      </c>
    </row>
    <row r="20" spans="2:18" x14ac:dyDescent="0.2">
      <c r="B20" s="4" t="s">
        <v>19</v>
      </c>
      <c r="C20" s="320">
        <v>26161</v>
      </c>
      <c r="D20" s="314">
        <v>11910</v>
      </c>
      <c r="E20" s="129">
        <v>38071</v>
      </c>
      <c r="F20" s="314">
        <v>81213</v>
      </c>
      <c r="G20" s="314">
        <v>1024</v>
      </c>
      <c r="H20" s="314">
        <v>2802</v>
      </c>
      <c r="I20" s="242">
        <v>85039</v>
      </c>
      <c r="J20" s="6">
        <v>0</v>
      </c>
      <c r="K20" s="290">
        <v>123110</v>
      </c>
      <c r="L20" s="314">
        <v>72374</v>
      </c>
      <c r="M20" s="321">
        <v>50736</v>
      </c>
      <c r="N20" s="314">
        <v>73317</v>
      </c>
      <c r="O20" s="314">
        <v>28517</v>
      </c>
      <c r="P20" s="314">
        <v>3602</v>
      </c>
      <c r="Q20" s="314">
        <v>17423</v>
      </c>
      <c r="R20" s="321">
        <v>251</v>
      </c>
    </row>
    <row r="21" spans="2:18" x14ac:dyDescent="0.2">
      <c r="B21" s="4" t="s">
        <v>519</v>
      </c>
      <c r="C21" s="320">
        <v>28351</v>
      </c>
      <c r="D21" s="314">
        <v>10990</v>
      </c>
      <c r="E21" s="129">
        <v>39341</v>
      </c>
      <c r="F21" s="314">
        <v>110834</v>
      </c>
      <c r="G21" s="314">
        <v>1110</v>
      </c>
      <c r="H21" s="314">
        <v>5864</v>
      </c>
      <c r="I21" s="242">
        <v>117808</v>
      </c>
      <c r="J21" s="6">
        <v>0</v>
      </c>
      <c r="K21" s="290">
        <v>157149</v>
      </c>
      <c r="L21" s="314">
        <v>91770</v>
      </c>
      <c r="M21" s="321">
        <v>65379</v>
      </c>
      <c r="N21" s="314">
        <v>92287</v>
      </c>
      <c r="O21" s="314">
        <v>40174</v>
      </c>
      <c r="P21" s="314">
        <v>4487</v>
      </c>
      <c r="Q21" s="314">
        <v>19524</v>
      </c>
      <c r="R21" s="321">
        <v>677</v>
      </c>
    </row>
    <row r="22" spans="2:18" x14ac:dyDescent="0.2">
      <c r="B22" s="3" t="s">
        <v>691</v>
      </c>
      <c r="C22" s="226">
        <v>2487</v>
      </c>
      <c r="D22" s="5">
        <v>954</v>
      </c>
      <c r="E22" s="130">
        <v>3441</v>
      </c>
      <c r="F22" s="5">
        <v>9191</v>
      </c>
      <c r="G22" s="5">
        <v>74</v>
      </c>
      <c r="H22" s="5">
        <v>518</v>
      </c>
      <c r="I22" s="243">
        <v>9783</v>
      </c>
      <c r="J22" s="324">
        <v>0</v>
      </c>
      <c r="K22" s="291">
        <v>13224</v>
      </c>
      <c r="L22" s="5">
        <v>7679</v>
      </c>
      <c r="M22" s="230">
        <v>5545</v>
      </c>
      <c r="N22" s="5">
        <v>7480</v>
      </c>
      <c r="O22" s="5">
        <v>3744</v>
      </c>
      <c r="P22" s="5">
        <v>306</v>
      </c>
      <c r="Q22" s="5">
        <v>1640</v>
      </c>
      <c r="R22" s="230">
        <v>54</v>
      </c>
    </row>
    <row r="23" spans="2:18" x14ac:dyDescent="0.2">
      <c r="B23" s="3" t="s">
        <v>647</v>
      </c>
      <c r="C23" s="226">
        <v>1962</v>
      </c>
      <c r="D23" s="5">
        <v>843</v>
      </c>
      <c r="E23" s="130">
        <v>2805</v>
      </c>
      <c r="F23" s="5">
        <v>7710</v>
      </c>
      <c r="G23" s="5">
        <v>77</v>
      </c>
      <c r="H23" s="5">
        <v>646</v>
      </c>
      <c r="I23" s="243">
        <v>8433</v>
      </c>
      <c r="J23" s="324">
        <v>0</v>
      </c>
      <c r="K23" s="291">
        <v>11238</v>
      </c>
      <c r="L23" s="5">
        <v>6450</v>
      </c>
      <c r="M23" s="230">
        <v>4788</v>
      </c>
      <c r="N23" s="5">
        <v>6325</v>
      </c>
      <c r="O23" s="5">
        <v>3339</v>
      </c>
      <c r="P23" s="5">
        <v>271</v>
      </c>
      <c r="Q23" s="5">
        <v>1257</v>
      </c>
      <c r="R23" s="230">
        <v>46</v>
      </c>
    </row>
    <row r="24" spans="2:18" x14ac:dyDescent="0.2">
      <c r="B24" s="3" t="s">
        <v>648</v>
      </c>
      <c r="C24" s="226">
        <v>2224</v>
      </c>
      <c r="D24" s="5">
        <v>964</v>
      </c>
      <c r="E24" s="130">
        <v>3188</v>
      </c>
      <c r="F24" s="5">
        <v>8384</v>
      </c>
      <c r="G24" s="5">
        <v>95</v>
      </c>
      <c r="H24" s="5">
        <v>599</v>
      </c>
      <c r="I24" s="243">
        <v>9078</v>
      </c>
      <c r="J24" s="324">
        <v>0</v>
      </c>
      <c r="K24" s="291">
        <v>12266</v>
      </c>
      <c r="L24" s="5">
        <v>7067</v>
      </c>
      <c r="M24" s="230">
        <v>5199</v>
      </c>
      <c r="N24" s="5">
        <v>6892</v>
      </c>
      <c r="O24" s="5">
        <v>3456</v>
      </c>
      <c r="P24" s="5">
        <v>322</v>
      </c>
      <c r="Q24" s="5">
        <v>1532</v>
      </c>
      <c r="R24" s="230">
        <v>64</v>
      </c>
    </row>
    <row r="25" spans="2:18" x14ac:dyDescent="0.2">
      <c r="B25" s="3" t="s">
        <v>649</v>
      </c>
      <c r="C25" s="226">
        <v>2134</v>
      </c>
      <c r="D25" s="5">
        <v>989</v>
      </c>
      <c r="E25" s="130">
        <v>3123</v>
      </c>
      <c r="F25" s="5">
        <v>8196</v>
      </c>
      <c r="G25" s="5">
        <v>109</v>
      </c>
      <c r="H25" s="5">
        <v>539</v>
      </c>
      <c r="I25" s="243">
        <v>8844</v>
      </c>
      <c r="J25" s="324">
        <v>0</v>
      </c>
      <c r="K25" s="291">
        <v>11967</v>
      </c>
      <c r="L25" s="5">
        <v>6847</v>
      </c>
      <c r="M25" s="230">
        <v>5120</v>
      </c>
      <c r="N25" s="5">
        <v>6599</v>
      </c>
      <c r="O25" s="5">
        <v>3448</v>
      </c>
      <c r="P25" s="5">
        <v>285</v>
      </c>
      <c r="Q25" s="5">
        <v>1559</v>
      </c>
      <c r="R25" s="230">
        <v>76</v>
      </c>
    </row>
    <row r="26" spans="2:18" x14ac:dyDescent="0.2">
      <c r="B26" s="3" t="s">
        <v>650</v>
      </c>
      <c r="C26" s="226">
        <v>2196</v>
      </c>
      <c r="D26" s="5">
        <v>865</v>
      </c>
      <c r="E26" s="130">
        <v>3061</v>
      </c>
      <c r="F26" s="5">
        <v>8439</v>
      </c>
      <c r="G26" s="5">
        <v>95</v>
      </c>
      <c r="H26" s="5">
        <v>450</v>
      </c>
      <c r="I26" s="243">
        <v>8984</v>
      </c>
      <c r="J26" s="324">
        <v>0</v>
      </c>
      <c r="K26" s="291">
        <v>12045</v>
      </c>
      <c r="L26" s="5">
        <v>6669</v>
      </c>
      <c r="M26" s="230">
        <v>5376</v>
      </c>
      <c r="N26" s="5">
        <v>6608</v>
      </c>
      <c r="O26" s="5">
        <v>3413</v>
      </c>
      <c r="P26" s="5">
        <v>319</v>
      </c>
      <c r="Q26" s="5">
        <v>1640</v>
      </c>
      <c r="R26" s="230">
        <v>65</v>
      </c>
    </row>
    <row r="27" spans="2:18" x14ac:dyDescent="0.2">
      <c r="B27" s="3" t="s">
        <v>651</v>
      </c>
      <c r="C27" s="226">
        <v>1979</v>
      </c>
      <c r="D27" s="5">
        <v>925</v>
      </c>
      <c r="E27" s="130">
        <v>2904</v>
      </c>
      <c r="F27" s="5">
        <v>7202</v>
      </c>
      <c r="G27" s="5">
        <v>77</v>
      </c>
      <c r="H27" s="5">
        <v>365</v>
      </c>
      <c r="I27" s="243">
        <v>7644</v>
      </c>
      <c r="J27" s="324">
        <v>0</v>
      </c>
      <c r="K27" s="291">
        <v>10548</v>
      </c>
      <c r="L27" s="5">
        <v>5930</v>
      </c>
      <c r="M27" s="230">
        <v>4618</v>
      </c>
      <c r="N27" s="5">
        <v>6154</v>
      </c>
      <c r="O27" s="5">
        <v>2764</v>
      </c>
      <c r="P27" s="5">
        <v>286</v>
      </c>
      <c r="Q27" s="5">
        <v>1246</v>
      </c>
      <c r="R27" s="230">
        <v>98</v>
      </c>
    </row>
    <row r="28" spans="2:18" x14ac:dyDescent="0.2">
      <c r="B28" s="3" t="s">
        <v>652</v>
      </c>
      <c r="C28" s="226">
        <v>2355</v>
      </c>
      <c r="D28" s="5">
        <v>1029</v>
      </c>
      <c r="E28" s="130">
        <v>3384</v>
      </c>
      <c r="F28" s="5">
        <v>9201</v>
      </c>
      <c r="G28" s="5">
        <v>89</v>
      </c>
      <c r="H28" s="5">
        <v>448</v>
      </c>
      <c r="I28" s="243">
        <v>9738</v>
      </c>
      <c r="J28" s="324">
        <v>0</v>
      </c>
      <c r="K28" s="291">
        <v>13122</v>
      </c>
      <c r="L28" s="5">
        <v>7512</v>
      </c>
      <c r="M28" s="230">
        <v>5610</v>
      </c>
      <c r="N28" s="5">
        <v>7532</v>
      </c>
      <c r="O28" s="5">
        <v>3569</v>
      </c>
      <c r="P28" s="5">
        <v>360</v>
      </c>
      <c r="Q28" s="5">
        <v>1558</v>
      </c>
      <c r="R28" s="230">
        <v>103</v>
      </c>
    </row>
    <row r="29" spans="2:18" x14ac:dyDescent="0.2">
      <c r="B29" s="3" t="s">
        <v>653</v>
      </c>
      <c r="C29" s="226">
        <v>2312</v>
      </c>
      <c r="D29" s="5">
        <v>959</v>
      </c>
      <c r="E29" s="130">
        <v>3271</v>
      </c>
      <c r="F29" s="5">
        <v>8640</v>
      </c>
      <c r="G29" s="5">
        <v>65</v>
      </c>
      <c r="H29" s="5">
        <v>388</v>
      </c>
      <c r="I29" s="243">
        <v>9093</v>
      </c>
      <c r="J29" s="324">
        <v>0</v>
      </c>
      <c r="K29" s="291">
        <v>12364</v>
      </c>
      <c r="L29" s="5">
        <v>7229</v>
      </c>
      <c r="M29" s="230">
        <v>5135</v>
      </c>
      <c r="N29" s="5">
        <v>7699</v>
      </c>
      <c r="O29" s="5">
        <v>2939</v>
      </c>
      <c r="P29" s="5">
        <v>259</v>
      </c>
      <c r="Q29" s="5">
        <v>1367</v>
      </c>
      <c r="R29" s="230">
        <v>100</v>
      </c>
    </row>
    <row r="30" spans="2:18" x14ac:dyDescent="0.2">
      <c r="B30" s="3" t="s">
        <v>654</v>
      </c>
      <c r="C30" s="226">
        <v>2244</v>
      </c>
      <c r="D30" s="5">
        <v>781</v>
      </c>
      <c r="E30" s="130">
        <v>3025</v>
      </c>
      <c r="F30" s="5">
        <v>7850</v>
      </c>
      <c r="G30" s="5">
        <v>93</v>
      </c>
      <c r="H30" s="5">
        <v>422</v>
      </c>
      <c r="I30" s="243">
        <v>8365</v>
      </c>
      <c r="J30" s="324">
        <v>0</v>
      </c>
      <c r="K30" s="291">
        <v>11390</v>
      </c>
      <c r="L30" s="5">
        <v>6680</v>
      </c>
      <c r="M30" s="230">
        <v>4710</v>
      </c>
      <c r="N30" s="5">
        <v>6400</v>
      </c>
      <c r="O30" s="5">
        <v>3282</v>
      </c>
      <c r="P30" s="5">
        <v>260</v>
      </c>
      <c r="Q30" s="5">
        <v>1371</v>
      </c>
      <c r="R30" s="230">
        <v>77</v>
      </c>
    </row>
    <row r="31" spans="2:18" x14ac:dyDescent="0.2">
      <c r="B31" s="3" t="s">
        <v>655</v>
      </c>
      <c r="C31" s="226">
        <v>2158</v>
      </c>
      <c r="D31" s="5">
        <v>733</v>
      </c>
      <c r="E31" s="130">
        <v>2891</v>
      </c>
      <c r="F31" s="5">
        <v>7020</v>
      </c>
      <c r="G31" s="5">
        <v>81</v>
      </c>
      <c r="H31" s="5">
        <v>336</v>
      </c>
      <c r="I31" s="243">
        <v>7437</v>
      </c>
      <c r="J31" s="324">
        <v>0</v>
      </c>
      <c r="K31" s="291">
        <v>10328</v>
      </c>
      <c r="L31" s="5">
        <v>6235</v>
      </c>
      <c r="M31" s="230">
        <v>4093</v>
      </c>
      <c r="N31" s="5">
        <v>5672</v>
      </c>
      <c r="O31" s="5">
        <v>2862</v>
      </c>
      <c r="P31" s="5">
        <v>219</v>
      </c>
      <c r="Q31" s="5">
        <v>1483</v>
      </c>
      <c r="R31" s="230">
        <v>92</v>
      </c>
    </row>
    <row r="32" spans="2:18" x14ac:dyDescent="0.2">
      <c r="B32" s="3" t="s">
        <v>656</v>
      </c>
      <c r="C32" s="226">
        <v>2096</v>
      </c>
      <c r="D32" s="5">
        <v>693</v>
      </c>
      <c r="E32" s="130">
        <v>2789</v>
      </c>
      <c r="F32" s="5">
        <v>7148</v>
      </c>
      <c r="G32" s="5">
        <v>79</v>
      </c>
      <c r="H32" s="5">
        <v>361</v>
      </c>
      <c r="I32" s="243">
        <v>7588</v>
      </c>
      <c r="J32" s="324">
        <v>0</v>
      </c>
      <c r="K32" s="291">
        <v>10377</v>
      </c>
      <c r="L32" s="5">
        <v>6158</v>
      </c>
      <c r="M32" s="230">
        <v>4219</v>
      </c>
      <c r="N32" s="5">
        <v>5117</v>
      </c>
      <c r="O32" s="5">
        <v>3207</v>
      </c>
      <c r="P32" s="5">
        <v>284</v>
      </c>
      <c r="Q32" s="5">
        <v>1583</v>
      </c>
      <c r="R32" s="230">
        <v>186</v>
      </c>
    </row>
    <row r="33" spans="2:18" x14ac:dyDescent="0.2">
      <c r="B33" s="3" t="s">
        <v>657</v>
      </c>
      <c r="C33" s="226">
        <v>2609</v>
      </c>
      <c r="D33" s="5">
        <v>1067</v>
      </c>
      <c r="E33" s="130">
        <v>3676</v>
      </c>
      <c r="F33" s="5">
        <v>11674</v>
      </c>
      <c r="G33" s="5">
        <v>433</v>
      </c>
      <c r="H33" s="5">
        <v>557</v>
      </c>
      <c r="I33" s="243">
        <v>12664</v>
      </c>
      <c r="J33" s="324">
        <v>0</v>
      </c>
      <c r="K33" s="291">
        <v>16340</v>
      </c>
      <c r="L33" s="5">
        <v>9253</v>
      </c>
      <c r="M33" s="230">
        <v>7087</v>
      </c>
      <c r="N33" s="5">
        <v>9832</v>
      </c>
      <c r="O33" s="5">
        <v>3833</v>
      </c>
      <c r="P33" s="5">
        <v>681</v>
      </c>
      <c r="Q33" s="5">
        <v>1828</v>
      </c>
      <c r="R33" s="230">
        <v>166</v>
      </c>
    </row>
    <row r="34" spans="2:18" x14ac:dyDescent="0.2">
      <c r="B34" s="2" t="s">
        <v>522</v>
      </c>
      <c r="C34" s="225">
        <v>26756</v>
      </c>
      <c r="D34" s="129">
        <v>10802</v>
      </c>
      <c r="E34" s="129">
        <v>37558</v>
      </c>
      <c r="F34" s="129">
        <v>100655</v>
      </c>
      <c r="G34" s="129">
        <v>1367</v>
      </c>
      <c r="H34" s="129">
        <v>5629</v>
      </c>
      <c r="I34" s="242">
        <v>107651</v>
      </c>
      <c r="J34" s="6">
        <v>0</v>
      </c>
      <c r="K34" s="290">
        <v>145209</v>
      </c>
      <c r="L34" s="129">
        <v>83709</v>
      </c>
      <c r="M34" s="229">
        <v>61500</v>
      </c>
      <c r="N34" s="129">
        <v>82310</v>
      </c>
      <c r="O34" s="129">
        <v>39856</v>
      </c>
      <c r="P34" s="129">
        <v>3852</v>
      </c>
      <c r="Q34" s="129">
        <v>18064</v>
      </c>
      <c r="R34" s="229">
        <v>1127</v>
      </c>
    </row>
    <row r="35" spans="2:18" x14ac:dyDescent="0.2">
      <c r="B35" s="3" t="s">
        <v>692</v>
      </c>
      <c r="C35" s="226">
        <v>2681</v>
      </c>
      <c r="D35" s="5">
        <v>1109</v>
      </c>
      <c r="E35" s="130">
        <v>3790</v>
      </c>
      <c r="F35" s="5">
        <v>9017</v>
      </c>
      <c r="G35" s="5">
        <v>8924</v>
      </c>
      <c r="H35" s="5">
        <v>664</v>
      </c>
      <c r="I35" s="243">
        <v>18605</v>
      </c>
      <c r="J35" s="325">
        <v>0</v>
      </c>
      <c r="K35" s="291">
        <v>22395</v>
      </c>
      <c r="L35" s="5">
        <v>11949</v>
      </c>
      <c r="M35" s="230">
        <v>10446</v>
      </c>
      <c r="N35" s="5">
        <v>12986</v>
      </c>
      <c r="O35" s="5">
        <v>5745</v>
      </c>
      <c r="P35" s="5">
        <v>1328</v>
      </c>
      <c r="Q35" s="5">
        <v>2073</v>
      </c>
      <c r="R35" s="230">
        <v>263</v>
      </c>
    </row>
    <row r="36" spans="2:18" x14ac:dyDescent="0.2">
      <c r="B36" s="3" t="s">
        <v>693</v>
      </c>
      <c r="C36" s="226">
        <v>2199</v>
      </c>
      <c r="D36" s="5">
        <v>1011</v>
      </c>
      <c r="E36" s="130">
        <v>3210</v>
      </c>
      <c r="F36" s="5">
        <v>9158</v>
      </c>
      <c r="G36" s="5">
        <v>12215</v>
      </c>
      <c r="H36" s="5">
        <v>790</v>
      </c>
      <c r="I36" s="243">
        <v>22163</v>
      </c>
      <c r="J36" s="325">
        <v>0</v>
      </c>
      <c r="K36" s="291">
        <v>25373</v>
      </c>
      <c r="L36" s="5">
        <v>13579</v>
      </c>
      <c r="M36" s="230">
        <v>11794</v>
      </c>
      <c r="N36" s="5">
        <v>16342</v>
      </c>
      <c r="O36" s="5">
        <v>6120</v>
      </c>
      <c r="P36" s="5">
        <v>920</v>
      </c>
      <c r="Q36" s="5">
        <v>1736</v>
      </c>
      <c r="R36" s="230">
        <v>255</v>
      </c>
    </row>
    <row r="37" spans="2:18" x14ac:dyDescent="0.2">
      <c r="B37" s="3" t="s">
        <v>660</v>
      </c>
      <c r="C37" s="226">
        <v>1796</v>
      </c>
      <c r="D37" s="5">
        <v>738</v>
      </c>
      <c r="E37" s="130">
        <v>2534</v>
      </c>
      <c r="F37" s="5">
        <v>6207</v>
      </c>
      <c r="G37" s="5">
        <v>5138</v>
      </c>
      <c r="H37" s="5">
        <v>481</v>
      </c>
      <c r="I37" s="243">
        <v>11826</v>
      </c>
      <c r="J37" s="325">
        <v>0</v>
      </c>
      <c r="K37" s="291">
        <v>14360</v>
      </c>
      <c r="L37" s="5">
        <v>7747</v>
      </c>
      <c r="M37" s="230">
        <v>6613</v>
      </c>
      <c r="N37" s="5">
        <v>7905</v>
      </c>
      <c r="O37" s="5">
        <v>4086</v>
      </c>
      <c r="P37" s="5">
        <v>549</v>
      </c>
      <c r="Q37" s="5">
        <v>1375</v>
      </c>
      <c r="R37" s="230">
        <v>445</v>
      </c>
    </row>
    <row r="38" spans="2:18" x14ac:dyDescent="0.2">
      <c r="B38" s="3" t="s">
        <v>661</v>
      </c>
      <c r="C38" s="226">
        <v>1280</v>
      </c>
      <c r="D38" s="5">
        <v>370</v>
      </c>
      <c r="E38" s="130">
        <v>1650</v>
      </c>
      <c r="F38" s="5">
        <v>4351</v>
      </c>
      <c r="G38" s="5">
        <v>1961</v>
      </c>
      <c r="H38" s="5">
        <v>435</v>
      </c>
      <c r="I38" s="243">
        <v>6747</v>
      </c>
      <c r="J38" s="325">
        <v>0</v>
      </c>
      <c r="K38" s="291">
        <v>8397</v>
      </c>
      <c r="L38" s="5">
        <v>4475</v>
      </c>
      <c r="M38" s="230">
        <v>3922</v>
      </c>
      <c r="N38" s="5">
        <v>3005</v>
      </c>
      <c r="O38" s="5">
        <v>3431</v>
      </c>
      <c r="P38" s="5">
        <v>288</v>
      </c>
      <c r="Q38" s="5">
        <v>939</v>
      </c>
      <c r="R38" s="230">
        <v>734</v>
      </c>
    </row>
    <row r="39" spans="2:18" x14ac:dyDescent="0.2">
      <c r="B39" s="3" t="s">
        <v>662</v>
      </c>
      <c r="C39" s="226">
        <v>1870</v>
      </c>
      <c r="D39" s="5">
        <v>601</v>
      </c>
      <c r="E39" s="130">
        <v>2471</v>
      </c>
      <c r="F39" s="5">
        <v>6779</v>
      </c>
      <c r="G39" s="5">
        <v>3295</v>
      </c>
      <c r="H39" s="5">
        <v>690</v>
      </c>
      <c r="I39" s="243">
        <v>10764</v>
      </c>
      <c r="J39" s="325">
        <v>0</v>
      </c>
      <c r="K39" s="291">
        <v>13235</v>
      </c>
      <c r="L39" s="5">
        <v>6981</v>
      </c>
      <c r="M39" s="230">
        <v>6254</v>
      </c>
      <c r="N39" s="5">
        <v>4827</v>
      </c>
      <c r="O39" s="5">
        <v>4660</v>
      </c>
      <c r="P39" s="5">
        <v>341</v>
      </c>
      <c r="Q39" s="5">
        <v>944</v>
      </c>
      <c r="R39" s="230">
        <v>2463</v>
      </c>
    </row>
    <row r="40" spans="2:18" x14ac:dyDescent="0.2">
      <c r="B40" s="3" t="s">
        <v>663</v>
      </c>
      <c r="C40" s="226">
        <v>1739</v>
      </c>
      <c r="D40" s="5">
        <v>550</v>
      </c>
      <c r="E40" s="130">
        <v>2289</v>
      </c>
      <c r="F40" s="5">
        <v>5983</v>
      </c>
      <c r="G40" s="5">
        <v>2703</v>
      </c>
      <c r="H40" s="5">
        <v>607</v>
      </c>
      <c r="I40" s="243">
        <v>9293</v>
      </c>
      <c r="J40" s="325">
        <v>0</v>
      </c>
      <c r="K40" s="291">
        <v>11582</v>
      </c>
      <c r="L40" s="5">
        <v>6206</v>
      </c>
      <c r="M40" s="230">
        <v>5376</v>
      </c>
      <c r="N40" s="5">
        <v>4100</v>
      </c>
      <c r="O40" s="5">
        <v>4414</v>
      </c>
      <c r="P40" s="5">
        <v>364</v>
      </c>
      <c r="Q40" s="5">
        <v>861</v>
      </c>
      <c r="R40" s="230">
        <v>1843</v>
      </c>
    </row>
    <row r="41" spans="2:18" x14ac:dyDescent="0.2">
      <c r="B41" s="3" t="s">
        <v>664</v>
      </c>
      <c r="C41" s="226">
        <v>2527</v>
      </c>
      <c r="D41" s="5">
        <v>648</v>
      </c>
      <c r="E41" s="130">
        <v>3175</v>
      </c>
      <c r="F41" s="5">
        <v>6432</v>
      </c>
      <c r="G41" s="5">
        <v>3839</v>
      </c>
      <c r="H41" s="5">
        <v>497</v>
      </c>
      <c r="I41" s="243">
        <v>10768</v>
      </c>
      <c r="J41" s="325">
        <v>0</v>
      </c>
      <c r="K41" s="291">
        <v>13943</v>
      </c>
      <c r="L41" s="5">
        <v>8029</v>
      </c>
      <c r="M41" s="230">
        <v>5914</v>
      </c>
      <c r="N41" s="5">
        <v>6134</v>
      </c>
      <c r="O41" s="5">
        <v>3176</v>
      </c>
      <c r="P41" s="5">
        <v>450</v>
      </c>
      <c r="Q41" s="5">
        <v>1267</v>
      </c>
      <c r="R41" s="230">
        <v>2916</v>
      </c>
    </row>
    <row r="42" spans="2:18" x14ac:dyDescent="0.2">
      <c r="B42" s="3" t="s">
        <v>665</v>
      </c>
      <c r="C42" s="226">
        <v>2711</v>
      </c>
      <c r="D42" s="5">
        <v>791</v>
      </c>
      <c r="E42" s="130">
        <v>3502</v>
      </c>
      <c r="F42" s="5">
        <v>7109</v>
      </c>
      <c r="G42" s="5">
        <v>5977</v>
      </c>
      <c r="H42" s="5">
        <v>593</v>
      </c>
      <c r="I42" s="243">
        <v>13679</v>
      </c>
      <c r="J42" s="325">
        <v>0</v>
      </c>
      <c r="K42" s="291">
        <v>17181</v>
      </c>
      <c r="L42" s="5">
        <v>9684</v>
      </c>
      <c r="M42" s="230">
        <v>7497</v>
      </c>
      <c r="N42" s="5">
        <v>7890</v>
      </c>
      <c r="O42" s="5">
        <v>2902</v>
      </c>
      <c r="P42" s="5">
        <v>748</v>
      </c>
      <c r="Q42" s="5">
        <v>1437</v>
      </c>
      <c r="R42" s="230">
        <v>4204</v>
      </c>
    </row>
    <row r="43" spans="2:18" x14ac:dyDescent="0.2">
      <c r="B43" s="3" t="s">
        <v>666</v>
      </c>
      <c r="C43" s="226">
        <v>2657</v>
      </c>
      <c r="D43" s="5">
        <v>915</v>
      </c>
      <c r="E43" s="130">
        <v>3572</v>
      </c>
      <c r="F43" s="5">
        <v>7741</v>
      </c>
      <c r="G43" s="5">
        <v>5118</v>
      </c>
      <c r="H43" s="5">
        <v>670</v>
      </c>
      <c r="I43" s="243">
        <v>13529</v>
      </c>
      <c r="J43" s="325">
        <v>0</v>
      </c>
      <c r="K43" s="291">
        <v>17101</v>
      </c>
      <c r="L43" s="5">
        <v>10055</v>
      </c>
      <c r="M43" s="230">
        <v>7046</v>
      </c>
      <c r="N43" s="5">
        <v>7636</v>
      </c>
      <c r="O43" s="5">
        <v>3733</v>
      </c>
      <c r="P43" s="5">
        <v>522</v>
      </c>
      <c r="Q43" s="5">
        <v>1413</v>
      </c>
      <c r="R43" s="230">
        <v>3797</v>
      </c>
    </row>
    <row r="44" spans="2:18" x14ac:dyDescent="0.2">
      <c r="B44" s="3" t="s">
        <v>667</v>
      </c>
      <c r="C44" s="226">
        <v>2847</v>
      </c>
      <c r="D44" s="5">
        <v>1146</v>
      </c>
      <c r="E44" s="130">
        <v>3993</v>
      </c>
      <c r="F44" s="5">
        <v>9019</v>
      </c>
      <c r="G44" s="5">
        <v>4944</v>
      </c>
      <c r="H44" s="5">
        <v>762</v>
      </c>
      <c r="I44" s="243">
        <v>14725</v>
      </c>
      <c r="J44" s="325">
        <v>0</v>
      </c>
      <c r="K44" s="291">
        <v>18718</v>
      </c>
      <c r="L44" s="5">
        <v>10987</v>
      </c>
      <c r="M44" s="230">
        <v>7731</v>
      </c>
      <c r="N44" s="5">
        <v>7973</v>
      </c>
      <c r="O44" s="5">
        <v>5780</v>
      </c>
      <c r="P44" s="5">
        <v>589</v>
      </c>
      <c r="Q44" s="5">
        <v>1665</v>
      </c>
      <c r="R44" s="230">
        <v>2711</v>
      </c>
    </row>
    <row r="45" spans="2:18" x14ac:dyDescent="0.2">
      <c r="B45" s="3" t="s">
        <v>668</v>
      </c>
      <c r="C45" s="226">
        <v>2530</v>
      </c>
      <c r="D45" s="5">
        <v>966</v>
      </c>
      <c r="E45" s="130">
        <v>3496</v>
      </c>
      <c r="F45" s="5">
        <v>7452</v>
      </c>
      <c r="G45" s="5">
        <v>5125</v>
      </c>
      <c r="H45" s="5">
        <v>529</v>
      </c>
      <c r="I45" s="243">
        <v>13106</v>
      </c>
      <c r="J45" s="325">
        <v>0</v>
      </c>
      <c r="K45" s="291">
        <v>16602</v>
      </c>
      <c r="L45" s="5">
        <v>9638</v>
      </c>
      <c r="M45" s="230">
        <v>6964</v>
      </c>
      <c r="N45" s="5">
        <v>7252</v>
      </c>
      <c r="O45" s="5">
        <v>4523</v>
      </c>
      <c r="P45" s="5">
        <v>619</v>
      </c>
      <c r="Q45" s="5">
        <v>1576</v>
      </c>
      <c r="R45" s="230">
        <v>2632</v>
      </c>
    </row>
    <row r="46" spans="2:18" x14ac:dyDescent="0.2">
      <c r="B46" s="3" t="s">
        <v>669</v>
      </c>
      <c r="C46" s="226">
        <v>2292</v>
      </c>
      <c r="D46" s="5">
        <v>945</v>
      </c>
      <c r="E46" s="130">
        <v>3237</v>
      </c>
      <c r="F46" s="5">
        <v>6268</v>
      </c>
      <c r="G46" s="5">
        <v>4862</v>
      </c>
      <c r="H46" s="5">
        <v>437</v>
      </c>
      <c r="I46" s="243">
        <v>11567</v>
      </c>
      <c r="J46" s="325">
        <v>0</v>
      </c>
      <c r="K46" s="291">
        <v>14804</v>
      </c>
      <c r="L46" s="5">
        <v>8515</v>
      </c>
      <c r="M46" s="230">
        <v>6289</v>
      </c>
      <c r="N46" s="5">
        <v>7008</v>
      </c>
      <c r="O46" s="5">
        <v>3222</v>
      </c>
      <c r="P46" s="5">
        <v>700</v>
      </c>
      <c r="Q46" s="5">
        <v>1384</v>
      </c>
      <c r="R46" s="230">
        <v>2490</v>
      </c>
    </row>
    <row r="47" spans="2:18" x14ac:dyDescent="0.2">
      <c r="B47" s="2" t="s">
        <v>670</v>
      </c>
      <c r="C47" s="225">
        <v>27129</v>
      </c>
      <c r="D47" s="129">
        <v>9790</v>
      </c>
      <c r="E47" s="129">
        <v>36919</v>
      </c>
      <c r="F47" s="129">
        <v>85516</v>
      </c>
      <c r="G47" s="129">
        <v>64101</v>
      </c>
      <c r="H47" s="129">
        <v>7155</v>
      </c>
      <c r="I47" s="242">
        <v>156772</v>
      </c>
      <c r="J47" s="6">
        <v>0</v>
      </c>
      <c r="K47" s="290">
        <v>193691</v>
      </c>
      <c r="L47" s="129">
        <v>107845</v>
      </c>
      <c r="M47" s="229">
        <v>85846</v>
      </c>
      <c r="N47" s="129">
        <v>93058</v>
      </c>
      <c r="O47" s="129">
        <v>51792</v>
      </c>
      <c r="P47" s="129">
        <v>7418</v>
      </c>
      <c r="Q47" s="129">
        <v>16670</v>
      </c>
      <c r="R47" s="229">
        <v>24753</v>
      </c>
    </row>
    <row r="48" spans="2:18" x14ac:dyDescent="0.2">
      <c r="B48" s="3" t="s">
        <v>694</v>
      </c>
      <c r="C48" s="226">
        <v>2275</v>
      </c>
      <c r="D48" s="5">
        <v>1278</v>
      </c>
      <c r="E48" s="130">
        <v>3553</v>
      </c>
      <c r="F48" s="5">
        <v>6873</v>
      </c>
      <c r="G48" s="5">
        <v>4493</v>
      </c>
      <c r="H48" s="5">
        <v>865</v>
      </c>
      <c r="I48" s="243">
        <v>12231</v>
      </c>
      <c r="J48" s="325">
        <v>0</v>
      </c>
      <c r="K48" s="291">
        <v>15784</v>
      </c>
      <c r="L48" s="5">
        <v>9184</v>
      </c>
      <c r="M48" s="230">
        <v>6600</v>
      </c>
      <c r="N48" s="5">
        <v>7167</v>
      </c>
      <c r="O48" s="5">
        <v>3866</v>
      </c>
      <c r="P48" s="5">
        <v>540</v>
      </c>
      <c r="Q48" s="5">
        <v>1496</v>
      </c>
      <c r="R48" s="230">
        <v>2715</v>
      </c>
    </row>
    <row r="49" spans="2:18" x14ac:dyDescent="0.2">
      <c r="B49" s="3" t="s">
        <v>695</v>
      </c>
      <c r="C49" s="226">
        <v>2014</v>
      </c>
      <c r="D49" s="5">
        <v>1060</v>
      </c>
      <c r="E49" s="130">
        <v>3074</v>
      </c>
      <c r="F49" s="5">
        <v>6695</v>
      </c>
      <c r="G49" s="5">
        <v>4167</v>
      </c>
      <c r="H49" s="5">
        <v>793</v>
      </c>
      <c r="I49" s="243">
        <v>11655</v>
      </c>
      <c r="J49" s="325">
        <v>0</v>
      </c>
      <c r="K49" s="291">
        <v>14729</v>
      </c>
      <c r="L49" s="5">
        <v>8423</v>
      </c>
      <c r="M49" s="230">
        <v>6306</v>
      </c>
      <c r="N49" s="5">
        <v>6545</v>
      </c>
      <c r="O49" s="5">
        <v>4109</v>
      </c>
      <c r="P49" s="5">
        <v>520</v>
      </c>
      <c r="Q49" s="5">
        <v>1279</v>
      </c>
      <c r="R49" s="230">
        <v>2276</v>
      </c>
    </row>
    <row r="50" spans="2:18" x14ac:dyDescent="0.2">
      <c r="B50" s="3" t="s">
        <v>673</v>
      </c>
      <c r="C50" s="226">
        <v>2333</v>
      </c>
      <c r="D50" s="5">
        <v>1182</v>
      </c>
      <c r="E50" s="130">
        <v>3515</v>
      </c>
      <c r="F50" s="5">
        <v>7627</v>
      </c>
      <c r="G50" s="5">
        <v>5289</v>
      </c>
      <c r="H50" s="5">
        <v>2727</v>
      </c>
      <c r="I50" s="243">
        <v>15643</v>
      </c>
      <c r="J50" s="325">
        <v>0</v>
      </c>
      <c r="K50" s="291">
        <v>19158</v>
      </c>
      <c r="L50" s="5">
        <v>10425</v>
      </c>
      <c r="M50" s="230">
        <v>8733</v>
      </c>
      <c r="N50" s="5">
        <v>7663</v>
      </c>
      <c r="O50" s="5">
        <v>5639</v>
      </c>
      <c r="P50" s="5">
        <v>623</v>
      </c>
      <c r="Q50" s="5">
        <v>1611</v>
      </c>
      <c r="R50" s="230">
        <v>3622</v>
      </c>
    </row>
    <row r="51" spans="2:18" x14ac:dyDescent="0.2">
      <c r="B51" s="3" t="s">
        <v>674</v>
      </c>
      <c r="C51" s="226">
        <v>2512</v>
      </c>
      <c r="D51" s="5">
        <v>1224</v>
      </c>
      <c r="E51" s="130">
        <v>3736</v>
      </c>
      <c r="F51" s="5">
        <v>7190</v>
      </c>
      <c r="G51" s="5">
        <v>4697</v>
      </c>
      <c r="H51" s="5">
        <v>2962</v>
      </c>
      <c r="I51" s="243">
        <v>14849</v>
      </c>
      <c r="J51" s="325">
        <v>0</v>
      </c>
      <c r="K51" s="291">
        <v>18585</v>
      </c>
      <c r="L51" s="5">
        <v>10415</v>
      </c>
      <c r="M51" s="230">
        <v>8170</v>
      </c>
      <c r="N51" s="5">
        <v>6595</v>
      </c>
      <c r="O51" s="5">
        <v>5363</v>
      </c>
      <c r="P51" s="5">
        <v>412</v>
      </c>
      <c r="Q51" s="5">
        <v>1455</v>
      </c>
      <c r="R51" s="230">
        <v>4760</v>
      </c>
    </row>
    <row r="52" spans="2:18" x14ac:dyDescent="0.2">
      <c r="B52" s="3" t="s">
        <v>675</v>
      </c>
      <c r="C52" s="226">
        <v>2831</v>
      </c>
      <c r="D52" s="5">
        <v>1405</v>
      </c>
      <c r="E52" s="130">
        <v>4236</v>
      </c>
      <c r="F52" s="5">
        <v>7342</v>
      </c>
      <c r="G52" s="5">
        <v>4315</v>
      </c>
      <c r="H52" s="5">
        <v>2008</v>
      </c>
      <c r="I52" s="243">
        <v>13665</v>
      </c>
      <c r="J52" s="325">
        <v>0</v>
      </c>
      <c r="K52" s="291">
        <v>17901</v>
      </c>
      <c r="L52" s="5">
        <v>10099</v>
      </c>
      <c r="M52" s="230">
        <v>7802</v>
      </c>
      <c r="N52" s="5">
        <v>7157</v>
      </c>
      <c r="O52" s="5">
        <v>4986</v>
      </c>
      <c r="P52" s="5">
        <v>472</v>
      </c>
      <c r="Q52" s="5">
        <v>1488</v>
      </c>
      <c r="R52" s="230">
        <v>3798</v>
      </c>
    </row>
    <row r="53" spans="2:18" x14ac:dyDescent="0.2">
      <c r="B53" s="3" t="s">
        <v>676</v>
      </c>
      <c r="C53" s="226">
        <v>2992</v>
      </c>
      <c r="D53" s="5">
        <v>1272</v>
      </c>
      <c r="E53" s="130">
        <v>4264</v>
      </c>
      <c r="F53" s="5">
        <v>7586</v>
      </c>
      <c r="G53" s="5">
        <v>3981</v>
      </c>
      <c r="H53" s="5">
        <v>1581</v>
      </c>
      <c r="I53" s="243">
        <v>13148</v>
      </c>
      <c r="J53" s="325">
        <v>0</v>
      </c>
      <c r="K53" s="291">
        <v>17412</v>
      </c>
      <c r="L53" s="5">
        <v>9918</v>
      </c>
      <c r="M53" s="230">
        <v>7494</v>
      </c>
      <c r="N53" s="5">
        <v>6772</v>
      </c>
      <c r="O53" s="5">
        <v>4852</v>
      </c>
      <c r="P53" s="5">
        <v>413</v>
      </c>
      <c r="Q53" s="5">
        <v>1555</v>
      </c>
      <c r="R53" s="230">
        <v>3820</v>
      </c>
    </row>
    <row r="54" spans="2:18" x14ac:dyDescent="0.2">
      <c r="B54" s="3" t="s">
        <v>677</v>
      </c>
      <c r="C54" s="226">
        <v>3515</v>
      </c>
      <c r="D54" s="5">
        <v>1416</v>
      </c>
      <c r="E54" s="130">
        <v>4931</v>
      </c>
      <c r="F54" s="5">
        <v>8980</v>
      </c>
      <c r="G54" s="5">
        <v>4802</v>
      </c>
      <c r="H54" s="5">
        <v>1470</v>
      </c>
      <c r="I54" s="243">
        <v>15252</v>
      </c>
      <c r="J54" s="325">
        <v>0</v>
      </c>
      <c r="K54" s="291">
        <v>20183</v>
      </c>
      <c r="L54" s="5">
        <v>11624</v>
      </c>
      <c r="M54" s="230">
        <v>8559</v>
      </c>
      <c r="N54" s="5">
        <v>8243</v>
      </c>
      <c r="O54" s="5">
        <v>5730</v>
      </c>
      <c r="P54" s="5">
        <v>520</v>
      </c>
      <c r="Q54" s="5">
        <v>1855</v>
      </c>
      <c r="R54" s="230">
        <v>3835</v>
      </c>
    </row>
    <row r="55" spans="2:18" x14ac:dyDescent="0.2">
      <c r="B55" s="3" t="s">
        <v>678</v>
      </c>
      <c r="C55" s="226">
        <v>3655</v>
      </c>
      <c r="D55" s="5">
        <v>1535</v>
      </c>
      <c r="E55" s="130">
        <v>5190</v>
      </c>
      <c r="F55" s="5">
        <v>9899</v>
      </c>
      <c r="G55" s="5">
        <v>5868</v>
      </c>
      <c r="H55" s="5">
        <v>1406</v>
      </c>
      <c r="I55" s="243">
        <v>17173</v>
      </c>
      <c r="J55" s="325">
        <v>0</v>
      </c>
      <c r="K55" s="291">
        <v>22363</v>
      </c>
      <c r="L55" s="5">
        <v>12556</v>
      </c>
      <c r="M55" s="230">
        <v>9807</v>
      </c>
      <c r="N55" s="5">
        <v>9066</v>
      </c>
      <c r="O55" s="5">
        <v>6543</v>
      </c>
      <c r="P55" s="5">
        <v>535</v>
      </c>
      <c r="Q55" s="5">
        <v>1840</v>
      </c>
      <c r="R55" s="230">
        <v>4379</v>
      </c>
    </row>
    <row r="56" spans="2:18" x14ac:dyDescent="0.2">
      <c r="B56" s="3" t="s">
        <v>679</v>
      </c>
      <c r="C56" s="226">
        <v>3899</v>
      </c>
      <c r="D56" s="5">
        <v>1308</v>
      </c>
      <c r="E56" s="130">
        <v>5207</v>
      </c>
      <c r="F56" s="5">
        <v>10736</v>
      </c>
      <c r="G56" s="5">
        <v>6640</v>
      </c>
      <c r="H56" s="5">
        <v>1264</v>
      </c>
      <c r="I56" s="243">
        <v>18640</v>
      </c>
      <c r="J56" s="325">
        <v>0</v>
      </c>
      <c r="K56" s="291">
        <v>23847</v>
      </c>
      <c r="L56" s="5">
        <v>13530</v>
      </c>
      <c r="M56" s="230">
        <v>10317</v>
      </c>
      <c r="N56" s="5">
        <v>10426</v>
      </c>
      <c r="O56" s="5">
        <v>6503</v>
      </c>
      <c r="P56" s="5">
        <v>637</v>
      </c>
      <c r="Q56" s="5">
        <v>1771</v>
      </c>
      <c r="R56" s="230">
        <v>4510</v>
      </c>
    </row>
    <row r="57" spans="2:18" x14ac:dyDescent="0.2">
      <c r="B57" s="3" t="s">
        <v>680</v>
      </c>
      <c r="C57" s="226">
        <v>2908</v>
      </c>
      <c r="D57" s="5">
        <v>1244</v>
      </c>
      <c r="E57" s="130">
        <v>4152</v>
      </c>
      <c r="F57" s="5">
        <v>9229</v>
      </c>
      <c r="G57" s="5">
        <v>6293</v>
      </c>
      <c r="H57" s="5">
        <v>1304</v>
      </c>
      <c r="I57" s="243">
        <v>16826</v>
      </c>
      <c r="J57" s="325">
        <v>0</v>
      </c>
      <c r="K57" s="291">
        <v>20978</v>
      </c>
      <c r="L57" s="5">
        <v>11756</v>
      </c>
      <c r="M57" s="230">
        <v>9222</v>
      </c>
      <c r="N57" s="5">
        <v>8317</v>
      </c>
      <c r="O57" s="5">
        <v>6479</v>
      </c>
      <c r="P57" s="5">
        <v>552</v>
      </c>
      <c r="Q57" s="5">
        <v>1605</v>
      </c>
      <c r="R57" s="230">
        <v>4025</v>
      </c>
    </row>
    <row r="58" spans="2:18" x14ac:dyDescent="0.2">
      <c r="B58" s="3" t="s">
        <v>681</v>
      </c>
      <c r="C58" s="226">
        <v>3367</v>
      </c>
      <c r="D58" s="5">
        <v>1178</v>
      </c>
      <c r="E58" s="130">
        <v>4545</v>
      </c>
      <c r="F58" s="5">
        <v>10262</v>
      </c>
      <c r="G58" s="5">
        <v>7194</v>
      </c>
      <c r="H58" s="5">
        <v>1348</v>
      </c>
      <c r="I58" s="243">
        <v>18804</v>
      </c>
      <c r="J58" s="325">
        <v>0</v>
      </c>
      <c r="K58" s="291">
        <v>23349</v>
      </c>
      <c r="L58" s="5">
        <v>13376</v>
      </c>
      <c r="M58" s="230">
        <v>9973</v>
      </c>
      <c r="N58" s="5">
        <v>10467</v>
      </c>
      <c r="O58" s="5">
        <v>6689</v>
      </c>
      <c r="P58" s="5">
        <v>512</v>
      </c>
      <c r="Q58" s="5">
        <v>1698</v>
      </c>
      <c r="R58" s="230">
        <v>3983</v>
      </c>
    </row>
    <row r="59" spans="2:18" x14ac:dyDescent="0.2">
      <c r="B59" s="3" t="s">
        <v>682</v>
      </c>
      <c r="C59" s="226">
        <v>3166</v>
      </c>
      <c r="D59" s="5">
        <v>797</v>
      </c>
      <c r="E59" s="130">
        <v>3963</v>
      </c>
      <c r="F59" s="5">
        <v>10390</v>
      </c>
      <c r="G59" s="5">
        <v>5802</v>
      </c>
      <c r="H59" s="5">
        <v>1317</v>
      </c>
      <c r="I59" s="243">
        <v>17509</v>
      </c>
      <c r="J59" s="325">
        <v>0</v>
      </c>
      <c r="K59" s="291">
        <v>21472</v>
      </c>
      <c r="L59" s="5">
        <v>11779</v>
      </c>
      <c r="M59" s="230">
        <v>9693</v>
      </c>
      <c r="N59" s="5">
        <v>9191</v>
      </c>
      <c r="O59" s="5">
        <v>6427</v>
      </c>
      <c r="P59" s="5">
        <v>603</v>
      </c>
      <c r="Q59" s="5">
        <v>1516</v>
      </c>
      <c r="R59" s="230">
        <v>3735</v>
      </c>
    </row>
    <row r="60" spans="2:18" x14ac:dyDescent="0.2">
      <c r="B60" s="2" t="s">
        <v>683</v>
      </c>
      <c r="C60" s="225">
        <v>35467</v>
      </c>
      <c r="D60" s="129">
        <v>14899</v>
      </c>
      <c r="E60" s="129">
        <v>50366</v>
      </c>
      <c r="F60" s="129">
        <v>102809</v>
      </c>
      <c r="G60" s="129">
        <v>63541</v>
      </c>
      <c r="H60" s="129">
        <v>19045</v>
      </c>
      <c r="I60" s="242">
        <v>185395</v>
      </c>
      <c r="J60" s="6">
        <v>0</v>
      </c>
      <c r="K60" s="290">
        <v>235761</v>
      </c>
      <c r="L60" s="129">
        <v>133085</v>
      </c>
      <c r="M60" s="229">
        <v>102676</v>
      </c>
      <c r="N60" s="129">
        <v>97609</v>
      </c>
      <c r="O60" s="129">
        <v>67186</v>
      </c>
      <c r="P60" s="129">
        <v>6339</v>
      </c>
      <c r="Q60" s="129">
        <v>19169</v>
      </c>
      <c r="R60" s="229">
        <v>45458</v>
      </c>
    </row>
    <row r="61" spans="2:18" x14ac:dyDescent="0.2">
      <c r="B61" s="3" t="s">
        <v>696</v>
      </c>
      <c r="C61" s="226">
        <v>3940</v>
      </c>
      <c r="D61" s="5">
        <v>700</v>
      </c>
      <c r="E61" s="130">
        <v>4640</v>
      </c>
      <c r="F61" s="5">
        <v>16041</v>
      </c>
      <c r="G61" s="5">
        <v>2372</v>
      </c>
      <c r="H61" s="5">
        <v>1362</v>
      </c>
      <c r="I61" s="243">
        <v>19775</v>
      </c>
      <c r="J61" s="325">
        <v>0</v>
      </c>
      <c r="K61" s="291">
        <v>24415</v>
      </c>
      <c r="L61" s="5">
        <v>13106</v>
      </c>
      <c r="M61" s="230">
        <v>11309</v>
      </c>
      <c r="N61" s="5">
        <v>9831</v>
      </c>
      <c r="O61" s="5">
        <v>7638</v>
      </c>
      <c r="P61" s="5">
        <v>591</v>
      </c>
      <c r="Q61" s="5">
        <v>1655</v>
      </c>
      <c r="R61" s="230">
        <v>4700</v>
      </c>
    </row>
    <row r="62" spans="2:18" x14ac:dyDescent="0.2">
      <c r="B62" s="3" t="s">
        <v>697</v>
      </c>
      <c r="C62" s="226">
        <v>5306</v>
      </c>
      <c r="D62" s="5">
        <v>638</v>
      </c>
      <c r="E62" s="130">
        <v>5944</v>
      </c>
      <c r="F62" s="5">
        <v>68810</v>
      </c>
      <c r="G62" s="5">
        <v>0</v>
      </c>
      <c r="H62" s="5">
        <v>2578</v>
      </c>
      <c r="I62" s="243">
        <v>71388</v>
      </c>
      <c r="J62" s="325">
        <v>0</v>
      </c>
      <c r="K62" s="291">
        <v>77332</v>
      </c>
      <c r="L62" s="5">
        <v>36687</v>
      </c>
      <c r="M62" s="230">
        <v>40645</v>
      </c>
      <c r="N62" s="5">
        <v>21558</v>
      </c>
      <c r="O62" s="5">
        <v>8366</v>
      </c>
      <c r="P62" s="5">
        <v>965</v>
      </c>
      <c r="Q62" s="5">
        <v>1669</v>
      </c>
      <c r="R62" s="230">
        <v>44774</v>
      </c>
    </row>
    <row r="63" spans="2:18" x14ac:dyDescent="0.2">
      <c r="B63" s="3" t="s">
        <v>686</v>
      </c>
      <c r="C63" s="226">
        <v>1035</v>
      </c>
      <c r="D63" s="5">
        <v>517</v>
      </c>
      <c r="E63" s="130">
        <v>1552</v>
      </c>
      <c r="F63" s="5">
        <v>32333</v>
      </c>
      <c r="G63" s="5">
        <v>0</v>
      </c>
      <c r="H63" s="5">
        <v>1592</v>
      </c>
      <c r="I63" s="243">
        <v>33925</v>
      </c>
      <c r="J63" s="325">
        <v>0</v>
      </c>
      <c r="K63" s="291">
        <v>35477</v>
      </c>
      <c r="L63" s="5">
        <v>16887</v>
      </c>
      <c r="M63" s="230">
        <v>18590</v>
      </c>
      <c r="N63" s="5">
        <v>16006</v>
      </c>
      <c r="O63" s="5">
        <v>8392</v>
      </c>
      <c r="P63" s="5">
        <v>611</v>
      </c>
      <c r="Q63" s="5">
        <v>1625</v>
      </c>
      <c r="R63" s="230">
        <v>8843</v>
      </c>
    </row>
    <row r="64" spans="2:18" x14ac:dyDescent="0.2">
      <c r="B64" s="3" t="s">
        <v>687</v>
      </c>
      <c r="C64" s="226">
        <v>1962</v>
      </c>
      <c r="D64" s="5">
        <v>428</v>
      </c>
      <c r="E64" s="130">
        <v>2390</v>
      </c>
      <c r="F64" s="5">
        <v>20127</v>
      </c>
      <c r="G64" s="5">
        <v>0</v>
      </c>
      <c r="H64" s="5">
        <v>1099</v>
      </c>
      <c r="I64" s="243">
        <v>21226</v>
      </c>
      <c r="J64" s="325">
        <v>0</v>
      </c>
      <c r="K64" s="291">
        <v>23616</v>
      </c>
      <c r="L64" s="5">
        <v>11455</v>
      </c>
      <c r="M64" s="230">
        <v>12161</v>
      </c>
      <c r="N64" s="5">
        <v>10549</v>
      </c>
      <c r="O64" s="5">
        <v>6300</v>
      </c>
      <c r="P64" s="5">
        <v>367</v>
      </c>
      <c r="Q64" s="5">
        <v>1341</v>
      </c>
      <c r="R64" s="230">
        <v>5059</v>
      </c>
    </row>
    <row r="65" spans="2:18" x14ac:dyDescent="0.2">
      <c r="B65" s="3" t="s">
        <v>688</v>
      </c>
      <c r="C65" s="226">
        <v>1515</v>
      </c>
      <c r="D65" s="5">
        <v>61</v>
      </c>
      <c r="E65" s="130">
        <v>1576</v>
      </c>
      <c r="F65" s="5">
        <v>12776</v>
      </c>
      <c r="G65" s="5">
        <v>0</v>
      </c>
      <c r="H65" s="5">
        <v>695</v>
      </c>
      <c r="I65" s="243">
        <v>13471</v>
      </c>
      <c r="J65" s="325">
        <v>0</v>
      </c>
      <c r="K65" s="291">
        <v>15047</v>
      </c>
      <c r="L65" s="5">
        <v>8254</v>
      </c>
      <c r="M65" s="230">
        <v>6793</v>
      </c>
      <c r="N65" s="5">
        <v>7064</v>
      </c>
      <c r="O65" s="5">
        <v>2926</v>
      </c>
      <c r="P65" s="5">
        <v>254</v>
      </c>
      <c r="Q65" s="5">
        <v>837</v>
      </c>
      <c r="R65" s="230">
        <v>3966</v>
      </c>
    </row>
    <row r="66" spans="2:18" x14ac:dyDescent="0.2">
      <c r="B66" s="3" t="s">
        <v>689</v>
      </c>
      <c r="C66" s="226">
        <v>651</v>
      </c>
      <c r="D66" s="5">
        <v>15</v>
      </c>
      <c r="E66" s="130">
        <v>666</v>
      </c>
      <c r="F66" s="5">
        <v>5872</v>
      </c>
      <c r="G66" s="5">
        <v>0</v>
      </c>
      <c r="H66" s="5">
        <v>386</v>
      </c>
      <c r="I66" s="243">
        <v>6258</v>
      </c>
      <c r="J66" s="325">
        <v>0</v>
      </c>
      <c r="K66" s="291">
        <v>6924</v>
      </c>
      <c r="L66" s="5">
        <v>3310</v>
      </c>
      <c r="M66" s="230">
        <v>3614</v>
      </c>
      <c r="N66" s="5">
        <v>2942</v>
      </c>
      <c r="O66" s="5">
        <v>1188</v>
      </c>
      <c r="P66" s="5">
        <v>162</v>
      </c>
      <c r="Q66" s="5">
        <v>255</v>
      </c>
      <c r="R66" s="230">
        <v>2377</v>
      </c>
    </row>
    <row r="67" spans="2:18" x14ac:dyDescent="0.2">
      <c r="B67" s="2" t="s">
        <v>690</v>
      </c>
      <c r="C67" s="225">
        <v>14409</v>
      </c>
      <c r="D67" s="129">
        <v>2359</v>
      </c>
      <c r="E67" s="129">
        <v>16768</v>
      </c>
      <c r="F67" s="129">
        <v>155959</v>
      </c>
      <c r="G67" s="129">
        <v>2372</v>
      </c>
      <c r="H67" s="129">
        <v>7712</v>
      </c>
      <c r="I67" s="242">
        <v>166043</v>
      </c>
      <c r="J67" s="6">
        <v>0</v>
      </c>
      <c r="K67" s="290">
        <v>182811</v>
      </c>
      <c r="L67" s="129">
        <v>89699</v>
      </c>
      <c r="M67" s="229">
        <v>93112</v>
      </c>
      <c r="N67" s="129">
        <v>67950</v>
      </c>
      <c r="O67" s="129">
        <v>34810</v>
      </c>
      <c r="P67" s="129">
        <v>2950</v>
      </c>
      <c r="Q67" s="129">
        <v>7382</v>
      </c>
      <c r="R67" s="229">
        <v>69719</v>
      </c>
    </row>
    <row r="68" spans="2:18" ht="12.75" thickBot="1" x14ac:dyDescent="0.25">
      <c r="B68" s="267" t="s">
        <v>20</v>
      </c>
      <c r="C68" s="268">
        <v>507939</v>
      </c>
      <c r="D68" s="269">
        <v>179610</v>
      </c>
      <c r="E68" s="269">
        <v>687549</v>
      </c>
      <c r="F68" s="269">
        <v>1505208</v>
      </c>
      <c r="G68" s="269">
        <v>167817</v>
      </c>
      <c r="H68" s="269">
        <v>100834</v>
      </c>
      <c r="I68" s="271">
        <v>1773859</v>
      </c>
      <c r="J68" s="326">
        <v>0</v>
      </c>
      <c r="K68" s="292">
        <v>2461408</v>
      </c>
      <c r="L68" s="269">
        <v>1458766</v>
      </c>
      <c r="M68" s="270">
        <v>1002642</v>
      </c>
      <c r="N68" s="269">
        <v>1436270</v>
      </c>
      <c r="O68" s="269">
        <v>446232</v>
      </c>
      <c r="P68" s="269">
        <v>66536</v>
      </c>
      <c r="Q68" s="269">
        <v>370356</v>
      </c>
      <c r="R68" s="270">
        <v>142014</v>
      </c>
    </row>
    <row r="69" spans="2:18" x14ac:dyDescent="0.2">
      <c r="B69" s="21" t="s">
        <v>78</v>
      </c>
    </row>
    <row r="70" spans="2:18" ht="12" customHeight="1" x14ac:dyDescent="0.2">
      <c r="B70" s="21" t="s">
        <v>537</v>
      </c>
      <c r="C70" s="61"/>
      <c r="D70" s="61"/>
      <c r="E70" s="61"/>
      <c r="F70" s="61"/>
      <c r="G70" s="61"/>
      <c r="H70" s="61"/>
      <c r="I70" s="61"/>
      <c r="J70" s="61"/>
      <c r="K70" s="61"/>
      <c r="L70" s="61"/>
      <c r="M70" s="61"/>
      <c r="N70" s="61"/>
    </row>
    <row r="71" spans="2:18" ht="144.75" customHeight="1" x14ac:dyDescent="0.2">
      <c r="B71" s="352" t="s">
        <v>645</v>
      </c>
      <c r="C71" s="352"/>
      <c r="D71" s="352"/>
      <c r="E71" s="352"/>
      <c r="F71" s="352"/>
      <c r="G71" s="352"/>
      <c r="H71" s="352"/>
      <c r="I71" s="352"/>
      <c r="J71" s="352"/>
      <c r="K71" s="352"/>
      <c r="L71" s="352"/>
      <c r="M71" s="352"/>
      <c r="N71" s="352"/>
    </row>
    <row r="72" spans="2:18" x14ac:dyDescent="0.2">
      <c r="B72" s="61"/>
      <c r="C72" s="61"/>
      <c r="D72" s="61"/>
      <c r="E72" s="61"/>
      <c r="F72" s="61"/>
      <c r="G72" s="61"/>
      <c r="H72" s="61"/>
      <c r="I72" s="61"/>
      <c r="J72" s="61"/>
      <c r="K72" s="61"/>
      <c r="L72" s="61"/>
      <c r="M72" s="61"/>
      <c r="N72" s="61"/>
    </row>
    <row r="73" spans="2:18" x14ac:dyDescent="0.2">
      <c r="B73" s="61"/>
      <c r="C73" s="61"/>
      <c r="D73" s="61"/>
      <c r="E73" s="61"/>
      <c r="F73" s="61"/>
      <c r="G73" s="61"/>
      <c r="H73" s="61"/>
      <c r="I73" s="61"/>
      <c r="J73" s="61"/>
      <c r="K73" s="61"/>
      <c r="L73" s="61"/>
      <c r="M73" s="61"/>
      <c r="N73" s="61"/>
    </row>
    <row r="74" spans="2:18" x14ac:dyDescent="0.2">
      <c r="B74" s="61"/>
      <c r="C74" s="61"/>
      <c r="D74" s="61"/>
      <c r="E74" s="61"/>
      <c r="F74" s="61"/>
      <c r="G74" s="61"/>
      <c r="H74" s="61"/>
      <c r="I74" s="61"/>
      <c r="J74" s="61"/>
      <c r="K74" s="61"/>
      <c r="L74" s="61"/>
      <c r="M74" s="61"/>
      <c r="N74" s="61"/>
    </row>
    <row r="75" spans="2:18" x14ac:dyDescent="0.2">
      <c r="B75" s="61"/>
      <c r="C75" s="61"/>
      <c r="D75" s="61"/>
      <c r="E75" s="61"/>
      <c r="F75" s="61"/>
      <c r="G75" s="61"/>
      <c r="H75" s="61"/>
      <c r="I75" s="61"/>
      <c r="J75" s="61"/>
      <c r="K75" s="61"/>
      <c r="L75" s="61"/>
      <c r="M75" s="61"/>
      <c r="N75" s="61"/>
    </row>
    <row r="76" spans="2:18" x14ac:dyDescent="0.2">
      <c r="B76" s="61"/>
      <c r="C76" s="61"/>
      <c r="D76" s="61"/>
      <c r="E76" s="61"/>
      <c r="F76" s="61"/>
      <c r="G76" s="61"/>
      <c r="H76" s="61"/>
      <c r="I76" s="61"/>
      <c r="J76" s="61"/>
      <c r="K76" s="61"/>
      <c r="L76" s="61"/>
      <c r="M76" s="61"/>
      <c r="N76" s="61"/>
    </row>
    <row r="77" spans="2:18" x14ac:dyDescent="0.2">
      <c r="B77" s="61"/>
      <c r="C77" s="61"/>
      <c r="D77" s="61"/>
      <c r="E77" s="61"/>
      <c r="F77" s="61"/>
      <c r="G77" s="61"/>
      <c r="H77" s="61"/>
      <c r="I77" s="61"/>
      <c r="J77" s="61"/>
      <c r="K77" s="61"/>
    </row>
  </sheetData>
  <mergeCells count="8">
    <mergeCell ref="B5:Q5"/>
    <mergeCell ref="B6:Q6"/>
    <mergeCell ref="B71:N71"/>
    <mergeCell ref="B9:B10"/>
    <mergeCell ref="L9:M9"/>
    <mergeCell ref="N9:R9"/>
    <mergeCell ref="B8:R8"/>
    <mergeCell ref="C9:K9"/>
  </mergeCells>
  <hyperlinks>
    <hyperlink ref="S5" location="'Índice PGU y SPS'!A1" display="Volver Sistema de Pensiones Solidarias" xr:uid="{00000000-0004-0000-0400-000000000000}"/>
  </hyperlinks>
  <pageMargins left="0.7" right="0.7" top="0.75" bottom="0.75" header="0.3" footer="0.3"/>
  <pageSetup orientation="portrait"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3"/>
  <dimension ref="A2:T32"/>
  <sheetViews>
    <sheetView showGridLines="0" zoomScale="90" zoomScaleNormal="90" workbookViewId="0">
      <selection activeCell="B33" sqref="B33"/>
    </sheetView>
  </sheetViews>
  <sheetFormatPr baseColWidth="10" defaultColWidth="11.42578125" defaultRowHeight="12" x14ac:dyDescent="0.2"/>
  <cols>
    <col min="1" max="1" width="6" style="21" customWidth="1"/>
    <col min="2" max="2" width="21.5703125" style="21" customWidth="1"/>
    <col min="3" max="9" width="11.42578125" style="21"/>
    <col min="10" max="10" width="0" style="21" hidden="1" customWidth="1"/>
    <col min="11" max="16384" width="11.42578125" style="21"/>
  </cols>
  <sheetData>
    <row r="2" spans="1:20" s="97" customFormat="1" ht="12.75" x14ac:dyDescent="0.2">
      <c r="A2" s="40" t="s">
        <v>58</v>
      </c>
    </row>
    <row r="3" spans="1:20" s="97" customFormat="1" ht="12.75" x14ac:dyDescent="0.2">
      <c r="A3" s="40" t="s">
        <v>59</v>
      </c>
    </row>
    <row r="4" spans="1:20" s="97" customFormat="1" ht="12.75" x14ac:dyDescent="0.2"/>
    <row r="5" spans="1:20" s="97" customFormat="1" ht="15" x14ac:dyDescent="0.25">
      <c r="B5" s="344" t="s">
        <v>561</v>
      </c>
      <c r="C5" s="344"/>
      <c r="D5" s="344"/>
      <c r="E5" s="344"/>
      <c r="F5" s="344"/>
      <c r="G5" s="344"/>
      <c r="H5" s="344"/>
      <c r="I5" s="344"/>
      <c r="J5" s="344"/>
      <c r="K5" s="344"/>
      <c r="L5" s="344"/>
      <c r="M5" s="344"/>
      <c r="N5" s="344"/>
      <c r="O5" s="344"/>
      <c r="P5" s="344"/>
      <c r="Q5" s="344"/>
      <c r="R5" s="344"/>
      <c r="S5" s="331"/>
      <c r="T5" s="88" t="s">
        <v>509</v>
      </c>
    </row>
    <row r="6" spans="1:20" s="97" customFormat="1" ht="12.75" x14ac:dyDescent="0.2">
      <c r="B6" s="344" t="s">
        <v>640</v>
      </c>
      <c r="C6" s="344"/>
      <c r="D6" s="344"/>
      <c r="E6" s="344"/>
      <c r="F6" s="344"/>
      <c r="G6" s="344"/>
      <c r="H6" s="344"/>
      <c r="I6" s="344"/>
      <c r="J6" s="344"/>
      <c r="K6" s="344"/>
      <c r="L6" s="344"/>
      <c r="M6" s="344"/>
      <c r="N6" s="344"/>
      <c r="O6" s="344"/>
      <c r="P6" s="344"/>
      <c r="Q6" s="344"/>
      <c r="R6" s="344"/>
    </row>
    <row r="7" spans="1:20" ht="12.75" thickBot="1" x14ac:dyDescent="0.25"/>
    <row r="8" spans="1:20" ht="29.25" customHeight="1" thickBot="1" x14ac:dyDescent="0.25">
      <c r="B8" s="362" t="s">
        <v>547</v>
      </c>
      <c r="C8" s="357"/>
      <c r="D8" s="357"/>
      <c r="E8" s="357"/>
      <c r="F8" s="357"/>
      <c r="G8" s="357"/>
      <c r="H8" s="357"/>
      <c r="I8" s="357"/>
      <c r="J8" s="357"/>
      <c r="K8" s="363"/>
      <c r="L8" s="363"/>
      <c r="M8" s="357"/>
      <c r="N8" s="357"/>
      <c r="O8" s="357"/>
      <c r="P8" s="357"/>
      <c r="Q8" s="357"/>
      <c r="R8" s="357"/>
      <c r="S8" s="356"/>
    </row>
    <row r="9" spans="1:20" ht="15.75" customHeight="1" thickBot="1" x14ac:dyDescent="0.25">
      <c r="B9" s="353" t="s">
        <v>23</v>
      </c>
      <c r="C9" s="355" t="s">
        <v>544</v>
      </c>
      <c r="D9" s="357"/>
      <c r="E9" s="357"/>
      <c r="F9" s="357"/>
      <c r="G9" s="357"/>
      <c r="H9" s="357"/>
      <c r="I9" s="357"/>
      <c r="J9" s="357"/>
      <c r="K9" s="357"/>
      <c r="L9" s="356"/>
      <c r="M9" s="360" t="s">
        <v>538</v>
      </c>
      <c r="N9" s="361"/>
      <c r="O9" s="355" t="s">
        <v>539</v>
      </c>
      <c r="P9" s="357"/>
      <c r="Q9" s="357"/>
      <c r="R9" s="357"/>
      <c r="S9" s="356"/>
    </row>
    <row r="10" spans="1:20" ht="48.75" thickBot="1" x14ac:dyDescent="0.25">
      <c r="B10" s="354"/>
      <c r="C10" s="300" t="s">
        <v>545</v>
      </c>
      <c r="D10" s="169" t="s">
        <v>1</v>
      </c>
      <c r="E10" s="170" t="s">
        <v>541</v>
      </c>
      <c r="F10" s="170" t="s">
        <v>546</v>
      </c>
      <c r="G10" s="169" t="s">
        <v>2</v>
      </c>
      <c r="H10" s="169" t="s">
        <v>3</v>
      </c>
      <c r="I10" s="170" t="s">
        <v>543</v>
      </c>
      <c r="J10" s="171" t="s">
        <v>523</v>
      </c>
      <c r="K10" s="227" t="s">
        <v>641</v>
      </c>
      <c r="L10" s="9" t="s">
        <v>525</v>
      </c>
      <c r="M10" s="227" t="s">
        <v>22</v>
      </c>
      <c r="N10" s="9" t="s">
        <v>5</v>
      </c>
      <c r="O10" s="285" t="s">
        <v>6</v>
      </c>
      <c r="P10" s="280" t="s">
        <v>7</v>
      </c>
      <c r="Q10" s="280" t="s">
        <v>8</v>
      </c>
      <c r="R10" s="280" t="s">
        <v>9</v>
      </c>
      <c r="S10" s="9" t="s">
        <v>524</v>
      </c>
    </row>
    <row r="11" spans="1:20" x14ac:dyDescent="0.2">
      <c r="B11" s="11" t="s">
        <v>24</v>
      </c>
      <c r="C11" s="183">
        <v>6795</v>
      </c>
      <c r="D11" s="184">
        <v>3164</v>
      </c>
      <c r="E11" s="184">
        <v>9959</v>
      </c>
      <c r="F11" s="184">
        <v>22468</v>
      </c>
      <c r="G11" s="184">
        <v>4273</v>
      </c>
      <c r="H11" s="184">
        <v>1377</v>
      </c>
      <c r="I11" s="184">
        <v>28118</v>
      </c>
      <c r="J11" s="185">
        <v>0</v>
      </c>
      <c r="K11" s="301">
        <v>38077</v>
      </c>
      <c r="L11" s="302">
        <v>1.2227685365345332E-2</v>
      </c>
      <c r="M11" s="301">
        <v>22083</v>
      </c>
      <c r="N11" s="303">
        <v>15994</v>
      </c>
      <c r="O11" s="231">
        <v>21026</v>
      </c>
      <c r="P11" s="184">
        <v>7751</v>
      </c>
      <c r="Q11" s="184">
        <v>1237</v>
      </c>
      <c r="R11" s="184">
        <v>5324</v>
      </c>
      <c r="S11" s="186">
        <v>2739</v>
      </c>
    </row>
    <row r="12" spans="1:20" x14ac:dyDescent="0.2">
      <c r="B12" s="11" t="s">
        <v>25</v>
      </c>
      <c r="C12" s="187">
        <v>7145</v>
      </c>
      <c r="D12" s="188">
        <v>5282</v>
      </c>
      <c r="E12" s="188">
        <v>12427</v>
      </c>
      <c r="F12" s="188">
        <v>24708</v>
      </c>
      <c r="G12" s="188">
        <v>5520</v>
      </c>
      <c r="H12" s="188">
        <v>2266</v>
      </c>
      <c r="I12" s="188">
        <v>32494</v>
      </c>
      <c r="J12" s="189">
        <v>0</v>
      </c>
      <c r="K12" s="187">
        <v>44921</v>
      </c>
      <c r="L12" s="293">
        <v>1.4425502384554395E-2</v>
      </c>
      <c r="M12" s="187">
        <v>26591</v>
      </c>
      <c r="N12" s="190">
        <v>18330</v>
      </c>
      <c r="O12" s="232">
        <v>24744</v>
      </c>
      <c r="P12" s="188">
        <v>7213</v>
      </c>
      <c r="Q12" s="188">
        <v>1569</v>
      </c>
      <c r="R12" s="188">
        <v>7671</v>
      </c>
      <c r="S12" s="190">
        <v>3724</v>
      </c>
    </row>
    <row r="13" spans="1:20" x14ac:dyDescent="0.2">
      <c r="B13" s="11" t="s">
        <v>26</v>
      </c>
      <c r="C13" s="187">
        <v>13907</v>
      </c>
      <c r="D13" s="188">
        <v>6748</v>
      </c>
      <c r="E13" s="188">
        <v>20655</v>
      </c>
      <c r="F13" s="188">
        <v>44036</v>
      </c>
      <c r="G13" s="188">
        <v>8867</v>
      </c>
      <c r="H13" s="188">
        <v>2556</v>
      </c>
      <c r="I13" s="188">
        <v>55459</v>
      </c>
      <c r="J13" s="189">
        <v>0</v>
      </c>
      <c r="K13" s="187">
        <v>76114</v>
      </c>
      <c r="L13" s="293">
        <v>2.4442525511408322E-2</v>
      </c>
      <c r="M13" s="187">
        <v>47780</v>
      </c>
      <c r="N13" s="190">
        <v>28334</v>
      </c>
      <c r="O13" s="232">
        <v>49012</v>
      </c>
      <c r="P13" s="188">
        <v>11359</v>
      </c>
      <c r="Q13" s="188">
        <v>1155</v>
      </c>
      <c r="R13" s="188">
        <v>7273</v>
      </c>
      <c r="S13" s="190">
        <v>7315</v>
      </c>
    </row>
    <row r="14" spans="1:20" x14ac:dyDescent="0.2">
      <c r="B14" s="11" t="s">
        <v>27</v>
      </c>
      <c r="C14" s="187">
        <v>8389</v>
      </c>
      <c r="D14" s="188">
        <v>4293</v>
      </c>
      <c r="E14" s="188">
        <v>12682</v>
      </c>
      <c r="F14" s="188">
        <v>27794</v>
      </c>
      <c r="G14" s="188">
        <v>4548</v>
      </c>
      <c r="H14" s="188">
        <v>1642</v>
      </c>
      <c r="I14" s="188">
        <v>33984</v>
      </c>
      <c r="J14" s="189">
        <v>0</v>
      </c>
      <c r="K14" s="187">
        <v>46666</v>
      </c>
      <c r="L14" s="293">
        <v>1.4985875075746653E-2</v>
      </c>
      <c r="M14" s="187">
        <v>27517</v>
      </c>
      <c r="N14" s="190">
        <v>19149</v>
      </c>
      <c r="O14" s="232">
        <v>26397</v>
      </c>
      <c r="P14" s="188">
        <v>8823</v>
      </c>
      <c r="Q14" s="188">
        <v>1268</v>
      </c>
      <c r="R14" s="188">
        <v>7079</v>
      </c>
      <c r="S14" s="190">
        <v>3099</v>
      </c>
    </row>
    <row r="15" spans="1:20" x14ac:dyDescent="0.2">
      <c r="B15" s="11" t="s">
        <v>28</v>
      </c>
      <c r="C15" s="187">
        <v>25719</v>
      </c>
      <c r="D15" s="188">
        <v>12492</v>
      </c>
      <c r="E15" s="188">
        <v>38211</v>
      </c>
      <c r="F15" s="188">
        <v>81896</v>
      </c>
      <c r="G15" s="188">
        <v>13873</v>
      </c>
      <c r="H15" s="188">
        <v>4935</v>
      </c>
      <c r="I15" s="188">
        <v>100704</v>
      </c>
      <c r="J15" s="189">
        <v>0</v>
      </c>
      <c r="K15" s="187">
        <v>138915</v>
      </c>
      <c r="L15" s="293">
        <v>4.4609840915170493E-2</v>
      </c>
      <c r="M15" s="187">
        <v>83014</v>
      </c>
      <c r="N15" s="190">
        <v>55901</v>
      </c>
      <c r="O15" s="232">
        <v>94896</v>
      </c>
      <c r="P15" s="188">
        <v>20506</v>
      </c>
      <c r="Q15" s="188">
        <v>2304</v>
      </c>
      <c r="R15" s="188">
        <v>11638</v>
      </c>
      <c r="S15" s="190">
        <v>9571</v>
      </c>
    </row>
    <row r="16" spans="1:20" x14ac:dyDescent="0.2">
      <c r="B16" s="11" t="s">
        <v>29</v>
      </c>
      <c r="C16" s="187">
        <v>62811</v>
      </c>
      <c r="D16" s="188">
        <v>31560</v>
      </c>
      <c r="E16" s="188">
        <v>94371</v>
      </c>
      <c r="F16" s="188">
        <v>217788</v>
      </c>
      <c r="G16" s="188">
        <v>42685</v>
      </c>
      <c r="H16" s="188">
        <v>14639</v>
      </c>
      <c r="I16" s="188">
        <v>275112</v>
      </c>
      <c r="J16" s="189">
        <v>0</v>
      </c>
      <c r="K16" s="187">
        <v>369483</v>
      </c>
      <c r="L16" s="293">
        <v>0.1186522539024579</v>
      </c>
      <c r="M16" s="187">
        <v>226234</v>
      </c>
      <c r="N16" s="190">
        <v>143249</v>
      </c>
      <c r="O16" s="232">
        <v>215699</v>
      </c>
      <c r="P16" s="188">
        <v>70231</v>
      </c>
      <c r="Q16" s="188">
        <v>8370</v>
      </c>
      <c r="R16" s="188">
        <v>44139</v>
      </c>
      <c r="S16" s="190">
        <v>31044</v>
      </c>
    </row>
    <row r="17" spans="2:19" x14ac:dyDescent="0.2">
      <c r="B17" s="11" t="s">
        <v>30</v>
      </c>
      <c r="C17" s="187">
        <v>29885</v>
      </c>
      <c r="D17" s="188">
        <v>18476</v>
      </c>
      <c r="E17" s="188">
        <v>48361</v>
      </c>
      <c r="F17" s="188">
        <v>103946</v>
      </c>
      <c r="G17" s="188">
        <v>16973</v>
      </c>
      <c r="H17" s="188">
        <v>8441</v>
      </c>
      <c r="I17" s="188">
        <v>129360</v>
      </c>
      <c r="J17" s="189">
        <v>0</v>
      </c>
      <c r="K17" s="187">
        <v>177721</v>
      </c>
      <c r="L17" s="293">
        <v>5.7071630401936545E-2</v>
      </c>
      <c r="M17" s="187">
        <v>104034</v>
      </c>
      <c r="N17" s="190">
        <v>73687</v>
      </c>
      <c r="O17" s="232">
        <v>97520</v>
      </c>
      <c r="P17" s="188">
        <v>28970</v>
      </c>
      <c r="Q17" s="188">
        <v>4354</v>
      </c>
      <c r="R17" s="188">
        <v>35160</v>
      </c>
      <c r="S17" s="190">
        <v>11717</v>
      </c>
    </row>
    <row r="18" spans="2:19" x14ac:dyDescent="0.2">
      <c r="B18" s="11" t="s">
        <v>31</v>
      </c>
      <c r="C18" s="187">
        <v>40610</v>
      </c>
      <c r="D18" s="188">
        <v>23840</v>
      </c>
      <c r="E18" s="188">
        <v>64450</v>
      </c>
      <c r="F18" s="188">
        <v>120432</v>
      </c>
      <c r="G18" s="188">
        <v>17754</v>
      </c>
      <c r="H18" s="188">
        <v>9086</v>
      </c>
      <c r="I18" s="188">
        <v>147272</v>
      </c>
      <c r="J18" s="189">
        <v>0</v>
      </c>
      <c r="K18" s="187">
        <v>211722</v>
      </c>
      <c r="L18" s="293">
        <v>6.7990387922411022E-2</v>
      </c>
      <c r="M18" s="187">
        <v>121435</v>
      </c>
      <c r="N18" s="190">
        <v>90287</v>
      </c>
      <c r="O18" s="232">
        <v>120100</v>
      </c>
      <c r="P18" s="188">
        <v>40637</v>
      </c>
      <c r="Q18" s="188">
        <v>5600</v>
      </c>
      <c r="R18" s="188">
        <v>34546</v>
      </c>
      <c r="S18" s="190">
        <v>10839</v>
      </c>
    </row>
    <row r="19" spans="2:19" x14ac:dyDescent="0.2">
      <c r="B19" s="11" t="s">
        <v>516</v>
      </c>
      <c r="C19" s="187">
        <v>21764</v>
      </c>
      <c r="D19" s="188">
        <v>25044</v>
      </c>
      <c r="E19" s="188">
        <v>46808</v>
      </c>
      <c r="F19" s="188">
        <v>55151</v>
      </c>
      <c r="G19" s="188">
        <v>8479</v>
      </c>
      <c r="H19" s="188">
        <v>6744</v>
      </c>
      <c r="I19" s="188">
        <v>70374</v>
      </c>
      <c r="J19" s="189">
        <v>0</v>
      </c>
      <c r="K19" s="187">
        <v>117182</v>
      </c>
      <c r="L19" s="293">
        <v>3.7630712148590928E-2</v>
      </c>
      <c r="M19" s="187">
        <v>70639</v>
      </c>
      <c r="N19" s="190">
        <v>46543</v>
      </c>
      <c r="O19" s="232">
        <v>65662</v>
      </c>
      <c r="P19" s="188">
        <v>19111</v>
      </c>
      <c r="Q19" s="188">
        <v>2196</v>
      </c>
      <c r="R19" s="188">
        <v>25571</v>
      </c>
      <c r="S19" s="190">
        <v>4642</v>
      </c>
    </row>
    <row r="20" spans="2:19" x14ac:dyDescent="0.2">
      <c r="B20" s="11" t="s">
        <v>32</v>
      </c>
      <c r="C20" s="187">
        <v>55772</v>
      </c>
      <c r="D20" s="188">
        <v>40832</v>
      </c>
      <c r="E20" s="188">
        <v>96604</v>
      </c>
      <c r="F20" s="188">
        <v>164900</v>
      </c>
      <c r="G20" s="188">
        <v>29874</v>
      </c>
      <c r="H20" s="188">
        <v>12194</v>
      </c>
      <c r="I20" s="188">
        <v>206968</v>
      </c>
      <c r="J20" s="189">
        <v>0</v>
      </c>
      <c r="K20" s="187">
        <v>303572</v>
      </c>
      <c r="L20" s="293">
        <v>9.7486222699493474E-2</v>
      </c>
      <c r="M20" s="187">
        <v>185858</v>
      </c>
      <c r="N20" s="190">
        <v>117714</v>
      </c>
      <c r="O20" s="232">
        <v>167161</v>
      </c>
      <c r="P20" s="188">
        <v>48276</v>
      </c>
      <c r="Q20" s="188">
        <v>9151</v>
      </c>
      <c r="R20" s="188">
        <v>59058</v>
      </c>
      <c r="S20" s="190">
        <v>19926</v>
      </c>
    </row>
    <row r="21" spans="2:19" x14ac:dyDescent="0.2">
      <c r="B21" s="11" t="s">
        <v>33</v>
      </c>
      <c r="C21" s="187">
        <v>44317</v>
      </c>
      <c r="D21" s="188">
        <v>28232</v>
      </c>
      <c r="E21" s="188">
        <v>72549</v>
      </c>
      <c r="F21" s="188">
        <v>93751</v>
      </c>
      <c r="G21" s="188">
        <v>14675</v>
      </c>
      <c r="H21" s="188">
        <v>7397</v>
      </c>
      <c r="I21" s="188">
        <v>115823</v>
      </c>
      <c r="J21" s="189">
        <v>0</v>
      </c>
      <c r="K21" s="187">
        <v>188372</v>
      </c>
      <c r="L21" s="293">
        <v>6.0491991166342698E-2</v>
      </c>
      <c r="M21" s="187">
        <v>111747</v>
      </c>
      <c r="N21" s="190">
        <v>76625</v>
      </c>
      <c r="O21" s="232">
        <v>117861</v>
      </c>
      <c r="P21" s="188">
        <v>31693</v>
      </c>
      <c r="Q21" s="188">
        <v>4783</v>
      </c>
      <c r="R21" s="188">
        <v>24371</v>
      </c>
      <c r="S21" s="190">
        <v>9664</v>
      </c>
    </row>
    <row r="22" spans="2:19" x14ac:dyDescent="0.2">
      <c r="B22" s="11" t="s">
        <v>34</v>
      </c>
      <c r="C22" s="187">
        <v>15848</v>
      </c>
      <c r="D22" s="188">
        <v>10642</v>
      </c>
      <c r="E22" s="188">
        <v>26490</v>
      </c>
      <c r="F22" s="188">
        <v>42041</v>
      </c>
      <c r="G22" s="188">
        <v>7113</v>
      </c>
      <c r="H22" s="188">
        <v>4526</v>
      </c>
      <c r="I22" s="188">
        <v>53680</v>
      </c>
      <c r="J22" s="189">
        <v>0</v>
      </c>
      <c r="K22" s="187">
        <v>80170</v>
      </c>
      <c r="L22" s="293">
        <v>2.5745030746638004E-2</v>
      </c>
      <c r="M22" s="187">
        <v>47573</v>
      </c>
      <c r="N22" s="190">
        <v>32597</v>
      </c>
      <c r="O22" s="232">
        <v>53897</v>
      </c>
      <c r="P22" s="188">
        <v>15209</v>
      </c>
      <c r="Q22" s="188">
        <v>2271</v>
      </c>
      <c r="R22" s="188">
        <v>4791</v>
      </c>
      <c r="S22" s="190">
        <v>4002</v>
      </c>
    </row>
    <row r="23" spans="2:19" x14ac:dyDescent="0.2">
      <c r="B23" s="11" t="s">
        <v>35</v>
      </c>
      <c r="C23" s="187">
        <v>31358</v>
      </c>
      <c r="D23" s="188">
        <v>20001</v>
      </c>
      <c r="E23" s="188">
        <v>51359</v>
      </c>
      <c r="F23" s="188">
        <v>75546</v>
      </c>
      <c r="G23" s="188">
        <v>11768</v>
      </c>
      <c r="H23" s="188">
        <v>7511</v>
      </c>
      <c r="I23" s="188">
        <v>94825</v>
      </c>
      <c r="J23" s="189">
        <v>0</v>
      </c>
      <c r="K23" s="187">
        <v>146184</v>
      </c>
      <c r="L23" s="293">
        <v>4.6944138389254458E-2</v>
      </c>
      <c r="M23" s="187">
        <v>84662</v>
      </c>
      <c r="N23" s="190">
        <v>61522</v>
      </c>
      <c r="O23" s="232">
        <v>91129</v>
      </c>
      <c r="P23" s="188">
        <v>30774</v>
      </c>
      <c r="Q23" s="188">
        <v>4387</v>
      </c>
      <c r="R23" s="188">
        <v>12369</v>
      </c>
      <c r="S23" s="190">
        <v>7525</v>
      </c>
    </row>
    <row r="24" spans="2:19" x14ac:dyDescent="0.2">
      <c r="B24" s="11" t="s">
        <v>36</v>
      </c>
      <c r="C24" s="187">
        <v>2993</v>
      </c>
      <c r="D24" s="188">
        <v>1653</v>
      </c>
      <c r="E24" s="188">
        <v>4646</v>
      </c>
      <c r="F24" s="188">
        <v>8786</v>
      </c>
      <c r="G24" s="188">
        <v>1326</v>
      </c>
      <c r="H24" s="188">
        <v>758</v>
      </c>
      <c r="I24" s="188">
        <v>10870</v>
      </c>
      <c r="J24" s="189">
        <v>0</v>
      </c>
      <c r="K24" s="187">
        <v>15516</v>
      </c>
      <c r="L24" s="293">
        <v>4.9826605596212459E-3</v>
      </c>
      <c r="M24" s="187">
        <v>8436</v>
      </c>
      <c r="N24" s="190">
        <v>7080</v>
      </c>
      <c r="O24" s="232">
        <v>10770</v>
      </c>
      <c r="P24" s="188">
        <v>2918</v>
      </c>
      <c r="Q24" s="188">
        <v>250</v>
      </c>
      <c r="R24" s="188">
        <v>838</v>
      </c>
      <c r="S24" s="190">
        <v>740</v>
      </c>
    </row>
    <row r="25" spans="2:19" x14ac:dyDescent="0.2">
      <c r="B25" s="11" t="s">
        <v>37</v>
      </c>
      <c r="C25" s="187">
        <v>4959</v>
      </c>
      <c r="D25" s="188">
        <v>2059</v>
      </c>
      <c r="E25" s="188">
        <v>7018</v>
      </c>
      <c r="F25" s="188">
        <v>17008</v>
      </c>
      <c r="G25" s="188">
        <v>3799</v>
      </c>
      <c r="H25" s="188">
        <v>1040</v>
      </c>
      <c r="I25" s="188">
        <v>21847</v>
      </c>
      <c r="J25" s="189">
        <v>0</v>
      </c>
      <c r="K25" s="187">
        <v>28865</v>
      </c>
      <c r="L25" s="293">
        <v>9.2694313646215047E-3</v>
      </c>
      <c r="M25" s="187">
        <v>17465</v>
      </c>
      <c r="N25" s="190">
        <v>11400</v>
      </c>
      <c r="O25" s="232">
        <v>20569</v>
      </c>
      <c r="P25" s="188">
        <v>4944</v>
      </c>
      <c r="Q25" s="188">
        <v>1118</v>
      </c>
      <c r="R25" s="188">
        <v>70</v>
      </c>
      <c r="S25" s="190">
        <v>2164</v>
      </c>
    </row>
    <row r="26" spans="2:19" x14ac:dyDescent="0.2">
      <c r="B26" s="11" t="s">
        <v>38</v>
      </c>
      <c r="C26" s="187">
        <v>209608</v>
      </c>
      <c r="D26" s="188">
        <v>87393</v>
      </c>
      <c r="E26" s="188">
        <v>297001</v>
      </c>
      <c r="F26" s="188">
        <v>670086</v>
      </c>
      <c r="G26" s="188">
        <v>127416</v>
      </c>
      <c r="H26" s="188">
        <v>36016</v>
      </c>
      <c r="I26" s="188">
        <v>833518</v>
      </c>
      <c r="J26" s="189">
        <v>0</v>
      </c>
      <c r="K26" s="187">
        <v>1130519</v>
      </c>
      <c r="L26" s="293">
        <v>0.36304411144640703</v>
      </c>
      <c r="M26" s="187">
        <v>701879</v>
      </c>
      <c r="N26" s="190">
        <v>428640</v>
      </c>
      <c r="O26" s="232">
        <v>605749</v>
      </c>
      <c r="P26" s="188">
        <v>180453</v>
      </c>
      <c r="Q26" s="188">
        <v>33347</v>
      </c>
      <c r="R26" s="188">
        <v>186046</v>
      </c>
      <c r="S26" s="190">
        <v>124924</v>
      </c>
    </row>
    <row r="27" spans="2:19" ht="12.75" thickBot="1" x14ac:dyDescent="0.25">
      <c r="B27" s="12" t="s">
        <v>39</v>
      </c>
      <c r="C27" s="191">
        <v>581880</v>
      </c>
      <c r="D27" s="192">
        <v>321711</v>
      </c>
      <c r="E27" s="192">
        <v>903591</v>
      </c>
      <c r="F27" s="192">
        <v>1770337</v>
      </c>
      <c r="G27" s="192">
        <v>318943</v>
      </c>
      <c r="H27" s="192">
        <v>121128</v>
      </c>
      <c r="I27" s="192">
        <v>2210408</v>
      </c>
      <c r="J27" s="193">
        <v>0</v>
      </c>
      <c r="K27" s="191">
        <v>3113999</v>
      </c>
      <c r="L27" s="294">
        <v>1</v>
      </c>
      <c r="M27" s="191">
        <v>1886947</v>
      </c>
      <c r="N27" s="194">
        <v>1227052</v>
      </c>
      <c r="O27" s="233">
        <v>1782192</v>
      </c>
      <c r="P27" s="192">
        <v>528868</v>
      </c>
      <c r="Q27" s="192">
        <v>83360</v>
      </c>
      <c r="R27" s="192">
        <v>465944</v>
      </c>
      <c r="S27" s="194">
        <f t="shared" ref="S27" si="0">SUM(S11:S26)</f>
        <v>253635</v>
      </c>
    </row>
    <row r="28" spans="2:19" ht="15.75" customHeight="1" thickBot="1" x14ac:dyDescent="0.25">
      <c r="B28" s="13" t="s">
        <v>40</v>
      </c>
      <c r="C28" s="195">
        <f>+C27/$K$27</f>
        <v>0.18685940490025849</v>
      </c>
      <c r="D28" s="196">
        <f>+D27/$K$27</f>
        <v>0.10331120851355444</v>
      </c>
      <c r="E28" s="196"/>
      <c r="F28" s="196">
        <f t="shared" ref="F28:J28" si="1">+F27/$K$27</f>
        <v>0.56850917421617664</v>
      </c>
      <c r="G28" s="196">
        <f t="shared" si="1"/>
        <v>0.10242231933921624</v>
      </c>
      <c r="H28" s="196">
        <f t="shared" si="1"/>
        <v>3.8897893030794169E-2</v>
      </c>
      <c r="I28" s="197"/>
      <c r="J28" s="196">
        <f t="shared" si="1"/>
        <v>0</v>
      </c>
      <c r="K28" s="358">
        <f>C28+D28+F28+G28+H28</f>
        <v>0.99999999999999989</v>
      </c>
      <c r="L28" s="359"/>
      <c r="M28" s="234">
        <f t="shared" ref="M28" si="2">+M27/$K$27</f>
        <v>0.60595619972903014</v>
      </c>
      <c r="N28" s="198">
        <f t="shared" ref="N28" si="3">+N27/$K$27</f>
        <v>0.39404380027096991</v>
      </c>
      <c r="O28" s="234">
        <f t="shared" ref="O28" si="4">+O27/$K$27</f>
        <v>0.5723161760809814</v>
      </c>
      <c r="P28" s="235">
        <f t="shared" ref="P28" si="5">+P27/$K$27</f>
        <v>0.16983563578536795</v>
      </c>
      <c r="Q28" s="235">
        <f t="shared" ref="Q28" si="6">+Q27/$K$27</f>
        <v>2.676943698440494E-2</v>
      </c>
      <c r="R28" s="235">
        <f t="shared" ref="R28" si="7">+R27/$K$27</f>
        <v>0.14962882133231256</v>
      </c>
      <c r="S28" s="236">
        <f t="shared" ref="S28" si="8">+S27/$K$27</f>
        <v>8.144992981693315E-2</v>
      </c>
    </row>
    <row r="29" spans="2:19" x14ac:dyDescent="0.2">
      <c r="B29" s="21" t="s">
        <v>78</v>
      </c>
    </row>
    <row r="30" spans="2:19" x14ac:dyDescent="0.2">
      <c r="B30" s="21" t="s">
        <v>79</v>
      </c>
    </row>
    <row r="31" spans="2:19" x14ac:dyDescent="0.2">
      <c r="B31" s="21" t="s">
        <v>555</v>
      </c>
    </row>
    <row r="32" spans="2:19" x14ac:dyDescent="0.2">
      <c r="B32" s="21" t="s">
        <v>644</v>
      </c>
    </row>
  </sheetData>
  <mergeCells count="8">
    <mergeCell ref="K28:L28"/>
    <mergeCell ref="B9:B10"/>
    <mergeCell ref="B5:R5"/>
    <mergeCell ref="B6:R6"/>
    <mergeCell ref="M9:N9"/>
    <mergeCell ref="O9:S9"/>
    <mergeCell ref="B8:S8"/>
    <mergeCell ref="C9:L9"/>
  </mergeCells>
  <hyperlinks>
    <hyperlink ref="T5" location="'Índice PGU y SPS'!A1" display="Volver Sistema de Pensiones Solidarias" xr:uid="{D38F7483-035C-42B9-9660-BD1A24B0F729}"/>
  </hyperlinks>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4"/>
  <dimension ref="A2:T32"/>
  <sheetViews>
    <sheetView showGridLines="0" zoomScale="90" zoomScaleNormal="90" workbookViewId="0">
      <selection activeCell="B33" sqref="B33"/>
    </sheetView>
  </sheetViews>
  <sheetFormatPr baseColWidth="10" defaultColWidth="11.42578125" defaultRowHeight="12" x14ac:dyDescent="0.2"/>
  <cols>
    <col min="1" max="1" width="6" style="21" customWidth="1"/>
    <col min="2" max="2" width="21.5703125" style="21" customWidth="1"/>
    <col min="3" max="9" width="11.42578125" style="21"/>
    <col min="10" max="10" width="0" style="21" hidden="1" customWidth="1"/>
    <col min="11" max="11" width="11.42578125" style="21"/>
    <col min="12" max="12" width="13.28515625" style="21" bestFit="1" customWidth="1"/>
    <col min="13" max="16384" width="11.42578125" style="21"/>
  </cols>
  <sheetData>
    <row r="2" spans="1:20" s="97" customFormat="1" ht="12.75" x14ac:dyDescent="0.2">
      <c r="A2" s="40" t="s">
        <v>58</v>
      </c>
    </row>
    <row r="3" spans="1:20" s="97" customFormat="1" ht="12.75" x14ac:dyDescent="0.2">
      <c r="A3" s="40" t="s">
        <v>59</v>
      </c>
    </row>
    <row r="4" spans="1:20" s="97" customFormat="1" ht="12.75" x14ac:dyDescent="0.2"/>
    <row r="5" spans="1:20" s="97" customFormat="1" ht="15" x14ac:dyDescent="0.25">
      <c r="B5" s="364" t="s">
        <v>562</v>
      </c>
      <c r="C5" s="364"/>
      <c r="D5" s="364"/>
      <c r="E5" s="364"/>
      <c r="F5" s="364"/>
      <c r="G5" s="364"/>
      <c r="H5" s="364"/>
      <c r="I5" s="364"/>
      <c r="J5" s="364"/>
      <c r="K5" s="364"/>
      <c r="L5" s="364"/>
      <c r="M5" s="364"/>
      <c r="N5" s="364"/>
      <c r="O5" s="364"/>
      <c r="P5" s="364"/>
      <c r="Q5" s="364"/>
      <c r="R5" s="364"/>
      <c r="S5" s="331"/>
      <c r="T5" s="330" t="s">
        <v>509</v>
      </c>
    </row>
    <row r="6" spans="1:20" s="97" customFormat="1" ht="12.75" x14ac:dyDescent="0.2">
      <c r="B6" s="344" t="str">
        <f>'Solicitudes Regiones'!B6</f>
        <v>Julio de 2008 a junio de 2022</v>
      </c>
      <c r="C6" s="344"/>
      <c r="D6" s="344"/>
      <c r="E6" s="344"/>
      <c r="F6" s="344"/>
      <c r="G6" s="344"/>
      <c r="H6" s="344"/>
      <c r="I6" s="344"/>
      <c r="J6" s="344"/>
      <c r="K6" s="344"/>
      <c r="L6" s="344"/>
      <c r="M6" s="344"/>
      <c r="N6" s="344"/>
      <c r="O6" s="344"/>
      <c r="P6" s="344"/>
      <c r="Q6" s="344"/>
      <c r="R6" s="344"/>
    </row>
    <row r="7" spans="1:20" ht="12.75" thickBot="1" x14ac:dyDescent="0.25"/>
    <row r="8" spans="1:20" ht="27.75" customHeight="1" thickBot="1" x14ac:dyDescent="0.25">
      <c r="B8" s="350" t="s">
        <v>548</v>
      </c>
      <c r="C8" s="349"/>
      <c r="D8" s="349"/>
      <c r="E8" s="349"/>
      <c r="F8" s="349"/>
      <c r="G8" s="349"/>
      <c r="H8" s="349"/>
      <c r="I8" s="349"/>
      <c r="J8" s="349"/>
      <c r="K8" s="349"/>
      <c r="L8" s="349"/>
      <c r="M8" s="349"/>
      <c r="N8" s="349"/>
      <c r="O8" s="349"/>
      <c r="P8" s="349"/>
      <c r="Q8" s="349"/>
      <c r="R8" s="349"/>
      <c r="S8" s="348"/>
    </row>
    <row r="9" spans="1:20" ht="15.75" customHeight="1" thickBot="1" x14ac:dyDescent="0.25">
      <c r="B9" s="366" t="s">
        <v>23</v>
      </c>
      <c r="C9" s="347" t="s">
        <v>544</v>
      </c>
      <c r="D9" s="349"/>
      <c r="E9" s="349"/>
      <c r="F9" s="349"/>
      <c r="G9" s="349"/>
      <c r="H9" s="349"/>
      <c r="I9" s="349"/>
      <c r="J9" s="349"/>
      <c r="K9" s="349"/>
      <c r="L9" s="348"/>
      <c r="M9" s="368" t="s">
        <v>538</v>
      </c>
      <c r="N9" s="369"/>
      <c r="O9" s="347" t="s">
        <v>539</v>
      </c>
      <c r="P9" s="349"/>
      <c r="Q9" s="349"/>
      <c r="R9" s="349"/>
      <c r="S9" s="348"/>
    </row>
    <row r="10" spans="1:20" ht="48.75" thickBot="1" x14ac:dyDescent="0.25">
      <c r="B10" s="367"/>
      <c r="C10" s="304" t="s">
        <v>545</v>
      </c>
      <c r="D10" s="7" t="s">
        <v>1</v>
      </c>
      <c r="E10" s="279" t="s">
        <v>541</v>
      </c>
      <c r="F10" s="279" t="s">
        <v>546</v>
      </c>
      <c r="G10" s="7" t="s">
        <v>2</v>
      </c>
      <c r="H10" s="7" t="s">
        <v>3</v>
      </c>
      <c r="I10" s="279" t="s">
        <v>543</v>
      </c>
      <c r="J10" s="305" t="s">
        <v>523</v>
      </c>
      <c r="K10" s="227" t="s">
        <v>641</v>
      </c>
      <c r="L10" s="9" t="s">
        <v>525</v>
      </c>
      <c r="M10" s="227" t="s">
        <v>22</v>
      </c>
      <c r="N10" s="9" t="s">
        <v>5</v>
      </c>
      <c r="O10" s="227" t="s">
        <v>6</v>
      </c>
      <c r="P10" s="279" t="s">
        <v>7</v>
      </c>
      <c r="Q10" s="279" t="s">
        <v>8</v>
      </c>
      <c r="R10" s="279" t="s">
        <v>9</v>
      </c>
      <c r="S10" s="9" t="s">
        <v>524</v>
      </c>
    </row>
    <row r="11" spans="1:20" x14ac:dyDescent="0.2">
      <c r="B11" s="15" t="s">
        <v>24</v>
      </c>
      <c r="C11" s="199">
        <v>5945</v>
      </c>
      <c r="D11" s="200">
        <v>2163</v>
      </c>
      <c r="E11" s="200">
        <v>8108</v>
      </c>
      <c r="F11" s="200">
        <v>19200</v>
      </c>
      <c r="G11" s="200">
        <v>2430</v>
      </c>
      <c r="H11" s="200">
        <v>1156</v>
      </c>
      <c r="I11" s="287">
        <v>22786</v>
      </c>
      <c r="J11" s="200">
        <v>30894</v>
      </c>
      <c r="K11" s="199">
        <v>30894</v>
      </c>
      <c r="L11" s="306">
        <v>1.2551352721694249E-2</v>
      </c>
      <c r="M11" s="199">
        <v>17813</v>
      </c>
      <c r="N11" s="201">
        <v>13081</v>
      </c>
      <c r="O11" s="237">
        <v>17336</v>
      </c>
      <c r="P11" s="200">
        <v>6521</v>
      </c>
      <c r="Q11" s="200">
        <v>1011</v>
      </c>
      <c r="R11" s="200">
        <v>4541</v>
      </c>
      <c r="S11" s="201">
        <v>1485</v>
      </c>
    </row>
    <row r="12" spans="1:20" x14ac:dyDescent="0.2">
      <c r="B12" s="15" t="s">
        <v>25</v>
      </c>
      <c r="C12" s="202">
        <v>5906</v>
      </c>
      <c r="D12" s="203">
        <v>3065</v>
      </c>
      <c r="E12" s="203">
        <v>8971</v>
      </c>
      <c r="F12" s="203">
        <v>20462</v>
      </c>
      <c r="G12" s="203">
        <v>2629</v>
      </c>
      <c r="H12" s="203">
        <v>1798</v>
      </c>
      <c r="I12" s="284">
        <v>24889</v>
      </c>
      <c r="J12" s="203">
        <v>33860</v>
      </c>
      <c r="K12" s="199">
        <v>33860</v>
      </c>
      <c r="L12" s="295">
        <v>1.3756354086766599E-2</v>
      </c>
      <c r="M12" s="202">
        <v>19632</v>
      </c>
      <c r="N12" s="204">
        <v>14228</v>
      </c>
      <c r="O12" s="238">
        <v>19065</v>
      </c>
      <c r="P12" s="203">
        <v>5826</v>
      </c>
      <c r="Q12" s="203">
        <v>1240</v>
      </c>
      <c r="R12" s="203">
        <v>5705</v>
      </c>
      <c r="S12" s="201">
        <v>2024</v>
      </c>
    </row>
    <row r="13" spans="1:20" x14ac:dyDescent="0.2">
      <c r="B13" s="15" t="s">
        <v>26</v>
      </c>
      <c r="C13" s="202">
        <v>10882</v>
      </c>
      <c r="D13" s="203">
        <v>3908</v>
      </c>
      <c r="E13" s="203">
        <v>14790</v>
      </c>
      <c r="F13" s="203">
        <v>34856</v>
      </c>
      <c r="G13" s="203">
        <v>4127</v>
      </c>
      <c r="H13" s="203">
        <v>2043</v>
      </c>
      <c r="I13" s="284">
        <v>41026</v>
      </c>
      <c r="J13" s="203">
        <v>55816</v>
      </c>
      <c r="K13" s="199">
        <v>55816</v>
      </c>
      <c r="L13" s="295">
        <v>2.2676451851948155E-2</v>
      </c>
      <c r="M13" s="202">
        <v>34550</v>
      </c>
      <c r="N13" s="204">
        <v>21266</v>
      </c>
      <c r="O13" s="238">
        <v>36689</v>
      </c>
      <c r="P13" s="203">
        <v>8783</v>
      </c>
      <c r="Q13" s="203">
        <v>875</v>
      </c>
      <c r="R13" s="203">
        <v>5926</v>
      </c>
      <c r="S13" s="201">
        <v>3543</v>
      </c>
    </row>
    <row r="14" spans="1:20" x14ac:dyDescent="0.2">
      <c r="B14" s="15" t="s">
        <v>27</v>
      </c>
      <c r="C14" s="202">
        <v>7020</v>
      </c>
      <c r="D14" s="203">
        <v>2605</v>
      </c>
      <c r="E14" s="203">
        <v>9625</v>
      </c>
      <c r="F14" s="203">
        <v>23430</v>
      </c>
      <c r="G14" s="203">
        <v>2397</v>
      </c>
      <c r="H14" s="203">
        <v>1348</v>
      </c>
      <c r="I14" s="284">
        <v>27175</v>
      </c>
      <c r="J14" s="203">
        <v>36800</v>
      </c>
      <c r="K14" s="199">
        <v>36800</v>
      </c>
      <c r="L14" s="295">
        <v>1.4950792391996776E-2</v>
      </c>
      <c r="M14" s="202">
        <v>21316</v>
      </c>
      <c r="N14" s="204">
        <v>15484</v>
      </c>
      <c r="O14" s="238">
        <v>20822</v>
      </c>
      <c r="P14" s="203">
        <v>7383</v>
      </c>
      <c r="Q14" s="203">
        <v>975</v>
      </c>
      <c r="R14" s="203">
        <v>5925</v>
      </c>
      <c r="S14" s="201">
        <v>1695</v>
      </c>
    </row>
    <row r="15" spans="1:20" x14ac:dyDescent="0.2">
      <c r="B15" s="15" t="s">
        <v>28</v>
      </c>
      <c r="C15" s="202">
        <v>22034</v>
      </c>
      <c r="D15" s="203">
        <v>7517</v>
      </c>
      <c r="E15" s="203">
        <v>29551</v>
      </c>
      <c r="F15" s="203">
        <v>69303</v>
      </c>
      <c r="G15" s="203">
        <v>7009</v>
      </c>
      <c r="H15" s="203">
        <v>4263</v>
      </c>
      <c r="I15" s="284">
        <v>80575</v>
      </c>
      <c r="J15" s="203">
        <v>110126</v>
      </c>
      <c r="K15" s="199">
        <v>110126</v>
      </c>
      <c r="L15" s="295">
        <v>4.4741058776115131E-2</v>
      </c>
      <c r="M15" s="202">
        <v>64108</v>
      </c>
      <c r="N15" s="204">
        <v>46018</v>
      </c>
      <c r="O15" s="238">
        <v>76646</v>
      </c>
      <c r="P15" s="203">
        <v>17399</v>
      </c>
      <c r="Q15" s="203">
        <v>1676</v>
      </c>
      <c r="R15" s="203">
        <v>9310</v>
      </c>
      <c r="S15" s="201">
        <v>5093</v>
      </c>
    </row>
    <row r="16" spans="1:20" x14ac:dyDescent="0.2">
      <c r="B16" s="15" t="s">
        <v>29</v>
      </c>
      <c r="C16" s="202">
        <v>54157</v>
      </c>
      <c r="D16" s="203">
        <v>19611</v>
      </c>
      <c r="E16" s="203">
        <v>73768</v>
      </c>
      <c r="F16" s="203">
        <v>182897</v>
      </c>
      <c r="G16" s="203">
        <v>20998</v>
      </c>
      <c r="H16" s="203">
        <v>12128</v>
      </c>
      <c r="I16" s="284">
        <v>216023</v>
      </c>
      <c r="J16" s="203">
        <v>289791</v>
      </c>
      <c r="K16" s="199">
        <v>289791</v>
      </c>
      <c r="L16" s="295">
        <v>0.11773383364318309</v>
      </c>
      <c r="M16" s="202">
        <v>174399</v>
      </c>
      <c r="N16" s="204">
        <v>115392</v>
      </c>
      <c r="O16" s="238">
        <v>171622</v>
      </c>
      <c r="P16" s="203">
        <v>58578</v>
      </c>
      <c r="Q16" s="203">
        <v>6579</v>
      </c>
      <c r="R16" s="203">
        <v>36508</v>
      </c>
      <c r="S16" s="201">
        <v>16504</v>
      </c>
    </row>
    <row r="17" spans="2:19" x14ac:dyDescent="0.2">
      <c r="B17" s="15" t="s">
        <v>30</v>
      </c>
      <c r="C17" s="202">
        <v>25594</v>
      </c>
      <c r="D17" s="203">
        <v>9527</v>
      </c>
      <c r="E17" s="203">
        <v>35121</v>
      </c>
      <c r="F17" s="203">
        <v>88973</v>
      </c>
      <c r="G17" s="203">
        <v>8646</v>
      </c>
      <c r="H17" s="203">
        <v>7017</v>
      </c>
      <c r="I17" s="284">
        <v>104636</v>
      </c>
      <c r="J17" s="203">
        <v>139757</v>
      </c>
      <c r="K17" s="199">
        <v>139757</v>
      </c>
      <c r="L17" s="295">
        <v>5.6779290552399275E-2</v>
      </c>
      <c r="M17" s="202">
        <v>79132</v>
      </c>
      <c r="N17" s="204">
        <v>60625</v>
      </c>
      <c r="O17" s="238">
        <v>77957</v>
      </c>
      <c r="P17" s="203">
        <v>24523</v>
      </c>
      <c r="Q17" s="203">
        <v>3421</v>
      </c>
      <c r="R17" s="203">
        <v>27679</v>
      </c>
      <c r="S17" s="201">
        <v>6177</v>
      </c>
    </row>
    <row r="18" spans="2:19" x14ac:dyDescent="0.2">
      <c r="B18" s="15" t="s">
        <v>31</v>
      </c>
      <c r="C18" s="202">
        <v>36230</v>
      </c>
      <c r="D18" s="203">
        <v>12903</v>
      </c>
      <c r="E18" s="203">
        <v>49133</v>
      </c>
      <c r="F18" s="203">
        <v>105952</v>
      </c>
      <c r="G18" s="203">
        <v>9596</v>
      </c>
      <c r="H18" s="203">
        <v>7498</v>
      </c>
      <c r="I18" s="284">
        <v>123046</v>
      </c>
      <c r="J18" s="203">
        <v>172179</v>
      </c>
      <c r="K18" s="199">
        <v>172179</v>
      </c>
      <c r="L18" s="295">
        <v>6.9951426175587306E-2</v>
      </c>
      <c r="M18" s="202">
        <v>95982</v>
      </c>
      <c r="N18" s="204">
        <v>76197</v>
      </c>
      <c r="O18" s="238">
        <v>99001</v>
      </c>
      <c r="P18" s="203">
        <v>35466</v>
      </c>
      <c r="Q18" s="203">
        <v>4505</v>
      </c>
      <c r="R18" s="203">
        <v>26954</v>
      </c>
      <c r="S18" s="201">
        <v>6252</v>
      </c>
    </row>
    <row r="19" spans="2:19" x14ac:dyDescent="0.2">
      <c r="B19" s="15" t="s">
        <v>516</v>
      </c>
      <c r="C19" s="202">
        <v>19608</v>
      </c>
      <c r="D19" s="203">
        <v>10847</v>
      </c>
      <c r="E19" s="203">
        <v>30455</v>
      </c>
      <c r="F19" s="203">
        <v>48411</v>
      </c>
      <c r="G19" s="203">
        <v>4742</v>
      </c>
      <c r="H19" s="203">
        <v>5791</v>
      </c>
      <c r="I19" s="284">
        <v>58944</v>
      </c>
      <c r="J19" s="203">
        <v>89399</v>
      </c>
      <c r="K19" s="199">
        <v>89399</v>
      </c>
      <c r="L19" s="295">
        <v>3.6320268724242384E-2</v>
      </c>
      <c r="M19" s="202">
        <v>50770</v>
      </c>
      <c r="N19" s="204">
        <v>38629</v>
      </c>
      <c r="O19" s="238">
        <v>51544</v>
      </c>
      <c r="P19" s="203">
        <v>16871</v>
      </c>
      <c r="Q19" s="203">
        <v>1841</v>
      </c>
      <c r="R19" s="203">
        <v>16686</v>
      </c>
      <c r="S19" s="201">
        <v>2457</v>
      </c>
    </row>
    <row r="20" spans="2:19" x14ac:dyDescent="0.2">
      <c r="B20" s="15" t="s">
        <v>32</v>
      </c>
      <c r="C20" s="202">
        <v>48304</v>
      </c>
      <c r="D20" s="203">
        <v>20101</v>
      </c>
      <c r="E20" s="203">
        <v>68405</v>
      </c>
      <c r="F20" s="203">
        <v>138884</v>
      </c>
      <c r="G20" s="203">
        <v>16010</v>
      </c>
      <c r="H20" s="203">
        <v>10125</v>
      </c>
      <c r="I20" s="284">
        <v>165019</v>
      </c>
      <c r="J20" s="203">
        <v>233424</v>
      </c>
      <c r="K20" s="199">
        <v>233424</v>
      </c>
      <c r="L20" s="295">
        <v>9.4833526176887381E-2</v>
      </c>
      <c r="M20" s="202">
        <v>137259</v>
      </c>
      <c r="N20" s="204">
        <v>96165</v>
      </c>
      <c r="O20" s="238">
        <v>132111</v>
      </c>
      <c r="P20" s="203">
        <v>40128</v>
      </c>
      <c r="Q20" s="203">
        <v>7138</v>
      </c>
      <c r="R20" s="203">
        <v>43632</v>
      </c>
      <c r="S20" s="201">
        <v>10415</v>
      </c>
    </row>
    <row r="21" spans="2:19" x14ac:dyDescent="0.2">
      <c r="B21" s="15" t="s">
        <v>33</v>
      </c>
      <c r="C21" s="202">
        <v>40127</v>
      </c>
      <c r="D21" s="203">
        <v>13166</v>
      </c>
      <c r="E21" s="203">
        <v>53293</v>
      </c>
      <c r="F21" s="203">
        <v>81511</v>
      </c>
      <c r="G21" s="203">
        <v>7759</v>
      </c>
      <c r="H21" s="203">
        <v>6214</v>
      </c>
      <c r="I21" s="284">
        <v>95484</v>
      </c>
      <c r="J21" s="203">
        <v>148777</v>
      </c>
      <c r="K21" s="199">
        <v>148777</v>
      </c>
      <c r="L21" s="295">
        <v>6.0443859774568051E-2</v>
      </c>
      <c r="M21" s="202">
        <v>84541</v>
      </c>
      <c r="N21" s="204">
        <v>64236</v>
      </c>
      <c r="O21" s="238">
        <v>93990</v>
      </c>
      <c r="P21" s="203">
        <v>27500</v>
      </c>
      <c r="Q21" s="203">
        <v>3657</v>
      </c>
      <c r="R21" s="203">
        <v>18258</v>
      </c>
      <c r="S21" s="201">
        <v>5372</v>
      </c>
    </row>
    <row r="22" spans="2:19" x14ac:dyDescent="0.2">
      <c r="B22" s="15" t="s">
        <v>34</v>
      </c>
      <c r="C22" s="202">
        <v>14362</v>
      </c>
      <c r="D22" s="203">
        <v>7061</v>
      </c>
      <c r="E22" s="203">
        <v>21423</v>
      </c>
      <c r="F22" s="203">
        <v>36295</v>
      </c>
      <c r="G22" s="203">
        <v>4113</v>
      </c>
      <c r="H22" s="203">
        <v>3896</v>
      </c>
      <c r="I22" s="284">
        <v>44304</v>
      </c>
      <c r="J22" s="203">
        <v>65727</v>
      </c>
      <c r="K22" s="199">
        <v>65727</v>
      </c>
      <c r="L22" s="295">
        <v>2.6703009009477502E-2</v>
      </c>
      <c r="M22" s="202">
        <v>38076</v>
      </c>
      <c r="N22" s="204">
        <v>27651</v>
      </c>
      <c r="O22" s="238">
        <v>44528</v>
      </c>
      <c r="P22" s="203">
        <v>13114</v>
      </c>
      <c r="Q22" s="203">
        <v>1835</v>
      </c>
      <c r="R22" s="203">
        <v>3996</v>
      </c>
      <c r="S22" s="201">
        <v>2252</v>
      </c>
    </row>
    <row r="23" spans="2:19" x14ac:dyDescent="0.2">
      <c r="B23" s="15" t="s">
        <v>35</v>
      </c>
      <c r="C23" s="202">
        <v>28514</v>
      </c>
      <c r="D23" s="203">
        <v>11181</v>
      </c>
      <c r="E23" s="203">
        <v>39695</v>
      </c>
      <c r="F23" s="203">
        <v>65578</v>
      </c>
      <c r="G23" s="203">
        <v>6999</v>
      </c>
      <c r="H23" s="203">
        <v>6302</v>
      </c>
      <c r="I23" s="284">
        <v>78879</v>
      </c>
      <c r="J23" s="203">
        <v>118574</v>
      </c>
      <c r="K23" s="199">
        <v>118574</v>
      </c>
      <c r="L23" s="295">
        <v>4.817324068175613E-2</v>
      </c>
      <c r="M23" s="202">
        <v>67116</v>
      </c>
      <c r="N23" s="204">
        <v>51458</v>
      </c>
      <c r="O23" s="238">
        <v>73382</v>
      </c>
      <c r="P23" s="203">
        <v>26989</v>
      </c>
      <c r="Q23" s="203">
        <v>3595</v>
      </c>
      <c r="R23" s="203">
        <v>10350</v>
      </c>
      <c r="S23" s="201">
        <v>4258</v>
      </c>
    </row>
    <row r="24" spans="2:19" x14ac:dyDescent="0.2">
      <c r="B24" s="15" t="s">
        <v>36</v>
      </c>
      <c r="C24" s="202">
        <v>2603</v>
      </c>
      <c r="D24" s="203">
        <v>794</v>
      </c>
      <c r="E24" s="203">
        <v>3397</v>
      </c>
      <c r="F24" s="203">
        <v>7488</v>
      </c>
      <c r="G24" s="203">
        <v>574</v>
      </c>
      <c r="H24" s="203">
        <v>612</v>
      </c>
      <c r="I24" s="284">
        <v>8674</v>
      </c>
      <c r="J24" s="203">
        <v>12071</v>
      </c>
      <c r="K24" s="199">
        <v>12071</v>
      </c>
      <c r="L24" s="295">
        <v>4.9041036674943774E-3</v>
      </c>
      <c r="M24" s="202">
        <v>6301</v>
      </c>
      <c r="N24" s="204">
        <v>5770</v>
      </c>
      <c r="O24" s="238">
        <v>8406</v>
      </c>
      <c r="P24" s="203">
        <v>2383</v>
      </c>
      <c r="Q24" s="203">
        <v>181</v>
      </c>
      <c r="R24" s="203">
        <v>682</v>
      </c>
      <c r="S24" s="201">
        <v>419</v>
      </c>
    </row>
    <row r="25" spans="2:19" x14ac:dyDescent="0.2">
      <c r="B25" s="15" t="s">
        <v>37</v>
      </c>
      <c r="C25" s="202">
        <v>4251</v>
      </c>
      <c r="D25" s="203">
        <v>1347</v>
      </c>
      <c r="E25" s="203">
        <v>5598</v>
      </c>
      <c r="F25" s="203">
        <v>13824</v>
      </c>
      <c r="G25" s="203">
        <v>1925</v>
      </c>
      <c r="H25" s="203">
        <v>853</v>
      </c>
      <c r="I25" s="284">
        <v>16602</v>
      </c>
      <c r="J25" s="203">
        <v>22200</v>
      </c>
      <c r="K25" s="199">
        <v>22200</v>
      </c>
      <c r="L25" s="295">
        <v>9.019228019085012E-3</v>
      </c>
      <c r="M25" s="202">
        <v>13073</v>
      </c>
      <c r="N25" s="204">
        <v>9127</v>
      </c>
      <c r="O25" s="238">
        <v>16218</v>
      </c>
      <c r="P25" s="203">
        <v>3919</v>
      </c>
      <c r="Q25" s="203">
        <v>895</v>
      </c>
      <c r="R25" s="203">
        <v>56</v>
      </c>
      <c r="S25" s="201">
        <v>1112</v>
      </c>
    </row>
    <row r="26" spans="2:19" x14ac:dyDescent="0.2">
      <c r="B26" s="15" t="s">
        <v>38</v>
      </c>
      <c r="C26" s="202">
        <v>182402</v>
      </c>
      <c r="D26" s="203">
        <v>53814</v>
      </c>
      <c r="E26" s="203">
        <v>236216</v>
      </c>
      <c r="F26" s="203">
        <v>568144</v>
      </c>
      <c r="G26" s="203">
        <v>67863</v>
      </c>
      <c r="H26" s="203">
        <v>29790</v>
      </c>
      <c r="I26" s="284">
        <v>665797</v>
      </c>
      <c r="J26" s="203">
        <v>902013</v>
      </c>
      <c r="K26" s="199">
        <v>902013</v>
      </c>
      <c r="L26" s="295">
        <v>0.36646220374679855</v>
      </c>
      <c r="M26" s="202">
        <v>554698</v>
      </c>
      <c r="N26" s="204">
        <v>347315</v>
      </c>
      <c r="O26" s="238">
        <v>496948</v>
      </c>
      <c r="P26" s="203">
        <v>150849</v>
      </c>
      <c r="Q26" s="203">
        <v>27112</v>
      </c>
      <c r="R26" s="203">
        <v>154148</v>
      </c>
      <c r="S26" s="201">
        <v>72956</v>
      </c>
    </row>
    <row r="27" spans="2:19" ht="12.75" thickBot="1" x14ac:dyDescent="0.25">
      <c r="B27" s="12" t="s">
        <v>39</v>
      </c>
      <c r="C27" s="191">
        <v>507939</v>
      </c>
      <c r="D27" s="192">
        <v>179610</v>
      </c>
      <c r="E27" s="192">
        <v>687549</v>
      </c>
      <c r="F27" s="192">
        <v>1505208</v>
      </c>
      <c r="G27" s="192">
        <v>167817</v>
      </c>
      <c r="H27" s="192">
        <v>100834</v>
      </c>
      <c r="I27" s="193">
        <v>1773859</v>
      </c>
      <c r="J27" s="192">
        <v>2461408</v>
      </c>
      <c r="K27" s="191">
        <f>SUM(K11:K26)</f>
        <v>2461408</v>
      </c>
      <c r="L27" s="294">
        <f t="shared" ref="L27:S27" si="0">SUM(L11:L26)</f>
        <v>1</v>
      </c>
      <c r="M27" s="191">
        <f t="shared" si="0"/>
        <v>1458766</v>
      </c>
      <c r="N27" s="191">
        <f t="shared" si="0"/>
        <v>1002642</v>
      </c>
      <c r="O27" s="191">
        <f t="shared" si="0"/>
        <v>1436265</v>
      </c>
      <c r="P27" s="191">
        <f t="shared" si="0"/>
        <v>446232</v>
      </c>
      <c r="Q27" s="191">
        <f t="shared" si="0"/>
        <v>66536</v>
      </c>
      <c r="R27" s="191">
        <f t="shared" si="0"/>
        <v>370356</v>
      </c>
      <c r="S27" s="194">
        <f t="shared" si="0"/>
        <v>142014</v>
      </c>
    </row>
    <row r="28" spans="2:19" ht="12.75" thickBot="1" x14ac:dyDescent="0.25">
      <c r="B28" s="13" t="s">
        <v>40</v>
      </c>
      <c r="C28" s="205">
        <f>+C27/$K$27</f>
        <v>0.20636115589126225</v>
      </c>
      <c r="D28" s="206">
        <f>+D27/$K$27</f>
        <v>7.2970429932786435E-2</v>
      </c>
      <c r="E28" s="206"/>
      <c r="F28" s="206">
        <f>+F27/$K$27</f>
        <v>0.61152316072751856</v>
      </c>
      <c r="G28" s="206">
        <f>+G27/$K$27</f>
        <v>6.8179269751296817E-2</v>
      </c>
      <c r="H28" s="206">
        <f>+H27/$K$27</f>
        <v>4.0965983697135951E-2</v>
      </c>
      <c r="I28" s="222"/>
      <c r="J28" s="206">
        <f>+J27/$K$27</f>
        <v>1</v>
      </c>
      <c r="K28" s="365">
        <f>C28+D28+F28+G28+H28</f>
        <v>1</v>
      </c>
      <c r="L28" s="365"/>
      <c r="M28" s="286">
        <f t="shared" ref="M28:S28" si="1">+M27/$K$27</f>
        <v>0.59265509822020568</v>
      </c>
      <c r="N28" s="207">
        <f t="shared" si="1"/>
        <v>0.40734490177979432</v>
      </c>
      <c r="O28" s="205">
        <f t="shared" si="1"/>
        <v>0.58351358246987095</v>
      </c>
      <c r="P28" s="206">
        <f t="shared" si="1"/>
        <v>0.18129135844199742</v>
      </c>
      <c r="Q28" s="206">
        <f t="shared" si="1"/>
        <v>2.7031682679181997E-2</v>
      </c>
      <c r="R28" s="206">
        <f t="shared" si="1"/>
        <v>0.15046509965028146</v>
      </c>
      <c r="S28" s="207">
        <f t="shared" si="1"/>
        <v>5.7696245401006256E-2</v>
      </c>
    </row>
    <row r="29" spans="2:19" x14ac:dyDescent="0.2">
      <c r="B29" s="21" t="s">
        <v>78</v>
      </c>
    </row>
    <row r="30" spans="2:19" x14ac:dyDescent="0.2">
      <c r="B30" s="21" t="s">
        <v>79</v>
      </c>
    </row>
    <row r="31" spans="2:19" x14ac:dyDescent="0.2">
      <c r="B31" s="21" t="s">
        <v>555</v>
      </c>
    </row>
    <row r="32" spans="2:19" x14ac:dyDescent="0.2">
      <c r="B32" s="21" t="s">
        <v>644</v>
      </c>
    </row>
  </sheetData>
  <mergeCells count="8">
    <mergeCell ref="B5:R5"/>
    <mergeCell ref="B6:R6"/>
    <mergeCell ref="K28:L28"/>
    <mergeCell ref="B9:B10"/>
    <mergeCell ref="M9:N9"/>
    <mergeCell ref="O9:S9"/>
    <mergeCell ref="B8:S8"/>
    <mergeCell ref="C9:L9"/>
  </mergeCells>
  <hyperlinks>
    <hyperlink ref="T5" location="'Índice PGU y SPS'!A1" display="Volver Sistema de Pensiones Solidarias" xr:uid="{F2FFC133-4F89-4FBB-B46C-3678DDAD317F}"/>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2:O32"/>
  <sheetViews>
    <sheetView showGridLines="0" zoomScaleNormal="100" workbookViewId="0">
      <selection activeCell="N37" sqref="N37"/>
    </sheetView>
  </sheetViews>
  <sheetFormatPr baseColWidth="10" defaultColWidth="11.42578125" defaultRowHeight="12" x14ac:dyDescent="0.2"/>
  <cols>
    <col min="1" max="1" width="6" style="21" customWidth="1"/>
    <col min="2" max="2" width="15.85546875" style="21" customWidth="1"/>
    <col min="3" max="3" width="11.7109375" style="21" customWidth="1"/>
    <col min="4" max="4" width="7.140625" style="21" bestFit="1" customWidth="1"/>
    <col min="5" max="5" width="12.5703125" style="21" customWidth="1"/>
    <col min="6" max="6" width="12.42578125" style="21" customWidth="1"/>
    <col min="7" max="7" width="10.42578125" style="21" customWidth="1"/>
    <col min="8" max="8" width="9.28515625" style="21" bestFit="1" customWidth="1"/>
    <col min="9" max="9" width="7.85546875" style="21" bestFit="1" customWidth="1"/>
    <col min="10" max="10" width="14" style="21" customWidth="1"/>
    <col min="11" max="11" width="14.7109375" style="21" customWidth="1"/>
    <col min="12" max="12" width="0" style="21" hidden="1" customWidth="1"/>
    <col min="13" max="13" width="15.28515625" style="21" customWidth="1"/>
    <col min="14" max="16384" width="11.42578125" style="21"/>
  </cols>
  <sheetData>
    <row r="2" spans="1:15" x14ac:dyDescent="0.2">
      <c r="A2" s="40" t="s">
        <v>58</v>
      </c>
    </row>
    <row r="3" spans="1:15" x14ac:dyDescent="0.2">
      <c r="A3" s="40" t="s">
        <v>59</v>
      </c>
    </row>
    <row r="5" spans="1:15" ht="12.75" x14ac:dyDescent="0.2">
      <c r="B5" s="344" t="s">
        <v>593</v>
      </c>
      <c r="C5" s="344"/>
      <c r="D5" s="344"/>
      <c r="E5" s="344"/>
      <c r="F5" s="344"/>
      <c r="G5" s="344"/>
      <c r="H5" s="344"/>
      <c r="I5" s="344"/>
      <c r="J5" s="344"/>
      <c r="K5" s="344"/>
      <c r="M5" s="110" t="s">
        <v>509</v>
      </c>
      <c r="O5" s="90"/>
    </row>
    <row r="6" spans="1:15" ht="12.75" x14ac:dyDescent="0.2">
      <c r="B6" s="374" t="str">
        <f>'Solicitudes Regiones'!$B$6:$R$6</f>
        <v>Julio de 2008 a junio de 2022</v>
      </c>
      <c r="C6" s="374"/>
      <c r="D6" s="374"/>
      <c r="E6" s="374"/>
      <c r="F6" s="374"/>
      <c r="G6" s="374"/>
      <c r="H6" s="374"/>
      <c r="I6" s="374"/>
      <c r="J6" s="374"/>
      <c r="K6" s="374"/>
    </row>
    <row r="8" spans="1:15" ht="12" customHeight="1" x14ac:dyDescent="0.2">
      <c r="B8" s="370" t="s">
        <v>595</v>
      </c>
      <c r="C8" s="371"/>
      <c r="D8" s="371"/>
      <c r="E8" s="371"/>
      <c r="F8" s="371"/>
      <c r="G8" s="371"/>
      <c r="H8" s="371"/>
      <c r="I8" s="371"/>
      <c r="J8" s="371"/>
      <c r="K8" s="371"/>
      <c r="L8" s="371"/>
      <c r="M8" s="372"/>
    </row>
    <row r="9" spans="1:15" ht="15" customHeight="1" x14ac:dyDescent="0.2">
      <c r="B9" s="375" t="s">
        <v>41</v>
      </c>
      <c r="C9" s="370" t="s">
        <v>544</v>
      </c>
      <c r="D9" s="371"/>
      <c r="E9" s="371"/>
      <c r="F9" s="371"/>
      <c r="G9" s="371"/>
      <c r="H9" s="371"/>
      <c r="I9" s="371"/>
      <c r="J9" s="371"/>
      <c r="K9" s="371"/>
      <c r="L9" s="372"/>
      <c r="M9" s="307"/>
    </row>
    <row r="10" spans="1:15" ht="36" x14ac:dyDescent="0.2">
      <c r="B10" s="376"/>
      <c r="C10" s="20" t="s">
        <v>540</v>
      </c>
      <c r="D10" s="20" t="s">
        <v>42</v>
      </c>
      <c r="E10" s="20" t="s">
        <v>553</v>
      </c>
      <c r="F10" s="20" t="s">
        <v>554</v>
      </c>
      <c r="G10" s="20" t="s">
        <v>542</v>
      </c>
      <c r="H10" s="20" t="s">
        <v>2</v>
      </c>
      <c r="I10" s="20" t="s">
        <v>43</v>
      </c>
      <c r="J10" s="20" t="s">
        <v>549</v>
      </c>
      <c r="K10" s="296" t="s">
        <v>550</v>
      </c>
      <c r="L10" s="296" t="s">
        <v>523</v>
      </c>
      <c r="M10" s="296" t="s">
        <v>641</v>
      </c>
    </row>
    <row r="11" spans="1:15" x14ac:dyDescent="0.2">
      <c r="B11" s="16" t="s">
        <v>46</v>
      </c>
      <c r="C11" s="16">
        <v>6628</v>
      </c>
      <c r="D11" s="16">
        <v>3092</v>
      </c>
      <c r="E11" s="16">
        <f t="shared" ref="E11:E15" si="0">C11+D11</f>
        <v>9720</v>
      </c>
      <c r="F11" s="17">
        <f>E11/$E$15</f>
        <v>0.97600160658700674</v>
      </c>
      <c r="G11" s="16">
        <v>22303</v>
      </c>
      <c r="H11" s="16">
        <v>4243</v>
      </c>
      <c r="I11" s="16">
        <v>1374</v>
      </c>
      <c r="J11" s="16">
        <v>27920</v>
      </c>
      <c r="K11" s="17">
        <v>0.99295824738601612</v>
      </c>
      <c r="L11" s="16">
        <v>0</v>
      </c>
      <c r="M11" s="16">
        <v>37640</v>
      </c>
    </row>
    <row r="12" spans="1:15" x14ac:dyDescent="0.2">
      <c r="B12" s="16" t="s">
        <v>47</v>
      </c>
      <c r="C12" s="16">
        <v>29</v>
      </c>
      <c r="D12" s="16">
        <v>10</v>
      </c>
      <c r="E12" s="16">
        <f t="shared" si="0"/>
        <v>39</v>
      </c>
      <c r="F12" s="17">
        <f t="shared" ref="F12:F15" si="1">E12/$E$15</f>
        <v>3.9160558288984836E-3</v>
      </c>
      <c r="G12" s="16">
        <v>44</v>
      </c>
      <c r="H12" s="16">
        <v>5</v>
      </c>
      <c r="I12" s="16">
        <v>1</v>
      </c>
      <c r="J12" s="16">
        <v>50</v>
      </c>
      <c r="K12" s="17">
        <v>1.7782203570666478E-3</v>
      </c>
      <c r="L12" s="16">
        <v>0</v>
      </c>
      <c r="M12" s="16">
        <v>89</v>
      </c>
    </row>
    <row r="13" spans="1:15" x14ac:dyDescent="0.2">
      <c r="B13" s="16" t="s">
        <v>48</v>
      </c>
      <c r="C13" s="16">
        <v>97</v>
      </c>
      <c r="D13" s="16">
        <v>42</v>
      </c>
      <c r="E13" s="16">
        <f t="shared" si="0"/>
        <v>139</v>
      </c>
      <c r="F13" s="17">
        <f t="shared" si="1"/>
        <v>1.3957224620945879E-2</v>
      </c>
      <c r="G13" s="16">
        <v>101</v>
      </c>
      <c r="H13" s="16">
        <v>25</v>
      </c>
      <c r="I13" s="16">
        <v>2</v>
      </c>
      <c r="J13" s="16">
        <v>128</v>
      </c>
      <c r="K13" s="17">
        <v>4.5522441140906185E-3</v>
      </c>
      <c r="L13" s="16">
        <v>0</v>
      </c>
      <c r="M13" s="16">
        <v>267</v>
      </c>
    </row>
    <row r="14" spans="1:15" x14ac:dyDescent="0.2">
      <c r="B14" s="16" t="s">
        <v>49</v>
      </c>
      <c r="C14" s="16">
        <v>41</v>
      </c>
      <c r="D14" s="16">
        <v>20</v>
      </c>
      <c r="E14" s="16">
        <f t="shared" si="0"/>
        <v>61</v>
      </c>
      <c r="F14" s="17">
        <f t="shared" si="1"/>
        <v>6.1251129631489107E-3</v>
      </c>
      <c r="G14" s="16">
        <v>20</v>
      </c>
      <c r="H14" s="16">
        <v>0</v>
      </c>
      <c r="I14" s="16">
        <v>0</v>
      </c>
      <c r="J14" s="16">
        <v>20</v>
      </c>
      <c r="K14" s="17">
        <v>7.1128814282665905E-4</v>
      </c>
      <c r="L14" s="16">
        <v>0</v>
      </c>
      <c r="M14" s="16">
        <v>81</v>
      </c>
    </row>
    <row r="15" spans="1:15" x14ac:dyDescent="0.2">
      <c r="B15" s="18" t="s">
        <v>39</v>
      </c>
      <c r="C15" s="16">
        <f t="shared" ref="C15:D15" si="2">SUM(C11:C14)</f>
        <v>6795</v>
      </c>
      <c r="D15" s="16">
        <f t="shared" si="2"/>
        <v>3164</v>
      </c>
      <c r="E15" s="18">
        <f t="shared" si="0"/>
        <v>9959</v>
      </c>
      <c r="F15" s="17">
        <f t="shared" si="1"/>
        <v>1</v>
      </c>
      <c r="G15" s="16">
        <f t="shared" ref="G15:H15" si="3">SUM(G11:G14)</f>
        <v>22468</v>
      </c>
      <c r="H15" s="16">
        <f t="shared" si="3"/>
        <v>4273</v>
      </c>
      <c r="I15" s="16">
        <f t="shared" ref="I15" si="4">G15+H15</f>
        <v>26741</v>
      </c>
      <c r="J15" s="16">
        <v>28118</v>
      </c>
      <c r="K15" s="309">
        <v>1</v>
      </c>
      <c r="L15" s="18">
        <f t="shared" ref="L15:M15" si="5">SUM(L11:L14)</f>
        <v>0</v>
      </c>
      <c r="M15" s="18">
        <f t="shared" si="5"/>
        <v>38077</v>
      </c>
    </row>
    <row r="16" spans="1:15" ht="24" x14ac:dyDescent="0.2">
      <c r="B16" s="28" t="s">
        <v>44</v>
      </c>
      <c r="C16" s="29">
        <f>+C15/$M$15</f>
        <v>0.17845418494104051</v>
      </c>
      <c r="D16" s="29">
        <f t="shared" ref="D16:E16" si="6">+D15/$M$15</f>
        <v>8.3094781626703779E-2</v>
      </c>
      <c r="E16" s="30">
        <f t="shared" si="6"/>
        <v>0.26154896656774429</v>
      </c>
      <c r="F16" s="30"/>
      <c r="G16" s="29">
        <f>+G15/$M$15</f>
        <v>0.5900674948131418</v>
      </c>
      <c r="H16" s="29">
        <f t="shared" ref="H16:I16" si="7">+H15/$M$15</f>
        <v>0.11221997531318119</v>
      </c>
      <c r="I16" s="29">
        <f t="shared" si="7"/>
        <v>0.70228747012632298</v>
      </c>
      <c r="J16" s="30">
        <f>+J15/$M$15</f>
        <v>0.73845103343225571</v>
      </c>
      <c r="K16" s="30">
        <f>E16+J16</f>
        <v>1</v>
      </c>
      <c r="L16" s="30">
        <f>+L15/M15</f>
        <v>0</v>
      </c>
      <c r="M16" s="30">
        <f>J16+L16+E16</f>
        <v>1</v>
      </c>
    </row>
    <row r="17" spans="2:13" x14ac:dyDescent="0.2">
      <c r="B17" s="44"/>
      <c r="C17" s="44"/>
      <c r="D17" s="44"/>
      <c r="E17" s="44"/>
      <c r="F17" s="44"/>
      <c r="G17" s="44"/>
      <c r="H17" s="44"/>
      <c r="I17" s="44"/>
      <c r="J17" s="44"/>
      <c r="K17" s="45"/>
    </row>
    <row r="18" spans="2:13" x14ac:dyDescent="0.2">
      <c r="B18" s="44"/>
      <c r="C18" s="44"/>
      <c r="D18" s="44"/>
      <c r="E18" s="44"/>
      <c r="F18" s="44"/>
      <c r="G18" s="44"/>
      <c r="H18" s="44"/>
      <c r="I18" s="44"/>
      <c r="J18" s="44"/>
      <c r="K18" s="45"/>
    </row>
    <row r="19" spans="2:13" ht="12.75" x14ac:dyDescent="0.2">
      <c r="B19" s="344" t="s">
        <v>594</v>
      </c>
      <c r="C19" s="344"/>
      <c r="D19" s="344"/>
      <c r="E19" s="344"/>
      <c r="F19" s="344"/>
      <c r="G19" s="344"/>
      <c r="H19" s="344"/>
      <c r="I19" s="344"/>
      <c r="J19" s="344"/>
      <c r="K19" s="344"/>
    </row>
    <row r="20" spans="2:13" ht="12.75" x14ac:dyDescent="0.2">
      <c r="B20" s="374" t="str">
        <f>'Solicitudes Regiones'!$B$6:$R$6</f>
        <v>Julio de 2008 a junio de 2022</v>
      </c>
      <c r="C20" s="374"/>
      <c r="D20" s="374"/>
      <c r="E20" s="374"/>
      <c r="F20" s="374"/>
      <c r="G20" s="374"/>
      <c r="H20" s="374"/>
      <c r="I20" s="374"/>
      <c r="J20" s="374"/>
      <c r="K20" s="374"/>
    </row>
    <row r="21" spans="2:13" x14ac:dyDescent="0.2">
      <c r="B21" s="44"/>
      <c r="C21" s="44"/>
      <c r="D21" s="44"/>
      <c r="E21" s="44"/>
      <c r="F21" s="44"/>
      <c r="G21" s="44"/>
      <c r="H21" s="44"/>
      <c r="I21" s="44"/>
      <c r="J21" s="44"/>
      <c r="K21" s="45"/>
    </row>
    <row r="22" spans="2:13" ht="12" customHeight="1" x14ac:dyDescent="0.2">
      <c r="B22" s="373" t="s">
        <v>596</v>
      </c>
      <c r="C22" s="373"/>
      <c r="D22" s="373"/>
      <c r="E22" s="373"/>
      <c r="F22" s="373"/>
      <c r="G22" s="373"/>
      <c r="H22" s="373"/>
      <c r="I22" s="373"/>
      <c r="J22" s="373"/>
      <c r="K22" s="373"/>
      <c r="L22" s="373"/>
      <c r="M22" s="373"/>
    </row>
    <row r="23" spans="2:13" ht="15" customHeight="1" x14ac:dyDescent="0.2">
      <c r="B23" s="373" t="s">
        <v>41</v>
      </c>
      <c r="C23" s="370" t="s">
        <v>544</v>
      </c>
      <c r="D23" s="371"/>
      <c r="E23" s="371"/>
      <c r="F23" s="371"/>
      <c r="G23" s="371"/>
      <c r="H23" s="371"/>
      <c r="I23" s="371"/>
      <c r="J23" s="371"/>
      <c r="K23" s="371"/>
      <c r="L23" s="372"/>
      <c r="M23" s="307"/>
    </row>
    <row r="24" spans="2:13" ht="36" x14ac:dyDescent="0.2">
      <c r="B24" s="373"/>
      <c r="C24" s="20" t="s">
        <v>540</v>
      </c>
      <c r="D24" s="20" t="s">
        <v>42</v>
      </c>
      <c r="E24" s="20" t="s">
        <v>553</v>
      </c>
      <c r="F24" s="20" t="s">
        <v>554</v>
      </c>
      <c r="G24" s="20" t="s">
        <v>542</v>
      </c>
      <c r="H24" s="20" t="s">
        <v>2</v>
      </c>
      <c r="I24" s="20" t="s">
        <v>43</v>
      </c>
      <c r="J24" s="20" t="s">
        <v>549</v>
      </c>
      <c r="K24" s="296" t="s">
        <v>550</v>
      </c>
      <c r="L24" s="296" t="s">
        <v>523</v>
      </c>
      <c r="M24" s="296" t="s">
        <v>641</v>
      </c>
    </row>
    <row r="25" spans="2:13" x14ac:dyDescent="0.2">
      <c r="B25" s="16" t="s">
        <v>46</v>
      </c>
      <c r="C25" s="16">
        <v>5800</v>
      </c>
      <c r="D25" s="16">
        <v>2133</v>
      </c>
      <c r="E25" s="16">
        <v>7933</v>
      </c>
      <c r="F25" s="174">
        <v>0.97841637888505184</v>
      </c>
      <c r="G25" s="16">
        <v>19056</v>
      </c>
      <c r="H25" s="16">
        <v>2415</v>
      </c>
      <c r="I25" s="16">
        <v>1153</v>
      </c>
      <c r="J25" s="308">
        <v>22624</v>
      </c>
      <c r="K25" s="17">
        <v>0.99289037128061086</v>
      </c>
      <c r="L25" s="16">
        <v>0</v>
      </c>
      <c r="M25" s="16">
        <v>30557</v>
      </c>
    </row>
    <row r="26" spans="2:13" x14ac:dyDescent="0.2">
      <c r="B26" s="16" t="s">
        <v>47</v>
      </c>
      <c r="C26" s="46">
        <v>26</v>
      </c>
      <c r="D26" s="46">
        <v>4</v>
      </c>
      <c r="E26" s="16">
        <v>30</v>
      </c>
      <c r="F26" s="174">
        <v>3.7000493339911199E-3</v>
      </c>
      <c r="G26" s="46">
        <v>40</v>
      </c>
      <c r="H26" s="16">
        <v>4</v>
      </c>
      <c r="I26" s="46">
        <v>1</v>
      </c>
      <c r="J26" s="308">
        <v>45</v>
      </c>
      <c r="K26" s="174">
        <v>1.9748968664969717E-3</v>
      </c>
      <c r="L26" s="46">
        <v>0</v>
      </c>
      <c r="M26" s="16">
        <v>75</v>
      </c>
    </row>
    <row r="27" spans="2:13" x14ac:dyDescent="0.2">
      <c r="B27" s="16" t="s">
        <v>48</v>
      </c>
      <c r="C27" s="46">
        <v>84</v>
      </c>
      <c r="D27" s="46">
        <v>18</v>
      </c>
      <c r="E27" s="16">
        <v>102</v>
      </c>
      <c r="F27" s="174">
        <v>1.2580167735569808E-2</v>
      </c>
      <c r="G27" s="46">
        <v>89</v>
      </c>
      <c r="H27" s="16">
        <v>11</v>
      </c>
      <c r="I27" s="46">
        <v>2</v>
      </c>
      <c r="J27" s="308">
        <v>102</v>
      </c>
      <c r="K27" s="174">
        <v>4.4764328973931362E-3</v>
      </c>
      <c r="L27" s="46">
        <v>0</v>
      </c>
      <c r="M27" s="16">
        <v>204</v>
      </c>
    </row>
    <row r="28" spans="2:13" x14ac:dyDescent="0.2">
      <c r="B28" s="16" t="s">
        <v>49</v>
      </c>
      <c r="C28" s="46">
        <v>35</v>
      </c>
      <c r="D28" s="46">
        <v>8</v>
      </c>
      <c r="E28" s="16">
        <v>43</v>
      </c>
      <c r="F28" s="174">
        <v>5.3034040453872715E-3</v>
      </c>
      <c r="G28" s="46">
        <v>15</v>
      </c>
      <c r="H28" s="16">
        <v>0</v>
      </c>
      <c r="I28" s="46">
        <v>0</v>
      </c>
      <c r="J28" s="308">
        <v>15</v>
      </c>
      <c r="K28" s="174">
        <v>6.5829895549899056E-4</v>
      </c>
      <c r="L28" s="46">
        <v>0</v>
      </c>
      <c r="M28" s="16">
        <v>58</v>
      </c>
    </row>
    <row r="29" spans="2:13" x14ac:dyDescent="0.2">
      <c r="B29" s="47" t="s">
        <v>39</v>
      </c>
      <c r="C29" s="46">
        <f t="shared" ref="C29" si="8">SUM(C25:C28)</f>
        <v>5945</v>
      </c>
      <c r="D29" s="46">
        <f t="shared" ref="D29:M29" si="9">SUM(D25:D28)</f>
        <v>2163</v>
      </c>
      <c r="E29" s="16">
        <f t="shared" si="9"/>
        <v>8108</v>
      </c>
      <c r="F29" s="174">
        <f t="shared" si="9"/>
        <v>1</v>
      </c>
      <c r="G29" s="47">
        <f t="shared" si="9"/>
        <v>19200</v>
      </c>
      <c r="H29" s="16">
        <f t="shared" si="9"/>
        <v>2430</v>
      </c>
      <c r="I29" s="47">
        <f t="shared" si="9"/>
        <v>1156</v>
      </c>
      <c r="J29" s="308">
        <f t="shared" si="9"/>
        <v>22786</v>
      </c>
      <c r="K29" s="173">
        <f t="shared" si="9"/>
        <v>1</v>
      </c>
      <c r="L29" s="47">
        <f t="shared" si="9"/>
        <v>0</v>
      </c>
      <c r="M29" s="47">
        <f t="shared" si="9"/>
        <v>30894</v>
      </c>
    </row>
    <row r="30" spans="2:13" ht="24" x14ac:dyDescent="0.2">
      <c r="B30" s="28" t="s">
        <v>45</v>
      </c>
      <c r="C30" s="29">
        <f>+C29/M29</f>
        <v>0.19243218747976953</v>
      </c>
      <c r="D30" s="29">
        <f>+D29/M29</f>
        <v>7.0013594872790838E-2</v>
      </c>
      <c r="E30" s="30">
        <f>+E29/M29</f>
        <v>0.26244578235256039</v>
      </c>
      <c r="F30" s="30"/>
      <c r="G30" s="29">
        <f>+G29/M29</f>
        <v>0.62147989900951639</v>
      </c>
      <c r="H30" s="29">
        <f>+H29/M29</f>
        <v>7.8656049718391921E-2</v>
      </c>
      <c r="I30" s="30">
        <f>+I29/M29</f>
        <v>3.7418268919531303E-2</v>
      </c>
      <c r="J30" s="30">
        <f>+J29/M29</f>
        <v>0.73755421764743967</v>
      </c>
      <c r="K30" s="30">
        <f>+K29/M29</f>
        <v>3.2368744740078979E-5</v>
      </c>
      <c r="L30" s="30">
        <f>+L29/M29</f>
        <v>0</v>
      </c>
      <c r="M30" s="30">
        <f>J30+L30+E30</f>
        <v>1</v>
      </c>
    </row>
    <row r="31" spans="2:13" x14ac:dyDescent="0.2">
      <c r="B31" s="21" t="s">
        <v>78</v>
      </c>
    </row>
    <row r="32" spans="2:13" x14ac:dyDescent="0.2">
      <c r="B32" s="21" t="s">
        <v>79</v>
      </c>
    </row>
  </sheetData>
  <mergeCells count="10">
    <mergeCell ref="C23:L23"/>
    <mergeCell ref="B8:M8"/>
    <mergeCell ref="B22:M22"/>
    <mergeCell ref="B5:K5"/>
    <mergeCell ref="B6:K6"/>
    <mergeCell ref="B19:K19"/>
    <mergeCell ref="B20:K20"/>
    <mergeCell ref="B23:B24"/>
    <mergeCell ref="B9:B10"/>
    <mergeCell ref="C9:L9"/>
  </mergeCells>
  <hyperlinks>
    <hyperlink ref="M5" location="'Índice PGU y SPS'!A1" display="Volver Sistema de Pensiones Solidarias" xr:uid="{48B1E2E8-004F-4179-BA46-79D434801DD8}"/>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6">
    <pageSetUpPr fitToPage="1"/>
  </sheetPr>
  <dimension ref="A1:P41"/>
  <sheetViews>
    <sheetView showGridLines="0" zoomScaleNormal="100" workbookViewId="0">
      <selection activeCell="M35" sqref="M35"/>
    </sheetView>
  </sheetViews>
  <sheetFormatPr baseColWidth="10" defaultRowHeight="12" x14ac:dyDescent="0.2"/>
  <cols>
    <col min="1" max="1" width="6" style="22" customWidth="1"/>
    <col min="2" max="2" width="18.140625" style="22" customWidth="1"/>
    <col min="3" max="9" width="12.28515625" style="22" customWidth="1"/>
    <col min="10" max="10" width="15.5703125" style="22" customWidth="1"/>
    <col min="11" max="11" width="13.7109375" style="22" customWidth="1"/>
    <col min="12" max="12" width="12.28515625" style="22" hidden="1" customWidth="1"/>
    <col min="13" max="13" width="12.28515625" style="22" customWidth="1"/>
    <col min="14" max="251" width="11.42578125" style="22"/>
    <col min="252" max="252" width="18.140625" style="22" customWidth="1"/>
    <col min="253" max="254" width="7.28515625" style="22" bestFit="1" customWidth="1"/>
    <col min="255" max="256" width="7.28515625" style="22" customWidth="1"/>
    <col min="257" max="258" width="7.28515625" style="22" bestFit="1" customWidth="1"/>
    <col min="259" max="261" width="7.28515625" style="22" customWidth="1"/>
    <col min="262" max="267" width="0" style="22" hidden="1" customWidth="1"/>
    <col min="268" max="268" width="10.28515625" style="22" customWidth="1"/>
    <col min="269" max="507" width="11.42578125" style="22"/>
    <col min="508" max="508" width="18.140625" style="22" customWidth="1"/>
    <col min="509" max="510" width="7.28515625" style="22" bestFit="1" customWidth="1"/>
    <col min="511" max="512" width="7.28515625" style="22" customWidth="1"/>
    <col min="513" max="514" width="7.28515625" style="22" bestFit="1" customWidth="1"/>
    <col min="515" max="517" width="7.28515625" style="22" customWidth="1"/>
    <col min="518" max="523" width="0" style="22" hidden="1" customWidth="1"/>
    <col min="524" max="524" width="10.28515625" style="22" customWidth="1"/>
    <col min="525" max="763" width="11.42578125" style="22"/>
    <col min="764" max="764" width="18.140625" style="22" customWidth="1"/>
    <col min="765" max="766" width="7.28515625" style="22" bestFit="1" customWidth="1"/>
    <col min="767" max="768" width="7.28515625" style="22" customWidth="1"/>
    <col min="769" max="770" width="7.28515625" style="22" bestFit="1" customWidth="1"/>
    <col min="771" max="773" width="7.28515625" style="22" customWidth="1"/>
    <col min="774" max="779" width="0" style="22" hidden="1" customWidth="1"/>
    <col min="780" max="780" width="10.28515625" style="22" customWidth="1"/>
    <col min="781" max="1019" width="11.42578125" style="22"/>
    <col min="1020" max="1020" width="18.140625" style="22" customWidth="1"/>
    <col min="1021" max="1022" width="7.28515625" style="22" bestFit="1" customWidth="1"/>
    <col min="1023" max="1024" width="7.28515625" style="22" customWidth="1"/>
    <col min="1025" max="1026" width="7.28515625" style="22" bestFit="1" customWidth="1"/>
    <col min="1027" max="1029" width="7.28515625" style="22" customWidth="1"/>
    <col min="1030" max="1035" width="0" style="22" hidden="1" customWidth="1"/>
    <col min="1036" max="1036" width="10.28515625" style="22" customWidth="1"/>
    <col min="1037" max="1275" width="11.42578125" style="22"/>
    <col min="1276" max="1276" width="18.140625" style="22" customWidth="1"/>
    <col min="1277" max="1278" width="7.28515625" style="22" bestFit="1" customWidth="1"/>
    <col min="1279" max="1280" width="7.28515625" style="22" customWidth="1"/>
    <col min="1281" max="1282" width="7.28515625" style="22" bestFit="1" customWidth="1"/>
    <col min="1283" max="1285" width="7.28515625" style="22" customWidth="1"/>
    <col min="1286" max="1291" width="0" style="22" hidden="1" customWidth="1"/>
    <col min="1292" max="1292" width="10.28515625" style="22" customWidth="1"/>
    <col min="1293" max="1531" width="11.42578125" style="22"/>
    <col min="1532" max="1532" width="18.140625" style="22" customWidth="1"/>
    <col min="1533" max="1534" width="7.28515625" style="22" bestFit="1" customWidth="1"/>
    <col min="1535" max="1536" width="7.28515625" style="22" customWidth="1"/>
    <col min="1537" max="1538" width="7.28515625" style="22" bestFit="1" customWidth="1"/>
    <col min="1539" max="1541" width="7.28515625" style="22" customWidth="1"/>
    <col min="1542" max="1547" width="0" style="22" hidden="1" customWidth="1"/>
    <col min="1548" max="1548" width="10.28515625" style="22" customWidth="1"/>
    <col min="1549" max="1787" width="11.42578125" style="22"/>
    <col min="1788" max="1788" width="18.140625" style="22" customWidth="1"/>
    <col min="1789" max="1790" width="7.28515625" style="22" bestFit="1" customWidth="1"/>
    <col min="1791" max="1792" width="7.28515625" style="22" customWidth="1"/>
    <col min="1793" max="1794" width="7.28515625" style="22" bestFit="1" customWidth="1"/>
    <col min="1795" max="1797" width="7.28515625" style="22" customWidth="1"/>
    <col min="1798" max="1803" width="0" style="22" hidden="1" customWidth="1"/>
    <col min="1804" max="1804" width="10.28515625" style="22" customWidth="1"/>
    <col min="1805" max="2043" width="11.42578125" style="22"/>
    <col min="2044" max="2044" width="18.140625" style="22" customWidth="1"/>
    <col min="2045" max="2046" width="7.28515625" style="22" bestFit="1" customWidth="1"/>
    <col min="2047" max="2048" width="7.28515625" style="22" customWidth="1"/>
    <col min="2049" max="2050" width="7.28515625" style="22" bestFit="1" customWidth="1"/>
    <col min="2051" max="2053" width="7.28515625" style="22" customWidth="1"/>
    <col min="2054" max="2059" width="0" style="22" hidden="1" customWidth="1"/>
    <col min="2060" max="2060" width="10.28515625" style="22" customWidth="1"/>
    <col min="2061" max="2299" width="11.42578125" style="22"/>
    <col min="2300" max="2300" width="18.140625" style="22" customWidth="1"/>
    <col min="2301" max="2302" width="7.28515625" style="22" bestFit="1" customWidth="1"/>
    <col min="2303" max="2304" width="7.28515625" style="22" customWidth="1"/>
    <col min="2305" max="2306" width="7.28515625" style="22" bestFit="1" customWidth="1"/>
    <col min="2307" max="2309" width="7.28515625" style="22" customWidth="1"/>
    <col min="2310" max="2315" width="0" style="22" hidden="1" customWidth="1"/>
    <col min="2316" max="2316" width="10.28515625" style="22" customWidth="1"/>
    <col min="2317" max="2555" width="11.42578125" style="22"/>
    <col min="2556" max="2556" width="18.140625" style="22" customWidth="1"/>
    <col min="2557" max="2558" width="7.28515625" style="22" bestFit="1" customWidth="1"/>
    <col min="2559" max="2560" width="7.28515625" style="22" customWidth="1"/>
    <col min="2561" max="2562" width="7.28515625" style="22" bestFit="1" customWidth="1"/>
    <col min="2563" max="2565" width="7.28515625" style="22" customWidth="1"/>
    <col min="2566" max="2571" width="0" style="22" hidden="1" customWidth="1"/>
    <col min="2572" max="2572" width="10.28515625" style="22" customWidth="1"/>
    <col min="2573" max="2811" width="11.42578125" style="22"/>
    <col min="2812" max="2812" width="18.140625" style="22" customWidth="1"/>
    <col min="2813" max="2814" width="7.28515625" style="22" bestFit="1" customWidth="1"/>
    <col min="2815" max="2816" width="7.28515625" style="22" customWidth="1"/>
    <col min="2817" max="2818" width="7.28515625" style="22" bestFit="1" customWidth="1"/>
    <col min="2819" max="2821" width="7.28515625" style="22" customWidth="1"/>
    <col min="2822" max="2827" width="0" style="22" hidden="1" customWidth="1"/>
    <col min="2828" max="2828" width="10.28515625" style="22" customWidth="1"/>
    <col min="2829" max="3067" width="11.42578125" style="22"/>
    <col min="3068" max="3068" width="18.140625" style="22" customWidth="1"/>
    <col min="3069" max="3070" width="7.28515625" style="22" bestFit="1" customWidth="1"/>
    <col min="3071" max="3072" width="7.28515625" style="22" customWidth="1"/>
    <col min="3073" max="3074" width="7.28515625" style="22" bestFit="1" customWidth="1"/>
    <col min="3075" max="3077" width="7.28515625" style="22" customWidth="1"/>
    <col min="3078" max="3083" width="0" style="22" hidden="1" customWidth="1"/>
    <col min="3084" max="3084" width="10.28515625" style="22" customWidth="1"/>
    <col min="3085" max="3323" width="11.42578125" style="22"/>
    <col min="3324" max="3324" width="18.140625" style="22" customWidth="1"/>
    <col min="3325" max="3326" width="7.28515625" style="22" bestFit="1" customWidth="1"/>
    <col min="3327" max="3328" width="7.28515625" style="22" customWidth="1"/>
    <col min="3329" max="3330" width="7.28515625" style="22" bestFit="1" customWidth="1"/>
    <col min="3331" max="3333" width="7.28515625" style="22" customWidth="1"/>
    <col min="3334" max="3339" width="0" style="22" hidden="1" customWidth="1"/>
    <col min="3340" max="3340" width="10.28515625" style="22" customWidth="1"/>
    <col min="3341" max="3579" width="11.42578125" style="22"/>
    <col min="3580" max="3580" width="18.140625" style="22" customWidth="1"/>
    <col min="3581" max="3582" width="7.28515625" style="22" bestFit="1" customWidth="1"/>
    <col min="3583" max="3584" width="7.28515625" style="22" customWidth="1"/>
    <col min="3585" max="3586" width="7.28515625" style="22" bestFit="1" customWidth="1"/>
    <col min="3587" max="3589" width="7.28515625" style="22" customWidth="1"/>
    <col min="3590" max="3595" width="0" style="22" hidden="1" customWidth="1"/>
    <col min="3596" max="3596" width="10.28515625" style="22" customWidth="1"/>
    <col min="3597" max="3835" width="11.42578125" style="22"/>
    <col min="3836" max="3836" width="18.140625" style="22" customWidth="1"/>
    <col min="3837" max="3838" width="7.28515625" style="22" bestFit="1" customWidth="1"/>
    <col min="3839" max="3840" width="7.28515625" style="22" customWidth="1"/>
    <col min="3841" max="3842" width="7.28515625" style="22" bestFit="1" customWidth="1"/>
    <col min="3843" max="3845" width="7.28515625" style="22" customWidth="1"/>
    <col min="3846" max="3851" width="0" style="22" hidden="1" customWidth="1"/>
    <col min="3852" max="3852" width="10.28515625" style="22" customWidth="1"/>
    <col min="3853" max="4091" width="11.42578125" style="22"/>
    <col min="4092" max="4092" width="18.140625" style="22" customWidth="1"/>
    <col min="4093" max="4094" width="7.28515625" style="22" bestFit="1" customWidth="1"/>
    <col min="4095" max="4096" width="7.28515625" style="22" customWidth="1"/>
    <col min="4097" max="4098" width="7.28515625" style="22" bestFit="1" customWidth="1"/>
    <col min="4099" max="4101" width="7.28515625" style="22" customWidth="1"/>
    <col min="4102" max="4107" width="0" style="22" hidden="1" customWidth="1"/>
    <col min="4108" max="4108" width="10.28515625" style="22" customWidth="1"/>
    <col min="4109" max="4347" width="11.42578125" style="22"/>
    <col min="4348" max="4348" width="18.140625" style="22" customWidth="1"/>
    <col min="4349" max="4350" width="7.28515625" style="22" bestFit="1" customWidth="1"/>
    <col min="4351" max="4352" width="7.28515625" style="22" customWidth="1"/>
    <col min="4353" max="4354" width="7.28515625" style="22" bestFit="1" customWidth="1"/>
    <col min="4355" max="4357" width="7.28515625" style="22" customWidth="1"/>
    <col min="4358" max="4363" width="0" style="22" hidden="1" customWidth="1"/>
    <col min="4364" max="4364" width="10.28515625" style="22" customWidth="1"/>
    <col min="4365" max="4603" width="11.42578125" style="22"/>
    <col min="4604" max="4604" width="18.140625" style="22" customWidth="1"/>
    <col min="4605" max="4606" width="7.28515625" style="22" bestFit="1" customWidth="1"/>
    <col min="4607" max="4608" width="7.28515625" style="22" customWidth="1"/>
    <col min="4609" max="4610" width="7.28515625" style="22" bestFit="1" customWidth="1"/>
    <col min="4611" max="4613" width="7.28515625" style="22" customWidth="1"/>
    <col min="4614" max="4619" width="0" style="22" hidden="1" customWidth="1"/>
    <col min="4620" max="4620" width="10.28515625" style="22" customWidth="1"/>
    <col min="4621" max="4859" width="11.42578125" style="22"/>
    <col min="4860" max="4860" width="18.140625" style="22" customWidth="1"/>
    <col min="4861" max="4862" width="7.28515625" style="22" bestFit="1" customWidth="1"/>
    <col min="4863" max="4864" width="7.28515625" style="22" customWidth="1"/>
    <col min="4865" max="4866" width="7.28515625" style="22" bestFit="1" customWidth="1"/>
    <col min="4867" max="4869" width="7.28515625" style="22" customWidth="1"/>
    <col min="4870" max="4875" width="0" style="22" hidden="1" customWidth="1"/>
    <col min="4876" max="4876" width="10.28515625" style="22" customWidth="1"/>
    <col min="4877" max="5115" width="11.42578125" style="22"/>
    <col min="5116" max="5116" width="18.140625" style="22" customWidth="1"/>
    <col min="5117" max="5118" width="7.28515625" style="22" bestFit="1" customWidth="1"/>
    <col min="5119" max="5120" width="7.28515625" style="22" customWidth="1"/>
    <col min="5121" max="5122" width="7.28515625" style="22" bestFit="1" customWidth="1"/>
    <col min="5123" max="5125" width="7.28515625" style="22" customWidth="1"/>
    <col min="5126" max="5131" width="0" style="22" hidden="1" customWidth="1"/>
    <col min="5132" max="5132" width="10.28515625" style="22" customWidth="1"/>
    <col min="5133" max="5371" width="11.42578125" style="22"/>
    <col min="5372" max="5372" width="18.140625" style="22" customWidth="1"/>
    <col min="5373" max="5374" width="7.28515625" style="22" bestFit="1" customWidth="1"/>
    <col min="5375" max="5376" width="7.28515625" style="22" customWidth="1"/>
    <col min="5377" max="5378" width="7.28515625" style="22" bestFit="1" customWidth="1"/>
    <col min="5379" max="5381" width="7.28515625" style="22" customWidth="1"/>
    <col min="5382" max="5387" width="0" style="22" hidden="1" customWidth="1"/>
    <col min="5388" max="5388" width="10.28515625" style="22" customWidth="1"/>
    <col min="5389" max="5627" width="11.42578125" style="22"/>
    <col min="5628" max="5628" width="18.140625" style="22" customWidth="1"/>
    <col min="5629" max="5630" width="7.28515625" style="22" bestFit="1" customWidth="1"/>
    <col min="5631" max="5632" width="7.28515625" style="22" customWidth="1"/>
    <col min="5633" max="5634" width="7.28515625" style="22" bestFit="1" customWidth="1"/>
    <col min="5635" max="5637" width="7.28515625" style="22" customWidth="1"/>
    <col min="5638" max="5643" width="0" style="22" hidden="1" customWidth="1"/>
    <col min="5644" max="5644" width="10.28515625" style="22" customWidth="1"/>
    <col min="5645" max="5883" width="11.42578125" style="22"/>
    <col min="5884" max="5884" width="18.140625" style="22" customWidth="1"/>
    <col min="5885" max="5886" width="7.28515625" style="22" bestFit="1" customWidth="1"/>
    <col min="5887" max="5888" width="7.28515625" style="22" customWidth="1"/>
    <col min="5889" max="5890" width="7.28515625" style="22" bestFit="1" customWidth="1"/>
    <col min="5891" max="5893" width="7.28515625" style="22" customWidth="1"/>
    <col min="5894" max="5899" width="0" style="22" hidden="1" customWidth="1"/>
    <col min="5900" max="5900" width="10.28515625" style="22" customWidth="1"/>
    <col min="5901" max="6139" width="11.42578125" style="22"/>
    <col min="6140" max="6140" width="18.140625" style="22" customWidth="1"/>
    <col min="6141" max="6142" width="7.28515625" style="22" bestFit="1" customWidth="1"/>
    <col min="6143" max="6144" width="7.28515625" style="22" customWidth="1"/>
    <col min="6145" max="6146" width="7.28515625" style="22" bestFit="1" customWidth="1"/>
    <col min="6147" max="6149" width="7.28515625" style="22" customWidth="1"/>
    <col min="6150" max="6155" width="0" style="22" hidden="1" customWidth="1"/>
    <col min="6156" max="6156" width="10.28515625" style="22" customWidth="1"/>
    <col min="6157" max="6395" width="11.42578125" style="22"/>
    <col min="6396" max="6396" width="18.140625" style="22" customWidth="1"/>
    <col min="6397" max="6398" width="7.28515625" style="22" bestFit="1" customWidth="1"/>
    <col min="6399" max="6400" width="7.28515625" style="22" customWidth="1"/>
    <col min="6401" max="6402" width="7.28515625" style="22" bestFit="1" customWidth="1"/>
    <col min="6403" max="6405" width="7.28515625" style="22" customWidth="1"/>
    <col min="6406" max="6411" width="0" style="22" hidden="1" customWidth="1"/>
    <col min="6412" max="6412" width="10.28515625" style="22" customWidth="1"/>
    <col min="6413" max="6651" width="11.42578125" style="22"/>
    <col min="6652" max="6652" width="18.140625" style="22" customWidth="1"/>
    <col min="6653" max="6654" width="7.28515625" style="22" bestFit="1" customWidth="1"/>
    <col min="6655" max="6656" width="7.28515625" style="22" customWidth="1"/>
    <col min="6657" max="6658" width="7.28515625" style="22" bestFit="1" customWidth="1"/>
    <col min="6659" max="6661" width="7.28515625" style="22" customWidth="1"/>
    <col min="6662" max="6667" width="0" style="22" hidden="1" customWidth="1"/>
    <col min="6668" max="6668" width="10.28515625" style="22" customWidth="1"/>
    <col min="6669" max="6907" width="11.42578125" style="22"/>
    <col min="6908" max="6908" width="18.140625" style="22" customWidth="1"/>
    <col min="6909" max="6910" width="7.28515625" style="22" bestFit="1" customWidth="1"/>
    <col min="6911" max="6912" width="7.28515625" style="22" customWidth="1"/>
    <col min="6913" max="6914" width="7.28515625" style="22" bestFit="1" customWidth="1"/>
    <col min="6915" max="6917" width="7.28515625" style="22" customWidth="1"/>
    <col min="6918" max="6923" width="0" style="22" hidden="1" customWidth="1"/>
    <col min="6924" max="6924" width="10.28515625" style="22" customWidth="1"/>
    <col min="6925" max="7163" width="11.42578125" style="22"/>
    <col min="7164" max="7164" width="18.140625" style="22" customWidth="1"/>
    <col min="7165" max="7166" width="7.28515625" style="22" bestFit="1" customWidth="1"/>
    <col min="7167" max="7168" width="7.28515625" style="22" customWidth="1"/>
    <col min="7169" max="7170" width="7.28515625" style="22" bestFit="1" customWidth="1"/>
    <col min="7171" max="7173" width="7.28515625" style="22" customWidth="1"/>
    <col min="7174" max="7179" width="0" style="22" hidden="1" customWidth="1"/>
    <col min="7180" max="7180" width="10.28515625" style="22" customWidth="1"/>
    <col min="7181" max="7419" width="11.42578125" style="22"/>
    <col min="7420" max="7420" width="18.140625" style="22" customWidth="1"/>
    <col min="7421" max="7422" width="7.28515625" style="22" bestFit="1" customWidth="1"/>
    <col min="7423" max="7424" width="7.28515625" style="22" customWidth="1"/>
    <col min="7425" max="7426" width="7.28515625" style="22" bestFit="1" customWidth="1"/>
    <col min="7427" max="7429" width="7.28515625" style="22" customWidth="1"/>
    <col min="7430" max="7435" width="0" style="22" hidden="1" customWidth="1"/>
    <col min="7436" max="7436" width="10.28515625" style="22" customWidth="1"/>
    <col min="7437" max="7675" width="11.42578125" style="22"/>
    <col min="7676" max="7676" width="18.140625" style="22" customWidth="1"/>
    <col min="7677" max="7678" width="7.28515625" style="22" bestFit="1" customWidth="1"/>
    <col min="7679" max="7680" width="7.28515625" style="22" customWidth="1"/>
    <col min="7681" max="7682" width="7.28515625" style="22" bestFit="1" customWidth="1"/>
    <col min="7683" max="7685" width="7.28515625" style="22" customWidth="1"/>
    <col min="7686" max="7691" width="0" style="22" hidden="1" customWidth="1"/>
    <col min="7692" max="7692" width="10.28515625" style="22" customWidth="1"/>
    <col min="7693" max="7931" width="11.42578125" style="22"/>
    <col min="7932" max="7932" width="18.140625" style="22" customWidth="1"/>
    <col min="7933" max="7934" width="7.28515625" style="22" bestFit="1" customWidth="1"/>
    <col min="7935" max="7936" width="7.28515625" style="22" customWidth="1"/>
    <col min="7937" max="7938" width="7.28515625" style="22" bestFit="1" customWidth="1"/>
    <col min="7939" max="7941" width="7.28515625" style="22" customWidth="1"/>
    <col min="7942" max="7947" width="0" style="22" hidden="1" customWidth="1"/>
    <col min="7948" max="7948" width="10.28515625" style="22" customWidth="1"/>
    <col min="7949" max="8187" width="11.42578125" style="22"/>
    <col min="8188" max="8188" width="18.140625" style="22" customWidth="1"/>
    <col min="8189" max="8190" width="7.28515625" style="22" bestFit="1" customWidth="1"/>
    <col min="8191" max="8192" width="7.28515625" style="22" customWidth="1"/>
    <col min="8193" max="8194" width="7.28515625" style="22" bestFit="1" customWidth="1"/>
    <col min="8195" max="8197" width="7.28515625" style="22" customWidth="1"/>
    <col min="8198" max="8203" width="0" style="22" hidden="1" customWidth="1"/>
    <col min="8204" max="8204" width="10.28515625" style="22" customWidth="1"/>
    <col min="8205" max="8443" width="11.42578125" style="22"/>
    <col min="8444" max="8444" width="18.140625" style="22" customWidth="1"/>
    <col min="8445" max="8446" width="7.28515625" style="22" bestFit="1" customWidth="1"/>
    <col min="8447" max="8448" width="7.28515625" style="22" customWidth="1"/>
    <col min="8449" max="8450" width="7.28515625" style="22" bestFit="1" customWidth="1"/>
    <col min="8451" max="8453" width="7.28515625" style="22" customWidth="1"/>
    <col min="8454" max="8459" width="0" style="22" hidden="1" customWidth="1"/>
    <col min="8460" max="8460" width="10.28515625" style="22" customWidth="1"/>
    <col min="8461" max="8699" width="11.42578125" style="22"/>
    <col min="8700" max="8700" width="18.140625" style="22" customWidth="1"/>
    <col min="8701" max="8702" width="7.28515625" style="22" bestFit="1" customWidth="1"/>
    <col min="8703" max="8704" width="7.28515625" style="22" customWidth="1"/>
    <col min="8705" max="8706" width="7.28515625" style="22" bestFit="1" customWidth="1"/>
    <col min="8707" max="8709" width="7.28515625" style="22" customWidth="1"/>
    <col min="8710" max="8715" width="0" style="22" hidden="1" customWidth="1"/>
    <col min="8716" max="8716" width="10.28515625" style="22" customWidth="1"/>
    <col min="8717" max="8955" width="11.42578125" style="22"/>
    <col min="8956" max="8956" width="18.140625" style="22" customWidth="1"/>
    <col min="8957" max="8958" width="7.28515625" style="22" bestFit="1" customWidth="1"/>
    <col min="8959" max="8960" width="7.28515625" style="22" customWidth="1"/>
    <col min="8961" max="8962" width="7.28515625" style="22" bestFit="1" customWidth="1"/>
    <col min="8963" max="8965" width="7.28515625" style="22" customWidth="1"/>
    <col min="8966" max="8971" width="0" style="22" hidden="1" customWidth="1"/>
    <col min="8972" max="8972" width="10.28515625" style="22" customWidth="1"/>
    <col min="8973" max="9211" width="11.42578125" style="22"/>
    <col min="9212" max="9212" width="18.140625" style="22" customWidth="1"/>
    <col min="9213" max="9214" width="7.28515625" style="22" bestFit="1" customWidth="1"/>
    <col min="9215" max="9216" width="7.28515625" style="22" customWidth="1"/>
    <col min="9217" max="9218" width="7.28515625" style="22" bestFit="1" customWidth="1"/>
    <col min="9219" max="9221" width="7.28515625" style="22" customWidth="1"/>
    <col min="9222" max="9227" width="0" style="22" hidden="1" customWidth="1"/>
    <col min="9228" max="9228" width="10.28515625" style="22" customWidth="1"/>
    <col min="9229" max="9467" width="11.42578125" style="22"/>
    <col min="9468" max="9468" width="18.140625" style="22" customWidth="1"/>
    <col min="9469" max="9470" width="7.28515625" style="22" bestFit="1" customWidth="1"/>
    <col min="9471" max="9472" width="7.28515625" style="22" customWidth="1"/>
    <col min="9473" max="9474" width="7.28515625" style="22" bestFit="1" customWidth="1"/>
    <col min="9475" max="9477" width="7.28515625" style="22" customWidth="1"/>
    <col min="9478" max="9483" width="0" style="22" hidden="1" customWidth="1"/>
    <col min="9484" max="9484" width="10.28515625" style="22" customWidth="1"/>
    <col min="9485" max="9723" width="11.42578125" style="22"/>
    <col min="9724" max="9724" width="18.140625" style="22" customWidth="1"/>
    <col min="9725" max="9726" width="7.28515625" style="22" bestFit="1" customWidth="1"/>
    <col min="9727" max="9728" width="7.28515625" style="22" customWidth="1"/>
    <col min="9729" max="9730" width="7.28515625" style="22" bestFit="1" customWidth="1"/>
    <col min="9731" max="9733" width="7.28515625" style="22" customWidth="1"/>
    <col min="9734" max="9739" width="0" style="22" hidden="1" customWidth="1"/>
    <col min="9740" max="9740" width="10.28515625" style="22" customWidth="1"/>
    <col min="9741" max="9979" width="11.42578125" style="22"/>
    <col min="9980" max="9980" width="18.140625" style="22" customWidth="1"/>
    <col min="9981" max="9982" width="7.28515625" style="22" bestFit="1" customWidth="1"/>
    <col min="9983" max="9984" width="7.28515625" style="22" customWidth="1"/>
    <col min="9985" max="9986" width="7.28515625" style="22" bestFit="1" customWidth="1"/>
    <col min="9987" max="9989" width="7.28515625" style="22" customWidth="1"/>
    <col min="9990" max="9995" width="0" style="22" hidden="1" customWidth="1"/>
    <col min="9996" max="9996" width="10.28515625" style="22" customWidth="1"/>
    <col min="9997" max="10235" width="11.42578125" style="22"/>
    <col min="10236" max="10236" width="18.140625" style="22" customWidth="1"/>
    <col min="10237" max="10238" width="7.28515625" style="22" bestFit="1" customWidth="1"/>
    <col min="10239" max="10240" width="7.28515625" style="22" customWidth="1"/>
    <col min="10241" max="10242" width="7.28515625" style="22" bestFit="1" customWidth="1"/>
    <col min="10243" max="10245" width="7.28515625" style="22" customWidth="1"/>
    <col min="10246" max="10251" width="0" style="22" hidden="1" customWidth="1"/>
    <col min="10252" max="10252" width="10.28515625" style="22" customWidth="1"/>
    <col min="10253" max="10491" width="11.42578125" style="22"/>
    <col min="10492" max="10492" width="18.140625" style="22" customWidth="1"/>
    <col min="10493" max="10494" width="7.28515625" style="22" bestFit="1" customWidth="1"/>
    <col min="10495" max="10496" width="7.28515625" style="22" customWidth="1"/>
    <col min="10497" max="10498" width="7.28515625" style="22" bestFit="1" customWidth="1"/>
    <col min="10499" max="10501" width="7.28515625" style="22" customWidth="1"/>
    <col min="10502" max="10507" width="0" style="22" hidden="1" customWidth="1"/>
    <col min="10508" max="10508" width="10.28515625" style="22" customWidth="1"/>
    <col min="10509" max="10747" width="11.42578125" style="22"/>
    <col min="10748" max="10748" width="18.140625" style="22" customWidth="1"/>
    <col min="10749" max="10750" width="7.28515625" style="22" bestFit="1" customWidth="1"/>
    <col min="10751" max="10752" width="7.28515625" style="22" customWidth="1"/>
    <col min="10753" max="10754" width="7.28515625" style="22" bestFit="1" customWidth="1"/>
    <col min="10755" max="10757" width="7.28515625" style="22" customWidth="1"/>
    <col min="10758" max="10763" width="0" style="22" hidden="1" customWidth="1"/>
    <col min="10764" max="10764" width="10.28515625" style="22" customWidth="1"/>
    <col min="10765" max="11003" width="11.42578125" style="22"/>
    <col min="11004" max="11004" width="18.140625" style="22" customWidth="1"/>
    <col min="11005" max="11006" width="7.28515625" style="22" bestFit="1" customWidth="1"/>
    <col min="11007" max="11008" width="7.28515625" style="22" customWidth="1"/>
    <col min="11009" max="11010" width="7.28515625" style="22" bestFit="1" customWidth="1"/>
    <col min="11011" max="11013" width="7.28515625" style="22" customWidth="1"/>
    <col min="11014" max="11019" width="0" style="22" hidden="1" customWidth="1"/>
    <col min="11020" max="11020" width="10.28515625" style="22" customWidth="1"/>
    <col min="11021" max="11259" width="11.42578125" style="22"/>
    <col min="11260" max="11260" width="18.140625" style="22" customWidth="1"/>
    <col min="11261" max="11262" width="7.28515625" style="22" bestFit="1" customWidth="1"/>
    <col min="11263" max="11264" width="7.28515625" style="22" customWidth="1"/>
    <col min="11265" max="11266" width="7.28515625" style="22" bestFit="1" customWidth="1"/>
    <col min="11267" max="11269" width="7.28515625" style="22" customWidth="1"/>
    <col min="11270" max="11275" width="0" style="22" hidden="1" customWidth="1"/>
    <col min="11276" max="11276" width="10.28515625" style="22" customWidth="1"/>
    <col min="11277" max="11515" width="11.42578125" style="22"/>
    <col min="11516" max="11516" width="18.140625" style="22" customWidth="1"/>
    <col min="11517" max="11518" width="7.28515625" style="22" bestFit="1" customWidth="1"/>
    <col min="11519" max="11520" width="7.28515625" style="22" customWidth="1"/>
    <col min="11521" max="11522" width="7.28515625" style="22" bestFit="1" customWidth="1"/>
    <col min="11523" max="11525" width="7.28515625" style="22" customWidth="1"/>
    <col min="11526" max="11531" width="0" style="22" hidden="1" customWidth="1"/>
    <col min="11532" max="11532" width="10.28515625" style="22" customWidth="1"/>
    <col min="11533" max="11771" width="11.42578125" style="22"/>
    <col min="11772" max="11772" width="18.140625" style="22" customWidth="1"/>
    <col min="11773" max="11774" width="7.28515625" style="22" bestFit="1" customWidth="1"/>
    <col min="11775" max="11776" width="7.28515625" style="22" customWidth="1"/>
    <col min="11777" max="11778" width="7.28515625" style="22" bestFit="1" customWidth="1"/>
    <col min="11779" max="11781" width="7.28515625" style="22" customWidth="1"/>
    <col min="11782" max="11787" width="0" style="22" hidden="1" customWidth="1"/>
    <col min="11788" max="11788" width="10.28515625" style="22" customWidth="1"/>
    <col min="11789" max="12027" width="11.42578125" style="22"/>
    <col min="12028" max="12028" width="18.140625" style="22" customWidth="1"/>
    <col min="12029" max="12030" width="7.28515625" style="22" bestFit="1" customWidth="1"/>
    <col min="12031" max="12032" width="7.28515625" style="22" customWidth="1"/>
    <col min="12033" max="12034" width="7.28515625" style="22" bestFit="1" customWidth="1"/>
    <col min="12035" max="12037" width="7.28515625" style="22" customWidth="1"/>
    <col min="12038" max="12043" width="0" style="22" hidden="1" customWidth="1"/>
    <col min="12044" max="12044" width="10.28515625" style="22" customWidth="1"/>
    <col min="12045" max="12283" width="11.42578125" style="22"/>
    <col min="12284" max="12284" width="18.140625" style="22" customWidth="1"/>
    <col min="12285" max="12286" width="7.28515625" style="22" bestFit="1" customWidth="1"/>
    <col min="12287" max="12288" width="7.28515625" style="22" customWidth="1"/>
    <col min="12289" max="12290" width="7.28515625" style="22" bestFit="1" customWidth="1"/>
    <col min="12291" max="12293" width="7.28515625" style="22" customWidth="1"/>
    <col min="12294" max="12299" width="0" style="22" hidden="1" customWidth="1"/>
    <col min="12300" max="12300" width="10.28515625" style="22" customWidth="1"/>
    <col min="12301" max="12539" width="11.42578125" style="22"/>
    <col min="12540" max="12540" width="18.140625" style="22" customWidth="1"/>
    <col min="12541" max="12542" width="7.28515625" style="22" bestFit="1" customWidth="1"/>
    <col min="12543" max="12544" width="7.28515625" style="22" customWidth="1"/>
    <col min="12545" max="12546" width="7.28515625" style="22" bestFit="1" customWidth="1"/>
    <col min="12547" max="12549" width="7.28515625" style="22" customWidth="1"/>
    <col min="12550" max="12555" width="0" style="22" hidden="1" customWidth="1"/>
    <col min="12556" max="12556" width="10.28515625" style="22" customWidth="1"/>
    <col min="12557" max="12795" width="11.42578125" style="22"/>
    <col min="12796" max="12796" width="18.140625" style="22" customWidth="1"/>
    <col min="12797" max="12798" width="7.28515625" style="22" bestFit="1" customWidth="1"/>
    <col min="12799" max="12800" width="7.28515625" style="22" customWidth="1"/>
    <col min="12801" max="12802" width="7.28515625" style="22" bestFit="1" customWidth="1"/>
    <col min="12803" max="12805" width="7.28515625" style="22" customWidth="1"/>
    <col min="12806" max="12811" width="0" style="22" hidden="1" customWidth="1"/>
    <col min="12812" max="12812" width="10.28515625" style="22" customWidth="1"/>
    <col min="12813" max="13051" width="11.42578125" style="22"/>
    <col min="13052" max="13052" width="18.140625" style="22" customWidth="1"/>
    <col min="13053" max="13054" width="7.28515625" style="22" bestFit="1" customWidth="1"/>
    <col min="13055" max="13056" width="7.28515625" style="22" customWidth="1"/>
    <col min="13057" max="13058" width="7.28515625" style="22" bestFit="1" customWidth="1"/>
    <col min="13059" max="13061" width="7.28515625" style="22" customWidth="1"/>
    <col min="13062" max="13067" width="0" style="22" hidden="1" customWidth="1"/>
    <col min="13068" max="13068" width="10.28515625" style="22" customWidth="1"/>
    <col min="13069" max="13307" width="11.42578125" style="22"/>
    <col min="13308" max="13308" width="18.140625" style="22" customWidth="1"/>
    <col min="13309" max="13310" width="7.28515625" style="22" bestFit="1" customWidth="1"/>
    <col min="13311" max="13312" width="7.28515625" style="22" customWidth="1"/>
    <col min="13313" max="13314" width="7.28515625" style="22" bestFit="1" customWidth="1"/>
    <col min="13315" max="13317" width="7.28515625" style="22" customWidth="1"/>
    <col min="13318" max="13323" width="0" style="22" hidden="1" customWidth="1"/>
    <col min="13324" max="13324" width="10.28515625" style="22" customWidth="1"/>
    <col min="13325" max="13563" width="11.42578125" style="22"/>
    <col min="13564" max="13564" width="18.140625" style="22" customWidth="1"/>
    <col min="13565" max="13566" width="7.28515625" style="22" bestFit="1" customWidth="1"/>
    <col min="13567" max="13568" width="7.28515625" style="22" customWidth="1"/>
    <col min="13569" max="13570" width="7.28515625" style="22" bestFit="1" customWidth="1"/>
    <col min="13571" max="13573" width="7.28515625" style="22" customWidth="1"/>
    <col min="13574" max="13579" width="0" style="22" hidden="1" customWidth="1"/>
    <col min="13580" max="13580" width="10.28515625" style="22" customWidth="1"/>
    <col min="13581" max="13819" width="11.42578125" style="22"/>
    <col min="13820" max="13820" width="18.140625" style="22" customWidth="1"/>
    <col min="13821" max="13822" width="7.28515625" style="22" bestFit="1" customWidth="1"/>
    <col min="13823" max="13824" width="7.28515625" style="22" customWidth="1"/>
    <col min="13825" max="13826" width="7.28515625" style="22" bestFit="1" customWidth="1"/>
    <col min="13827" max="13829" width="7.28515625" style="22" customWidth="1"/>
    <col min="13830" max="13835" width="0" style="22" hidden="1" customWidth="1"/>
    <col min="13836" max="13836" width="10.28515625" style="22" customWidth="1"/>
    <col min="13837" max="14075" width="11.42578125" style="22"/>
    <col min="14076" max="14076" width="18.140625" style="22" customWidth="1"/>
    <col min="14077" max="14078" width="7.28515625" style="22" bestFit="1" customWidth="1"/>
    <col min="14079" max="14080" width="7.28515625" style="22" customWidth="1"/>
    <col min="14081" max="14082" width="7.28515625" style="22" bestFit="1" customWidth="1"/>
    <col min="14083" max="14085" width="7.28515625" style="22" customWidth="1"/>
    <col min="14086" max="14091" width="0" style="22" hidden="1" customWidth="1"/>
    <col min="14092" max="14092" width="10.28515625" style="22" customWidth="1"/>
    <col min="14093" max="14331" width="11.42578125" style="22"/>
    <col min="14332" max="14332" width="18.140625" style="22" customWidth="1"/>
    <col min="14333" max="14334" width="7.28515625" style="22" bestFit="1" customWidth="1"/>
    <col min="14335" max="14336" width="7.28515625" style="22" customWidth="1"/>
    <col min="14337" max="14338" width="7.28515625" style="22" bestFit="1" customWidth="1"/>
    <col min="14339" max="14341" width="7.28515625" style="22" customWidth="1"/>
    <col min="14342" max="14347" width="0" style="22" hidden="1" customWidth="1"/>
    <col min="14348" max="14348" width="10.28515625" style="22" customWidth="1"/>
    <col min="14349" max="14587" width="11.42578125" style="22"/>
    <col min="14588" max="14588" width="18.140625" style="22" customWidth="1"/>
    <col min="14589" max="14590" width="7.28515625" style="22" bestFit="1" customWidth="1"/>
    <col min="14591" max="14592" width="7.28515625" style="22" customWidth="1"/>
    <col min="14593" max="14594" width="7.28515625" style="22" bestFit="1" customWidth="1"/>
    <col min="14595" max="14597" width="7.28515625" style="22" customWidth="1"/>
    <col min="14598" max="14603" width="0" style="22" hidden="1" customWidth="1"/>
    <col min="14604" max="14604" width="10.28515625" style="22" customWidth="1"/>
    <col min="14605" max="14843" width="11.42578125" style="22"/>
    <col min="14844" max="14844" width="18.140625" style="22" customWidth="1"/>
    <col min="14845" max="14846" width="7.28515625" style="22" bestFit="1" customWidth="1"/>
    <col min="14847" max="14848" width="7.28515625" style="22" customWidth="1"/>
    <col min="14849" max="14850" width="7.28515625" style="22" bestFit="1" customWidth="1"/>
    <col min="14851" max="14853" width="7.28515625" style="22" customWidth="1"/>
    <col min="14854" max="14859" width="0" style="22" hidden="1" customWidth="1"/>
    <col min="14860" max="14860" width="10.28515625" style="22" customWidth="1"/>
    <col min="14861" max="15099" width="11.42578125" style="22"/>
    <col min="15100" max="15100" width="18.140625" style="22" customWidth="1"/>
    <col min="15101" max="15102" width="7.28515625" style="22" bestFit="1" customWidth="1"/>
    <col min="15103" max="15104" width="7.28515625" style="22" customWidth="1"/>
    <col min="15105" max="15106" width="7.28515625" style="22" bestFit="1" customWidth="1"/>
    <col min="15107" max="15109" width="7.28515625" style="22" customWidth="1"/>
    <col min="15110" max="15115" width="0" style="22" hidden="1" customWidth="1"/>
    <col min="15116" max="15116" width="10.28515625" style="22" customWidth="1"/>
    <col min="15117" max="15355" width="11.42578125" style="22"/>
    <col min="15356" max="15356" width="18.140625" style="22" customWidth="1"/>
    <col min="15357" max="15358" width="7.28515625" style="22" bestFit="1" customWidth="1"/>
    <col min="15359" max="15360" width="7.28515625" style="22" customWidth="1"/>
    <col min="15361" max="15362" width="7.28515625" style="22" bestFit="1" customWidth="1"/>
    <col min="15363" max="15365" width="7.28515625" style="22" customWidth="1"/>
    <col min="15366" max="15371" width="0" style="22" hidden="1" customWidth="1"/>
    <col min="15372" max="15372" width="10.28515625" style="22" customWidth="1"/>
    <col min="15373" max="15611" width="11.42578125" style="22"/>
    <col min="15612" max="15612" width="18.140625" style="22" customWidth="1"/>
    <col min="15613" max="15614" width="7.28515625" style="22" bestFit="1" customWidth="1"/>
    <col min="15615" max="15616" width="7.28515625" style="22" customWidth="1"/>
    <col min="15617" max="15618" width="7.28515625" style="22" bestFit="1" customWidth="1"/>
    <col min="15619" max="15621" width="7.28515625" style="22" customWidth="1"/>
    <col min="15622" max="15627" width="0" style="22" hidden="1" customWidth="1"/>
    <col min="15628" max="15628" width="10.28515625" style="22" customWidth="1"/>
    <col min="15629" max="15867" width="11.42578125" style="22"/>
    <col min="15868" max="15868" width="18.140625" style="22" customWidth="1"/>
    <col min="15869" max="15870" width="7.28515625" style="22" bestFit="1" customWidth="1"/>
    <col min="15871" max="15872" width="7.28515625" style="22" customWidth="1"/>
    <col min="15873" max="15874" width="7.28515625" style="22" bestFit="1" customWidth="1"/>
    <col min="15875" max="15877" width="7.28515625" style="22" customWidth="1"/>
    <col min="15878" max="15883" width="0" style="22" hidden="1" customWidth="1"/>
    <col min="15884" max="15884" width="10.28515625" style="22" customWidth="1"/>
    <col min="15885" max="16123" width="11.42578125" style="22"/>
    <col min="16124" max="16124" width="18.140625" style="22" customWidth="1"/>
    <col min="16125" max="16126" width="7.28515625" style="22" bestFit="1" customWidth="1"/>
    <col min="16127" max="16128" width="7.28515625" style="22" customWidth="1"/>
    <col min="16129" max="16130" width="7.28515625" style="22" bestFit="1" customWidth="1"/>
    <col min="16131" max="16133" width="7.28515625" style="22" customWidth="1"/>
    <col min="16134" max="16139" width="0" style="22" hidden="1" customWidth="1"/>
    <col min="16140" max="16140" width="10.28515625" style="22" customWidth="1"/>
    <col min="16141" max="16384" width="11.42578125" style="22"/>
  </cols>
  <sheetData>
    <row r="1" spans="1:16" s="23" customFormat="1" x14ac:dyDescent="0.2"/>
    <row r="2" spans="1:16" s="23" customFormat="1" x14ac:dyDescent="0.2">
      <c r="A2" s="40" t="s">
        <v>58</v>
      </c>
    </row>
    <row r="3" spans="1:16" s="23" customFormat="1" x14ac:dyDescent="0.2">
      <c r="A3" s="40" t="s">
        <v>59</v>
      </c>
    </row>
    <row r="4" spans="1:16" s="23" customFormat="1" x14ac:dyDescent="0.2"/>
    <row r="5" spans="1:16" s="23" customFormat="1" ht="12.75" x14ac:dyDescent="0.2">
      <c r="B5" s="344" t="s">
        <v>563</v>
      </c>
      <c r="C5" s="344"/>
      <c r="D5" s="344"/>
      <c r="E5" s="344"/>
      <c r="F5" s="344"/>
      <c r="G5" s="344"/>
      <c r="H5" s="344"/>
      <c r="I5" s="344"/>
      <c r="J5" s="344"/>
      <c r="K5" s="344"/>
      <c r="M5" s="110" t="s">
        <v>509</v>
      </c>
      <c r="O5" s="89"/>
    </row>
    <row r="6" spans="1:16" s="23" customFormat="1" ht="12.75" x14ac:dyDescent="0.2">
      <c r="B6" s="374" t="str">
        <f>'Solicitudes Regiones'!$B$6:$R$6</f>
        <v>Julio de 2008 a junio de 2022</v>
      </c>
      <c r="C6" s="374"/>
      <c r="D6" s="374"/>
      <c r="E6" s="374"/>
      <c r="F6" s="374"/>
      <c r="G6" s="374"/>
      <c r="H6" s="374"/>
      <c r="I6" s="374"/>
      <c r="J6" s="374"/>
      <c r="K6" s="374"/>
    </row>
    <row r="7" spans="1:16" x14ac:dyDescent="0.2">
      <c r="B7" s="24"/>
    </row>
    <row r="8" spans="1:16" ht="15" customHeight="1" x14ac:dyDescent="0.2">
      <c r="B8" s="373" t="s">
        <v>595</v>
      </c>
      <c r="C8" s="373"/>
      <c r="D8" s="373"/>
      <c r="E8" s="373"/>
      <c r="F8" s="373"/>
      <c r="G8" s="373"/>
      <c r="H8" s="373"/>
      <c r="I8" s="373"/>
      <c r="J8" s="373"/>
      <c r="K8" s="373"/>
      <c r="L8" s="373"/>
      <c r="M8" s="373"/>
    </row>
    <row r="9" spans="1:16" ht="21" customHeight="1" x14ac:dyDescent="0.2">
      <c r="B9" s="373" t="s">
        <v>41</v>
      </c>
      <c r="C9" s="370" t="s">
        <v>544</v>
      </c>
      <c r="D9" s="371"/>
      <c r="E9" s="371"/>
      <c r="F9" s="371"/>
      <c r="G9" s="371"/>
      <c r="H9" s="371"/>
      <c r="I9" s="371"/>
      <c r="J9" s="371"/>
      <c r="K9" s="371"/>
      <c r="L9" s="372"/>
      <c r="M9" s="307"/>
    </row>
    <row r="10" spans="1:16" ht="36" x14ac:dyDescent="0.2">
      <c r="B10" s="373"/>
      <c r="C10" s="20" t="s">
        <v>540</v>
      </c>
      <c r="D10" s="20" t="s">
        <v>42</v>
      </c>
      <c r="E10" s="20" t="s">
        <v>553</v>
      </c>
      <c r="F10" s="20" t="s">
        <v>554</v>
      </c>
      <c r="G10" s="20" t="s">
        <v>542</v>
      </c>
      <c r="H10" s="20" t="s">
        <v>2</v>
      </c>
      <c r="I10" s="20" t="s">
        <v>43</v>
      </c>
      <c r="J10" s="20" t="s">
        <v>549</v>
      </c>
      <c r="K10" s="296" t="s">
        <v>550</v>
      </c>
      <c r="L10" s="296" t="s">
        <v>523</v>
      </c>
      <c r="M10" s="296" t="s">
        <v>641</v>
      </c>
    </row>
    <row r="11" spans="1:16" x14ac:dyDescent="0.2">
      <c r="B11" s="16" t="s">
        <v>80</v>
      </c>
      <c r="C11" s="16">
        <v>4840</v>
      </c>
      <c r="D11" s="16">
        <v>2954</v>
      </c>
      <c r="E11" s="16">
        <f>C11+D11</f>
        <v>7794</v>
      </c>
      <c r="F11" s="17">
        <f>E11/$E$18</f>
        <v>0.62718274724390444</v>
      </c>
      <c r="G11" s="16">
        <v>17636</v>
      </c>
      <c r="H11" s="16">
        <v>4262</v>
      </c>
      <c r="I11" s="16">
        <v>1368</v>
      </c>
      <c r="J11" s="310">
        <v>23266</v>
      </c>
      <c r="K11" s="17">
        <f>J11/$J$18</f>
        <v>0.71600910937403828</v>
      </c>
      <c r="L11" s="16">
        <v>0</v>
      </c>
      <c r="M11" s="16">
        <f>J11+L11+E11</f>
        <v>31060</v>
      </c>
      <c r="P11" s="27"/>
    </row>
    <row r="12" spans="1:16" x14ac:dyDescent="0.2">
      <c r="B12" s="16" t="s">
        <v>50</v>
      </c>
      <c r="C12" s="16">
        <v>1496</v>
      </c>
      <c r="D12" s="16">
        <v>1820</v>
      </c>
      <c r="E12" s="16">
        <f t="shared" ref="E12:E17" si="0">C12+D12</f>
        <v>3316</v>
      </c>
      <c r="F12" s="17">
        <f t="shared" ref="F12:F17" si="1">E12/$E$18</f>
        <v>0.26683833588154826</v>
      </c>
      <c r="G12" s="16">
        <v>5121</v>
      </c>
      <c r="H12" s="16">
        <v>870</v>
      </c>
      <c r="I12" s="16">
        <v>741</v>
      </c>
      <c r="J12" s="310">
        <v>6732</v>
      </c>
      <c r="K12" s="311">
        <f t="shared" ref="K12:K18" si="2">J12/$J$18</f>
        <v>0.20717670954637779</v>
      </c>
      <c r="L12" s="16">
        <v>0</v>
      </c>
      <c r="M12" s="16">
        <f t="shared" ref="M12:M17" si="3">J12+L12+E12</f>
        <v>10048</v>
      </c>
      <c r="P12" s="27"/>
    </row>
    <row r="13" spans="1:16" x14ac:dyDescent="0.2">
      <c r="B13" s="16" t="s">
        <v>51</v>
      </c>
      <c r="C13" s="16">
        <v>351</v>
      </c>
      <c r="D13" s="16">
        <v>220</v>
      </c>
      <c r="E13" s="16">
        <f t="shared" si="0"/>
        <v>571</v>
      </c>
      <c r="F13" s="17">
        <f t="shared" si="1"/>
        <v>4.5948338295646575E-2</v>
      </c>
      <c r="G13" s="16">
        <v>980</v>
      </c>
      <c r="H13" s="16">
        <v>232</v>
      </c>
      <c r="I13" s="16">
        <v>83</v>
      </c>
      <c r="J13" s="310">
        <v>1295</v>
      </c>
      <c r="K13" s="311">
        <f t="shared" si="2"/>
        <v>3.9853511417492458E-2</v>
      </c>
      <c r="L13" s="16">
        <v>0</v>
      </c>
      <c r="M13" s="16">
        <f t="shared" si="3"/>
        <v>1866</v>
      </c>
      <c r="P13" s="27"/>
    </row>
    <row r="14" spans="1:16" x14ac:dyDescent="0.2">
      <c r="B14" s="16" t="s">
        <v>52</v>
      </c>
      <c r="C14" s="16">
        <v>68</v>
      </c>
      <c r="D14" s="16">
        <v>43</v>
      </c>
      <c r="E14" s="16">
        <f t="shared" si="0"/>
        <v>111</v>
      </c>
      <c r="F14" s="17">
        <f t="shared" si="1"/>
        <v>8.9321638368069518E-3</v>
      </c>
      <c r="G14" s="16">
        <v>94</v>
      </c>
      <c r="H14" s="16">
        <v>4</v>
      </c>
      <c r="I14" s="16">
        <v>12</v>
      </c>
      <c r="J14" s="310">
        <v>110</v>
      </c>
      <c r="K14" s="311">
        <f t="shared" si="2"/>
        <v>3.3852403520649968E-3</v>
      </c>
      <c r="L14" s="16">
        <v>0</v>
      </c>
      <c r="M14" s="16">
        <f t="shared" si="3"/>
        <v>221</v>
      </c>
      <c r="P14" s="27"/>
    </row>
    <row r="15" spans="1:16" x14ac:dyDescent="0.2">
      <c r="B15" s="16" t="s">
        <v>53</v>
      </c>
      <c r="C15" s="16">
        <v>65</v>
      </c>
      <c r="D15" s="16">
        <v>39</v>
      </c>
      <c r="E15" s="16">
        <f t="shared" si="0"/>
        <v>104</v>
      </c>
      <c r="F15" s="17">
        <f t="shared" si="1"/>
        <v>8.3688742254767849E-3</v>
      </c>
      <c r="G15" s="16">
        <v>48</v>
      </c>
      <c r="H15" s="16">
        <v>4</v>
      </c>
      <c r="I15" s="16">
        <v>5</v>
      </c>
      <c r="J15" s="310">
        <v>57</v>
      </c>
      <c r="K15" s="311">
        <f t="shared" si="2"/>
        <v>1.7541700006154983E-3</v>
      </c>
      <c r="L15" s="16">
        <v>0</v>
      </c>
      <c r="M15" s="16">
        <f t="shared" si="3"/>
        <v>161</v>
      </c>
      <c r="P15" s="27"/>
    </row>
    <row r="16" spans="1:16" x14ac:dyDescent="0.2">
      <c r="B16" s="16" t="s">
        <v>54</v>
      </c>
      <c r="C16" s="16">
        <v>129</v>
      </c>
      <c r="D16" s="16">
        <v>93</v>
      </c>
      <c r="E16" s="16">
        <f t="shared" si="0"/>
        <v>222</v>
      </c>
      <c r="F16" s="17">
        <f t="shared" si="1"/>
        <v>1.7864327673613904E-2</v>
      </c>
      <c r="G16" s="16">
        <v>258</v>
      </c>
      <c r="H16" s="16">
        <v>52</v>
      </c>
      <c r="I16" s="16">
        <v>25</v>
      </c>
      <c r="J16" s="310">
        <v>335</v>
      </c>
      <c r="K16" s="311">
        <f t="shared" si="2"/>
        <v>1.0309595617652489E-2</v>
      </c>
      <c r="L16" s="16">
        <v>0</v>
      </c>
      <c r="M16" s="16">
        <f t="shared" si="3"/>
        <v>557</v>
      </c>
      <c r="P16" s="27"/>
    </row>
    <row r="17" spans="2:16" x14ac:dyDescent="0.2">
      <c r="B17" s="16" t="s">
        <v>55</v>
      </c>
      <c r="C17" s="16">
        <v>196</v>
      </c>
      <c r="D17" s="16">
        <v>113</v>
      </c>
      <c r="E17" s="16">
        <f t="shared" si="0"/>
        <v>309</v>
      </c>
      <c r="F17" s="17">
        <f t="shared" si="1"/>
        <v>2.4865212843003137E-2</v>
      </c>
      <c r="G17" s="16">
        <v>571</v>
      </c>
      <c r="H17" s="16">
        <v>96</v>
      </c>
      <c r="I17" s="16">
        <v>32</v>
      </c>
      <c r="J17" s="310">
        <v>699</v>
      </c>
      <c r="K17" s="311">
        <f t="shared" si="2"/>
        <v>2.1511663691758477E-2</v>
      </c>
      <c r="L17" s="16">
        <v>0</v>
      </c>
      <c r="M17" s="16">
        <f t="shared" si="3"/>
        <v>1008</v>
      </c>
      <c r="P17" s="27"/>
    </row>
    <row r="18" spans="2:16" x14ac:dyDescent="0.2">
      <c r="B18" s="18" t="s">
        <v>39</v>
      </c>
      <c r="C18" s="16">
        <f>SUM(C11:C17)</f>
        <v>7145</v>
      </c>
      <c r="D18" s="16">
        <f t="shared" ref="D18:H18" si="4">SUM(D11:D17)</f>
        <v>5282</v>
      </c>
      <c r="E18" s="18">
        <f t="shared" ref="E18" si="5">C18+D18</f>
        <v>12427</v>
      </c>
      <c r="F18" s="19">
        <f t="shared" ref="F18" si="6">E18/$E$18</f>
        <v>1</v>
      </c>
      <c r="G18" s="16">
        <f t="shared" si="4"/>
        <v>24708</v>
      </c>
      <c r="H18" s="16">
        <f t="shared" si="4"/>
        <v>5520</v>
      </c>
      <c r="I18" s="18">
        <f t="shared" ref="I18" si="7">G18+H18</f>
        <v>30228</v>
      </c>
      <c r="J18" s="310">
        <v>32494</v>
      </c>
      <c r="K18" s="312">
        <f t="shared" si="2"/>
        <v>1</v>
      </c>
      <c r="L18" s="16">
        <f t="shared" ref="L18" si="8">SUM(L11:L17)</f>
        <v>0</v>
      </c>
      <c r="M18" s="18">
        <f>SUM(M11:M17)</f>
        <v>44921</v>
      </c>
      <c r="P18" s="27"/>
    </row>
    <row r="19" spans="2:16" ht="25.5" customHeight="1" x14ac:dyDescent="0.2">
      <c r="B19" s="28" t="s">
        <v>44</v>
      </c>
      <c r="C19" s="29">
        <f>+C18/M18</f>
        <v>0.15905701119743551</v>
      </c>
      <c r="D19" s="29">
        <f>+D18/M18</f>
        <v>0.11758420337926583</v>
      </c>
      <c r="E19" s="30">
        <f>+E18/M18</f>
        <v>0.27664121457670132</v>
      </c>
      <c r="F19" s="30"/>
      <c r="G19" s="29">
        <f>+G18/M18</f>
        <v>0.55003227888960615</v>
      </c>
      <c r="H19" s="29">
        <f>+H18/M18</f>
        <v>0.12288239353531756</v>
      </c>
      <c r="I19" s="29">
        <f>+I18/M18</f>
        <v>0.67291467242492375</v>
      </c>
      <c r="J19" s="30">
        <f>+J18/M18</f>
        <v>0.72335878542329868</v>
      </c>
      <c r="K19" s="30"/>
      <c r="L19" s="30">
        <f>+L18/M18</f>
        <v>0</v>
      </c>
      <c r="M19" s="30">
        <f>J19+L19+E19</f>
        <v>1</v>
      </c>
    </row>
    <row r="20" spans="2:16" x14ac:dyDescent="0.2">
      <c r="B20" s="31"/>
      <c r="C20" s="42"/>
      <c r="D20" s="42"/>
      <c r="E20" s="43"/>
      <c r="F20" s="43"/>
      <c r="G20" s="42"/>
      <c r="H20" s="42"/>
      <c r="I20" s="43"/>
      <c r="J20" s="43"/>
      <c r="K20" s="43"/>
    </row>
    <row r="21" spans="2:16" ht="12.75" x14ac:dyDescent="0.2">
      <c r="B21" s="344" t="s">
        <v>564</v>
      </c>
      <c r="C21" s="344"/>
      <c r="D21" s="344"/>
      <c r="E21" s="344"/>
      <c r="F21" s="344"/>
      <c r="G21" s="344"/>
      <c r="H21" s="344"/>
      <c r="I21" s="344"/>
      <c r="J21" s="344"/>
      <c r="K21" s="344"/>
    </row>
    <row r="22" spans="2:16" ht="12.75" x14ac:dyDescent="0.2">
      <c r="B22" s="374" t="str">
        <f>'Solicitudes Regiones'!$B$6:$R$6</f>
        <v>Julio de 2008 a junio de 2022</v>
      </c>
      <c r="C22" s="374"/>
      <c r="D22" s="374"/>
      <c r="E22" s="374"/>
      <c r="F22" s="374"/>
      <c r="G22" s="374"/>
      <c r="H22" s="374"/>
      <c r="I22" s="374"/>
      <c r="J22" s="374"/>
      <c r="K22" s="374"/>
    </row>
    <row r="23" spans="2:16" x14ac:dyDescent="0.2">
      <c r="B23" s="31"/>
      <c r="C23" s="43"/>
      <c r="D23" s="43"/>
      <c r="E23" s="43"/>
      <c r="F23" s="43"/>
      <c r="G23" s="43"/>
      <c r="H23" s="43"/>
      <c r="I23" s="43"/>
      <c r="J23" s="43"/>
      <c r="K23" s="43"/>
      <c r="L23" s="55"/>
    </row>
    <row r="24" spans="2:16" ht="12.75" customHeight="1" x14ac:dyDescent="0.2">
      <c r="B24" s="373" t="s">
        <v>596</v>
      </c>
      <c r="C24" s="373"/>
      <c r="D24" s="373"/>
      <c r="E24" s="373"/>
      <c r="F24" s="373"/>
      <c r="G24" s="373"/>
      <c r="H24" s="373"/>
      <c r="I24" s="373"/>
      <c r="J24" s="373"/>
      <c r="K24" s="373"/>
      <c r="L24" s="373"/>
      <c r="M24" s="373"/>
    </row>
    <row r="25" spans="2:16" ht="20.25" customHeight="1" x14ac:dyDescent="0.2">
      <c r="B25" s="373" t="s">
        <v>41</v>
      </c>
      <c r="C25" s="370" t="s">
        <v>544</v>
      </c>
      <c r="D25" s="371"/>
      <c r="E25" s="371"/>
      <c r="F25" s="371"/>
      <c r="G25" s="371"/>
      <c r="H25" s="371"/>
      <c r="I25" s="371"/>
      <c r="J25" s="371"/>
      <c r="K25" s="371"/>
      <c r="L25" s="372"/>
      <c r="M25" s="307"/>
    </row>
    <row r="26" spans="2:16" ht="36" x14ac:dyDescent="0.2">
      <c r="B26" s="373"/>
      <c r="C26" s="20" t="s">
        <v>540</v>
      </c>
      <c r="D26" s="20" t="s">
        <v>42</v>
      </c>
      <c r="E26" s="20" t="s">
        <v>553</v>
      </c>
      <c r="F26" s="20" t="s">
        <v>554</v>
      </c>
      <c r="G26" s="20" t="s">
        <v>542</v>
      </c>
      <c r="H26" s="20" t="s">
        <v>2</v>
      </c>
      <c r="I26" s="20" t="s">
        <v>43</v>
      </c>
      <c r="J26" s="20" t="s">
        <v>549</v>
      </c>
      <c r="K26" s="296" t="s">
        <v>550</v>
      </c>
      <c r="L26" s="296" t="s">
        <v>523</v>
      </c>
      <c r="M26" s="296" t="s">
        <v>641</v>
      </c>
    </row>
    <row r="27" spans="2:16" x14ac:dyDescent="0.2">
      <c r="B27" s="16" t="s">
        <v>80</v>
      </c>
      <c r="C27" s="16">
        <v>3957</v>
      </c>
      <c r="D27" s="16">
        <v>1746</v>
      </c>
      <c r="E27" s="16">
        <f>C27+D27</f>
        <v>5703</v>
      </c>
      <c r="F27" s="17">
        <f>E27/$E$18</f>
        <v>0.45892009334513562</v>
      </c>
      <c r="G27" s="16">
        <v>14326</v>
      </c>
      <c r="H27" s="16">
        <v>1997</v>
      </c>
      <c r="I27" s="16">
        <v>1076</v>
      </c>
      <c r="J27" s="310">
        <f>SUM(G27:I27)</f>
        <v>17399</v>
      </c>
      <c r="K27" s="17">
        <f>J27/$J$34</f>
        <v>0.69906384346498451</v>
      </c>
      <c r="L27" s="16">
        <v>0</v>
      </c>
      <c r="M27" s="16">
        <f>J27+L27+E27</f>
        <v>23102</v>
      </c>
    </row>
    <row r="28" spans="2:16" x14ac:dyDescent="0.2">
      <c r="B28" s="16" t="s">
        <v>50</v>
      </c>
      <c r="C28" s="16">
        <v>1262</v>
      </c>
      <c r="D28" s="16">
        <v>1054</v>
      </c>
      <c r="E28" s="16">
        <f t="shared" ref="E28:E33" si="9">C28+D28</f>
        <v>2316</v>
      </c>
      <c r="F28" s="17">
        <f t="shared" ref="F28:F33" si="10">E28/$E$18</f>
        <v>0.18636839140580994</v>
      </c>
      <c r="G28" s="16">
        <v>4477</v>
      </c>
      <c r="H28" s="16">
        <v>463</v>
      </c>
      <c r="I28" s="16">
        <v>594</v>
      </c>
      <c r="J28" s="310">
        <f t="shared" ref="J28:J34" si="11">SUM(G28:I28)</f>
        <v>5534</v>
      </c>
      <c r="K28" s="17">
        <f t="shared" ref="K28:K34" si="12">J28/$J$34</f>
        <v>0.22234722166418899</v>
      </c>
      <c r="L28" s="16">
        <v>0</v>
      </c>
      <c r="M28" s="16">
        <f t="shared" ref="M28:M34" si="13">J28+L28+E28</f>
        <v>7850</v>
      </c>
    </row>
    <row r="29" spans="2:16" x14ac:dyDescent="0.2">
      <c r="B29" s="16" t="s">
        <v>51</v>
      </c>
      <c r="C29" s="16">
        <v>288</v>
      </c>
      <c r="D29" s="16">
        <v>112</v>
      </c>
      <c r="E29" s="16">
        <f t="shared" si="9"/>
        <v>400</v>
      </c>
      <c r="F29" s="17">
        <f t="shared" si="10"/>
        <v>3.2187977790295322E-2</v>
      </c>
      <c r="G29" s="16">
        <v>827</v>
      </c>
      <c r="H29" s="16">
        <v>103</v>
      </c>
      <c r="I29" s="16">
        <v>67</v>
      </c>
      <c r="J29" s="310">
        <f t="shared" si="11"/>
        <v>997</v>
      </c>
      <c r="K29" s="17">
        <f t="shared" si="12"/>
        <v>4.0057856884567478E-2</v>
      </c>
      <c r="L29" s="16">
        <v>0</v>
      </c>
      <c r="M29" s="16">
        <f t="shared" si="13"/>
        <v>1397</v>
      </c>
    </row>
    <row r="30" spans="2:16" x14ac:dyDescent="0.2">
      <c r="B30" s="16" t="s">
        <v>52</v>
      </c>
      <c r="C30" s="16">
        <v>63</v>
      </c>
      <c r="D30" s="16">
        <v>23</v>
      </c>
      <c r="E30" s="16">
        <f t="shared" si="9"/>
        <v>86</v>
      </c>
      <c r="F30" s="17">
        <f t="shared" si="10"/>
        <v>6.920415224913495E-3</v>
      </c>
      <c r="G30" s="16">
        <v>85</v>
      </c>
      <c r="H30" s="16">
        <v>1</v>
      </c>
      <c r="I30" s="16">
        <v>9</v>
      </c>
      <c r="J30" s="310">
        <f t="shared" si="11"/>
        <v>95</v>
      </c>
      <c r="K30" s="17">
        <f t="shared" si="12"/>
        <v>3.8169472457712243E-3</v>
      </c>
      <c r="L30" s="16">
        <v>0</v>
      </c>
      <c r="M30" s="16">
        <f t="shared" si="13"/>
        <v>181</v>
      </c>
    </row>
    <row r="31" spans="2:16" x14ac:dyDescent="0.2">
      <c r="B31" s="16" t="s">
        <v>53</v>
      </c>
      <c r="C31" s="16">
        <v>60</v>
      </c>
      <c r="D31" s="16">
        <v>20</v>
      </c>
      <c r="E31" s="16">
        <f t="shared" si="9"/>
        <v>80</v>
      </c>
      <c r="F31" s="17">
        <f t="shared" si="10"/>
        <v>6.4375955580590651E-3</v>
      </c>
      <c r="G31" s="16">
        <v>45</v>
      </c>
      <c r="H31" s="16">
        <v>1</v>
      </c>
      <c r="I31" s="16">
        <v>5</v>
      </c>
      <c r="J31" s="310">
        <f t="shared" si="11"/>
        <v>51</v>
      </c>
      <c r="K31" s="17">
        <f t="shared" si="12"/>
        <v>2.0490979950982362E-3</v>
      </c>
      <c r="L31" s="16">
        <v>0</v>
      </c>
      <c r="M31" s="16">
        <f t="shared" si="13"/>
        <v>131</v>
      </c>
    </row>
    <row r="32" spans="2:16" x14ac:dyDescent="0.2">
      <c r="B32" s="16" t="s">
        <v>54</v>
      </c>
      <c r="C32" s="16">
        <v>115</v>
      </c>
      <c r="D32" s="16">
        <v>46</v>
      </c>
      <c r="E32" s="16">
        <f t="shared" si="9"/>
        <v>161</v>
      </c>
      <c r="F32" s="17">
        <f t="shared" si="10"/>
        <v>1.2955661060593869E-2</v>
      </c>
      <c r="G32" s="16">
        <v>229</v>
      </c>
      <c r="H32" s="16">
        <v>25</v>
      </c>
      <c r="I32" s="16">
        <v>25</v>
      </c>
      <c r="J32" s="310">
        <f t="shared" si="11"/>
        <v>279</v>
      </c>
      <c r="K32" s="17">
        <f t="shared" si="12"/>
        <v>1.1209771384949174E-2</v>
      </c>
      <c r="L32" s="16">
        <v>0</v>
      </c>
      <c r="M32" s="16">
        <f t="shared" si="13"/>
        <v>440</v>
      </c>
    </row>
    <row r="33" spans="2:13" x14ac:dyDescent="0.2">
      <c r="B33" s="16" t="s">
        <v>55</v>
      </c>
      <c r="C33" s="16">
        <v>161</v>
      </c>
      <c r="D33" s="16">
        <v>64</v>
      </c>
      <c r="E33" s="16">
        <f t="shared" si="9"/>
        <v>225</v>
      </c>
      <c r="F33" s="17">
        <f t="shared" si="10"/>
        <v>1.8105737507041121E-2</v>
      </c>
      <c r="G33" s="16">
        <v>473</v>
      </c>
      <c r="H33" s="16">
        <v>39</v>
      </c>
      <c r="I33" s="16">
        <v>22</v>
      </c>
      <c r="J33" s="310">
        <f t="shared" si="11"/>
        <v>534</v>
      </c>
      <c r="K33" s="17">
        <f t="shared" si="12"/>
        <v>2.1455261360440354E-2</v>
      </c>
      <c r="L33" s="16">
        <v>0</v>
      </c>
      <c r="M33" s="16">
        <f t="shared" si="13"/>
        <v>759</v>
      </c>
    </row>
    <row r="34" spans="2:13" x14ac:dyDescent="0.2">
      <c r="B34" s="18" t="s">
        <v>39</v>
      </c>
      <c r="C34" s="16">
        <f>SUM(C27:C33)</f>
        <v>5906</v>
      </c>
      <c r="D34" s="16">
        <f>SUM(D27:D33)</f>
        <v>3065</v>
      </c>
      <c r="E34" s="18">
        <f t="shared" ref="E34" si="14">C34+D34</f>
        <v>8971</v>
      </c>
      <c r="F34" s="19">
        <f t="shared" ref="F34" si="15">E34/$E$18</f>
        <v>0.72189587189184834</v>
      </c>
      <c r="G34" s="16">
        <f t="shared" ref="G34:I34" si="16">SUM(G27:G33)</f>
        <v>20462</v>
      </c>
      <c r="H34" s="16">
        <f t="shared" si="16"/>
        <v>2629</v>
      </c>
      <c r="I34" s="18">
        <f t="shared" si="16"/>
        <v>1798</v>
      </c>
      <c r="J34" s="310">
        <f t="shared" si="11"/>
        <v>24889</v>
      </c>
      <c r="K34" s="309">
        <f t="shared" si="12"/>
        <v>1</v>
      </c>
      <c r="L34" s="18">
        <f>SUM(L27:L33)</f>
        <v>0</v>
      </c>
      <c r="M34" s="18">
        <f t="shared" si="13"/>
        <v>33860</v>
      </c>
    </row>
    <row r="35" spans="2:13" ht="24" x14ac:dyDescent="0.2">
      <c r="B35" s="28" t="s">
        <v>45</v>
      </c>
      <c r="C35" s="29">
        <f>+C34/M34</f>
        <v>0.17442409923213231</v>
      </c>
      <c r="D35" s="29">
        <f>+D34/M34</f>
        <v>9.0519787359716483E-2</v>
      </c>
      <c r="E35" s="30">
        <f>+E34/M34</f>
        <v>0.26494388659184881</v>
      </c>
      <c r="F35" s="30"/>
      <c r="G35" s="29">
        <f>+G34/M34</f>
        <v>0.60431187241582984</v>
      </c>
      <c r="H35" s="29">
        <f>+H34/M34</f>
        <v>7.7643236857649137E-2</v>
      </c>
      <c r="I35" s="29">
        <f>+I34/M34</f>
        <v>5.3101004134672176E-2</v>
      </c>
      <c r="J35" s="30">
        <f>+J34/M34</f>
        <v>0.73505611340815125</v>
      </c>
      <c r="K35" s="30"/>
      <c r="L35" s="30">
        <f>+L34/M34</f>
        <v>0</v>
      </c>
      <c r="M35" s="30">
        <f>J35+L35+E35</f>
        <v>1</v>
      </c>
    </row>
    <row r="36" spans="2:13" x14ac:dyDescent="0.2">
      <c r="B36" s="21" t="s">
        <v>78</v>
      </c>
      <c r="L36" s="23"/>
    </row>
    <row r="37" spans="2:13" x14ac:dyDescent="0.2">
      <c r="B37" s="21" t="s">
        <v>79</v>
      </c>
      <c r="C37" s="56"/>
      <c r="D37" s="56"/>
      <c r="E37" s="56"/>
      <c r="F37" s="56"/>
      <c r="G37" s="56"/>
      <c r="H37" s="56"/>
      <c r="I37" s="56"/>
      <c r="J37" s="56"/>
      <c r="K37" s="56"/>
    </row>
    <row r="38" spans="2:13" x14ac:dyDescent="0.2">
      <c r="C38" s="57"/>
      <c r="D38" s="56"/>
      <c r="E38" s="56"/>
      <c r="F38" s="56"/>
      <c r="G38" s="56"/>
      <c r="H38" s="56"/>
      <c r="I38" s="56"/>
      <c r="J38" s="56"/>
      <c r="K38" s="56"/>
      <c r="L38" s="58"/>
    </row>
    <row r="39" spans="2:13" ht="15.75" customHeight="1" x14ac:dyDescent="0.2">
      <c r="D39" s="59"/>
      <c r="E39" s="59"/>
      <c r="F39" s="59"/>
      <c r="G39" s="59"/>
      <c r="H39" s="59"/>
      <c r="I39" s="59"/>
      <c r="J39" s="59"/>
      <c r="K39" s="59"/>
      <c r="L39" s="58"/>
    </row>
    <row r="40" spans="2:13" ht="15.75" customHeight="1" x14ac:dyDescent="0.2">
      <c r="C40" s="60"/>
      <c r="D40" s="60"/>
      <c r="E40" s="60"/>
      <c r="F40" s="60"/>
      <c r="G40" s="60"/>
      <c r="H40" s="60"/>
      <c r="I40" s="60"/>
      <c r="J40" s="60"/>
      <c r="K40" s="60"/>
      <c r="L40" s="59"/>
    </row>
    <row r="41" spans="2:13" x14ac:dyDescent="0.2">
      <c r="L41" s="23"/>
    </row>
  </sheetData>
  <mergeCells count="10">
    <mergeCell ref="B6:K6"/>
    <mergeCell ref="B5:K5"/>
    <mergeCell ref="B21:K21"/>
    <mergeCell ref="B22:K22"/>
    <mergeCell ref="B25:B26"/>
    <mergeCell ref="B9:B10"/>
    <mergeCell ref="B8:M8"/>
    <mergeCell ref="B24:M24"/>
    <mergeCell ref="C9:L9"/>
    <mergeCell ref="C25:L25"/>
  </mergeCells>
  <hyperlinks>
    <hyperlink ref="M5" location="'Índice PGU y SPS'!A1" display="Volver Sistema de Pensiones Solidarias" xr:uid="{C00847BE-8D92-490D-9D00-38941D136374}"/>
  </hyperlinks>
  <pageMargins left="0.74803149606299213" right="0.74803149606299213" top="0.98425196850393704" bottom="0.98425196850393704" header="0" footer="0"/>
  <pageSetup scale="84"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7">
    <pageSetUpPr fitToPage="1"/>
  </sheetPr>
  <dimension ref="A1:Q131"/>
  <sheetViews>
    <sheetView showGridLines="0" zoomScale="90" zoomScaleNormal="90" workbookViewId="0">
      <selection activeCell="M35" sqref="M35"/>
    </sheetView>
  </sheetViews>
  <sheetFormatPr baseColWidth="10" defaultRowHeight="12" x14ac:dyDescent="0.2"/>
  <cols>
    <col min="1" max="1" width="6" style="22" customWidth="1"/>
    <col min="2" max="2" width="18.140625" style="22" customWidth="1"/>
    <col min="3" max="10" width="9.28515625" style="22" customWidth="1"/>
    <col min="11" max="11" width="9.7109375" style="22" customWidth="1"/>
    <col min="12" max="12" width="11.140625" style="22" hidden="1" customWidth="1"/>
    <col min="13" max="14" width="11.42578125" style="22"/>
    <col min="15" max="15" width="12.42578125" style="22" bestFit="1" customWidth="1"/>
    <col min="16" max="251" width="11.42578125" style="22"/>
    <col min="252" max="252" width="18.140625" style="22" customWidth="1"/>
    <col min="253" max="254" width="8.5703125" style="22" bestFit="1" customWidth="1"/>
    <col min="255" max="256" width="8.5703125" style="22" customWidth="1"/>
    <col min="257" max="257" width="9.42578125" style="22" bestFit="1" customWidth="1"/>
    <col min="258" max="258" width="7.5703125" style="22" bestFit="1" customWidth="1"/>
    <col min="259" max="260" width="7.5703125" style="22" customWidth="1"/>
    <col min="261" max="261" width="9.7109375" style="22" customWidth="1"/>
    <col min="262" max="267" width="0" style="22" hidden="1" customWidth="1"/>
    <col min="268" max="268" width="11.140625" style="22" customWidth="1"/>
    <col min="269" max="270" width="11.42578125" style="22"/>
    <col min="271" max="271" width="12.42578125" style="22" bestFit="1" customWidth="1"/>
    <col min="272" max="507" width="11.42578125" style="22"/>
    <col min="508" max="508" width="18.140625" style="22" customWidth="1"/>
    <col min="509" max="510" width="8.5703125" style="22" bestFit="1" customWidth="1"/>
    <col min="511" max="512" width="8.5703125" style="22" customWidth="1"/>
    <col min="513" max="513" width="9.42578125" style="22" bestFit="1" customWidth="1"/>
    <col min="514" max="514" width="7.5703125" style="22" bestFit="1" customWidth="1"/>
    <col min="515" max="516" width="7.5703125" style="22" customWidth="1"/>
    <col min="517" max="517" width="9.7109375" style="22" customWidth="1"/>
    <col min="518" max="523" width="0" style="22" hidden="1" customWidth="1"/>
    <col min="524" max="524" width="11.140625" style="22" customWidth="1"/>
    <col min="525" max="526" width="11.42578125" style="22"/>
    <col min="527" max="527" width="12.42578125" style="22" bestFit="1" customWidth="1"/>
    <col min="528" max="763" width="11.42578125" style="22"/>
    <col min="764" max="764" width="18.140625" style="22" customWidth="1"/>
    <col min="765" max="766" width="8.5703125" style="22" bestFit="1" customWidth="1"/>
    <col min="767" max="768" width="8.5703125" style="22" customWidth="1"/>
    <col min="769" max="769" width="9.42578125" style="22" bestFit="1" customWidth="1"/>
    <col min="770" max="770" width="7.5703125" style="22" bestFit="1" customWidth="1"/>
    <col min="771" max="772" width="7.5703125" style="22" customWidth="1"/>
    <col min="773" max="773" width="9.7109375" style="22" customWidth="1"/>
    <col min="774" max="779" width="0" style="22" hidden="1" customWidth="1"/>
    <col min="780" max="780" width="11.140625" style="22" customWidth="1"/>
    <col min="781" max="782" width="11.42578125" style="22"/>
    <col min="783" max="783" width="12.42578125" style="22" bestFit="1" customWidth="1"/>
    <col min="784" max="1019" width="11.42578125" style="22"/>
    <col min="1020" max="1020" width="18.140625" style="22" customWidth="1"/>
    <col min="1021" max="1022" width="8.5703125" style="22" bestFit="1" customWidth="1"/>
    <col min="1023" max="1024" width="8.5703125" style="22" customWidth="1"/>
    <col min="1025" max="1025" width="9.42578125" style="22" bestFit="1" customWidth="1"/>
    <col min="1026" max="1026" width="7.5703125" style="22" bestFit="1" customWidth="1"/>
    <col min="1027" max="1028" width="7.5703125" style="22" customWidth="1"/>
    <col min="1029" max="1029" width="9.7109375" style="22" customWidth="1"/>
    <col min="1030" max="1035" width="0" style="22" hidden="1" customWidth="1"/>
    <col min="1036" max="1036" width="11.140625" style="22" customWidth="1"/>
    <col min="1037" max="1038" width="11.42578125" style="22"/>
    <col min="1039" max="1039" width="12.42578125" style="22" bestFit="1" customWidth="1"/>
    <col min="1040" max="1275" width="11.42578125" style="22"/>
    <col min="1276" max="1276" width="18.140625" style="22" customWidth="1"/>
    <col min="1277" max="1278" width="8.5703125" style="22" bestFit="1" customWidth="1"/>
    <col min="1279" max="1280" width="8.5703125" style="22" customWidth="1"/>
    <col min="1281" max="1281" width="9.42578125" style="22" bestFit="1" customWidth="1"/>
    <col min="1282" max="1282" width="7.5703125" style="22" bestFit="1" customWidth="1"/>
    <col min="1283" max="1284" width="7.5703125" style="22" customWidth="1"/>
    <col min="1285" max="1285" width="9.7109375" style="22" customWidth="1"/>
    <col min="1286" max="1291" width="0" style="22" hidden="1" customWidth="1"/>
    <col min="1292" max="1292" width="11.140625" style="22" customWidth="1"/>
    <col min="1293" max="1294" width="11.42578125" style="22"/>
    <col min="1295" max="1295" width="12.42578125" style="22" bestFit="1" customWidth="1"/>
    <col min="1296" max="1531" width="11.42578125" style="22"/>
    <col min="1532" max="1532" width="18.140625" style="22" customWidth="1"/>
    <col min="1533" max="1534" width="8.5703125" style="22" bestFit="1" customWidth="1"/>
    <col min="1535" max="1536" width="8.5703125" style="22" customWidth="1"/>
    <col min="1537" max="1537" width="9.42578125" style="22" bestFit="1" customWidth="1"/>
    <col min="1538" max="1538" width="7.5703125" style="22" bestFit="1" customWidth="1"/>
    <col min="1539" max="1540" width="7.5703125" style="22" customWidth="1"/>
    <col min="1541" max="1541" width="9.7109375" style="22" customWidth="1"/>
    <col min="1542" max="1547" width="0" style="22" hidden="1" customWidth="1"/>
    <col min="1548" max="1548" width="11.140625" style="22" customWidth="1"/>
    <col min="1549" max="1550" width="11.42578125" style="22"/>
    <col min="1551" max="1551" width="12.42578125" style="22" bestFit="1" customWidth="1"/>
    <col min="1552" max="1787" width="11.42578125" style="22"/>
    <col min="1788" max="1788" width="18.140625" style="22" customWidth="1"/>
    <col min="1789" max="1790" width="8.5703125" style="22" bestFit="1" customWidth="1"/>
    <col min="1791" max="1792" width="8.5703125" style="22" customWidth="1"/>
    <col min="1793" max="1793" width="9.42578125" style="22" bestFit="1" customWidth="1"/>
    <col min="1794" max="1794" width="7.5703125" style="22" bestFit="1" customWidth="1"/>
    <col min="1795" max="1796" width="7.5703125" style="22" customWidth="1"/>
    <col min="1797" max="1797" width="9.7109375" style="22" customWidth="1"/>
    <col min="1798" max="1803" width="0" style="22" hidden="1" customWidth="1"/>
    <col min="1804" max="1804" width="11.140625" style="22" customWidth="1"/>
    <col min="1805" max="1806" width="11.42578125" style="22"/>
    <col min="1807" max="1807" width="12.42578125" style="22" bestFit="1" customWidth="1"/>
    <col min="1808" max="2043" width="11.42578125" style="22"/>
    <col min="2044" max="2044" width="18.140625" style="22" customWidth="1"/>
    <col min="2045" max="2046" width="8.5703125" style="22" bestFit="1" customWidth="1"/>
    <col min="2047" max="2048" width="8.5703125" style="22" customWidth="1"/>
    <col min="2049" max="2049" width="9.42578125" style="22" bestFit="1" customWidth="1"/>
    <col min="2050" max="2050" width="7.5703125" style="22" bestFit="1" customWidth="1"/>
    <col min="2051" max="2052" width="7.5703125" style="22" customWidth="1"/>
    <col min="2053" max="2053" width="9.7109375" style="22" customWidth="1"/>
    <col min="2054" max="2059" width="0" style="22" hidden="1" customWidth="1"/>
    <col min="2060" max="2060" width="11.140625" style="22" customWidth="1"/>
    <col min="2061" max="2062" width="11.42578125" style="22"/>
    <col min="2063" max="2063" width="12.42578125" style="22" bestFit="1" customWidth="1"/>
    <col min="2064" max="2299" width="11.42578125" style="22"/>
    <col min="2300" max="2300" width="18.140625" style="22" customWidth="1"/>
    <col min="2301" max="2302" width="8.5703125" style="22" bestFit="1" customWidth="1"/>
    <col min="2303" max="2304" width="8.5703125" style="22" customWidth="1"/>
    <col min="2305" max="2305" width="9.42578125" style="22" bestFit="1" customWidth="1"/>
    <col min="2306" max="2306" width="7.5703125" style="22" bestFit="1" customWidth="1"/>
    <col min="2307" max="2308" width="7.5703125" style="22" customWidth="1"/>
    <col min="2309" max="2309" width="9.7109375" style="22" customWidth="1"/>
    <col min="2310" max="2315" width="0" style="22" hidden="1" customWidth="1"/>
    <col min="2316" max="2316" width="11.140625" style="22" customWidth="1"/>
    <col min="2317" max="2318" width="11.42578125" style="22"/>
    <col min="2319" max="2319" width="12.42578125" style="22" bestFit="1" customWidth="1"/>
    <col min="2320" max="2555" width="11.42578125" style="22"/>
    <col min="2556" max="2556" width="18.140625" style="22" customWidth="1"/>
    <col min="2557" max="2558" width="8.5703125" style="22" bestFit="1" customWidth="1"/>
    <col min="2559" max="2560" width="8.5703125" style="22" customWidth="1"/>
    <col min="2561" max="2561" width="9.42578125" style="22" bestFit="1" customWidth="1"/>
    <col min="2562" max="2562" width="7.5703125" style="22" bestFit="1" customWidth="1"/>
    <col min="2563" max="2564" width="7.5703125" style="22" customWidth="1"/>
    <col min="2565" max="2565" width="9.7109375" style="22" customWidth="1"/>
    <col min="2566" max="2571" width="0" style="22" hidden="1" customWidth="1"/>
    <col min="2572" max="2572" width="11.140625" style="22" customWidth="1"/>
    <col min="2573" max="2574" width="11.42578125" style="22"/>
    <col min="2575" max="2575" width="12.42578125" style="22" bestFit="1" customWidth="1"/>
    <col min="2576" max="2811" width="11.42578125" style="22"/>
    <col min="2812" max="2812" width="18.140625" style="22" customWidth="1"/>
    <col min="2813" max="2814" width="8.5703125" style="22" bestFit="1" customWidth="1"/>
    <col min="2815" max="2816" width="8.5703125" style="22" customWidth="1"/>
    <col min="2817" max="2817" width="9.42578125" style="22" bestFit="1" customWidth="1"/>
    <col min="2818" max="2818" width="7.5703125" style="22" bestFit="1" customWidth="1"/>
    <col min="2819" max="2820" width="7.5703125" style="22" customWidth="1"/>
    <col min="2821" max="2821" width="9.7109375" style="22" customWidth="1"/>
    <col min="2822" max="2827" width="0" style="22" hidden="1" customWidth="1"/>
    <col min="2828" max="2828" width="11.140625" style="22" customWidth="1"/>
    <col min="2829" max="2830" width="11.42578125" style="22"/>
    <col min="2831" max="2831" width="12.42578125" style="22" bestFit="1" customWidth="1"/>
    <col min="2832" max="3067" width="11.42578125" style="22"/>
    <col min="3068" max="3068" width="18.140625" style="22" customWidth="1"/>
    <col min="3069" max="3070" width="8.5703125" style="22" bestFit="1" customWidth="1"/>
    <col min="3071" max="3072" width="8.5703125" style="22" customWidth="1"/>
    <col min="3073" max="3073" width="9.42578125" style="22" bestFit="1" customWidth="1"/>
    <col min="3074" max="3074" width="7.5703125" style="22" bestFit="1" customWidth="1"/>
    <col min="3075" max="3076" width="7.5703125" style="22" customWidth="1"/>
    <col min="3077" max="3077" width="9.7109375" style="22" customWidth="1"/>
    <col min="3078" max="3083" width="0" style="22" hidden="1" customWidth="1"/>
    <col min="3084" max="3084" width="11.140625" style="22" customWidth="1"/>
    <col min="3085" max="3086" width="11.42578125" style="22"/>
    <col min="3087" max="3087" width="12.42578125" style="22" bestFit="1" customWidth="1"/>
    <col min="3088" max="3323" width="11.42578125" style="22"/>
    <col min="3324" max="3324" width="18.140625" style="22" customWidth="1"/>
    <col min="3325" max="3326" width="8.5703125" style="22" bestFit="1" customWidth="1"/>
    <col min="3327" max="3328" width="8.5703125" style="22" customWidth="1"/>
    <col min="3329" max="3329" width="9.42578125" style="22" bestFit="1" customWidth="1"/>
    <col min="3330" max="3330" width="7.5703125" style="22" bestFit="1" customWidth="1"/>
    <col min="3331" max="3332" width="7.5703125" style="22" customWidth="1"/>
    <col min="3333" max="3333" width="9.7109375" style="22" customWidth="1"/>
    <col min="3334" max="3339" width="0" style="22" hidden="1" customWidth="1"/>
    <col min="3340" max="3340" width="11.140625" style="22" customWidth="1"/>
    <col min="3341" max="3342" width="11.42578125" style="22"/>
    <col min="3343" max="3343" width="12.42578125" style="22" bestFit="1" customWidth="1"/>
    <col min="3344" max="3579" width="11.42578125" style="22"/>
    <col min="3580" max="3580" width="18.140625" style="22" customWidth="1"/>
    <col min="3581" max="3582" width="8.5703125" style="22" bestFit="1" customWidth="1"/>
    <col min="3583" max="3584" width="8.5703125" style="22" customWidth="1"/>
    <col min="3585" max="3585" width="9.42578125" style="22" bestFit="1" customWidth="1"/>
    <col min="3586" max="3586" width="7.5703125" style="22" bestFit="1" customWidth="1"/>
    <col min="3587" max="3588" width="7.5703125" style="22" customWidth="1"/>
    <col min="3589" max="3589" width="9.7109375" style="22" customWidth="1"/>
    <col min="3590" max="3595" width="0" style="22" hidden="1" customWidth="1"/>
    <col min="3596" max="3596" width="11.140625" style="22" customWidth="1"/>
    <col min="3597" max="3598" width="11.42578125" style="22"/>
    <col min="3599" max="3599" width="12.42578125" style="22" bestFit="1" customWidth="1"/>
    <col min="3600" max="3835" width="11.42578125" style="22"/>
    <col min="3836" max="3836" width="18.140625" style="22" customWidth="1"/>
    <col min="3837" max="3838" width="8.5703125" style="22" bestFit="1" customWidth="1"/>
    <col min="3839" max="3840" width="8.5703125" style="22" customWidth="1"/>
    <col min="3841" max="3841" width="9.42578125" style="22" bestFit="1" customWidth="1"/>
    <col min="3842" max="3842" width="7.5703125" style="22" bestFit="1" customWidth="1"/>
    <col min="3843" max="3844" width="7.5703125" style="22" customWidth="1"/>
    <col min="3845" max="3845" width="9.7109375" style="22" customWidth="1"/>
    <col min="3846" max="3851" width="0" style="22" hidden="1" customWidth="1"/>
    <col min="3852" max="3852" width="11.140625" style="22" customWidth="1"/>
    <col min="3853" max="3854" width="11.42578125" style="22"/>
    <col min="3855" max="3855" width="12.42578125" style="22" bestFit="1" customWidth="1"/>
    <col min="3856" max="4091" width="11.42578125" style="22"/>
    <col min="4092" max="4092" width="18.140625" style="22" customWidth="1"/>
    <col min="4093" max="4094" width="8.5703125" style="22" bestFit="1" customWidth="1"/>
    <col min="4095" max="4096" width="8.5703125" style="22" customWidth="1"/>
    <col min="4097" max="4097" width="9.42578125" style="22" bestFit="1" customWidth="1"/>
    <col min="4098" max="4098" width="7.5703125" style="22" bestFit="1" customWidth="1"/>
    <col min="4099" max="4100" width="7.5703125" style="22" customWidth="1"/>
    <col min="4101" max="4101" width="9.7109375" style="22" customWidth="1"/>
    <col min="4102" max="4107" width="0" style="22" hidden="1" customWidth="1"/>
    <col min="4108" max="4108" width="11.140625" style="22" customWidth="1"/>
    <col min="4109" max="4110" width="11.42578125" style="22"/>
    <col min="4111" max="4111" width="12.42578125" style="22" bestFit="1" customWidth="1"/>
    <col min="4112" max="4347" width="11.42578125" style="22"/>
    <col min="4348" max="4348" width="18.140625" style="22" customWidth="1"/>
    <col min="4349" max="4350" width="8.5703125" style="22" bestFit="1" customWidth="1"/>
    <col min="4351" max="4352" width="8.5703125" style="22" customWidth="1"/>
    <col min="4353" max="4353" width="9.42578125" style="22" bestFit="1" customWidth="1"/>
    <col min="4354" max="4354" width="7.5703125" style="22" bestFit="1" customWidth="1"/>
    <col min="4355" max="4356" width="7.5703125" style="22" customWidth="1"/>
    <col min="4357" max="4357" width="9.7109375" style="22" customWidth="1"/>
    <col min="4358" max="4363" width="0" style="22" hidden="1" customWidth="1"/>
    <col min="4364" max="4364" width="11.140625" style="22" customWidth="1"/>
    <col min="4365" max="4366" width="11.42578125" style="22"/>
    <col min="4367" max="4367" width="12.42578125" style="22" bestFit="1" customWidth="1"/>
    <col min="4368" max="4603" width="11.42578125" style="22"/>
    <col min="4604" max="4604" width="18.140625" style="22" customWidth="1"/>
    <col min="4605" max="4606" width="8.5703125" style="22" bestFit="1" customWidth="1"/>
    <col min="4607" max="4608" width="8.5703125" style="22" customWidth="1"/>
    <col min="4609" max="4609" width="9.42578125" style="22" bestFit="1" customWidth="1"/>
    <col min="4610" max="4610" width="7.5703125" style="22" bestFit="1" customWidth="1"/>
    <col min="4611" max="4612" width="7.5703125" style="22" customWidth="1"/>
    <col min="4613" max="4613" width="9.7109375" style="22" customWidth="1"/>
    <col min="4614" max="4619" width="0" style="22" hidden="1" customWidth="1"/>
    <col min="4620" max="4620" width="11.140625" style="22" customWidth="1"/>
    <col min="4621" max="4622" width="11.42578125" style="22"/>
    <col min="4623" max="4623" width="12.42578125" style="22" bestFit="1" customWidth="1"/>
    <col min="4624" max="4859" width="11.42578125" style="22"/>
    <col min="4860" max="4860" width="18.140625" style="22" customWidth="1"/>
    <col min="4861" max="4862" width="8.5703125" style="22" bestFit="1" customWidth="1"/>
    <col min="4863" max="4864" width="8.5703125" style="22" customWidth="1"/>
    <col min="4865" max="4865" width="9.42578125" style="22" bestFit="1" customWidth="1"/>
    <col min="4866" max="4866" width="7.5703125" style="22" bestFit="1" customWidth="1"/>
    <col min="4867" max="4868" width="7.5703125" style="22" customWidth="1"/>
    <col min="4869" max="4869" width="9.7109375" style="22" customWidth="1"/>
    <col min="4870" max="4875" width="0" style="22" hidden="1" customWidth="1"/>
    <col min="4876" max="4876" width="11.140625" style="22" customWidth="1"/>
    <col min="4877" max="4878" width="11.42578125" style="22"/>
    <col min="4879" max="4879" width="12.42578125" style="22" bestFit="1" customWidth="1"/>
    <col min="4880" max="5115" width="11.42578125" style="22"/>
    <col min="5116" max="5116" width="18.140625" style="22" customWidth="1"/>
    <col min="5117" max="5118" width="8.5703125" style="22" bestFit="1" customWidth="1"/>
    <col min="5119" max="5120" width="8.5703125" style="22" customWidth="1"/>
    <col min="5121" max="5121" width="9.42578125" style="22" bestFit="1" customWidth="1"/>
    <col min="5122" max="5122" width="7.5703125" style="22" bestFit="1" customWidth="1"/>
    <col min="5123" max="5124" width="7.5703125" style="22" customWidth="1"/>
    <col min="5125" max="5125" width="9.7109375" style="22" customWidth="1"/>
    <col min="5126" max="5131" width="0" style="22" hidden="1" customWidth="1"/>
    <col min="5132" max="5132" width="11.140625" style="22" customWidth="1"/>
    <col min="5133" max="5134" width="11.42578125" style="22"/>
    <col min="5135" max="5135" width="12.42578125" style="22" bestFit="1" customWidth="1"/>
    <col min="5136" max="5371" width="11.42578125" style="22"/>
    <col min="5372" max="5372" width="18.140625" style="22" customWidth="1"/>
    <col min="5373" max="5374" width="8.5703125" style="22" bestFit="1" customWidth="1"/>
    <col min="5375" max="5376" width="8.5703125" style="22" customWidth="1"/>
    <col min="5377" max="5377" width="9.42578125" style="22" bestFit="1" customWidth="1"/>
    <col min="5378" max="5378" width="7.5703125" style="22" bestFit="1" customWidth="1"/>
    <col min="5379" max="5380" width="7.5703125" style="22" customWidth="1"/>
    <col min="5381" max="5381" width="9.7109375" style="22" customWidth="1"/>
    <col min="5382" max="5387" width="0" style="22" hidden="1" customWidth="1"/>
    <col min="5388" max="5388" width="11.140625" style="22" customWidth="1"/>
    <col min="5389" max="5390" width="11.42578125" style="22"/>
    <col min="5391" max="5391" width="12.42578125" style="22" bestFit="1" customWidth="1"/>
    <col min="5392" max="5627" width="11.42578125" style="22"/>
    <col min="5628" max="5628" width="18.140625" style="22" customWidth="1"/>
    <col min="5629" max="5630" width="8.5703125" style="22" bestFit="1" customWidth="1"/>
    <col min="5631" max="5632" width="8.5703125" style="22" customWidth="1"/>
    <col min="5633" max="5633" width="9.42578125" style="22" bestFit="1" customWidth="1"/>
    <col min="5634" max="5634" width="7.5703125" style="22" bestFit="1" customWidth="1"/>
    <col min="5635" max="5636" width="7.5703125" style="22" customWidth="1"/>
    <col min="5637" max="5637" width="9.7109375" style="22" customWidth="1"/>
    <col min="5638" max="5643" width="0" style="22" hidden="1" customWidth="1"/>
    <col min="5644" max="5644" width="11.140625" style="22" customWidth="1"/>
    <col min="5645" max="5646" width="11.42578125" style="22"/>
    <col min="5647" max="5647" width="12.42578125" style="22" bestFit="1" customWidth="1"/>
    <col min="5648" max="5883" width="11.42578125" style="22"/>
    <col min="5884" max="5884" width="18.140625" style="22" customWidth="1"/>
    <col min="5885" max="5886" width="8.5703125" style="22" bestFit="1" customWidth="1"/>
    <col min="5887" max="5888" width="8.5703125" style="22" customWidth="1"/>
    <col min="5889" max="5889" width="9.42578125" style="22" bestFit="1" customWidth="1"/>
    <col min="5890" max="5890" width="7.5703125" style="22" bestFit="1" customWidth="1"/>
    <col min="5891" max="5892" width="7.5703125" style="22" customWidth="1"/>
    <col min="5893" max="5893" width="9.7109375" style="22" customWidth="1"/>
    <col min="5894" max="5899" width="0" style="22" hidden="1" customWidth="1"/>
    <col min="5900" max="5900" width="11.140625" style="22" customWidth="1"/>
    <col min="5901" max="5902" width="11.42578125" style="22"/>
    <col min="5903" max="5903" width="12.42578125" style="22" bestFit="1" customWidth="1"/>
    <col min="5904" max="6139" width="11.42578125" style="22"/>
    <col min="6140" max="6140" width="18.140625" style="22" customWidth="1"/>
    <col min="6141" max="6142" width="8.5703125" style="22" bestFit="1" customWidth="1"/>
    <col min="6143" max="6144" width="8.5703125" style="22" customWidth="1"/>
    <col min="6145" max="6145" width="9.42578125" style="22" bestFit="1" customWidth="1"/>
    <col min="6146" max="6146" width="7.5703125" style="22" bestFit="1" customWidth="1"/>
    <col min="6147" max="6148" width="7.5703125" style="22" customWidth="1"/>
    <col min="6149" max="6149" width="9.7109375" style="22" customWidth="1"/>
    <col min="6150" max="6155" width="0" style="22" hidden="1" customWidth="1"/>
    <col min="6156" max="6156" width="11.140625" style="22" customWidth="1"/>
    <col min="6157" max="6158" width="11.42578125" style="22"/>
    <col min="6159" max="6159" width="12.42578125" style="22" bestFit="1" customWidth="1"/>
    <col min="6160" max="6395" width="11.42578125" style="22"/>
    <col min="6396" max="6396" width="18.140625" style="22" customWidth="1"/>
    <col min="6397" max="6398" width="8.5703125" style="22" bestFit="1" customWidth="1"/>
    <col min="6399" max="6400" width="8.5703125" style="22" customWidth="1"/>
    <col min="6401" max="6401" width="9.42578125" style="22" bestFit="1" customWidth="1"/>
    <col min="6402" max="6402" width="7.5703125" style="22" bestFit="1" customWidth="1"/>
    <col min="6403" max="6404" width="7.5703125" style="22" customWidth="1"/>
    <col min="6405" max="6405" width="9.7109375" style="22" customWidth="1"/>
    <col min="6406" max="6411" width="0" style="22" hidden="1" customWidth="1"/>
    <col min="6412" max="6412" width="11.140625" style="22" customWidth="1"/>
    <col min="6413" max="6414" width="11.42578125" style="22"/>
    <col min="6415" max="6415" width="12.42578125" style="22" bestFit="1" customWidth="1"/>
    <col min="6416" max="6651" width="11.42578125" style="22"/>
    <col min="6652" max="6652" width="18.140625" style="22" customWidth="1"/>
    <col min="6653" max="6654" width="8.5703125" style="22" bestFit="1" customWidth="1"/>
    <col min="6655" max="6656" width="8.5703125" style="22" customWidth="1"/>
    <col min="6657" max="6657" width="9.42578125" style="22" bestFit="1" customWidth="1"/>
    <col min="6658" max="6658" width="7.5703125" style="22" bestFit="1" customWidth="1"/>
    <col min="6659" max="6660" width="7.5703125" style="22" customWidth="1"/>
    <col min="6661" max="6661" width="9.7109375" style="22" customWidth="1"/>
    <col min="6662" max="6667" width="0" style="22" hidden="1" customWidth="1"/>
    <col min="6668" max="6668" width="11.140625" style="22" customWidth="1"/>
    <col min="6669" max="6670" width="11.42578125" style="22"/>
    <col min="6671" max="6671" width="12.42578125" style="22" bestFit="1" customWidth="1"/>
    <col min="6672" max="6907" width="11.42578125" style="22"/>
    <col min="6908" max="6908" width="18.140625" style="22" customWidth="1"/>
    <col min="6909" max="6910" width="8.5703125" style="22" bestFit="1" customWidth="1"/>
    <col min="6911" max="6912" width="8.5703125" style="22" customWidth="1"/>
    <col min="6913" max="6913" width="9.42578125" style="22" bestFit="1" customWidth="1"/>
    <col min="6914" max="6914" width="7.5703125" style="22" bestFit="1" customWidth="1"/>
    <col min="6915" max="6916" width="7.5703125" style="22" customWidth="1"/>
    <col min="6917" max="6917" width="9.7109375" style="22" customWidth="1"/>
    <col min="6918" max="6923" width="0" style="22" hidden="1" customWidth="1"/>
    <col min="6924" max="6924" width="11.140625" style="22" customWidth="1"/>
    <col min="6925" max="6926" width="11.42578125" style="22"/>
    <col min="6927" max="6927" width="12.42578125" style="22" bestFit="1" customWidth="1"/>
    <col min="6928" max="7163" width="11.42578125" style="22"/>
    <col min="7164" max="7164" width="18.140625" style="22" customWidth="1"/>
    <col min="7165" max="7166" width="8.5703125" style="22" bestFit="1" customWidth="1"/>
    <col min="7167" max="7168" width="8.5703125" style="22" customWidth="1"/>
    <col min="7169" max="7169" width="9.42578125" style="22" bestFit="1" customWidth="1"/>
    <col min="7170" max="7170" width="7.5703125" style="22" bestFit="1" customWidth="1"/>
    <col min="7171" max="7172" width="7.5703125" style="22" customWidth="1"/>
    <col min="7173" max="7173" width="9.7109375" style="22" customWidth="1"/>
    <col min="7174" max="7179" width="0" style="22" hidden="1" customWidth="1"/>
    <col min="7180" max="7180" width="11.140625" style="22" customWidth="1"/>
    <col min="7181" max="7182" width="11.42578125" style="22"/>
    <col min="7183" max="7183" width="12.42578125" style="22" bestFit="1" customWidth="1"/>
    <col min="7184" max="7419" width="11.42578125" style="22"/>
    <col min="7420" max="7420" width="18.140625" style="22" customWidth="1"/>
    <col min="7421" max="7422" width="8.5703125" style="22" bestFit="1" customWidth="1"/>
    <col min="7423" max="7424" width="8.5703125" style="22" customWidth="1"/>
    <col min="7425" max="7425" width="9.42578125" style="22" bestFit="1" customWidth="1"/>
    <col min="7426" max="7426" width="7.5703125" style="22" bestFit="1" customWidth="1"/>
    <col min="7427" max="7428" width="7.5703125" style="22" customWidth="1"/>
    <col min="7429" max="7429" width="9.7109375" style="22" customWidth="1"/>
    <col min="7430" max="7435" width="0" style="22" hidden="1" customWidth="1"/>
    <col min="7436" max="7436" width="11.140625" style="22" customWidth="1"/>
    <col min="7437" max="7438" width="11.42578125" style="22"/>
    <col min="7439" max="7439" width="12.42578125" style="22" bestFit="1" customWidth="1"/>
    <col min="7440" max="7675" width="11.42578125" style="22"/>
    <col min="7676" max="7676" width="18.140625" style="22" customWidth="1"/>
    <col min="7677" max="7678" width="8.5703125" style="22" bestFit="1" customWidth="1"/>
    <col min="7679" max="7680" width="8.5703125" style="22" customWidth="1"/>
    <col min="7681" max="7681" width="9.42578125" style="22" bestFit="1" customWidth="1"/>
    <col min="7682" max="7682" width="7.5703125" style="22" bestFit="1" customWidth="1"/>
    <col min="7683" max="7684" width="7.5703125" style="22" customWidth="1"/>
    <col min="7685" max="7685" width="9.7109375" style="22" customWidth="1"/>
    <col min="7686" max="7691" width="0" style="22" hidden="1" customWidth="1"/>
    <col min="7692" max="7692" width="11.140625" style="22" customWidth="1"/>
    <col min="7693" max="7694" width="11.42578125" style="22"/>
    <col min="7695" max="7695" width="12.42578125" style="22" bestFit="1" customWidth="1"/>
    <col min="7696" max="7931" width="11.42578125" style="22"/>
    <col min="7932" max="7932" width="18.140625" style="22" customWidth="1"/>
    <col min="7933" max="7934" width="8.5703125" style="22" bestFit="1" customWidth="1"/>
    <col min="7935" max="7936" width="8.5703125" style="22" customWidth="1"/>
    <col min="7937" max="7937" width="9.42578125" style="22" bestFit="1" customWidth="1"/>
    <col min="7938" max="7938" width="7.5703125" style="22" bestFit="1" customWidth="1"/>
    <col min="7939" max="7940" width="7.5703125" style="22" customWidth="1"/>
    <col min="7941" max="7941" width="9.7109375" style="22" customWidth="1"/>
    <col min="7942" max="7947" width="0" style="22" hidden="1" customWidth="1"/>
    <col min="7948" max="7948" width="11.140625" style="22" customWidth="1"/>
    <col min="7949" max="7950" width="11.42578125" style="22"/>
    <col min="7951" max="7951" width="12.42578125" style="22" bestFit="1" customWidth="1"/>
    <col min="7952" max="8187" width="11.42578125" style="22"/>
    <col min="8188" max="8188" width="18.140625" style="22" customWidth="1"/>
    <col min="8189" max="8190" width="8.5703125" style="22" bestFit="1" customWidth="1"/>
    <col min="8191" max="8192" width="8.5703125" style="22" customWidth="1"/>
    <col min="8193" max="8193" width="9.42578125" style="22" bestFit="1" customWidth="1"/>
    <col min="8194" max="8194" width="7.5703125" style="22" bestFit="1" customWidth="1"/>
    <col min="8195" max="8196" width="7.5703125" style="22" customWidth="1"/>
    <col min="8197" max="8197" width="9.7109375" style="22" customWidth="1"/>
    <col min="8198" max="8203" width="0" style="22" hidden="1" customWidth="1"/>
    <col min="8204" max="8204" width="11.140625" style="22" customWidth="1"/>
    <col min="8205" max="8206" width="11.42578125" style="22"/>
    <col min="8207" max="8207" width="12.42578125" style="22" bestFit="1" customWidth="1"/>
    <col min="8208" max="8443" width="11.42578125" style="22"/>
    <col min="8444" max="8444" width="18.140625" style="22" customWidth="1"/>
    <col min="8445" max="8446" width="8.5703125" style="22" bestFit="1" customWidth="1"/>
    <col min="8447" max="8448" width="8.5703125" style="22" customWidth="1"/>
    <col min="8449" max="8449" width="9.42578125" style="22" bestFit="1" customWidth="1"/>
    <col min="8450" max="8450" width="7.5703125" style="22" bestFit="1" customWidth="1"/>
    <col min="8451" max="8452" width="7.5703125" style="22" customWidth="1"/>
    <col min="8453" max="8453" width="9.7109375" style="22" customWidth="1"/>
    <col min="8454" max="8459" width="0" style="22" hidden="1" customWidth="1"/>
    <col min="8460" max="8460" width="11.140625" style="22" customWidth="1"/>
    <col min="8461" max="8462" width="11.42578125" style="22"/>
    <col min="8463" max="8463" width="12.42578125" style="22" bestFit="1" customWidth="1"/>
    <col min="8464" max="8699" width="11.42578125" style="22"/>
    <col min="8700" max="8700" width="18.140625" style="22" customWidth="1"/>
    <col min="8701" max="8702" width="8.5703125" style="22" bestFit="1" customWidth="1"/>
    <col min="8703" max="8704" width="8.5703125" style="22" customWidth="1"/>
    <col min="8705" max="8705" width="9.42578125" style="22" bestFit="1" customWidth="1"/>
    <col min="8706" max="8706" width="7.5703125" style="22" bestFit="1" customWidth="1"/>
    <col min="8707" max="8708" width="7.5703125" style="22" customWidth="1"/>
    <col min="8709" max="8709" width="9.7109375" style="22" customWidth="1"/>
    <col min="8710" max="8715" width="0" style="22" hidden="1" customWidth="1"/>
    <col min="8716" max="8716" width="11.140625" style="22" customWidth="1"/>
    <col min="8717" max="8718" width="11.42578125" style="22"/>
    <col min="8719" max="8719" width="12.42578125" style="22" bestFit="1" customWidth="1"/>
    <col min="8720" max="8955" width="11.42578125" style="22"/>
    <col min="8956" max="8956" width="18.140625" style="22" customWidth="1"/>
    <col min="8957" max="8958" width="8.5703125" style="22" bestFit="1" customWidth="1"/>
    <col min="8959" max="8960" width="8.5703125" style="22" customWidth="1"/>
    <col min="8961" max="8961" width="9.42578125" style="22" bestFit="1" customWidth="1"/>
    <col min="8962" max="8962" width="7.5703125" style="22" bestFit="1" customWidth="1"/>
    <col min="8963" max="8964" width="7.5703125" style="22" customWidth="1"/>
    <col min="8965" max="8965" width="9.7109375" style="22" customWidth="1"/>
    <col min="8966" max="8971" width="0" style="22" hidden="1" customWidth="1"/>
    <col min="8972" max="8972" width="11.140625" style="22" customWidth="1"/>
    <col min="8973" max="8974" width="11.42578125" style="22"/>
    <col min="8975" max="8975" width="12.42578125" style="22" bestFit="1" customWidth="1"/>
    <col min="8976" max="9211" width="11.42578125" style="22"/>
    <col min="9212" max="9212" width="18.140625" style="22" customWidth="1"/>
    <col min="9213" max="9214" width="8.5703125" style="22" bestFit="1" customWidth="1"/>
    <col min="9215" max="9216" width="8.5703125" style="22" customWidth="1"/>
    <col min="9217" max="9217" width="9.42578125" style="22" bestFit="1" customWidth="1"/>
    <col min="9218" max="9218" width="7.5703125" style="22" bestFit="1" customWidth="1"/>
    <col min="9219" max="9220" width="7.5703125" style="22" customWidth="1"/>
    <col min="9221" max="9221" width="9.7109375" style="22" customWidth="1"/>
    <col min="9222" max="9227" width="0" style="22" hidden="1" customWidth="1"/>
    <col min="9228" max="9228" width="11.140625" style="22" customWidth="1"/>
    <col min="9229" max="9230" width="11.42578125" style="22"/>
    <col min="9231" max="9231" width="12.42578125" style="22" bestFit="1" customWidth="1"/>
    <col min="9232" max="9467" width="11.42578125" style="22"/>
    <col min="9468" max="9468" width="18.140625" style="22" customWidth="1"/>
    <col min="9469" max="9470" width="8.5703125" style="22" bestFit="1" customWidth="1"/>
    <col min="9471" max="9472" width="8.5703125" style="22" customWidth="1"/>
    <col min="9473" max="9473" width="9.42578125" style="22" bestFit="1" customWidth="1"/>
    <col min="9474" max="9474" width="7.5703125" style="22" bestFit="1" customWidth="1"/>
    <col min="9475" max="9476" width="7.5703125" style="22" customWidth="1"/>
    <col min="9477" max="9477" width="9.7109375" style="22" customWidth="1"/>
    <col min="9478" max="9483" width="0" style="22" hidden="1" customWidth="1"/>
    <col min="9484" max="9484" width="11.140625" style="22" customWidth="1"/>
    <col min="9485" max="9486" width="11.42578125" style="22"/>
    <col min="9487" max="9487" width="12.42578125" style="22" bestFit="1" customWidth="1"/>
    <col min="9488" max="9723" width="11.42578125" style="22"/>
    <col min="9724" max="9724" width="18.140625" style="22" customWidth="1"/>
    <col min="9725" max="9726" width="8.5703125" style="22" bestFit="1" customWidth="1"/>
    <col min="9727" max="9728" width="8.5703125" style="22" customWidth="1"/>
    <col min="9729" max="9729" width="9.42578125" style="22" bestFit="1" customWidth="1"/>
    <col min="9730" max="9730" width="7.5703125" style="22" bestFit="1" customWidth="1"/>
    <col min="9731" max="9732" width="7.5703125" style="22" customWidth="1"/>
    <col min="9733" max="9733" width="9.7109375" style="22" customWidth="1"/>
    <col min="9734" max="9739" width="0" style="22" hidden="1" customWidth="1"/>
    <col min="9740" max="9740" width="11.140625" style="22" customWidth="1"/>
    <col min="9741" max="9742" width="11.42578125" style="22"/>
    <col min="9743" max="9743" width="12.42578125" style="22" bestFit="1" customWidth="1"/>
    <col min="9744" max="9979" width="11.42578125" style="22"/>
    <col min="9980" max="9980" width="18.140625" style="22" customWidth="1"/>
    <col min="9981" max="9982" width="8.5703125" style="22" bestFit="1" customWidth="1"/>
    <col min="9983" max="9984" width="8.5703125" style="22" customWidth="1"/>
    <col min="9985" max="9985" width="9.42578125" style="22" bestFit="1" customWidth="1"/>
    <col min="9986" max="9986" width="7.5703125" style="22" bestFit="1" customWidth="1"/>
    <col min="9987" max="9988" width="7.5703125" style="22" customWidth="1"/>
    <col min="9989" max="9989" width="9.7109375" style="22" customWidth="1"/>
    <col min="9990" max="9995" width="0" style="22" hidden="1" customWidth="1"/>
    <col min="9996" max="9996" width="11.140625" style="22" customWidth="1"/>
    <col min="9997" max="9998" width="11.42578125" style="22"/>
    <col min="9999" max="9999" width="12.42578125" style="22" bestFit="1" customWidth="1"/>
    <col min="10000" max="10235" width="11.42578125" style="22"/>
    <col min="10236" max="10236" width="18.140625" style="22" customWidth="1"/>
    <col min="10237" max="10238" width="8.5703125" style="22" bestFit="1" customWidth="1"/>
    <col min="10239" max="10240" width="8.5703125" style="22" customWidth="1"/>
    <col min="10241" max="10241" width="9.42578125" style="22" bestFit="1" customWidth="1"/>
    <col min="10242" max="10242" width="7.5703125" style="22" bestFit="1" customWidth="1"/>
    <col min="10243" max="10244" width="7.5703125" style="22" customWidth="1"/>
    <col min="10245" max="10245" width="9.7109375" style="22" customWidth="1"/>
    <col min="10246" max="10251" width="0" style="22" hidden="1" customWidth="1"/>
    <col min="10252" max="10252" width="11.140625" style="22" customWidth="1"/>
    <col min="10253" max="10254" width="11.42578125" style="22"/>
    <col min="10255" max="10255" width="12.42578125" style="22" bestFit="1" customWidth="1"/>
    <col min="10256" max="10491" width="11.42578125" style="22"/>
    <col min="10492" max="10492" width="18.140625" style="22" customWidth="1"/>
    <col min="10493" max="10494" width="8.5703125" style="22" bestFit="1" customWidth="1"/>
    <col min="10495" max="10496" width="8.5703125" style="22" customWidth="1"/>
    <col min="10497" max="10497" width="9.42578125" style="22" bestFit="1" customWidth="1"/>
    <col min="10498" max="10498" width="7.5703125" style="22" bestFit="1" customWidth="1"/>
    <col min="10499" max="10500" width="7.5703125" style="22" customWidth="1"/>
    <col min="10501" max="10501" width="9.7109375" style="22" customWidth="1"/>
    <col min="10502" max="10507" width="0" style="22" hidden="1" customWidth="1"/>
    <col min="10508" max="10508" width="11.140625" style="22" customWidth="1"/>
    <col min="10509" max="10510" width="11.42578125" style="22"/>
    <col min="10511" max="10511" width="12.42578125" style="22" bestFit="1" customWidth="1"/>
    <col min="10512" max="10747" width="11.42578125" style="22"/>
    <col min="10748" max="10748" width="18.140625" style="22" customWidth="1"/>
    <col min="10749" max="10750" width="8.5703125" style="22" bestFit="1" customWidth="1"/>
    <col min="10751" max="10752" width="8.5703125" style="22" customWidth="1"/>
    <col min="10753" max="10753" width="9.42578125" style="22" bestFit="1" customWidth="1"/>
    <col min="10754" max="10754" width="7.5703125" style="22" bestFit="1" customWidth="1"/>
    <col min="10755" max="10756" width="7.5703125" style="22" customWidth="1"/>
    <col min="10757" max="10757" width="9.7109375" style="22" customWidth="1"/>
    <col min="10758" max="10763" width="0" style="22" hidden="1" customWidth="1"/>
    <col min="10764" max="10764" width="11.140625" style="22" customWidth="1"/>
    <col min="10765" max="10766" width="11.42578125" style="22"/>
    <col min="10767" max="10767" width="12.42578125" style="22" bestFit="1" customWidth="1"/>
    <col min="10768" max="11003" width="11.42578125" style="22"/>
    <col min="11004" max="11004" width="18.140625" style="22" customWidth="1"/>
    <col min="11005" max="11006" width="8.5703125" style="22" bestFit="1" customWidth="1"/>
    <col min="11007" max="11008" width="8.5703125" style="22" customWidth="1"/>
    <col min="11009" max="11009" width="9.42578125" style="22" bestFit="1" customWidth="1"/>
    <col min="11010" max="11010" width="7.5703125" style="22" bestFit="1" customWidth="1"/>
    <col min="11011" max="11012" width="7.5703125" style="22" customWidth="1"/>
    <col min="11013" max="11013" width="9.7109375" style="22" customWidth="1"/>
    <col min="11014" max="11019" width="0" style="22" hidden="1" customWidth="1"/>
    <col min="11020" max="11020" width="11.140625" style="22" customWidth="1"/>
    <col min="11021" max="11022" width="11.42578125" style="22"/>
    <col min="11023" max="11023" width="12.42578125" style="22" bestFit="1" customWidth="1"/>
    <col min="11024" max="11259" width="11.42578125" style="22"/>
    <col min="11260" max="11260" width="18.140625" style="22" customWidth="1"/>
    <col min="11261" max="11262" width="8.5703125" style="22" bestFit="1" customWidth="1"/>
    <col min="11263" max="11264" width="8.5703125" style="22" customWidth="1"/>
    <col min="11265" max="11265" width="9.42578125" style="22" bestFit="1" customWidth="1"/>
    <col min="11266" max="11266" width="7.5703125" style="22" bestFit="1" customWidth="1"/>
    <col min="11267" max="11268" width="7.5703125" style="22" customWidth="1"/>
    <col min="11269" max="11269" width="9.7109375" style="22" customWidth="1"/>
    <col min="11270" max="11275" width="0" style="22" hidden="1" customWidth="1"/>
    <col min="11276" max="11276" width="11.140625" style="22" customWidth="1"/>
    <col min="11277" max="11278" width="11.42578125" style="22"/>
    <col min="11279" max="11279" width="12.42578125" style="22" bestFit="1" customWidth="1"/>
    <col min="11280" max="11515" width="11.42578125" style="22"/>
    <col min="11516" max="11516" width="18.140625" style="22" customWidth="1"/>
    <col min="11517" max="11518" width="8.5703125" style="22" bestFit="1" customWidth="1"/>
    <col min="11519" max="11520" width="8.5703125" style="22" customWidth="1"/>
    <col min="11521" max="11521" width="9.42578125" style="22" bestFit="1" customWidth="1"/>
    <col min="11522" max="11522" width="7.5703125" style="22" bestFit="1" customWidth="1"/>
    <col min="11523" max="11524" width="7.5703125" style="22" customWidth="1"/>
    <col min="11525" max="11525" width="9.7109375" style="22" customWidth="1"/>
    <col min="11526" max="11531" width="0" style="22" hidden="1" customWidth="1"/>
    <col min="11532" max="11532" width="11.140625" style="22" customWidth="1"/>
    <col min="11533" max="11534" width="11.42578125" style="22"/>
    <col min="11535" max="11535" width="12.42578125" style="22" bestFit="1" customWidth="1"/>
    <col min="11536" max="11771" width="11.42578125" style="22"/>
    <col min="11772" max="11772" width="18.140625" style="22" customWidth="1"/>
    <col min="11773" max="11774" width="8.5703125" style="22" bestFit="1" customWidth="1"/>
    <col min="11775" max="11776" width="8.5703125" style="22" customWidth="1"/>
    <col min="11777" max="11777" width="9.42578125" style="22" bestFit="1" customWidth="1"/>
    <col min="11778" max="11778" width="7.5703125" style="22" bestFit="1" customWidth="1"/>
    <col min="11779" max="11780" width="7.5703125" style="22" customWidth="1"/>
    <col min="11781" max="11781" width="9.7109375" style="22" customWidth="1"/>
    <col min="11782" max="11787" width="0" style="22" hidden="1" customWidth="1"/>
    <col min="11788" max="11788" width="11.140625" style="22" customWidth="1"/>
    <col min="11789" max="11790" width="11.42578125" style="22"/>
    <col min="11791" max="11791" width="12.42578125" style="22" bestFit="1" customWidth="1"/>
    <col min="11792" max="12027" width="11.42578125" style="22"/>
    <col min="12028" max="12028" width="18.140625" style="22" customWidth="1"/>
    <col min="12029" max="12030" width="8.5703125" style="22" bestFit="1" customWidth="1"/>
    <col min="12031" max="12032" width="8.5703125" style="22" customWidth="1"/>
    <col min="12033" max="12033" width="9.42578125" style="22" bestFit="1" customWidth="1"/>
    <col min="12034" max="12034" width="7.5703125" style="22" bestFit="1" customWidth="1"/>
    <col min="12035" max="12036" width="7.5703125" style="22" customWidth="1"/>
    <col min="12037" max="12037" width="9.7109375" style="22" customWidth="1"/>
    <col min="12038" max="12043" width="0" style="22" hidden="1" customWidth="1"/>
    <col min="12044" max="12044" width="11.140625" style="22" customWidth="1"/>
    <col min="12045" max="12046" width="11.42578125" style="22"/>
    <col min="12047" max="12047" width="12.42578125" style="22" bestFit="1" customWidth="1"/>
    <col min="12048" max="12283" width="11.42578125" style="22"/>
    <col min="12284" max="12284" width="18.140625" style="22" customWidth="1"/>
    <col min="12285" max="12286" width="8.5703125" style="22" bestFit="1" customWidth="1"/>
    <col min="12287" max="12288" width="8.5703125" style="22" customWidth="1"/>
    <col min="12289" max="12289" width="9.42578125" style="22" bestFit="1" customWidth="1"/>
    <col min="12290" max="12290" width="7.5703125" style="22" bestFit="1" customWidth="1"/>
    <col min="12291" max="12292" width="7.5703125" style="22" customWidth="1"/>
    <col min="12293" max="12293" width="9.7109375" style="22" customWidth="1"/>
    <col min="12294" max="12299" width="0" style="22" hidden="1" customWidth="1"/>
    <col min="12300" max="12300" width="11.140625" style="22" customWidth="1"/>
    <col min="12301" max="12302" width="11.42578125" style="22"/>
    <col min="12303" max="12303" width="12.42578125" style="22" bestFit="1" customWidth="1"/>
    <col min="12304" max="12539" width="11.42578125" style="22"/>
    <col min="12540" max="12540" width="18.140625" style="22" customWidth="1"/>
    <col min="12541" max="12542" width="8.5703125" style="22" bestFit="1" customWidth="1"/>
    <col min="12543" max="12544" width="8.5703125" style="22" customWidth="1"/>
    <col min="12545" max="12545" width="9.42578125" style="22" bestFit="1" customWidth="1"/>
    <col min="12546" max="12546" width="7.5703125" style="22" bestFit="1" customWidth="1"/>
    <col min="12547" max="12548" width="7.5703125" style="22" customWidth="1"/>
    <col min="12549" max="12549" width="9.7109375" style="22" customWidth="1"/>
    <col min="12550" max="12555" width="0" style="22" hidden="1" customWidth="1"/>
    <col min="12556" max="12556" width="11.140625" style="22" customWidth="1"/>
    <col min="12557" max="12558" width="11.42578125" style="22"/>
    <col min="12559" max="12559" width="12.42578125" style="22" bestFit="1" customWidth="1"/>
    <col min="12560" max="12795" width="11.42578125" style="22"/>
    <col min="12796" max="12796" width="18.140625" style="22" customWidth="1"/>
    <col min="12797" max="12798" width="8.5703125" style="22" bestFit="1" customWidth="1"/>
    <col min="12799" max="12800" width="8.5703125" style="22" customWidth="1"/>
    <col min="12801" max="12801" width="9.42578125" style="22" bestFit="1" customWidth="1"/>
    <col min="12802" max="12802" width="7.5703125" style="22" bestFit="1" customWidth="1"/>
    <col min="12803" max="12804" width="7.5703125" style="22" customWidth="1"/>
    <col min="12805" max="12805" width="9.7109375" style="22" customWidth="1"/>
    <col min="12806" max="12811" width="0" style="22" hidden="1" customWidth="1"/>
    <col min="12812" max="12812" width="11.140625" style="22" customWidth="1"/>
    <col min="12813" max="12814" width="11.42578125" style="22"/>
    <col min="12815" max="12815" width="12.42578125" style="22" bestFit="1" customWidth="1"/>
    <col min="12816" max="13051" width="11.42578125" style="22"/>
    <col min="13052" max="13052" width="18.140625" style="22" customWidth="1"/>
    <col min="13053" max="13054" width="8.5703125" style="22" bestFit="1" customWidth="1"/>
    <col min="13055" max="13056" width="8.5703125" style="22" customWidth="1"/>
    <col min="13057" max="13057" width="9.42578125" style="22" bestFit="1" customWidth="1"/>
    <col min="13058" max="13058" width="7.5703125" style="22" bestFit="1" customWidth="1"/>
    <col min="13059" max="13060" width="7.5703125" style="22" customWidth="1"/>
    <col min="13061" max="13061" width="9.7109375" style="22" customWidth="1"/>
    <col min="13062" max="13067" width="0" style="22" hidden="1" customWidth="1"/>
    <col min="13068" max="13068" width="11.140625" style="22" customWidth="1"/>
    <col min="13069" max="13070" width="11.42578125" style="22"/>
    <col min="13071" max="13071" width="12.42578125" style="22" bestFit="1" customWidth="1"/>
    <col min="13072" max="13307" width="11.42578125" style="22"/>
    <col min="13308" max="13308" width="18.140625" style="22" customWidth="1"/>
    <col min="13309" max="13310" width="8.5703125" style="22" bestFit="1" customWidth="1"/>
    <col min="13311" max="13312" width="8.5703125" style="22" customWidth="1"/>
    <col min="13313" max="13313" width="9.42578125" style="22" bestFit="1" customWidth="1"/>
    <col min="13314" max="13314" width="7.5703125" style="22" bestFit="1" customWidth="1"/>
    <col min="13315" max="13316" width="7.5703125" style="22" customWidth="1"/>
    <col min="13317" max="13317" width="9.7109375" style="22" customWidth="1"/>
    <col min="13318" max="13323" width="0" style="22" hidden="1" customWidth="1"/>
    <col min="13324" max="13324" width="11.140625" style="22" customWidth="1"/>
    <col min="13325" max="13326" width="11.42578125" style="22"/>
    <col min="13327" max="13327" width="12.42578125" style="22" bestFit="1" customWidth="1"/>
    <col min="13328" max="13563" width="11.42578125" style="22"/>
    <col min="13564" max="13564" width="18.140625" style="22" customWidth="1"/>
    <col min="13565" max="13566" width="8.5703125" style="22" bestFit="1" customWidth="1"/>
    <col min="13567" max="13568" width="8.5703125" style="22" customWidth="1"/>
    <col min="13569" max="13569" width="9.42578125" style="22" bestFit="1" customWidth="1"/>
    <col min="13570" max="13570" width="7.5703125" style="22" bestFit="1" customWidth="1"/>
    <col min="13571" max="13572" width="7.5703125" style="22" customWidth="1"/>
    <col min="13573" max="13573" width="9.7109375" style="22" customWidth="1"/>
    <col min="13574" max="13579" width="0" style="22" hidden="1" customWidth="1"/>
    <col min="13580" max="13580" width="11.140625" style="22" customWidth="1"/>
    <col min="13581" max="13582" width="11.42578125" style="22"/>
    <col min="13583" max="13583" width="12.42578125" style="22" bestFit="1" customWidth="1"/>
    <col min="13584" max="13819" width="11.42578125" style="22"/>
    <col min="13820" max="13820" width="18.140625" style="22" customWidth="1"/>
    <col min="13821" max="13822" width="8.5703125" style="22" bestFit="1" customWidth="1"/>
    <col min="13823" max="13824" width="8.5703125" style="22" customWidth="1"/>
    <col min="13825" max="13825" width="9.42578125" style="22" bestFit="1" customWidth="1"/>
    <col min="13826" max="13826" width="7.5703125" style="22" bestFit="1" customWidth="1"/>
    <col min="13827" max="13828" width="7.5703125" style="22" customWidth="1"/>
    <col min="13829" max="13829" width="9.7109375" style="22" customWidth="1"/>
    <col min="13830" max="13835" width="0" style="22" hidden="1" customWidth="1"/>
    <col min="13836" max="13836" width="11.140625" style="22" customWidth="1"/>
    <col min="13837" max="13838" width="11.42578125" style="22"/>
    <col min="13839" max="13839" width="12.42578125" style="22" bestFit="1" customWidth="1"/>
    <col min="13840" max="14075" width="11.42578125" style="22"/>
    <col min="14076" max="14076" width="18.140625" style="22" customWidth="1"/>
    <col min="14077" max="14078" width="8.5703125" style="22" bestFit="1" customWidth="1"/>
    <col min="14079" max="14080" width="8.5703125" style="22" customWidth="1"/>
    <col min="14081" max="14081" width="9.42578125" style="22" bestFit="1" customWidth="1"/>
    <col min="14082" max="14082" width="7.5703125" style="22" bestFit="1" customWidth="1"/>
    <col min="14083" max="14084" width="7.5703125" style="22" customWidth="1"/>
    <col min="14085" max="14085" width="9.7109375" style="22" customWidth="1"/>
    <col min="14086" max="14091" width="0" style="22" hidden="1" customWidth="1"/>
    <col min="14092" max="14092" width="11.140625" style="22" customWidth="1"/>
    <col min="14093" max="14094" width="11.42578125" style="22"/>
    <col min="14095" max="14095" width="12.42578125" style="22" bestFit="1" customWidth="1"/>
    <col min="14096" max="14331" width="11.42578125" style="22"/>
    <col min="14332" max="14332" width="18.140625" style="22" customWidth="1"/>
    <col min="14333" max="14334" width="8.5703125" style="22" bestFit="1" customWidth="1"/>
    <col min="14335" max="14336" width="8.5703125" style="22" customWidth="1"/>
    <col min="14337" max="14337" width="9.42578125" style="22" bestFit="1" customWidth="1"/>
    <col min="14338" max="14338" width="7.5703125" style="22" bestFit="1" customWidth="1"/>
    <col min="14339" max="14340" width="7.5703125" style="22" customWidth="1"/>
    <col min="14341" max="14341" width="9.7109375" style="22" customWidth="1"/>
    <col min="14342" max="14347" width="0" style="22" hidden="1" customWidth="1"/>
    <col min="14348" max="14348" width="11.140625" style="22" customWidth="1"/>
    <col min="14349" max="14350" width="11.42578125" style="22"/>
    <col min="14351" max="14351" width="12.42578125" style="22" bestFit="1" customWidth="1"/>
    <col min="14352" max="14587" width="11.42578125" style="22"/>
    <col min="14588" max="14588" width="18.140625" style="22" customWidth="1"/>
    <col min="14589" max="14590" width="8.5703125" style="22" bestFit="1" customWidth="1"/>
    <col min="14591" max="14592" width="8.5703125" style="22" customWidth="1"/>
    <col min="14593" max="14593" width="9.42578125" style="22" bestFit="1" customWidth="1"/>
    <col min="14594" max="14594" width="7.5703125" style="22" bestFit="1" customWidth="1"/>
    <col min="14595" max="14596" width="7.5703125" style="22" customWidth="1"/>
    <col min="14597" max="14597" width="9.7109375" style="22" customWidth="1"/>
    <col min="14598" max="14603" width="0" style="22" hidden="1" customWidth="1"/>
    <col min="14604" max="14604" width="11.140625" style="22" customWidth="1"/>
    <col min="14605" max="14606" width="11.42578125" style="22"/>
    <col min="14607" max="14607" width="12.42578125" style="22" bestFit="1" customWidth="1"/>
    <col min="14608" max="14843" width="11.42578125" style="22"/>
    <col min="14844" max="14844" width="18.140625" style="22" customWidth="1"/>
    <col min="14845" max="14846" width="8.5703125" style="22" bestFit="1" customWidth="1"/>
    <col min="14847" max="14848" width="8.5703125" style="22" customWidth="1"/>
    <col min="14849" max="14849" width="9.42578125" style="22" bestFit="1" customWidth="1"/>
    <col min="14850" max="14850" width="7.5703125" style="22" bestFit="1" customWidth="1"/>
    <col min="14851" max="14852" width="7.5703125" style="22" customWidth="1"/>
    <col min="14853" max="14853" width="9.7109375" style="22" customWidth="1"/>
    <col min="14854" max="14859" width="0" style="22" hidden="1" customWidth="1"/>
    <col min="14860" max="14860" width="11.140625" style="22" customWidth="1"/>
    <col min="14861" max="14862" width="11.42578125" style="22"/>
    <col min="14863" max="14863" width="12.42578125" style="22" bestFit="1" customWidth="1"/>
    <col min="14864" max="15099" width="11.42578125" style="22"/>
    <col min="15100" max="15100" width="18.140625" style="22" customWidth="1"/>
    <col min="15101" max="15102" width="8.5703125" style="22" bestFit="1" customWidth="1"/>
    <col min="15103" max="15104" width="8.5703125" style="22" customWidth="1"/>
    <col min="15105" max="15105" width="9.42578125" style="22" bestFit="1" customWidth="1"/>
    <col min="15106" max="15106" width="7.5703125" style="22" bestFit="1" customWidth="1"/>
    <col min="15107" max="15108" width="7.5703125" style="22" customWidth="1"/>
    <col min="15109" max="15109" width="9.7109375" style="22" customWidth="1"/>
    <col min="15110" max="15115" width="0" style="22" hidden="1" customWidth="1"/>
    <col min="15116" max="15116" width="11.140625" style="22" customWidth="1"/>
    <col min="15117" max="15118" width="11.42578125" style="22"/>
    <col min="15119" max="15119" width="12.42578125" style="22" bestFit="1" customWidth="1"/>
    <col min="15120" max="15355" width="11.42578125" style="22"/>
    <col min="15356" max="15356" width="18.140625" style="22" customWidth="1"/>
    <col min="15357" max="15358" width="8.5703125" style="22" bestFit="1" customWidth="1"/>
    <col min="15359" max="15360" width="8.5703125" style="22" customWidth="1"/>
    <col min="15361" max="15361" width="9.42578125" style="22" bestFit="1" customWidth="1"/>
    <col min="15362" max="15362" width="7.5703125" style="22" bestFit="1" customWidth="1"/>
    <col min="15363" max="15364" width="7.5703125" style="22" customWidth="1"/>
    <col min="15365" max="15365" width="9.7109375" style="22" customWidth="1"/>
    <col min="15366" max="15371" width="0" style="22" hidden="1" customWidth="1"/>
    <col min="15372" max="15372" width="11.140625" style="22" customWidth="1"/>
    <col min="15373" max="15374" width="11.42578125" style="22"/>
    <col min="15375" max="15375" width="12.42578125" style="22" bestFit="1" customWidth="1"/>
    <col min="15376" max="15611" width="11.42578125" style="22"/>
    <col min="15612" max="15612" width="18.140625" style="22" customWidth="1"/>
    <col min="15613" max="15614" width="8.5703125" style="22" bestFit="1" customWidth="1"/>
    <col min="15615" max="15616" width="8.5703125" style="22" customWidth="1"/>
    <col min="15617" max="15617" width="9.42578125" style="22" bestFit="1" customWidth="1"/>
    <col min="15618" max="15618" width="7.5703125" style="22" bestFit="1" customWidth="1"/>
    <col min="15619" max="15620" width="7.5703125" style="22" customWidth="1"/>
    <col min="15621" max="15621" width="9.7109375" style="22" customWidth="1"/>
    <col min="15622" max="15627" width="0" style="22" hidden="1" customWidth="1"/>
    <col min="15628" max="15628" width="11.140625" style="22" customWidth="1"/>
    <col min="15629" max="15630" width="11.42578125" style="22"/>
    <col min="15631" max="15631" width="12.42578125" style="22" bestFit="1" customWidth="1"/>
    <col min="15632" max="15867" width="11.42578125" style="22"/>
    <col min="15868" max="15868" width="18.140625" style="22" customWidth="1"/>
    <col min="15869" max="15870" width="8.5703125" style="22" bestFit="1" customWidth="1"/>
    <col min="15871" max="15872" width="8.5703125" style="22" customWidth="1"/>
    <col min="15873" max="15873" width="9.42578125" style="22" bestFit="1" customWidth="1"/>
    <col min="15874" max="15874" width="7.5703125" style="22" bestFit="1" customWidth="1"/>
    <col min="15875" max="15876" width="7.5703125" style="22" customWidth="1"/>
    <col min="15877" max="15877" width="9.7109375" style="22" customWidth="1"/>
    <col min="15878" max="15883" width="0" style="22" hidden="1" customWidth="1"/>
    <col min="15884" max="15884" width="11.140625" style="22" customWidth="1"/>
    <col min="15885" max="15886" width="11.42578125" style="22"/>
    <col min="15887" max="15887" width="12.42578125" style="22" bestFit="1" customWidth="1"/>
    <col min="15888" max="16123" width="11.42578125" style="22"/>
    <col min="16124" max="16124" width="18.140625" style="22" customWidth="1"/>
    <col min="16125" max="16126" width="8.5703125" style="22" bestFit="1" customWidth="1"/>
    <col min="16127" max="16128" width="8.5703125" style="22" customWidth="1"/>
    <col min="16129" max="16129" width="9.42578125" style="22" bestFit="1" customWidth="1"/>
    <col min="16130" max="16130" width="7.5703125" style="22" bestFit="1" customWidth="1"/>
    <col min="16131" max="16132" width="7.5703125" style="22" customWidth="1"/>
    <col min="16133" max="16133" width="9.7109375" style="22" customWidth="1"/>
    <col min="16134" max="16139" width="0" style="22" hidden="1" customWidth="1"/>
    <col min="16140" max="16140" width="11.140625" style="22" customWidth="1"/>
    <col min="16141" max="16142" width="11.42578125" style="22"/>
    <col min="16143" max="16143" width="12.42578125" style="22" bestFit="1" customWidth="1"/>
    <col min="16144" max="16384" width="11.42578125" style="22"/>
  </cols>
  <sheetData>
    <row r="1" spans="1:17" s="23" customFormat="1" x14ac:dyDescent="0.2"/>
    <row r="2" spans="1:17" s="23" customFormat="1" x14ac:dyDescent="0.2">
      <c r="A2" s="40" t="s">
        <v>58</v>
      </c>
    </row>
    <row r="3" spans="1:17" s="23" customFormat="1" ht="15" x14ac:dyDescent="0.25">
      <c r="A3" s="40" t="s">
        <v>59</v>
      </c>
      <c r="J3" s="88"/>
    </row>
    <row r="4" spans="1:17" s="23" customFormat="1" x14ac:dyDescent="0.2"/>
    <row r="5" spans="1:17" s="23" customFormat="1" ht="12.75" x14ac:dyDescent="0.2">
      <c r="B5" s="344" t="s">
        <v>591</v>
      </c>
      <c r="C5" s="344"/>
      <c r="D5" s="344"/>
      <c r="E5" s="344"/>
      <c r="F5" s="344"/>
      <c r="G5" s="344"/>
      <c r="H5" s="344"/>
      <c r="I5" s="344"/>
      <c r="J5" s="344"/>
      <c r="K5" s="344"/>
      <c r="M5" s="110" t="s">
        <v>509</v>
      </c>
      <c r="O5" s="89"/>
    </row>
    <row r="6" spans="1:17" s="23" customFormat="1" ht="12.75" x14ac:dyDescent="0.2">
      <c r="B6" s="374" t="str">
        <f>'Solicitudes Regiones'!$B$6:$R$6</f>
        <v>Julio de 2008 a junio de 2022</v>
      </c>
      <c r="C6" s="374"/>
      <c r="D6" s="374"/>
      <c r="E6" s="374"/>
      <c r="F6" s="374"/>
      <c r="G6" s="374"/>
      <c r="H6" s="374"/>
      <c r="I6" s="374"/>
      <c r="J6" s="374"/>
      <c r="K6" s="374"/>
    </row>
    <row r="7" spans="1:17" s="26" customFormat="1" x14ac:dyDescent="0.2">
      <c r="B7" s="24"/>
      <c r="C7" s="25"/>
      <c r="D7" s="25"/>
      <c r="E7" s="25"/>
      <c r="F7" s="25"/>
      <c r="G7" s="25"/>
      <c r="H7" s="25"/>
      <c r="I7" s="25"/>
      <c r="J7" s="25"/>
      <c r="K7" s="25"/>
      <c r="L7" s="25"/>
    </row>
    <row r="8" spans="1:17" ht="15" customHeight="1" x14ac:dyDescent="0.2">
      <c r="B8" s="373" t="s">
        <v>595</v>
      </c>
      <c r="C8" s="373"/>
      <c r="D8" s="373"/>
      <c r="E8" s="373"/>
      <c r="F8" s="373"/>
      <c r="G8" s="373"/>
      <c r="H8" s="373"/>
      <c r="I8" s="373"/>
      <c r="J8" s="373"/>
      <c r="K8" s="373"/>
      <c r="L8" s="373"/>
      <c r="M8" s="373"/>
    </row>
    <row r="9" spans="1:17" ht="20.25" customHeight="1" x14ac:dyDescent="0.2">
      <c r="B9" s="373" t="s">
        <v>41</v>
      </c>
      <c r="C9" s="370" t="s">
        <v>544</v>
      </c>
      <c r="D9" s="371"/>
      <c r="E9" s="371"/>
      <c r="F9" s="371"/>
      <c r="G9" s="371"/>
      <c r="H9" s="371"/>
      <c r="I9" s="371"/>
      <c r="J9" s="371"/>
      <c r="K9" s="371"/>
      <c r="L9" s="372"/>
      <c r="M9" s="307"/>
    </row>
    <row r="10" spans="1:17" ht="48" x14ac:dyDescent="0.2">
      <c r="B10" s="373"/>
      <c r="C10" s="20" t="s">
        <v>540</v>
      </c>
      <c r="D10" s="20" t="s">
        <v>42</v>
      </c>
      <c r="E10" s="20" t="s">
        <v>553</v>
      </c>
      <c r="F10" s="20" t="s">
        <v>554</v>
      </c>
      <c r="G10" s="20" t="s">
        <v>542</v>
      </c>
      <c r="H10" s="20" t="s">
        <v>2</v>
      </c>
      <c r="I10" s="20" t="s">
        <v>43</v>
      </c>
      <c r="J10" s="20" t="s">
        <v>549</v>
      </c>
      <c r="K10" s="296" t="s">
        <v>550</v>
      </c>
      <c r="L10" s="296" t="s">
        <v>523</v>
      </c>
      <c r="M10" s="296" t="s">
        <v>641</v>
      </c>
    </row>
    <row r="11" spans="1:17" x14ac:dyDescent="0.2">
      <c r="B11" s="16" t="s">
        <v>26</v>
      </c>
      <c r="C11" s="16">
        <v>8434</v>
      </c>
      <c r="D11" s="16">
        <v>4265</v>
      </c>
      <c r="E11" s="16">
        <f>C11+D11</f>
        <v>12699</v>
      </c>
      <c r="F11" s="17">
        <f>E11/$E$20</f>
        <v>0.61481481481481481</v>
      </c>
      <c r="G11" s="16">
        <v>28572</v>
      </c>
      <c r="H11" s="16">
        <v>5888</v>
      </c>
      <c r="I11" s="16">
        <v>1731</v>
      </c>
      <c r="J11" s="310">
        <f>SUM(G11:I11)</f>
        <v>36191</v>
      </c>
      <c r="K11" s="17">
        <f>J11/$J$20</f>
        <v>0.65257217043221116</v>
      </c>
      <c r="L11" s="16">
        <v>0</v>
      </c>
      <c r="M11" s="16">
        <f>L11+J11+E11</f>
        <v>48890</v>
      </c>
      <c r="Q11" s="27"/>
    </row>
    <row r="12" spans="1:17" x14ac:dyDescent="0.2">
      <c r="B12" s="16" t="s">
        <v>81</v>
      </c>
      <c r="C12" s="16">
        <v>264</v>
      </c>
      <c r="D12" s="16">
        <v>113</v>
      </c>
      <c r="E12" s="16">
        <f t="shared" ref="E12:E19" si="0">C12+D12</f>
        <v>377</v>
      </c>
      <c r="F12" s="17">
        <f t="shared" ref="F12:F19" si="1">E12/$E$20</f>
        <v>1.8252239167271846E-2</v>
      </c>
      <c r="G12" s="16">
        <v>816</v>
      </c>
      <c r="H12" s="16">
        <v>203</v>
      </c>
      <c r="I12" s="16">
        <v>43</v>
      </c>
      <c r="J12" s="310">
        <f t="shared" ref="J12:J20" si="2">SUM(G12:I12)</f>
        <v>1062</v>
      </c>
      <c r="K12" s="17">
        <f t="shared" ref="K12:K20" si="3">J12/$J$20</f>
        <v>1.9149281451162119E-2</v>
      </c>
      <c r="L12" s="16">
        <v>0</v>
      </c>
      <c r="M12" s="16">
        <f t="shared" ref="M12:M20" si="4">L12+J12+E12</f>
        <v>1439</v>
      </c>
      <c r="Q12" s="27"/>
    </row>
    <row r="13" spans="1:17" x14ac:dyDescent="0.2">
      <c r="B13" s="16" t="s">
        <v>82</v>
      </c>
      <c r="C13" s="16">
        <v>24</v>
      </c>
      <c r="D13" s="16">
        <v>13</v>
      </c>
      <c r="E13" s="16">
        <f t="shared" si="0"/>
        <v>37</v>
      </c>
      <c r="F13" s="17">
        <f t="shared" si="1"/>
        <v>1.7913338174776084E-3</v>
      </c>
      <c r="G13" s="16">
        <v>51</v>
      </c>
      <c r="H13" s="16">
        <v>15</v>
      </c>
      <c r="I13" s="16">
        <v>5</v>
      </c>
      <c r="J13" s="310">
        <f t="shared" si="2"/>
        <v>71</v>
      </c>
      <c r="K13" s="17">
        <f t="shared" si="3"/>
        <v>1.2802250311040589E-3</v>
      </c>
      <c r="L13" s="16">
        <v>0</v>
      </c>
      <c r="M13" s="16">
        <f t="shared" si="4"/>
        <v>108</v>
      </c>
      <c r="Q13" s="27"/>
    </row>
    <row r="14" spans="1:17" x14ac:dyDescent="0.2">
      <c r="B14" s="16" t="s">
        <v>83</v>
      </c>
      <c r="C14" s="16">
        <v>420</v>
      </c>
      <c r="D14" s="16">
        <v>323</v>
      </c>
      <c r="E14" s="16">
        <f t="shared" si="0"/>
        <v>743</v>
      </c>
      <c r="F14" s="17">
        <f t="shared" si="1"/>
        <v>3.5971919632050348E-2</v>
      </c>
      <c r="G14" s="16">
        <v>1253</v>
      </c>
      <c r="H14" s="16">
        <v>257</v>
      </c>
      <c r="I14" s="16">
        <v>77</v>
      </c>
      <c r="J14" s="310">
        <f t="shared" si="2"/>
        <v>1587</v>
      </c>
      <c r="K14" s="17">
        <f t="shared" si="3"/>
        <v>2.8615734145945655E-2</v>
      </c>
      <c r="L14" s="16">
        <v>0</v>
      </c>
      <c r="M14" s="16">
        <f t="shared" si="4"/>
        <v>2330</v>
      </c>
      <c r="Q14" s="27"/>
    </row>
    <row r="15" spans="1:17" x14ac:dyDescent="0.2">
      <c r="B15" s="16" t="s">
        <v>84</v>
      </c>
      <c r="C15" s="16">
        <v>3524</v>
      </c>
      <c r="D15" s="16">
        <v>1365</v>
      </c>
      <c r="E15" s="16">
        <f t="shared" si="0"/>
        <v>4889</v>
      </c>
      <c r="F15" s="17">
        <f t="shared" si="1"/>
        <v>0.23669813604454126</v>
      </c>
      <c r="G15" s="16">
        <v>9845</v>
      </c>
      <c r="H15" s="16">
        <v>1839</v>
      </c>
      <c r="I15" s="16">
        <v>506</v>
      </c>
      <c r="J15" s="310">
        <f t="shared" si="2"/>
        <v>12190</v>
      </c>
      <c r="K15" s="17">
        <f t="shared" si="3"/>
        <v>0.21980201590364054</v>
      </c>
      <c r="L15" s="16">
        <v>0</v>
      </c>
      <c r="M15" s="16">
        <f t="shared" si="4"/>
        <v>17079</v>
      </c>
      <c r="Q15" s="27"/>
    </row>
    <row r="16" spans="1:17" x14ac:dyDescent="0.2">
      <c r="B16" s="16" t="s">
        <v>85</v>
      </c>
      <c r="C16" s="16">
        <v>16</v>
      </c>
      <c r="D16" s="16">
        <v>1</v>
      </c>
      <c r="E16" s="16">
        <f t="shared" si="0"/>
        <v>17</v>
      </c>
      <c r="F16" s="17">
        <f t="shared" si="1"/>
        <v>8.2304526748971192E-4</v>
      </c>
      <c r="G16" s="16">
        <v>21</v>
      </c>
      <c r="H16" s="16">
        <v>2</v>
      </c>
      <c r="I16" s="16">
        <v>1</v>
      </c>
      <c r="J16" s="310">
        <f t="shared" si="2"/>
        <v>24</v>
      </c>
      <c r="K16" s="17">
        <f t="shared" si="3"/>
        <v>4.3275212319010439E-4</v>
      </c>
      <c r="L16" s="16">
        <v>0</v>
      </c>
      <c r="M16" s="16">
        <f t="shared" si="4"/>
        <v>41</v>
      </c>
      <c r="Q16" s="27"/>
    </row>
    <row r="17" spans="2:17" ht="24" x14ac:dyDescent="0.2">
      <c r="B17" s="16" t="s">
        <v>86</v>
      </c>
      <c r="C17" s="16">
        <v>198</v>
      </c>
      <c r="D17" s="16">
        <v>59</v>
      </c>
      <c r="E17" s="16">
        <f t="shared" si="0"/>
        <v>257</v>
      </c>
      <c r="F17" s="17">
        <f t="shared" si="1"/>
        <v>1.2442507867344469E-2</v>
      </c>
      <c r="G17" s="16">
        <v>432</v>
      </c>
      <c r="H17" s="16">
        <v>71</v>
      </c>
      <c r="I17" s="16">
        <v>21</v>
      </c>
      <c r="J17" s="310">
        <f t="shared" si="2"/>
        <v>524</v>
      </c>
      <c r="K17" s="17">
        <f t="shared" si="3"/>
        <v>9.4484213563172798E-3</v>
      </c>
      <c r="L17" s="16">
        <v>0</v>
      </c>
      <c r="M17" s="16">
        <f t="shared" si="4"/>
        <v>781</v>
      </c>
      <c r="Q17" s="27"/>
    </row>
    <row r="18" spans="2:17" x14ac:dyDescent="0.2">
      <c r="B18" s="16" t="s">
        <v>87</v>
      </c>
      <c r="C18" s="16">
        <v>928</v>
      </c>
      <c r="D18" s="16">
        <v>575</v>
      </c>
      <c r="E18" s="16">
        <f t="shared" si="0"/>
        <v>1503</v>
      </c>
      <c r="F18" s="17">
        <f t="shared" si="1"/>
        <v>7.2766884531590414E-2</v>
      </c>
      <c r="G18" s="16">
        <v>2774</v>
      </c>
      <c r="H18" s="16">
        <v>530</v>
      </c>
      <c r="I18" s="16">
        <v>162</v>
      </c>
      <c r="J18" s="310">
        <f t="shared" si="2"/>
        <v>3466</v>
      </c>
      <c r="K18" s="17">
        <f t="shared" si="3"/>
        <v>6.2496619124037575E-2</v>
      </c>
      <c r="L18" s="16">
        <v>0</v>
      </c>
      <c r="M18" s="16">
        <f t="shared" si="4"/>
        <v>4969</v>
      </c>
      <c r="Q18" s="27"/>
    </row>
    <row r="19" spans="2:17" x14ac:dyDescent="0.2">
      <c r="B19" s="16" t="s">
        <v>88</v>
      </c>
      <c r="C19" s="16">
        <v>99</v>
      </c>
      <c r="D19" s="16">
        <v>34</v>
      </c>
      <c r="E19" s="16">
        <f t="shared" si="0"/>
        <v>133</v>
      </c>
      <c r="F19" s="17">
        <f t="shared" si="1"/>
        <v>6.439118857419511E-3</v>
      </c>
      <c r="G19" s="16">
        <v>272</v>
      </c>
      <c r="H19" s="16">
        <v>62</v>
      </c>
      <c r="I19" s="16">
        <v>10</v>
      </c>
      <c r="J19" s="310">
        <f t="shared" si="2"/>
        <v>344</v>
      </c>
      <c r="K19" s="17">
        <f t="shared" si="3"/>
        <v>6.2027804323914965E-3</v>
      </c>
      <c r="L19" s="16">
        <v>0</v>
      </c>
      <c r="M19" s="16">
        <f t="shared" si="4"/>
        <v>477</v>
      </c>
      <c r="Q19" s="27"/>
    </row>
    <row r="20" spans="2:17" x14ac:dyDescent="0.2">
      <c r="B20" s="18" t="s">
        <v>39</v>
      </c>
      <c r="C20" s="16">
        <f>SUM(C11:C19)</f>
        <v>13907</v>
      </c>
      <c r="D20" s="16">
        <f>SUM(D11:D19)</f>
        <v>6748</v>
      </c>
      <c r="E20" s="18">
        <f t="shared" ref="E20" si="5">C20+D20</f>
        <v>20655</v>
      </c>
      <c r="F20" s="19">
        <f t="shared" ref="F20" si="6">E20/$E$20</f>
        <v>1</v>
      </c>
      <c r="G20" s="16">
        <f t="shared" ref="G20:I20" si="7">SUM(G11:G19)</f>
        <v>44036</v>
      </c>
      <c r="H20" s="16">
        <f t="shared" si="7"/>
        <v>8867</v>
      </c>
      <c r="I20" s="16">
        <f t="shared" si="7"/>
        <v>2556</v>
      </c>
      <c r="J20" s="310">
        <f t="shared" si="2"/>
        <v>55459</v>
      </c>
      <c r="K20" s="17">
        <f t="shared" si="3"/>
        <v>1</v>
      </c>
      <c r="L20" s="16">
        <f t="shared" ref="L20" si="8">SUM(L11:L19)</f>
        <v>0</v>
      </c>
      <c r="M20" s="16">
        <f t="shared" si="4"/>
        <v>76114</v>
      </c>
      <c r="Q20" s="27"/>
    </row>
    <row r="21" spans="2:17" ht="25.5" customHeight="1" x14ac:dyDescent="0.2">
      <c r="B21" s="28" t="s">
        <v>44</v>
      </c>
      <c r="C21" s="29">
        <f>+C20/M20</f>
        <v>0.1827127729458444</v>
      </c>
      <c r="D21" s="29">
        <f>+D20/M20</f>
        <v>8.8656488950784346E-2</v>
      </c>
      <c r="E21" s="30">
        <f>+E20/M20</f>
        <v>0.27136926189662874</v>
      </c>
      <c r="F21" s="30"/>
      <c r="G21" s="29">
        <f>+G20/M20</f>
        <v>0.57855322279738286</v>
      </c>
      <c r="H21" s="29">
        <f>+H20/M20</f>
        <v>0.11649630816932496</v>
      </c>
      <c r="I21" s="29">
        <f>+I20/M20</f>
        <v>3.3581207136663425E-2</v>
      </c>
      <c r="J21" s="30">
        <f>+J20/M20</f>
        <v>0.72863073810337131</v>
      </c>
      <c r="K21" s="30"/>
      <c r="L21" s="30">
        <f>+L20/M20</f>
        <v>0</v>
      </c>
      <c r="M21" s="30">
        <f>J21+L21+E21</f>
        <v>1</v>
      </c>
    </row>
    <row r="22" spans="2:17" ht="15.75" customHeight="1" x14ac:dyDescent="0.2">
      <c r="B22" s="31"/>
      <c r="C22" s="32"/>
      <c r="D22" s="32"/>
      <c r="E22" s="33"/>
      <c r="F22" s="33"/>
      <c r="G22" s="32"/>
      <c r="H22" s="32"/>
      <c r="I22" s="33"/>
      <c r="J22" s="33"/>
      <c r="K22" s="33"/>
      <c r="L22" s="33"/>
    </row>
    <row r="23" spans="2:17" ht="15.75" customHeight="1" x14ac:dyDescent="0.2">
      <c r="B23" s="344" t="s">
        <v>592</v>
      </c>
      <c r="C23" s="344"/>
      <c r="D23" s="344"/>
      <c r="E23" s="344"/>
      <c r="F23" s="344"/>
      <c r="G23" s="344"/>
      <c r="H23" s="344"/>
      <c r="I23" s="344"/>
      <c r="J23" s="344"/>
      <c r="K23" s="344"/>
      <c r="L23" s="33"/>
    </row>
    <row r="24" spans="2:17" ht="15.75" customHeight="1" x14ac:dyDescent="0.2">
      <c r="B24" s="374" t="str">
        <f>'Solicitudes Regiones'!$B$6:$R$6</f>
        <v>Julio de 2008 a junio de 2022</v>
      </c>
      <c r="C24" s="374"/>
      <c r="D24" s="374"/>
      <c r="E24" s="374"/>
      <c r="F24" s="374"/>
      <c r="G24" s="374"/>
      <c r="H24" s="374"/>
      <c r="I24" s="374"/>
      <c r="J24" s="374"/>
      <c r="K24" s="374"/>
      <c r="L24" s="33"/>
    </row>
    <row r="25" spans="2:17" x14ac:dyDescent="0.2">
      <c r="B25" s="34"/>
      <c r="C25" s="34"/>
      <c r="D25" s="34"/>
      <c r="E25" s="34"/>
      <c r="F25" s="34"/>
      <c r="G25" s="34"/>
      <c r="H25" s="34"/>
      <c r="I25" s="34"/>
      <c r="J25" s="34"/>
      <c r="K25" s="34"/>
    </row>
    <row r="26" spans="2:17" ht="12.75" customHeight="1" x14ac:dyDescent="0.2">
      <c r="B26" s="373" t="s">
        <v>596</v>
      </c>
      <c r="C26" s="373"/>
      <c r="D26" s="373"/>
      <c r="E26" s="373"/>
      <c r="F26" s="373"/>
      <c r="G26" s="373"/>
      <c r="H26" s="373"/>
      <c r="I26" s="373"/>
      <c r="J26" s="373"/>
      <c r="K26" s="373"/>
      <c r="L26" s="373"/>
      <c r="M26" s="373"/>
    </row>
    <row r="27" spans="2:17" ht="20.25" customHeight="1" x14ac:dyDescent="0.2">
      <c r="B27" s="373" t="s">
        <v>41</v>
      </c>
      <c r="C27" s="370" t="s">
        <v>544</v>
      </c>
      <c r="D27" s="371"/>
      <c r="E27" s="371"/>
      <c r="F27" s="371"/>
      <c r="G27" s="371"/>
      <c r="H27" s="371"/>
      <c r="I27" s="371"/>
      <c r="J27" s="371"/>
      <c r="K27" s="371"/>
      <c r="L27" s="372"/>
      <c r="M27" s="307"/>
    </row>
    <row r="28" spans="2:17" ht="48" x14ac:dyDescent="0.2">
      <c r="B28" s="373"/>
      <c r="C28" s="20" t="s">
        <v>540</v>
      </c>
      <c r="D28" s="20" t="s">
        <v>42</v>
      </c>
      <c r="E28" s="20" t="s">
        <v>553</v>
      </c>
      <c r="F28" s="20" t="s">
        <v>554</v>
      </c>
      <c r="G28" s="20" t="s">
        <v>542</v>
      </c>
      <c r="H28" s="20" t="s">
        <v>2</v>
      </c>
      <c r="I28" s="20" t="s">
        <v>43</v>
      </c>
      <c r="J28" s="20" t="s">
        <v>549</v>
      </c>
      <c r="K28" s="296" t="s">
        <v>550</v>
      </c>
      <c r="L28" s="296" t="s">
        <v>523</v>
      </c>
      <c r="M28" s="296" t="s">
        <v>641</v>
      </c>
    </row>
    <row r="29" spans="2:17" ht="15.75" customHeight="1" x14ac:dyDescent="0.2">
      <c r="B29" s="16" t="s">
        <v>26</v>
      </c>
      <c r="C29" s="16">
        <v>6664</v>
      </c>
      <c r="D29" s="16">
        <v>2498</v>
      </c>
      <c r="E29" s="16">
        <f>D29+C29</f>
        <v>9162</v>
      </c>
      <c r="F29" s="17">
        <f>E29/$E$38</f>
        <v>0.61947261663286002</v>
      </c>
      <c r="G29" s="16">
        <v>22635</v>
      </c>
      <c r="H29" s="16">
        <v>2786</v>
      </c>
      <c r="I29" s="16">
        <v>1400</v>
      </c>
      <c r="J29" s="16">
        <v>26821</v>
      </c>
      <c r="K29" s="17">
        <f>J29/$J$38</f>
        <v>0.653756154633647</v>
      </c>
      <c r="L29" s="16">
        <v>0</v>
      </c>
      <c r="M29" s="16">
        <f t="shared" ref="M29:M38" si="9">L29+J29+E29</f>
        <v>35983</v>
      </c>
    </row>
    <row r="30" spans="2:17" x14ac:dyDescent="0.2">
      <c r="B30" s="16" t="s">
        <v>81</v>
      </c>
      <c r="C30" s="16">
        <v>190</v>
      </c>
      <c r="D30" s="16">
        <v>53</v>
      </c>
      <c r="E30" s="16">
        <f t="shared" ref="E30:E37" si="10">D30+C30</f>
        <v>243</v>
      </c>
      <c r="F30" s="17">
        <f t="shared" ref="F30:F37" si="11">E30/$E$38</f>
        <v>1.6430020283975659E-2</v>
      </c>
      <c r="G30" s="16">
        <v>641</v>
      </c>
      <c r="H30" s="16">
        <v>89</v>
      </c>
      <c r="I30" s="16">
        <v>34</v>
      </c>
      <c r="J30" s="16">
        <v>764</v>
      </c>
      <c r="K30" s="17">
        <f t="shared" ref="K30:K38" si="12">J30/$J$38</f>
        <v>1.8622337054550773E-2</v>
      </c>
      <c r="L30" s="16">
        <v>0</v>
      </c>
      <c r="M30" s="16">
        <f t="shared" si="9"/>
        <v>1007</v>
      </c>
    </row>
    <row r="31" spans="2:17" x14ac:dyDescent="0.2">
      <c r="B31" s="16" t="s">
        <v>82</v>
      </c>
      <c r="C31" s="16">
        <v>21</v>
      </c>
      <c r="D31" s="16">
        <v>8</v>
      </c>
      <c r="E31" s="16">
        <f t="shared" si="10"/>
        <v>29</v>
      </c>
      <c r="F31" s="17">
        <f t="shared" si="11"/>
        <v>1.9607843137254902E-3</v>
      </c>
      <c r="G31" s="16">
        <v>44</v>
      </c>
      <c r="H31" s="16">
        <v>8</v>
      </c>
      <c r="I31" s="16">
        <v>4</v>
      </c>
      <c r="J31" s="16">
        <v>56</v>
      </c>
      <c r="K31" s="17">
        <f t="shared" si="12"/>
        <v>1.3649880563545069E-3</v>
      </c>
      <c r="L31" s="16">
        <v>0</v>
      </c>
      <c r="M31" s="16">
        <f t="shared" si="9"/>
        <v>85</v>
      </c>
    </row>
    <row r="32" spans="2:17" x14ac:dyDescent="0.2">
      <c r="B32" s="16" t="s">
        <v>83</v>
      </c>
      <c r="C32" s="16">
        <v>329</v>
      </c>
      <c r="D32" s="16">
        <v>156</v>
      </c>
      <c r="E32" s="16">
        <f t="shared" si="10"/>
        <v>485</v>
      </c>
      <c r="F32" s="17">
        <f t="shared" si="11"/>
        <v>3.2792427315753887E-2</v>
      </c>
      <c r="G32" s="16">
        <v>1043</v>
      </c>
      <c r="H32" s="16">
        <v>102</v>
      </c>
      <c r="I32" s="16">
        <v>55</v>
      </c>
      <c r="J32" s="16">
        <v>1200</v>
      </c>
      <c r="K32" s="17">
        <f t="shared" si="12"/>
        <v>2.9249744064739434E-2</v>
      </c>
      <c r="L32" s="16">
        <v>0</v>
      </c>
      <c r="M32" s="16">
        <f t="shared" si="9"/>
        <v>1685</v>
      </c>
    </row>
    <row r="33" spans="2:13" x14ac:dyDescent="0.2">
      <c r="B33" s="16" t="s">
        <v>84</v>
      </c>
      <c r="C33" s="16">
        <v>2687</v>
      </c>
      <c r="D33" s="16">
        <v>837</v>
      </c>
      <c r="E33" s="16">
        <f t="shared" si="10"/>
        <v>3524</v>
      </c>
      <c r="F33" s="17">
        <f t="shared" si="11"/>
        <v>0.23826910074374577</v>
      </c>
      <c r="G33" s="16">
        <v>7545</v>
      </c>
      <c r="H33" s="16">
        <v>833</v>
      </c>
      <c r="I33" s="16">
        <v>399</v>
      </c>
      <c r="J33" s="16">
        <v>8777</v>
      </c>
      <c r="K33" s="17">
        <f t="shared" si="12"/>
        <v>0.21393750304684833</v>
      </c>
      <c r="L33" s="16">
        <v>0</v>
      </c>
      <c r="M33" s="16">
        <f t="shared" si="9"/>
        <v>12301</v>
      </c>
    </row>
    <row r="34" spans="2:13" x14ac:dyDescent="0.2">
      <c r="B34" s="16" t="s">
        <v>85</v>
      </c>
      <c r="C34" s="16">
        <v>15</v>
      </c>
      <c r="D34" s="16">
        <v>1</v>
      </c>
      <c r="E34" s="16">
        <f t="shared" si="10"/>
        <v>16</v>
      </c>
      <c r="F34" s="17">
        <f t="shared" si="11"/>
        <v>1.0818120351588911E-3</v>
      </c>
      <c r="G34" s="16">
        <v>17</v>
      </c>
      <c r="H34" s="16">
        <v>1</v>
      </c>
      <c r="I34" s="16">
        <v>1</v>
      </c>
      <c r="J34" s="16">
        <v>19</v>
      </c>
      <c r="K34" s="17">
        <f t="shared" si="12"/>
        <v>4.6312094769170769E-4</v>
      </c>
      <c r="L34" s="16">
        <v>0</v>
      </c>
      <c r="M34" s="16">
        <f t="shared" si="9"/>
        <v>35</v>
      </c>
    </row>
    <row r="35" spans="2:13" ht="24" x14ac:dyDescent="0.2">
      <c r="B35" s="16" t="s">
        <v>86</v>
      </c>
      <c r="C35" s="16">
        <v>166</v>
      </c>
      <c r="D35" s="16">
        <v>35</v>
      </c>
      <c r="E35" s="16">
        <f t="shared" si="10"/>
        <v>201</v>
      </c>
      <c r="F35" s="17">
        <f t="shared" si="11"/>
        <v>1.359026369168357E-2</v>
      </c>
      <c r="G35" s="16">
        <v>363</v>
      </c>
      <c r="H35" s="16">
        <v>33</v>
      </c>
      <c r="I35" s="16">
        <v>15</v>
      </c>
      <c r="J35" s="16">
        <v>411</v>
      </c>
      <c r="K35" s="17">
        <f t="shared" si="12"/>
        <v>1.0018037342173255E-2</v>
      </c>
      <c r="L35" s="16">
        <v>0</v>
      </c>
      <c r="M35" s="16">
        <f t="shared" si="9"/>
        <v>612</v>
      </c>
    </row>
    <row r="36" spans="2:13" x14ac:dyDescent="0.2">
      <c r="B36" s="16" t="s">
        <v>87</v>
      </c>
      <c r="C36" s="16">
        <v>738</v>
      </c>
      <c r="D36" s="16">
        <v>303</v>
      </c>
      <c r="E36" s="16">
        <f t="shared" si="10"/>
        <v>1041</v>
      </c>
      <c r="F36" s="17">
        <f t="shared" si="11"/>
        <v>7.0385395537525361E-2</v>
      </c>
      <c r="G36" s="16">
        <v>2360</v>
      </c>
      <c r="H36" s="16">
        <v>243</v>
      </c>
      <c r="I36" s="16">
        <v>127</v>
      </c>
      <c r="J36" s="16">
        <v>2730</v>
      </c>
      <c r="K36" s="17">
        <f t="shared" si="12"/>
        <v>6.6543167747282209E-2</v>
      </c>
      <c r="L36" s="16">
        <v>0</v>
      </c>
      <c r="M36" s="16">
        <f t="shared" si="9"/>
        <v>3771</v>
      </c>
    </row>
    <row r="37" spans="2:13" x14ac:dyDescent="0.2">
      <c r="B37" s="16" t="s">
        <v>88</v>
      </c>
      <c r="C37" s="16">
        <v>72</v>
      </c>
      <c r="D37" s="16">
        <v>17</v>
      </c>
      <c r="E37" s="16">
        <f t="shared" si="10"/>
        <v>89</v>
      </c>
      <c r="F37" s="17">
        <f t="shared" si="11"/>
        <v>6.0175794455713319E-3</v>
      </c>
      <c r="G37" s="16">
        <v>208</v>
      </c>
      <c r="H37" s="16">
        <v>32</v>
      </c>
      <c r="I37" s="16">
        <v>8</v>
      </c>
      <c r="J37" s="16">
        <v>248</v>
      </c>
      <c r="K37" s="17">
        <f t="shared" si="12"/>
        <v>6.0449471067128158E-3</v>
      </c>
      <c r="L37" s="16">
        <v>0</v>
      </c>
      <c r="M37" s="16">
        <f t="shared" si="9"/>
        <v>337</v>
      </c>
    </row>
    <row r="38" spans="2:13" x14ac:dyDescent="0.2">
      <c r="B38" s="18" t="s">
        <v>39</v>
      </c>
      <c r="C38" s="16">
        <f t="shared" ref="C38" si="13">SUM(C29:C37)</f>
        <v>10882</v>
      </c>
      <c r="D38" s="16">
        <f t="shared" ref="D38" si="14">SUM(D29:D37)</f>
        <v>3908</v>
      </c>
      <c r="E38" s="18">
        <f t="shared" ref="E38" si="15">D38+C38</f>
        <v>14790</v>
      </c>
      <c r="F38" s="19">
        <f t="shared" ref="F38" si="16">E38/$E$38</f>
        <v>1</v>
      </c>
      <c r="G38" s="16">
        <f t="shared" ref="G38:J38" si="17">SUM(G29:G37)</f>
        <v>34856</v>
      </c>
      <c r="H38" s="16">
        <f t="shared" si="17"/>
        <v>4127</v>
      </c>
      <c r="I38" s="16">
        <f t="shared" si="17"/>
        <v>2043</v>
      </c>
      <c r="J38" s="16">
        <f t="shared" si="17"/>
        <v>41026</v>
      </c>
      <c r="K38" s="17">
        <f t="shared" si="12"/>
        <v>1</v>
      </c>
      <c r="L38" s="16">
        <f t="shared" ref="L38" si="18">SUM(L29:L37)</f>
        <v>0</v>
      </c>
      <c r="M38" s="16">
        <f t="shared" si="9"/>
        <v>55816</v>
      </c>
    </row>
    <row r="39" spans="2:13" ht="24" x14ac:dyDescent="0.2">
      <c r="B39" s="28" t="s">
        <v>45</v>
      </c>
      <c r="C39" s="29">
        <f>+C38/M38</f>
        <v>0.19496201805933783</v>
      </c>
      <c r="D39" s="29">
        <f>+D38/M38</f>
        <v>7.001576608857675E-2</v>
      </c>
      <c r="E39" s="30">
        <f>+E38/M38</f>
        <v>0.26497778414791456</v>
      </c>
      <c r="F39" s="30"/>
      <c r="G39" s="29">
        <f>+G38/M38</f>
        <v>0.62448043571735701</v>
      </c>
      <c r="H39" s="29">
        <f>+H38/M38</f>
        <v>7.3939372223018496E-2</v>
      </c>
      <c r="I39" s="29">
        <f>+I38/M38</f>
        <v>3.6602407911709905E-2</v>
      </c>
      <c r="J39" s="30">
        <f>+J38/M38</f>
        <v>0.73502221585208538</v>
      </c>
      <c r="K39" s="30"/>
      <c r="L39" s="30">
        <f>+L38/M38</f>
        <v>0</v>
      </c>
      <c r="M39" s="30">
        <f>J39+L39+E39</f>
        <v>1</v>
      </c>
    </row>
    <row r="40" spans="2:13" x14ac:dyDescent="0.2">
      <c r="B40" s="21" t="s">
        <v>78</v>
      </c>
    </row>
    <row r="41" spans="2:13" x14ac:dyDescent="0.2">
      <c r="B41" s="21" t="s">
        <v>79</v>
      </c>
    </row>
    <row r="131" spans="2:2" x14ac:dyDescent="0.2">
      <c r="B131" s="22" t="s">
        <v>56</v>
      </c>
    </row>
  </sheetData>
  <mergeCells count="10">
    <mergeCell ref="B6:K6"/>
    <mergeCell ref="B5:K5"/>
    <mergeCell ref="B23:K23"/>
    <mergeCell ref="B24:K24"/>
    <mergeCell ref="B27:B28"/>
    <mergeCell ref="B9:B10"/>
    <mergeCell ref="B8:M8"/>
    <mergeCell ref="B26:M26"/>
    <mergeCell ref="C9:L9"/>
    <mergeCell ref="C27:L27"/>
  </mergeCells>
  <hyperlinks>
    <hyperlink ref="M5" location="'Índice PGU y SPS'!A1" display="Volver Sistema de Pensiones Solidarias" xr:uid="{AFAA1FC5-795A-4EF7-AD06-A23C0331246B}"/>
  </hyperlinks>
  <pageMargins left="0.74803149606299213" right="0.74803149606299213" top="0.98425196850393704" bottom="0.98425196850393704" header="0" footer="0"/>
  <pageSetup scale="78"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1">
    <pageSetUpPr fitToPage="1"/>
  </sheetPr>
  <dimension ref="A1:Q131"/>
  <sheetViews>
    <sheetView showGridLines="0" zoomScale="90" zoomScaleNormal="90" workbookViewId="0">
      <selection activeCell="M35" sqref="M35"/>
    </sheetView>
  </sheetViews>
  <sheetFormatPr baseColWidth="10" defaultRowHeight="12" x14ac:dyDescent="0.2"/>
  <cols>
    <col min="1" max="1" width="6" style="22" customWidth="1"/>
    <col min="2" max="2" width="18.140625" style="22" customWidth="1"/>
    <col min="3" max="3" width="11.5703125" style="22" customWidth="1"/>
    <col min="4" max="4" width="8.42578125" style="22" customWidth="1"/>
    <col min="5" max="5" width="11.5703125" style="22" customWidth="1"/>
    <col min="6" max="6" width="13.140625" style="22" customWidth="1"/>
    <col min="7" max="7" width="10.85546875" style="22" customWidth="1"/>
    <col min="8" max="9" width="8.42578125" style="22" customWidth="1"/>
    <col min="10" max="10" width="14" style="22" customWidth="1"/>
    <col min="11" max="11" width="10.7109375" style="22" customWidth="1"/>
    <col min="12" max="12" width="10.140625" style="22" hidden="1" customWidth="1"/>
    <col min="13" max="14" width="11.42578125" style="22"/>
    <col min="15" max="15" width="12.42578125" style="22" bestFit="1" customWidth="1"/>
    <col min="16" max="251" width="11.42578125" style="22"/>
    <col min="252" max="252" width="18.140625" style="22" customWidth="1"/>
    <col min="253" max="253" width="8.42578125" style="22" bestFit="1" customWidth="1"/>
    <col min="254" max="254" width="8.28515625" style="22" bestFit="1" customWidth="1"/>
    <col min="255" max="256" width="8.28515625" style="22" customWidth="1"/>
    <col min="257" max="257" width="8.42578125" style="22" bestFit="1" customWidth="1"/>
    <col min="258" max="258" width="7.42578125" style="22" bestFit="1" customWidth="1"/>
    <col min="259" max="261" width="7.42578125" style="22" customWidth="1"/>
    <col min="262" max="267" width="0" style="22" hidden="1" customWidth="1"/>
    <col min="268" max="268" width="10.140625" style="22" customWidth="1"/>
    <col min="269" max="270" width="11.42578125" style="22"/>
    <col min="271" max="271" width="12.42578125" style="22" bestFit="1" customWidth="1"/>
    <col min="272" max="507" width="11.42578125" style="22"/>
    <col min="508" max="508" width="18.140625" style="22" customWidth="1"/>
    <col min="509" max="509" width="8.42578125" style="22" bestFit="1" customWidth="1"/>
    <col min="510" max="510" width="8.28515625" style="22" bestFit="1" customWidth="1"/>
    <col min="511" max="512" width="8.28515625" style="22" customWidth="1"/>
    <col min="513" max="513" width="8.42578125" style="22" bestFit="1" customWidth="1"/>
    <col min="514" max="514" width="7.42578125" style="22" bestFit="1" customWidth="1"/>
    <col min="515" max="517" width="7.42578125" style="22" customWidth="1"/>
    <col min="518" max="523" width="0" style="22" hidden="1" customWidth="1"/>
    <col min="524" max="524" width="10.140625" style="22" customWidth="1"/>
    <col min="525" max="526" width="11.42578125" style="22"/>
    <col min="527" max="527" width="12.42578125" style="22" bestFit="1" customWidth="1"/>
    <col min="528" max="763" width="11.42578125" style="22"/>
    <col min="764" max="764" width="18.140625" style="22" customWidth="1"/>
    <col min="765" max="765" width="8.42578125" style="22" bestFit="1" customWidth="1"/>
    <col min="766" max="766" width="8.28515625" style="22" bestFit="1" customWidth="1"/>
    <col min="767" max="768" width="8.28515625" style="22" customWidth="1"/>
    <col min="769" max="769" width="8.42578125" style="22" bestFit="1" customWidth="1"/>
    <col min="770" max="770" width="7.42578125" style="22" bestFit="1" customWidth="1"/>
    <col min="771" max="773" width="7.42578125" style="22" customWidth="1"/>
    <col min="774" max="779" width="0" style="22" hidden="1" customWidth="1"/>
    <col min="780" max="780" width="10.140625" style="22" customWidth="1"/>
    <col min="781" max="782" width="11.42578125" style="22"/>
    <col min="783" max="783" width="12.42578125" style="22" bestFit="1" customWidth="1"/>
    <col min="784" max="1019" width="11.42578125" style="22"/>
    <col min="1020" max="1020" width="18.140625" style="22" customWidth="1"/>
    <col min="1021" max="1021" width="8.42578125" style="22" bestFit="1" customWidth="1"/>
    <col min="1022" max="1022" width="8.28515625" style="22" bestFit="1" customWidth="1"/>
    <col min="1023" max="1024" width="8.28515625" style="22" customWidth="1"/>
    <col min="1025" max="1025" width="8.42578125" style="22" bestFit="1" customWidth="1"/>
    <col min="1026" max="1026" width="7.42578125" style="22" bestFit="1" customWidth="1"/>
    <col min="1027" max="1029" width="7.42578125" style="22" customWidth="1"/>
    <col min="1030" max="1035" width="0" style="22" hidden="1" customWidth="1"/>
    <col min="1036" max="1036" width="10.140625" style="22" customWidth="1"/>
    <col min="1037" max="1038" width="11.42578125" style="22"/>
    <col min="1039" max="1039" width="12.42578125" style="22" bestFit="1" customWidth="1"/>
    <col min="1040" max="1275" width="11.42578125" style="22"/>
    <col min="1276" max="1276" width="18.140625" style="22" customWidth="1"/>
    <col min="1277" max="1277" width="8.42578125" style="22" bestFit="1" customWidth="1"/>
    <col min="1278" max="1278" width="8.28515625" style="22" bestFit="1" customWidth="1"/>
    <col min="1279" max="1280" width="8.28515625" style="22" customWidth="1"/>
    <col min="1281" max="1281" width="8.42578125" style="22" bestFit="1" customWidth="1"/>
    <col min="1282" max="1282" width="7.42578125" style="22" bestFit="1" customWidth="1"/>
    <col min="1283" max="1285" width="7.42578125" style="22" customWidth="1"/>
    <col min="1286" max="1291" width="0" style="22" hidden="1" customWidth="1"/>
    <col min="1292" max="1292" width="10.140625" style="22" customWidth="1"/>
    <col min="1293" max="1294" width="11.42578125" style="22"/>
    <col min="1295" max="1295" width="12.42578125" style="22" bestFit="1" customWidth="1"/>
    <col min="1296" max="1531" width="11.42578125" style="22"/>
    <col min="1532" max="1532" width="18.140625" style="22" customWidth="1"/>
    <col min="1533" max="1533" width="8.42578125" style="22" bestFit="1" customWidth="1"/>
    <col min="1534" max="1534" width="8.28515625" style="22" bestFit="1" customWidth="1"/>
    <col min="1535" max="1536" width="8.28515625" style="22" customWidth="1"/>
    <col min="1537" max="1537" width="8.42578125" style="22" bestFit="1" customWidth="1"/>
    <col min="1538" max="1538" width="7.42578125" style="22" bestFit="1" customWidth="1"/>
    <col min="1539" max="1541" width="7.42578125" style="22" customWidth="1"/>
    <col min="1542" max="1547" width="0" style="22" hidden="1" customWidth="1"/>
    <col min="1548" max="1548" width="10.140625" style="22" customWidth="1"/>
    <col min="1549" max="1550" width="11.42578125" style="22"/>
    <col min="1551" max="1551" width="12.42578125" style="22" bestFit="1" customWidth="1"/>
    <col min="1552" max="1787" width="11.42578125" style="22"/>
    <col min="1788" max="1788" width="18.140625" style="22" customWidth="1"/>
    <col min="1789" max="1789" width="8.42578125" style="22" bestFit="1" customWidth="1"/>
    <col min="1790" max="1790" width="8.28515625" style="22" bestFit="1" customWidth="1"/>
    <col min="1791" max="1792" width="8.28515625" style="22" customWidth="1"/>
    <col min="1793" max="1793" width="8.42578125" style="22" bestFit="1" customWidth="1"/>
    <col min="1794" max="1794" width="7.42578125" style="22" bestFit="1" customWidth="1"/>
    <col min="1795" max="1797" width="7.42578125" style="22" customWidth="1"/>
    <col min="1798" max="1803" width="0" style="22" hidden="1" customWidth="1"/>
    <col min="1804" max="1804" width="10.140625" style="22" customWidth="1"/>
    <col min="1805" max="1806" width="11.42578125" style="22"/>
    <col min="1807" max="1807" width="12.42578125" style="22" bestFit="1" customWidth="1"/>
    <col min="1808" max="2043" width="11.42578125" style="22"/>
    <col min="2044" max="2044" width="18.140625" style="22" customWidth="1"/>
    <col min="2045" max="2045" width="8.42578125" style="22" bestFit="1" customWidth="1"/>
    <col min="2046" max="2046" width="8.28515625" style="22" bestFit="1" customWidth="1"/>
    <col min="2047" max="2048" width="8.28515625" style="22" customWidth="1"/>
    <col min="2049" max="2049" width="8.42578125" style="22" bestFit="1" customWidth="1"/>
    <col min="2050" max="2050" width="7.42578125" style="22" bestFit="1" customWidth="1"/>
    <col min="2051" max="2053" width="7.42578125" style="22" customWidth="1"/>
    <col min="2054" max="2059" width="0" style="22" hidden="1" customWidth="1"/>
    <col min="2060" max="2060" width="10.140625" style="22" customWidth="1"/>
    <col min="2061" max="2062" width="11.42578125" style="22"/>
    <col min="2063" max="2063" width="12.42578125" style="22" bestFit="1" customWidth="1"/>
    <col min="2064" max="2299" width="11.42578125" style="22"/>
    <col min="2300" max="2300" width="18.140625" style="22" customWidth="1"/>
    <col min="2301" max="2301" width="8.42578125" style="22" bestFit="1" customWidth="1"/>
    <col min="2302" max="2302" width="8.28515625" style="22" bestFit="1" customWidth="1"/>
    <col min="2303" max="2304" width="8.28515625" style="22" customWidth="1"/>
    <col min="2305" max="2305" width="8.42578125" style="22" bestFit="1" customWidth="1"/>
    <col min="2306" max="2306" width="7.42578125" style="22" bestFit="1" customWidth="1"/>
    <col min="2307" max="2309" width="7.42578125" style="22" customWidth="1"/>
    <col min="2310" max="2315" width="0" style="22" hidden="1" customWidth="1"/>
    <col min="2316" max="2316" width="10.140625" style="22" customWidth="1"/>
    <col min="2317" max="2318" width="11.42578125" style="22"/>
    <col min="2319" max="2319" width="12.42578125" style="22" bestFit="1" customWidth="1"/>
    <col min="2320" max="2555" width="11.42578125" style="22"/>
    <col min="2556" max="2556" width="18.140625" style="22" customWidth="1"/>
    <col min="2557" max="2557" width="8.42578125" style="22" bestFit="1" customWidth="1"/>
    <col min="2558" max="2558" width="8.28515625" style="22" bestFit="1" customWidth="1"/>
    <col min="2559" max="2560" width="8.28515625" style="22" customWidth="1"/>
    <col min="2561" max="2561" width="8.42578125" style="22" bestFit="1" customWidth="1"/>
    <col min="2562" max="2562" width="7.42578125" style="22" bestFit="1" customWidth="1"/>
    <col min="2563" max="2565" width="7.42578125" style="22" customWidth="1"/>
    <col min="2566" max="2571" width="0" style="22" hidden="1" customWidth="1"/>
    <col min="2572" max="2572" width="10.140625" style="22" customWidth="1"/>
    <col min="2573" max="2574" width="11.42578125" style="22"/>
    <col min="2575" max="2575" width="12.42578125" style="22" bestFit="1" customWidth="1"/>
    <col min="2576" max="2811" width="11.42578125" style="22"/>
    <col min="2812" max="2812" width="18.140625" style="22" customWidth="1"/>
    <col min="2813" max="2813" width="8.42578125" style="22" bestFit="1" customWidth="1"/>
    <col min="2814" max="2814" width="8.28515625" style="22" bestFit="1" customWidth="1"/>
    <col min="2815" max="2816" width="8.28515625" style="22" customWidth="1"/>
    <col min="2817" max="2817" width="8.42578125" style="22" bestFit="1" customWidth="1"/>
    <col min="2818" max="2818" width="7.42578125" style="22" bestFit="1" customWidth="1"/>
    <col min="2819" max="2821" width="7.42578125" style="22" customWidth="1"/>
    <col min="2822" max="2827" width="0" style="22" hidden="1" customWidth="1"/>
    <col min="2828" max="2828" width="10.140625" style="22" customWidth="1"/>
    <col min="2829" max="2830" width="11.42578125" style="22"/>
    <col min="2831" max="2831" width="12.42578125" style="22" bestFit="1" customWidth="1"/>
    <col min="2832" max="3067" width="11.42578125" style="22"/>
    <col min="3068" max="3068" width="18.140625" style="22" customWidth="1"/>
    <col min="3069" max="3069" width="8.42578125" style="22" bestFit="1" customWidth="1"/>
    <col min="3070" max="3070" width="8.28515625" style="22" bestFit="1" customWidth="1"/>
    <col min="3071" max="3072" width="8.28515625" style="22" customWidth="1"/>
    <col min="3073" max="3073" width="8.42578125" style="22" bestFit="1" customWidth="1"/>
    <col min="3074" max="3074" width="7.42578125" style="22" bestFit="1" customWidth="1"/>
    <col min="3075" max="3077" width="7.42578125" style="22" customWidth="1"/>
    <col min="3078" max="3083" width="0" style="22" hidden="1" customWidth="1"/>
    <col min="3084" max="3084" width="10.140625" style="22" customWidth="1"/>
    <col min="3085" max="3086" width="11.42578125" style="22"/>
    <col min="3087" max="3087" width="12.42578125" style="22" bestFit="1" customWidth="1"/>
    <col min="3088" max="3323" width="11.42578125" style="22"/>
    <col min="3324" max="3324" width="18.140625" style="22" customWidth="1"/>
    <col min="3325" max="3325" width="8.42578125" style="22" bestFit="1" customWidth="1"/>
    <col min="3326" max="3326" width="8.28515625" style="22" bestFit="1" customWidth="1"/>
    <col min="3327" max="3328" width="8.28515625" style="22" customWidth="1"/>
    <col min="3329" max="3329" width="8.42578125" style="22" bestFit="1" customWidth="1"/>
    <col min="3330" max="3330" width="7.42578125" style="22" bestFit="1" customWidth="1"/>
    <col min="3331" max="3333" width="7.42578125" style="22" customWidth="1"/>
    <col min="3334" max="3339" width="0" style="22" hidden="1" customWidth="1"/>
    <col min="3340" max="3340" width="10.140625" style="22" customWidth="1"/>
    <col min="3341" max="3342" width="11.42578125" style="22"/>
    <col min="3343" max="3343" width="12.42578125" style="22" bestFit="1" customWidth="1"/>
    <col min="3344" max="3579" width="11.42578125" style="22"/>
    <col min="3580" max="3580" width="18.140625" style="22" customWidth="1"/>
    <col min="3581" max="3581" width="8.42578125" style="22" bestFit="1" customWidth="1"/>
    <col min="3582" max="3582" width="8.28515625" style="22" bestFit="1" customWidth="1"/>
    <col min="3583" max="3584" width="8.28515625" style="22" customWidth="1"/>
    <col min="3585" max="3585" width="8.42578125" style="22" bestFit="1" customWidth="1"/>
    <col min="3586" max="3586" width="7.42578125" style="22" bestFit="1" customWidth="1"/>
    <col min="3587" max="3589" width="7.42578125" style="22" customWidth="1"/>
    <col min="3590" max="3595" width="0" style="22" hidden="1" customWidth="1"/>
    <col min="3596" max="3596" width="10.140625" style="22" customWidth="1"/>
    <col min="3597" max="3598" width="11.42578125" style="22"/>
    <col min="3599" max="3599" width="12.42578125" style="22" bestFit="1" customWidth="1"/>
    <col min="3600" max="3835" width="11.42578125" style="22"/>
    <col min="3836" max="3836" width="18.140625" style="22" customWidth="1"/>
    <col min="3837" max="3837" width="8.42578125" style="22" bestFit="1" customWidth="1"/>
    <col min="3838" max="3838" width="8.28515625" style="22" bestFit="1" customWidth="1"/>
    <col min="3839" max="3840" width="8.28515625" style="22" customWidth="1"/>
    <col min="3841" max="3841" width="8.42578125" style="22" bestFit="1" customWidth="1"/>
    <col min="3842" max="3842" width="7.42578125" style="22" bestFit="1" customWidth="1"/>
    <col min="3843" max="3845" width="7.42578125" style="22" customWidth="1"/>
    <col min="3846" max="3851" width="0" style="22" hidden="1" customWidth="1"/>
    <col min="3852" max="3852" width="10.140625" style="22" customWidth="1"/>
    <col min="3853" max="3854" width="11.42578125" style="22"/>
    <col min="3855" max="3855" width="12.42578125" style="22" bestFit="1" customWidth="1"/>
    <col min="3856" max="4091" width="11.42578125" style="22"/>
    <col min="4092" max="4092" width="18.140625" style="22" customWidth="1"/>
    <col min="4093" max="4093" width="8.42578125" style="22" bestFit="1" customWidth="1"/>
    <col min="4094" max="4094" width="8.28515625" style="22" bestFit="1" customWidth="1"/>
    <col min="4095" max="4096" width="8.28515625" style="22" customWidth="1"/>
    <col min="4097" max="4097" width="8.42578125" style="22" bestFit="1" customWidth="1"/>
    <col min="4098" max="4098" width="7.42578125" style="22" bestFit="1" customWidth="1"/>
    <col min="4099" max="4101" width="7.42578125" style="22" customWidth="1"/>
    <col min="4102" max="4107" width="0" style="22" hidden="1" customWidth="1"/>
    <col min="4108" max="4108" width="10.140625" style="22" customWidth="1"/>
    <col min="4109" max="4110" width="11.42578125" style="22"/>
    <col min="4111" max="4111" width="12.42578125" style="22" bestFit="1" customWidth="1"/>
    <col min="4112" max="4347" width="11.42578125" style="22"/>
    <col min="4348" max="4348" width="18.140625" style="22" customWidth="1"/>
    <col min="4349" max="4349" width="8.42578125" style="22" bestFit="1" customWidth="1"/>
    <col min="4350" max="4350" width="8.28515625" style="22" bestFit="1" customWidth="1"/>
    <col min="4351" max="4352" width="8.28515625" style="22" customWidth="1"/>
    <col min="4353" max="4353" width="8.42578125" style="22" bestFit="1" customWidth="1"/>
    <col min="4354" max="4354" width="7.42578125" style="22" bestFit="1" customWidth="1"/>
    <col min="4355" max="4357" width="7.42578125" style="22" customWidth="1"/>
    <col min="4358" max="4363" width="0" style="22" hidden="1" customWidth="1"/>
    <col min="4364" max="4364" width="10.140625" style="22" customWidth="1"/>
    <col min="4365" max="4366" width="11.42578125" style="22"/>
    <col min="4367" max="4367" width="12.42578125" style="22" bestFit="1" customWidth="1"/>
    <col min="4368" max="4603" width="11.42578125" style="22"/>
    <col min="4604" max="4604" width="18.140625" style="22" customWidth="1"/>
    <col min="4605" max="4605" width="8.42578125" style="22" bestFit="1" customWidth="1"/>
    <col min="4606" max="4606" width="8.28515625" style="22" bestFit="1" customWidth="1"/>
    <col min="4607" max="4608" width="8.28515625" style="22" customWidth="1"/>
    <col min="4609" max="4609" width="8.42578125" style="22" bestFit="1" customWidth="1"/>
    <col min="4610" max="4610" width="7.42578125" style="22" bestFit="1" customWidth="1"/>
    <col min="4611" max="4613" width="7.42578125" style="22" customWidth="1"/>
    <col min="4614" max="4619" width="0" style="22" hidden="1" customWidth="1"/>
    <col min="4620" max="4620" width="10.140625" style="22" customWidth="1"/>
    <col min="4621" max="4622" width="11.42578125" style="22"/>
    <col min="4623" max="4623" width="12.42578125" style="22" bestFit="1" customWidth="1"/>
    <col min="4624" max="4859" width="11.42578125" style="22"/>
    <col min="4860" max="4860" width="18.140625" style="22" customWidth="1"/>
    <col min="4861" max="4861" width="8.42578125" style="22" bestFit="1" customWidth="1"/>
    <col min="4862" max="4862" width="8.28515625" style="22" bestFit="1" customWidth="1"/>
    <col min="4863" max="4864" width="8.28515625" style="22" customWidth="1"/>
    <col min="4865" max="4865" width="8.42578125" style="22" bestFit="1" customWidth="1"/>
    <col min="4866" max="4866" width="7.42578125" style="22" bestFit="1" customWidth="1"/>
    <col min="4867" max="4869" width="7.42578125" style="22" customWidth="1"/>
    <col min="4870" max="4875" width="0" style="22" hidden="1" customWidth="1"/>
    <col min="4876" max="4876" width="10.140625" style="22" customWidth="1"/>
    <col min="4877" max="4878" width="11.42578125" style="22"/>
    <col min="4879" max="4879" width="12.42578125" style="22" bestFit="1" customWidth="1"/>
    <col min="4880" max="5115" width="11.42578125" style="22"/>
    <col min="5116" max="5116" width="18.140625" style="22" customWidth="1"/>
    <col min="5117" max="5117" width="8.42578125" style="22" bestFit="1" customWidth="1"/>
    <col min="5118" max="5118" width="8.28515625" style="22" bestFit="1" customWidth="1"/>
    <col min="5119" max="5120" width="8.28515625" style="22" customWidth="1"/>
    <col min="5121" max="5121" width="8.42578125" style="22" bestFit="1" customWidth="1"/>
    <col min="5122" max="5122" width="7.42578125" style="22" bestFit="1" customWidth="1"/>
    <col min="5123" max="5125" width="7.42578125" style="22" customWidth="1"/>
    <col min="5126" max="5131" width="0" style="22" hidden="1" customWidth="1"/>
    <col min="5132" max="5132" width="10.140625" style="22" customWidth="1"/>
    <col min="5133" max="5134" width="11.42578125" style="22"/>
    <col min="5135" max="5135" width="12.42578125" style="22" bestFit="1" customWidth="1"/>
    <col min="5136" max="5371" width="11.42578125" style="22"/>
    <col min="5372" max="5372" width="18.140625" style="22" customWidth="1"/>
    <col min="5373" max="5373" width="8.42578125" style="22" bestFit="1" customWidth="1"/>
    <col min="5374" max="5374" width="8.28515625" style="22" bestFit="1" customWidth="1"/>
    <col min="5375" max="5376" width="8.28515625" style="22" customWidth="1"/>
    <col min="5377" max="5377" width="8.42578125" style="22" bestFit="1" customWidth="1"/>
    <col min="5378" max="5378" width="7.42578125" style="22" bestFit="1" customWidth="1"/>
    <col min="5379" max="5381" width="7.42578125" style="22" customWidth="1"/>
    <col min="5382" max="5387" width="0" style="22" hidden="1" customWidth="1"/>
    <col min="5388" max="5388" width="10.140625" style="22" customWidth="1"/>
    <col min="5389" max="5390" width="11.42578125" style="22"/>
    <col min="5391" max="5391" width="12.42578125" style="22" bestFit="1" customWidth="1"/>
    <col min="5392" max="5627" width="11.42578125" style="22"/>
    <col min="5628" max="5628" width="18.140625" style="22" customWidth="1"/>
    <col min="5629" max="5629" width="8.42578125" style="22" bestFit="1" customWidth="1"/>
    <col min="5630" max="5630" width="8.28515625" style="22" bestFit="1" customWidth="1"/>
    <col min="5631" max="5632" width="8.28515625" style="22" customWidth="1"/>
    <col min="5633" max="5633" width="8.42578125" style="22" bestFit="1" customWidth="1"/>
    <col min="5634" max="5634" width="7.42578125" style="22" bestFit="1" customWidth="1"/>
    <col min="5635" max="5637" width="7.42578125" style="22" customWidth="1"/>
    <col min="5638" max="5643" width="0" style="22" hidden="1" customWidth="1"/>
    <col min="5644" max="5644" width="10.140625" style="22" customWidth="1"/>
    <col min="5645" max="5646" width="11.42578125" style="22"/>
    <col min="5647" max="5647" width="12.42578125" style="22" bestFit="1" customWidth="1"/>
    <col min="5648" max="5883" width="11.42578125" style="22"/>
    <col min="5884" max="5884" width="18.140625" style="22" customWidth="1"/>
    <col min="5885" max="5885" width="8.42578125" style="22" bestFit="1" customWidth="1"/>
    <col min="5886" max="5886" width="8.28515625" style="22" bestFit="1" customWidth="1"/>
    <col min="5887" max="5888" width="8.28515625" style="22" customWidth="1"/>
    <col min="5889" max="5889" width="8.42578125" style="22" bestFit="1" customWidth="1"/>
    <col min="5890" max="5890" width="7.42578125" style="22" bestFit="1" customWidth="1"/>
    <col min="5891" max="5893" width="7.42578125" style="22" customWidth="1"/>
    <col min="5894" max="5899" width="0" style="22" hidden="1" customWidth="1"/>
    <col min="5900" max="5900" width="10.140625" style="22" customWidth="1"/>
    <col min="5901" max="5902" width="11.42578125" style="22"/>
    <col min="5903" max="5903" width="12.42578125" style="22" bestFit="1" customWidth="1"/>
    <col min="5904" max="6139" width="11.42578125" style="22"/>
    <col min="6140" max="6140" width="18.140625" style="22" customWidth="1"/>
    <col min="6141" max="6141" width="8.42578125" style="22" bestFit="1" customWidth="1"/>
    <col min="6142" max="6142" width="8.28515625" style="22" bestFit="1" customWidth="1"/>
    <col min="6143" max="6144" width="8.28515625" style="22" customWidth="1"/>
    <col min="6145" max="6145" width="8.42578125" style="22" bestFit="1" customWidth="1"/>
    <col min="6146" max="6146" width="7.42578125" style="22" bestFit="1" customWidth="1"/>
    <col min="6147" max="6149" width="7.42578125" style="22" customWidth="1"/>
    <col min="6150" max="6155" width="0" style="22" hidden="1" customWidth="1"/>
    <col min="6156" max="6156" width="10.140625" style="22" customWidth="1"/>
    <col min="6157" max="6158" width="11.42578125" style="22"/>
    <col min="6159" max="6159" width="12.42578125" style="22" bestFit="1" customWidth="1"/>
    <col min="6160" max="6395" width="11.42578125" style="22"/>
    <col min="6396" max="6396" width="18.140625" style="22" customWidth="1"/>
    <col min="6397" max="6397" width="8.42578125" style="22" bestFit="1" customWidth="1"/>
    <col min="6398" max="6398" width="8.28515625" style="22" bestFit="1" customWidth="1"/>
    <col min="6399" max="6400" width="8.28515625" style="22" customWidth="1"/>
    <col min="6401" max="6401" width="8.42578125" style="22" bestFit="1" customWidth="1"/>
    <col min="6402" max="6402" width="7.42578125" style="22" bestFit="1" customWidth="1"/>
    <col min="6403" max="6405" width="7.42578125" style="22" customWidth="1"/>
    <col min="6406" max="6411" width="0" style="22" hidden="1" customWidth="1"/>
    <col min="6412" max="6412" width="10.140625" style="22" customWidth="1"/>
    <col min="6413" max="6414" width="11.42578125" style="22"/>
    <col min="6415" max="6415" width="12.42578125" style="22" bestFit="1" customWidth="1"/>
    <col min="6416" max="6651" width="11.42578125" style="22"/>
    <col min="6652" max="6652" width="18.140625" style="22" customWidth="1"/>
    <col min="6653" max="6653" width="8.42578125" style="22" bestFit="1" customWidth="1"/>
    <col min="6654" max="6654" width="8.28515625" style="22" bestFit="1" customWidth="1"/>
    <col min="6655" max="6656" width="8.28515625" style="22" customWidth="1"/>
    <col min="6657" max="6657" width="8.42578125" style="22" bestFit="1" customWidth="1"/>
    <col min="6658" max="6658" width="7.42578125" style="22" bestFit="1" customWidth="1"/>
    <col min="6659" max="6661" width="7.42578125" style="22" customWidth="1"/>
    <col min="6662" max="6667" width="0" style="22" hidden="1" customWidth="1"/>
    <col min="6668" max="6668" width="10.140625" style="22" customWidth="1"/>
    <col min="6669" max="6670" width="11.42578125" style="22"/>
    <col min="6671" max="6671" width="12.42578125" style="22" bestFit="1" customWidth="1"/>
    <col min="6672" max="6907" width="11.42578125" style="22"/>
    <col min="6908" max="6908" width="18.140625" style="22" customWidth="1"/>
    <col min="6909" max="6909" width="8.42578125" style="22" bestFit="1" customWidth="1"/>
    <col min="6910" max="6910" width="8.28515625" style="22" bestFit="1" customWidth="1"/>
    <col min="6911" max="6912" width="8.28515625" style="22" customWidth="1"/>
    <col min="6913" max="6913" width="8.42578125" style="22" bestFit="1" customWidth="1"/>
    <col min="6914" max="6914" width="7.42578125" style="22" bestFit="1" customWidth="1"/>
    <col min="6915" max="6917" width="7.42578125" style="22" customWidth="1"/>
    <col min="6918" max="6923" width="0" style="22" hidden="1" customWidth="1"/>
    <col min="6924" max="6924" width="10.140625" style="22" customWidth="1"/>
    <col min="6925" max="6926" width="11.42578125" style="22"/>
    <col min="6927" max="6927" width="12.42578125" style="22" bestFit="1" customWidth="1"/>
    <col min="6928" max="7163" width="11.42578125" style="22"/>
    <col min="7164" max="7164" width="18.140625" style="22" customWidth="1"/>
    <col min="7165" max="7165" width="8.42578125" style="22" bestFit="1" customWidth="1"/>
    <col min="7166" max="7166" width="8.28515625" style="22" bestFit="1" customWidth="1"/>
    <col min="7167" max="7168" width="8.28515625" style="22" customWidth="1"/>
    <col min="7169" max="7169" width="8.42578125" style="22" bestFit="1" customWidth="1"/>
    <col min="7170" max="7170" width="7.42578125" style="22" bestFit="1" customWidth="1"/>
    <col min="7171" max="7173" width="7.42578125" style="22" customWidth="1"/>
    <col min="7174" max="7179" width="0" style="22" hidden="1" customWidth="1"/>
    <col min="7180" max="7180" width="10.140625" style="22" customWidth="1"/>
    <col min="7181" max="7182" width="11.42578125" style="22"/>
    <col min="7183" max="7183" width="12.42578125" style="22" bestFit="1" customWidth="1"/>
    <col min="7184" max="7419" width="11.42578125" style="22"/>
    <col min="7420" max="7420" width="18.140625" style="22" customWidth="1"/>
    <col min="7421" max="7421" width="8.42578125" style="22" bestFit="1" customWidth="1"/>
    <col min="7422" max="7422" width="8.28515625" style="22" bestFit="1" customWidth="1"/>
    <col min="7423" max="7424" width="8.28515625" style="22" customWidth="1"/>
    <col min="7425" max="7425" width="8.42578125" style="22" bestFit="1" customWidth="1"/>
    <col min="7426" max="7426" width="7.42578125" style="22" bestFit="1" customWidth="1"/>
    <col min="7427" max="7429" width="7.42578125" style="22" customWidth="1"/>
    <col min="7430" max="7435" width="0" style="22" hidden="1" customWidth="1"/>
    <col min="7436" max="7436" width="10.140625" style="22" customWidth="1"/>
    <col min="7437" max="7438" width="11.42578125" style="22"/>
    <col min="7439" max="7439" width="12.42578125" style="22" bestFit="1" customWidth="1"/>
    <col min="7440" max="7675" width="11.42578125" style="22"/>
    <col min="7676" max="7676" width="18.140625" style="22" customWidth="1"/>
    <col min="7677" max="7677" width="8.42578125" style="22" bestFit="1" customWidth="1"/>
    <col min="7678" max="7678" width="8.28515625" style="22" bestFit="1" customWidth="1"/>
    <col min="7679" max="7680" width="8.28515625" style="22" customWidth="1"/>
    <col min="7681" max="7681" width="8.42578125" style="22" bestFit="1" customWidth="1"/>
    <col min="7682" max="7682" width="7.42578125" style="22" bestFit="1" customWidth="1"/>
    <col min="7683" max="7685" width="7.42578125" style="22" customWidth="1"/>
    <col min="7686" max="7691" width="0" style="22" hidden="1" customWidth="1"/>
    <col min="7692" max="7692" width="10.140625" style="22" customWidth="1"/>
    <col min="7693" max="7694" width="11.42578125" style="22"/>
    <col min="7695" max="7695" width="12.42578125" style="22" bestFit="1" customWidth="1"/>
    <col min="7696" max="7931" width="11.42578125" style="22"/>
    <col min="7932" max="7932" width="18.140625" style="22" customWidth="1"/>
    <col min="7933" max="7933" width="8.42578125" style="22" bestFit="1" customWidth="1"/>
    <col min="7934" max="7934" width="8.28515625" style="22" bestFit="1" customWidth="1"/>
    <col min="7935" max="7936" width="8.28515625" style="22" customWidth="1"/>
    <col min="7937" max="7937" width="8.42578125" style="22" bestFit="1" customWidth="1"/>
    <col min="7938" max="7938" width="7.42578125" style="22" bestFit="1" customWidth="1"/>
    <col min="7939" max="7941" width="7.42578125" style="22" customWidth="1"/>
    <col min="7942" max="7947" width="0" style="22" hidden="1" customWidth="1"/>
    <col min="7948" max="7948" width="10.140625" style="22" customWidth="1"/>
    <col min="7949" max="7950" width="11.42578125" style="22"/>
    <col min="7951" max="7951" width="12.42578125" style="22" bestFit="1" customWidth="1"/>
    <col min="7952" max="8187" width="11.42578125" style="22"/>
    <col min="8188" max="8188" width="18.140625" style="22" customWidth="1"/>
    <col min="8189" max="8189" width="8.42578125" style="22" bestFit="1" customWidth="1"/>
    <col min="8190" max="8190" width="8.28515625" style="22" bestFit="1" customWidth="1"/>
    <col min="8191" max="8192" width="8.28515625" style="22" customWidth="1"/>
    <col min="8193" max="8193" width="8.42578125" style="22" bestFit="1" customWidth="1"/>
    <col min="8194" max="8194" width="7.42578125" style="22" bestFit="1" customWidth="1"/>
    <col min="8195" max="8197" width="7.42578125" style="22" customWidth="1"/>
    <col min="8198" max="8203" width="0" style="22" hidden="1" customWidth="1"/>
    <col min="8204" max="8204" width="10.140625" style="22" customWidth="1"/>
    <col min="8205" max="8206" width="11.42578125" style="22"/>
    <col min="8207" max="8207" width="12.42578125" style="22" bestFit="1" customWidth="1"/>
    <col min="8208" max="8443" width="11.42578125" style="22"/>
    <col min="8444" max="8444" width="18.140625" style="22" customWidth="1"/>
    <col min="8445" max="8445" width="8.42578125" style="22" bestFit="1" customWidth="1"/>
    <col min="8446" max="8446" width="8.28515625" style="22" bestFit="1" customWidth="1"/>
    <col min="8447" max="8448" width="8.28515625" style="22" customWidth="1"/>
    <col min="8449" max="8449" width="8.42578125" style="22" bestFit="1" customWidth="1"/>
    <col min="8450" max="8450" width="7.42578125" style="22" bestFit="1" customWidth="1"/>
    <col min="8451" max="8453" width="7.42578125" style="22" customWidth="1"/>
    <col min="8454" max="8459" width="0" style="22" hidden="1" customWidth="1"/>
    <col min="8460" max="8460" width="10.140625" style="22" customWidth="1"/>
    <col min="8461" max="8462" width="11.42578125" style="22"/>
    <col min="8463" max="8463" width="12.42578125" style="22" bestFit="1" customWidth="1"/>
    <col min="8464" max="8699" width="11.42578125" style="22"/>
    <col min="8700" max="8700" width="18.140625" style="22" customWidth="1"/>
    <col min="8701" max="8701" width="8.42578125" style="22" bestFit="1" customWidth="1"/>
    <col min="8702" max="8702" width="8.28515625" style="22" bestFit="1" customWidth="1"/>
    <col min="8703" max="8704" width="8.28515625" style="22" customWidth="1"/>
    <col min="8705" max="8705" width="8.42578125" style="22" bestFit="1" customWidth="1"/>
    <col min="8706" max="8706" width="7.42578125" style="22" bestFit="1" customWidth="1"/>
    <col min="8707" max="8709" width="7.42578125" style="22" customWidth="1"/>
    <col min="8710" max="8715" width="0" style="22" hidden="1" customWidth="1"/>
    <col min="8716" max="8716" width="10.140625" style="22" customWidth="1"/>
    <col min="8717" max="8718" width="11.42578125" style="22"/>
    <col min="8719" max="8719" width="12.42578125" style="22" bestFit="1" customWidth="1"/>
    <col min="8720" max="8955" width="11.42578125" style="22"/>
    <col min="8956" max="8956" width="18.140625" style="22" customWidth="1"/>
    <col min="8957" max="8957" width="8.42578125" style="22" bestFit="1" customWidth="1"/>
    <col min="8958" max="8958" width="8.28515625" style="22" bestFit="1" customWidth="1"/>
    <col min="8959" max="8960" width="8.28515625" style="22" customWidth="1"/>
    <col min="8961" max="8961" width="8.42578125" style="22" bestFit="1" customWidth="1"/>
    <col min="8962" max="8962" width="7.42578125" style="22" bestFit="1" customWidth="1"/>
    <col min="8963" max="8965" width="7.42578125" style="22" customWidth="1"/>
    <col min="8966" max="8971" width="0" style="22" hidden="1" customWidth="1"/>
    <col min="8972" max="8972" width="10.140625" style="22" customWidth="1"/>
    <col min="8973" max="8974" width="11.42578125" style="22"/>
    <col min="8975" max="8975" width="12.42578125" style="22" bestFit="1" customWidth="1"/>
    <col min="8976" max="9211" width="11.42578125" style="22"/>
    <col min="9212" max="9212" width="18.140625" style="22" customWidth="1"/>
    <col min="9213" max="9213" width="8.42578125" style="22" bestFit="1" customWidth="1"/>
    <col min="9214" max="9214" width="8.28515625" style="22" bestFit="1" customWidth="1"/>
    <col min="9215" max="9216" width="8.28515625" style="22" customWidth="1"/>
    <col min="9217" max="9217" width="8.42578125" style="22" bestFit="1" customWidth="1"/>
    <col min="9218" max="9218" width="7.42578125" style="22" bestFit="1" customWidth="1"/>
    <col min="9219" max="9221" width="7.42578125" style="22" customWidth="1"/>
    <col min="9222" max="9227" width="0" style="22" hidden="1" customWidth="1"/>
    <col min="9228" max="9228" width="10.140625" style="22" customWidth="1"/>
    <col min="9229" max="9230" width="11.42578125" style="22"/>
    <col min="9231" max="9231" width="12.42578125" style="22" bestFit="1" customWidth="1"/>
    <col min="9232" max="9467" width="11.42578125" style="22"/>
    <col min="9468" max="9468" width="18.140625" style="22" customWidth="1"/>
    <col min="9469" max="9469" width="8.42578125" style="22" bestFit="1" customWidth="1"/>
    <col min="9470" max="9470" width="8.28515625" style="22" bestFit="1" customWidth="1"/>
    <col min="9471" max="9472" width="8.28515625" style="22" customWidth="1"/>
    <col min="9473" max="9473" width="8.42578125" style="22" bestFit="1" customWidth="1"/>
    <col min="9474" max="9474" width="7.42578125" style="22" bestFit="1" customWidth="1"/>
    <col min="9475" max="9477" width="7.42578125" style="22" customWidth="1"/>
    <col min="9478" max="9483" width="0" style="22" hidden="1" customWidth="1"/>
    <col min="9484" max="9484" width="10.140625" style="22" customWidth="1"/>
    <col min="9485" max="9486" width="11.42578125" style="22"/>
    <col min="9487" max="9487" width="12.42578125" style="22" bestFit="1" customWidth="1"/>
    <col min="9488" max="9723" width="11.42578125" style="22"/>
    <col min="9724" max="9724" width="18.140625" style="22" customWidth="1"/>
    <col min="9725" max="9725" width="8.42578125" style="22" bestFit="1" customWidth="1"/>
    <col min="9726" max="9726" width="8.28515625" style="22" bestFit="1" customWidth="1"/>
    <col min="9727" max="9728" width="8.28515625" style="22" customWidth="1"/>
    <col min="9729" max="9729" width="8.42578125" style="22" bestFit="1" customWidth="1"/>
    <col min="9730" max="9730" width="7.42578125" style="22" bestFit="1" customWidth="1"/>
    <col min="9731" max="9733" width="7.42578125" style="22" customWidth="1"/>
    <col min="9734" max="9739" width="0" style="22" hidden="1" customWidth="1"/>
    <col min="9740" max="9740" width="10.140625" style="22" customWidth="1"/>
    <col min="9741" max="9742" width="11.42578125" style="22"/>
    <col min="9743" max="9743" width="12.42578125" style="22" bestFit="1" customWidth="1"/>
    <col min="9744" max="9979" width="11.42578125" style="22"/>
    <col min="9980" max="9980" width="18.140625" style="22" customWidth="1"/>
    <col min="9981" max="9981" width="8.42578125" style="22" bestFit="1" customWidth="1"/>
    <col min="9982" max="9982" width="8.28515625" style="22" bestFit="1" customWidth="1"/>
    <col min="9983" max="9984" width="8.28515625" style="22" customWidth="1"/>
    <col min="9985" max="9985" width="8.42578125" style="22" bestFit="1" customWidth="1"/>
    <col min="9986" max="9986" width="7.42578125" style="22" bestFit="1" customWidth="1"/>
    <col min="9987" max="9989" width="7.42578125" style="22" customWidth="1"/>
    <col min="9990" max="9995" width="0" style="22" hidden="1" customWidth="1"/>
    <col min="9996" max="9996" width="10.140625" style="22" customWidth="1"/>
    <col min="9997" max="9998" width="11.42578125" style="22"/>
    <col min="9999" max="9999" width="12.42578125" style="22" bestFit="1" customWidth="1"/>
    <col min="10000" max="10235" width="11.42578125" style="22"/>
    <col min="10236" max="10236" width="18.140625" style="22" customWidth="1"/>
    <col min="10237" max="10237" width="8.42578125" style="22" bestFit="1" customWidth="1"/>
    <col min="10238" max="10238" width="8.28515625" style="22" bestFit="1" customWidth="1"/>
    <col min="10239" max="10240" width="8.28515625" style="22" customWidth="1"/>
    <col min="10241" max="10241" width="8.42578125" style="22" bestFit="1" customWidth="1"/>
    <col min="10242" max="10242" width="7.42578125" style="22" bestFit="1" customWidth="1"/>
    <col min="10243" max="10245" width="7.42578125" style="22" customWidth="1"/>
    <col min="10246" max="10251" width="0" style="22" hidden="1" customWidth="1"/>
    <col min="10252" max="10252" width="10.140625" style="22" customWidth="1"/>
    <col min="10253" max="10254" width="11.42578125" style="22"/>
    <col min="10255" max="10255" width="12.42578125" style="22" bestFit="1" customWidth="1"/>
    <col min="10256" max="10491" width="11.42578125" style="22"/>
    <col min="10492" max="10492" width="18.140625" style="22" customWidth="1"/>
    <col min="10493" max="10493" width="8.42578125" style="22" bestFit="1" customWidth="1"/>
    <col min="10494" max="10494" width="8.28515625" style="22" bestFit="1" customWidth="1"/>
    <col min="10495" max="10496" width="8.28515625" style="22" customWidth="1"/>
    <col min="10497" max="10497" width="8.42578125" style="22" bestFit="1" customWidth="1"/>
    <col min="10498" max="10498" width="7.42578125" style="22" bestFit="1" customWidth="1"/>
    <col min="10499" max="10501" width="7.42578125" style="22" customWidth="1"/>
    <col min="10502" max="10507" width="0" style="22" hidden="1" customWidth="1"/>
    <col min="10508" max="10508" width="10.140625" style="22" customWidth="1"/>
    <col min="10509" max="10510" width="11.42578125" style="22"/>
    <col min="10511" max="10511" width="12.42578125" style="22" bestFit="1" customWidth="1"/>
    <col min="10512" max="10747" width="11.42578125" style="22"/>
    <col min="10748" max="10748" width="18.140625" style="22" customWidth="1"/>
    <col min="10749" max="10749" width="8.42578125" style="22" bestFit="1" customWidth="1"/>
    <col min="10750" max="10750" width="8.28515625" style="22" bestFit="1" customWidth="1"/>
    <col min="10751" max="10752" width="8.28515625" style="22" customWidth="1"/>
    <col min="10753" max="10753" width="8.42578125" style="22" bestFit="1" customWidth="1"/>
    <col min="10754" max="10754" width="7.42578125" style="22" bestFit="1" customWidth="1"/>
    <col min="10755" max="10757" width="7.42578125" style="22" customWidth="1"/>
    <col min="10758" max="10763" width="0" style="22" hidden="1" customWidth="1"/>
    <col min="10764" max="10764" width="10.140625" style="22" customWidth="1"/>
    <col min="10765" max="10766" width="11.42578125" style="22"/>
    <col min="10767" max="10767" width="12.42578125" style="22" bestFit="1" customWidth="1"/>
    <col min="10768" max="11003" width="11.42578125" style="22"/>
    <col min="11004" max="11004" width="18.140625" style="22" customWidth="1"/>
    <col min="11005" max="11005" width="8.42578125" style="22" bestFit="1" customWidth="1"/>
    <col min="11006" max="11006" width="8.28515625" style="22" bestFit="1" customWidth="1"/>
    <col min="11007" max="11008" width="8.28515625" style="22" customWidth="1"/>
    <col min="11009" max="11009" width="8.42578125" style="22" bestFit="1" customWidth="1"/>
    <col min="11010" max="11010" width="7.42578125" style="22" bestFit="1" customWidth="1"/>
    <col min="11011" max="11013" width="7.42578125" style="22" customWidth="1"/>
    <col min="11014" max="11019" width="0" style="22" hidden="1" customWidth="1"/>
    <col min="11020" max="11020" width="10.140625" style="22" customWidth="1"/>
    <col min="11021" max="11022" width="11.42578125" style="22"/>
    <col min="11023" max="11023" width="12.42578125" style="22" bestFit="1" customWidth="1"/>
    <col min="11024" max="11259" width="11.42578125" style="22"/>
    <col min="11260" max="11260" width="18.140625" style="22" customWidth="1"/>
    <col min="11261" max="11261" width="8.42578125" style="22" bestFit="1" customWidth="1"/>
    <col min="11262" max="11262" width="8.28515625" style="22" bestFit="1" customWidth="1"/>
    <col min="11263" max="11264" width="8.28515625" style="22" customWidth="1"/>
    <col min="11265" max="11265" width="8.42578125" style="22" bestFit="1" customWidth="1"/>
    <col min="11266" max="11266" width="7.42578125" style="22" bestFit="1" customWidth="1"/>
    <col min="11267" max="11269" width="7.42578125" style="22" customWidth="1"/>
    <col min="11270" max="11275" width="0" style="22" hidden="1" customWidth="1"/>
    <col min="11276" max="11276" width="10.140625" style="22" customWidth="1"/>
    <col min="11277" max="11278" width="11.42578125" style="22"/>
    <col min="11279" max="11279" width="12.42578125" style="22" bestFit="1" customWidth="1"/>
    <col min="11280" max="11515" width="11.42578125" style="22"/>
    <col min="11516" max="11516" width="18.140625" style="22" customWidth="1"/>
    <col min="11517" max="11517" width="8.42578125" style="22" bestFit="1" customWidth="1"/>
    <col min="11518" max="11518" width="8.28515625" style="22" bestFit="1" customWidth="1"/>
    <col min="11519" max="11520" width="8.28515625" style="22" customWidth="1"/>
    <col min="11521" max="11521" width="8.42578125" style="22" bestFit="1" customWidth="1"/>
    <col min="11522" max="11522" width="7.42578125" style="22" bestFit="1" customWidth="1"/>
    <col min="11523" max="11525" width="7.42578125" style="22" customWidth="1"/>
    <col min="11526" max="11531" width="0" style="22" hidden="1" customWidth="1"/>
    <col min="11532" max="11532" width="10.140625" style="22" customWidth="1"/>
    <col min="11533" max="11534" width="11.42578125" style="22"/>
    <col min="11535" max="11535" width="12.42578125" style="22" bestFit="1" customWidth="1"/>
    <col min="11536" max="11771" width="11.42578125" style="22"/>
    <col min="11772" max="11772" width="18.140625" style="22" customWidth="1"/>
    <col min="11773" max="11773" width="8.42578125" style="22" bestFit="1" customWidth="1"/>
    <col min="11774" max="11774" width="8.28515625" style="22" bestFit="1" customWidth="1"/>
    <col min="11775" max="11776" width="8.28515625" style="22" customWidth="1"/>
    <col min="11777" max="11777" width="8.42578125" style="22" bestFit="1" customWidth="1"/>
    <col min="11778" max="11778" width="7.42578125" style="22" bestFit="1" customWidth="1"/>
    <col min="11779" max="11781" width="7.42578125" style="22" customWidth="1"/>
    <col min="11782" max="11787" width="0" style="22" hidden="1" customWidth="1"/>
    <col min="11788" max="11788" width="10.140625" style="22" customWidth="1"/>
    <col min="11789" max="11790" width="11.42578125" style="22"/>
    <col min="11791" max="11791" width="12.42578125" style="22" bestFit="1" customWidth="1"/>
    <col min="11792" max="12027" width="11.42578125" style="22"/>
    <col min="12028" max="12028" width="18.140625" style="22" customWidth="1"/>
    <col min="12029" max="12029" width="8.42578125" style="22" bestFit="1" customWidth="1"/>
    <col min="12030" max="12030" width="8.28515625" style="22" bestFit="1" customWidth="1"/>
    <col min="12031" max="12032" width="8.28515625" style="22" customWidth="1"/>
    <col min="12033" max="12033" width="8.42578125" style="22" bestFit="1" customWidth="1"/>
    <col min="12034" max="12034" width="7.42578125" style="22" bestFit="1" customWidth="1"/>
    <col min="12035" max="12037" width="7.42578125" style="22" customWidth="1"/>
    <col min="12038" max="12043" width="0" style="22" hidden="1" customWidth="1"/>
    <col min="12044" max="12044" width="10.140625" style="22" customWidth="1"/>
    <col min="12045" max="12046" width="11.42578125" style="22"/>
    <col min="12047" max="12047" width="12.42578125" style="22" bestFit="1" customWidth="1"/>
    <col min="12048" max="12283" width="11.42578125" style="22"/>
    <col min="12284" max="12284" width="18.140625" style="22" customWidth="1"/>
    <col min="12285" max="12285" width="8.42578125" style="22" bestFit="1" customWidth="1"/>
    <col min="12286" max="12286" width="8.28515625" style="22" bestFit="1" customWidth="1"/>
    <col min="12287" max="12288" width="8.28515625" style="22" customWidth="1"/>
    <col min="12289" max="12289" width="8.42578125" style="22" bestFit="1" customWidth="1"/>
    <col min="12290" max="12290" width="7.42578125" style="22" bestFit="1" customWidth="1"/>
    <col min="12291" max="12293" width="7.42578125" style="22" customWidth="1"/>
    <col min="12294" max="12299" width="0" style="22" hidden="1" customWidth="1"/>
    <col min="12300" max="12300" width="10.140625" style="22" customWidth="1"/>
    <col min="12301" max="12302" width="11.42578125" style="22"/>
    <col min="12303" max="12303" width="12.42578125" style="22" bestFit="1" customWidth="1"/>
    <col min="12304" max="12539" width="11.42578125" style="22"/>
    <col min="12540" max="12540" width="18.140625" style="22" customWidth="1"/>
    <col min="12541" max="12541" width="8.42578125" style="22" bestFit="1" customWidth="1"/>
    <col min="12542" max="12542" width="8.28515625" style="22" bestFit="1" customWidth="1"/>
    <col min="12543" max="12544" width="8.28515625" style="22" customWidth="1"/>
    <col min="12545" max="12545" width="8.42578125" style="22" bestFit="1" customWidth="1"/>
    <col min="12546" max="12546" width="7.42578125" style="22" bestFit="1" customWidth="1"/>
    <col min="12547" max="12549" width="7.42578125" style="22" customWidth="1"/>
    <col min="12550" max="12555" width="0" style="22" hidden="1" customWidth="1"/>
    <col min="12556" max="12556" width="10.140625" style="22" customWidth="1"/>
    <col min="12557" max="12558" width="11.42578125" style="22"/>
    <col min="12559" max="12559" width="12.42578125" style="22" bestFit="1" customWidth="1"/>
    <col min="12560" max="12795" width="11.42578125" style="22"/>
    <col min="12796" max="12796" width="18.140625" style="22" customWidth="1"/>
    <col min="12797" max="12797" width="8.42578125" style="22" bestFit="1" customWidth="1"/>
    <col min="12798" max="12798" width="8.28515625" style="22" bestFit="1" customWidth="1"/>
    <col min="12799" max="12800" width="8.28515625" style="22" customWidth="1"/>
    <col min="12801" max="12801" width="8.42578125" style="22" bestFit="1" customWidth="1"/>
    <col min="12802" max="12802" width="7.42578125" style="22" bestFit="1" customWidth="1"/>
    <col min="12803" max="12805" width="7.42578125" style="22" customWidth="1"/>
    <col min="12806" max="12811" width="0" style="22" hidden="1" customWidth="1"/>
    <col min="12812" max="12812" width="10.140625" style="22" customWidth="1"/>
    <col min="12813" max="12814" width="11.42578125" style="22"/>
    <col min="12815" max="12815" width="12.42578125" style="22" bestFit="1" customWidth="1"/>
    <col min="12816" max="13051" width="11.42578125" style="22"/>
    <col min="13052" max="13052" width="18.140625" style="22" customWidth="1"/>
    <col min="13053" max="13053" width="8.42578125" style="22" bestFit="1" customWidth="1"/>
    <col min="13054" max="13054" width="8.28515625" style="22" bestFit="1" customWidth="1"/>
    <col min="13055" max="13056" width="8.28515625" style="22" customWidth="1"/>
    <col min="13057" max="13057" width="8.42578125" style="22" bestFit="1" customWidth="1"/>
    <col min="13058" max="13058" width="7.42578125" style="22" bestFit="1" customWidth="1"/>
    <col min="13059" max="13061" width="7.42578125" style="22" customWidth="1"/>
    <col min="13062" max="13067" width="0" style="22" hidden="1" customWidth="1"/>
    <col min="13068" max="13068" width="10.140625" style="22" customWidth="1"/>
    <col min="13069" max="13070" width="11.42578125" style="22"/>
    <col min="13071" max="13071" width="12.42578125" style="22" bestFit="1" customWidth="1"/>
    <col min="13072" max="13307" width="11.42578125" style="22"/>
    <col min="13308" max="13308" width="18.140625" style="22" customWidth="1"/>
    <col min="13309" max="13309" width="8.42578125" style="22" bestFit="1" customWidth="1"/>
    <col min="13310" max="13310" width="8.28515625" style="22" bestFit="1" customWidth="1"/>
    <col min="13311" max="13312" width="8.28515625" style="22" customWidth="1"/>
    <col min="13313" max="13313" width="8.42578125" style="22" bestFit="1" customWidth="1"/>
    <col min="13314" max="13314" width="7.42578125" style="22" bestFit="1" customWidth="1"/>
    <col min="13315" max="13317" width="7.42578125" style="22" customWidth="1"/>
    <col min="13318" max="13323" width="0" style="22" hidden="1" customWidth="1"/>
    <col min="13324" max="13324" width="10.140625" style="22" customWidth="1"/>
    <col min="13325" max="13326" width="11.42578125" style="22"/>
    <col min="13327" max="13327" width="12.42578125" style="22" bestFit="1" customWidth="1"/>
    <col min="13328" max="13563" width="11.42578125" style="22"/>
    <col min="13564" max="13564" width="18.140625" style="22" customWidth="1"/>
    <col min="13565" max="13565" width="8.42578125" style="22" bestFit="1" customWidth="1"/>
    <col min="13566" max="13566" width="8.28515625" style="22" bestFit="1" customWidth="1"/>
    <col min="13567" max="13568" width="8.28515625" style="22" customWidth="1"/>
    <col min="13569" max="13569" width="8.42578125" style="22" bestFit="1" customWidth="1"/>
    <col min="13570" max="13570" width="7.42578125" style="22" bestFit="1" customWidth="1"/>
    <col min="13571" max="13573" width="7.42578125" style="22" customWidth="1"/>
    <col min="13574" max="13579" width="0" style="22" hidden="1" customWidth="1"/>
    <col min="13580" max="13580" width="10.140625" style="22" customWidth="1"/>
    <col min="13581" max="13582" width="11.42578125" style="22"/>
    <col min="13583" max="13583" width="12.42578125" style="22" bestFit="1" customWidth="1"/>
    <col min="13584" max="13819" width="11.42578125" style="22"/>
    <col min="13820" max="13820" width="18.140625" style="22" customWidth="1"/>
    <col min="13821" max="13821" width="8.42578125" style="22" bestFit="1" customWidth="1"/>
    <col min="13822" max="13822" width="8.28515625" style="22" bestFit="1" customWidth="1"/>
    <col min="13823" max="13824" width="8.28515625" style="22" customWidth="1"/>
    <col min="13825" max="13825" width="8.42578125" style="22" bestFit="1" customWidth="1"/>
    <col min="13826" max="13826" width="7.42578125" style="22" bestFit="1" customWidth="1"/>
    <col min="13827" max="13829" width="7.42578125" style="22" customWidth="1"/>
    <col min="13830" max="13835" width="0" style="22" hidden="1" customWidth="1"/>
    <col min="13836" max="13836" width="10.140625" style="22" customWidth="1"/>
    <col min="13837" max="13838" width="11.42578125" style="22"/>
    <col min="13839" max="13839" width="12.42578125" style="22" bestFit="1" customWidth="1"/>
    <col min="13840" max="14075" width="11.42578125" style="22"/>
    <col min="14076" max="14076" width="18.140625" style="22" customWidth="1"/>
    <col min="14077" max="14077" width="8.42578125" style="22" bestFit="1" customWidth="1"/>
    <col min="14078" max="14078" width="8.28515625" style="22" bestFit="1" customWidth="1"/>
    <col min="14079" max="14080" width="8.28515625" style="22" customWidth="1"/>
    <col min="14081" max="14081" width="8.42578125" style="22" bestFit="1" customWidth="1"/>
    <col min="14082" max="14082" width="7.42578125" style="22" bestFit="1" customWidth="1"/>
    <col min="14083" max="14085" width="7.42578125" style="22" customWidth="1"/>
    <col min="14086" max="14091" width="0" style="22" hidden="1" customWidth="1"/>
    <col min="14092" max="14092" width="10.140625" style="22" customWidth="1"/>
    <col min="14093" max="14094" width="11.42578125" style="22"/>
    <col min="14095" max="14095" width="12.42578125" style="22" bestFit="1" customWidth="1"/>
    <col min="14096" max="14331" width="11.42578125" style="22"/>
    <col min="14332" max="14332" width="18.140625" style="22" customWidth="1"/>
    <col min="14333" max="14333" width="8.42578125" style="22" bestFit="1" customWidth="1"/>
    <col min="14334" max="14334" width="8.28515625" style="22" bestFit="1" customWidth="1"/>
    <col min="14335" max="14336" width="8.28515625" style="22" customWidth="1"/>
    <col min="14337" max="14337" width="8.42578125" style="22" bestFit="1" customWidth="1"/>
    <col min="14338" max="14338" width="7.42578125" style="22" bestFit="1" customWidth="1"/>
    <col min="14339" max="14341" width="7.42578125" style="22" customWidth="1"/>
    <col min="14342" max="14347" width="0" style="22" hidden="1" customWidth="1"/>
    <col min="14348" max="14348" width="10.140625" style="22" customWidth="1"/>
    <col min="14349" max="14350" width="11.42578125" style="22"/>
    <col min="14351" max="14351" width="12.42578125" style="22" bestFit="1" customWidth="1"/>
    <col min="14352" max="14587" width="11.42578125" style="22"/>
    <col min="14588" max="14588" width="18.140625" style="22" customWidth="1"/>
    <col min="14589" max="14589" width="8.42578125" style="22" bestFit="1" customWidth="1"/>
    <col min="14590" max="14590" width="8.28515625" style="22" bestFit="1" customWidth="1"/>
    <col min="14591" max="14592" width="8.28515625" style="22" customWidth="1"/>
    <col min="14593" max="14593" width="8.42578125" style="22" bestFit="1" customWidth="1"/>
    <col min="14594" max="14594" width="7.42578125" style="22" bestFit="1" customWidth="1"/>
    <col min="14595" max="14597" width="7.42578125" style="22" customWidth="1"/>
    <col min="14598" max="14603" width="0" style="22" hidden="1" customWidth="1"/>
    <col min="14604" max="14604" width="10.140625" style="22" customWidth="1"/>
    <col min="14605" max="14606" width="11.42578125" style="22"/>
    <col min="14607" max="14607" width="12.42578125" style="22" bestFit="1" customWidth="1"/>
    <col min="14608" max="14843" width="11.42578125" style="22"/>
    <col min="14844" max="14844" width="18.140625" style="22" customWidth="1"/>
    <col min="14845" max="14845" width="8.42578125" style="22" bestFit="1" customWidth="1"/>
    <col min="14846" max="14846" width="8.28515625" style="22" bestFit="1" customWidth="1"/>
    <col min="14847" max="14848" width="8.28515625" style="22" customWidth="1"/>
    <col min="14849" max="14849" width="8.42578125" style="22" bestFit="1" customWidth="1"/>
    <col min="14850" max="14850" width="7.42578125" style="22" bestFit="1" customWidth="1"/>
    <col min="14851" max="14853" width="7.42578125" style="22" customWidth="1"/>
    <col min="14854" max="14859" width="0" style="22" hidden="1" customWidth="1"/>
    <col min="14860" max="14860" width="10.140625" style="22" customWidth="1"/>
    <col min="14861" max="14862" width="11.42578125" style="22"/>
    <col min="14863" max="14863" width="12.42578125" style="22" bestFit="1" customWidth="1"/>
    <col min="14864" max="15099" width="11.42578125" style="22"/>
    <col min="15100" max="15100" width="18.140625" style="22" customWidth="1"/>
    <col min="15101" max="15101" width="8.42578125" style="22" bestFit="1" customWidth="1"/>
    <col min="15102" max="15102" width="8.28515625" style="22" bestFit="1" customWidth="1"/>
    <col min="15103" max="15104" width="8.28515625" style="22" customWidth="1"/>
    <col min="15105" max="15105" width="8.42578125" style="22" bestFit="1" customWidth="1"/>
    <col min="15106" max="15106" width="7.42578125" style="22" bestFit="1" customWidth="1"/>
    <col min="15107" max="15109" width="7.42578125" style="22" customWidth="1"/>
    <col min="15110" max="15115" width="0" style="22" hidden="1" customWidth="1"/>
    <col min="15116" max="15116" width="10.140625" style="22" customWidth="1"/>
    <col min="15117" max="15118" width="11.42578125" style="22"/>
    <col min="15119" max="15119" width="12.42578125" style="22" bestFit="1" customWidth="1"/>
    <col min="15120" max="15355" width="11.42578125" style="22"/>
    <col min="15356" max="15356" width="18.140625" style="22" customWidth="1"/>
    <col min="15357" max="15357" width="8.42578125" style="22" bestFit="1" customWidth="1"/>
    <col min="15358" max="15358" width="8.28515625" style="22" bestFit="1" customWidth="1"/>
    <col min="15359" max="15360" width="8.28515625" style="22" customWidth="1"/>
    <col min="15361" max="15361" width="8.42578125" style="22" bestFit="1" customWidth="1"/>
    <col min="15362" max="15362" width="7.42578125" style="22" bestFit="1" customWidth="1"/>
    <col min="15363" max="15365" width="7.42578125" style="22" customWidth="1"/>
    <col min="15366" max="15371" width="0" style="22" hidden="1" customWidth="1"/>
    <col min="15372" max="15372" width="10.140625" style="22" customWidth="1"/>
    <col min="15373" max="15374" width="11.42578125" style="22"/>
    <col min="15375" max="15375" width="12.42578125" style="22" bestFit="1" customWidth="1"/>
    <col min="15376" max="15611" width="11.42578125" style="22"/>
    <col min="15612" max="15612" width="18.140625" style="22" customWidth="1"/>
    <col min="15613" max="15613" width="8.42578125" style="22" bestFit="1" customWidth="1"/>
    <col min="15614" max="15614" width="8.28515625" style="22" bestFit="1" customWidth="1"/>
    <col min="15615" max="15616" width="8.28515625" style="22" customWidth="1"/>
    <col min="15617" max="15617" width="8.42578125" style="22" bestFit="1" customWidth="1"/>
    <col min="15618" max="15618" width="7.42578125" style="22" bestFit="1" customWidth="1"/>
    <col min="15619" max="15621" width="7.42578125" style="22" customWidth="1"/>
    <col min="15622" max="15627" width="0" style="22" hidden="1" customWidth="1"/>
    <col min="15628" max="15628" width="10.140625" style="22" customWidth="1"/>
    <col min="15629" max="15630" width="11.42578125" style="22"/>
    <col min="15631" max="15631" width="12.42578125" style="22" bestFit="1" customWidth="1"/>
    <col min="15632" max="15867" width="11.42578125" style="22"/>
    <col min="15868" max="15868" width="18.140625" style="22" customWidth="1"/>
    <col min="15869" max="15869" width="8.42578125" style="22" bestFit="1" customWidth="1"/>
    <col min="15870" max="15870" width="8.28515625" style="22" bestFit="1" customWidth="1"/>
    <col min="15871" max="15872" width="8.28515625" style="22" customWidth="1"/>
    <col min="15873" max="15873" width="8.42578125" style="22" bestFit="1" customWidth="1"/>
    <col min="15874" max="15874" width="7.42578125" style="22" bestFit="1" customWidth="1"/>
    <col min="15875" max="15877" width="7.42578125" style="22" customWidth="1"/>
    <col min="15878" max="15883" width="0" style="22" hidden="1" customWidth="1"/>
    <col min="15884" max="15884" width="10.140625" style="22" customWidth="1"/>
    <col min="15885" max="15886" width="11.42578125" style="22"/>
    <col min="15887" max="15887" width="12.42578125" style="22" bestFit="1" customWidth="1"/>
    <col min="15888" max="16123" width="11.42578125" style="22"/>
    <col min="16124" max="16124" width="18.140625" style="22" customWidth="1"/>
    <col min="16125" max="16125" width="8.42578125" style="22" bestFit="1" customWidth="1"/>
    <col min="16126" max="16126" width="8.28515625" style="22" bestFit="1" customWidth="1"/>
    <col min="16127" max="16128" width="8.28515625" style="22" customWidth="1"/>
    <col min="16129" max="16129" width="8.42578125" style="22" bestFit="1" customWidth="1"/>
    <col min="16130" max="16130" width="7.42578125" style="22" bestFit="1" customWidth="1"/>
    <col min="16131" max="16133" width="7.42578125" style="22" customWidth="1"/>
    <col min="16134" max="16139" width="0" style="22" hidden="1" customWidth="1"/>
    <col min="16140" max="16140" width="10.140625" style="22" customWidth="1"/>
    <col min="16141" max="16142" width="11.42578125" style="22"/>
    <col min="16143" max="16143" width="12.42578125" style="22" bestFit="1" customWidth="1"/>
    <col min="16144" max="16384" width="11.42578125" style="22"/>
  </cols>
  <sheetData>
    <row r="1" spans="1:17" s="23" customFormat="1" x14ac:dyDescent="0.2">
      <c r="B1" s="21"/>
      <c r="C1" s="21"/>
      <c r="D1" s="21"/>
      <c r="E1" s="21"/>
      <c r="F1" s="21"/>
      <c r="G1" s="21"/>
      <c r="H1" s="21"/>
      <c r="I1" s="21"/>
      <c r="J1" s="21"/>
      <c r="K1" s="21"/>
      <c r="L1" s="21"/>
    </row>
    <row r="2" spans="1:17" s="23" customFormat="1" x14ac:dyDescent="0.2">
      <c r="A2" s="40" t="s">
        <v>58</v>
      </c>
      <c r="B2" s="21"/>
      <c r="C2" s="21"/>
      <c r="D2" s="21"/>
      <c r="E2" s="21"/>
      <c r="F2" s="21"/>
      <c r="G2" s="21"/>
      <c r="H2" s="21"/>
      <c r="I2" s="21"/>
      <c r="K2" s="21"/>
      <c r="L2" s="21"/>
    </row>
    <row r="3" spans="1:17" s="23" customFormat="1" ht="15" x14ac:dyDescent="0.25">
      <c r="A3" s="40" t="s">
        <v>59</v>
      </c>
      <c r="B3" s="21"/>
      <c r="C3" s="21"/>
      <c r="D3" s="21"/>
      <c r="E3" s="21"/>
      <c r="F3" s="21"/>
      <c r="G3" s="21"/>
      <c r="H3" s="21"/>
      <c r="I3" s="21"/>
      <c r="J3" s="88"/>
      <c r="K3" s="21"/>
      <c r="L3" s="21"/>
    </row>
    <row r="4" spans="1:17" s="23" customFormat="1" x14ac:dyDescent="0.2">
      <c r="B4" s="21"/>
      <c r="C4" s="21"/>
      <c r="D4" s="21"/>
      <c r="E4" s="21"/>
      <c r="F4" s="21"/>
      <c r="G4" s="21"/>
      <c r="H4" s="21"/>
      <c r="I4" s="21"/>
      <c r="J4" s="21"/>
      <c r="K4" s="21"/>
      <c r="L4" s="21"/>
    </row>
    <row r="5" spans="1:17" s="23" customFormat="1" ht="12.75" x14ac:dyDescent="0.2">
      <c r="B5" s="344" t="s">
        <v>589</v>
      </c>
      <c r="C5" s="344"/>
      <c r="D5" s="344"/>
      <c r="E5" s="344"/>
      <c r="F5" s="344"/>
      <c r="G5" s="344"/>
      <c r="H5" s="344"/>
      <c r="I5" s="344"/>
      <c r="J5" s="344"/>
      <c r="K5" s="344"/>
      <c r="L5" s="21"/>
      <c r="M5" s="110" t="s">
        <v>509</v>
      </c>
      <c r="O5" s="89"/>
    </row>
    <row r="6" spans="1:17" s="23" customFormat="1" ht="12.75" x14ac:dyDescent="0.2">
      <c r="B6" s="374" t="str">
        <f>'Solicitudes Regiones'!$B$6:$R$6</f>
        <v>Julio de 2008 a junio de 2022</v>
      </c>
      <c r="C6" s="374"/>
      <c r="D6" s="374"/>
      <c r="E6" s="374"/>
      <c r="F6" s="374"/>
      <c r="G6" s="374"/>
      <c r="H6" s="374"/>
      <c r="I6" s="374"/>
      <c r="J6" s="374"/>
      <c r="K6" s="374"/>
    </row>
    <row r="7" spans="1:17" s="26" customFormat="1" x14ac:dyDescent="0.2">
      <c r="B7" s="24"/>
      <c r="C7" s="25"/>
      <c r="D7" s="25"/>
      <c r="E7" s="25"/>
      <c r="F7" s="25"/>
      <c r="G7" s="25"/>
      <c r="H7" s="25"/>
      <c r="I7" s="25"/>
      <c r="J7" s="25"/>
      <c r="K7" s="25"/>
      <c r="L7" s="25"/>
    </row>
    <row r="8" spans="1:17" ht="15" customHeight="1" x14ac:dyDescent="0.2">
      <c r="B8" s="373" t="s">
        <v>595</v>
      </c>
      <c r="C8" s="373"/>
      <c r="D8" s="373"/>
      <c r="E8" s="373"/>
      <c r="F8" s="373"/>
      <c r="G8" s="373"/>
      <c r="H8" s="373"/>
      <c r="I8" s="373"/>
      <c r="J8" s="373"/>
      <c r="K8" s="373"/>
      <c r="L8" s="373"/>
      <c r="M8" s="373"/>
    </row>
    <row r="9" spans="1:17" ht="20.25" customHeight="1" x14ac:dyDescent="0.2">
      <c r="B9" s="373" t="s">
        <v>41</v>
      </c>
      <c r="C9" s="370" t="s">
        <v>544</v>
      </c>
      <c r="D9" s="371"/>
      <c r="E9" s="371"/>
      <c r="F9" s="371"/>
      <c r="G9" s="371"/>
      <c r="H9" s="371"/>
      <c r="I9" s="371"/>
      <c r="J9" s="371"/>
      <c r="K9" s="371"/>
      <c r="L9" s="372"/>
      <c r="M9" s="307"/>
    </row>
    <row r="10" spans="1:17" ht="48" x14ac:dyDescent="0.2">
      <c r="B10" s="373"/>
      <c r="C10" s="20" t="s">
        <v>540</v>
      </c>
      <c r="D10" s="20" t="s">
        <v>42</v>
      </c>
      <c r="E10" s="20" t="s">
        <v>553</v>
      </c>
      <c r="F10" s="20" t="s">
        <v>554</v>
      </c>
      <c r="G10" s="20" t="s">
        <v>542</v>
      </c>
      <c r="H10" s="20" t="s">
        <v>2</v>
      </c>
      <c r="I10" s="20" t="s">
        <v>43</v>
      </c>
      <c r="J10" s="20" t="s">
        <v>549</v>
      </c>
      <c r="K10" s="296" t="s">
        <v>550</v>
      </c>
      <c r="L10" s="296" t="s">
        <v>523</v>
      </c>
      <c r="M10" s="296" t="s">
        <v>641</v>
      </c>
    </row>
    <row r="11" spans="1:17" x14ac:dyDescent="0.2">
      <c r="B11" s="18" t="s">
        <v>89</v>
      </c>
      <c r="C11" s="16">
        <v>3766</v>
      </c>
      <c r="D11" s="16">
        <v>1966</v>
      </c>
      <c r="E11" s="16">
        <f>C11+D11</f>
        <v>5732</v>
      </c>
      <c r="F11" s="17">
        <f>E11/$E$20</f>
        <v>0.4519791830941492</v>
      </c>
      <c r="G11" s="16">
        <v>13691</v>
      </c>
      <c r="H11" s="16">
        <v>2393</v>
      </c>
      <c r="I11" s="16">
        <v>875</v>
      </c>
      <c r="J11" s="16">
        <v>16959</v>
      </c>
      <c r="K11" s="17">
        <f>J11/$J$20</f>
        <v>0.49902895480225989</v>
      </c>
      <c r="L11" s="16">
        <v>0</v>
      </c>
      <c r="M11" s="16">
        <f>L11+J11+E11</f>
        <v>22691</v>
      </c>
      <c r="Q11" s="27"/>
    </row>
    <row r="12" spans="1:17" x14ac:dyDescent="0.2">
      <c r="B12" s="18" t="s">
        <v>90</v>
      </c>
      <c r="C12" s="16">
        <v>463</v>
      </c>
      <c r="D12" s="16">
        <v>255</v>
      </c>
      <c r="E12" s="16">
        <f t="shared" ref="E12:E19" si="0">C12+D12</f>
        <v>718</v>
      </c>
      <c r="F12" s="17">
        <f t="shared" ref="F12:F19" si="1">E12/$E$20</f>
        <v>5.661567576092099E-2</v>
      </c>
      <c r="G12" s="16">
        <v>1674</v>
      </c>
      <c r="H12" s="16">
        <v>285</v>
      </c>
      <c r="I12" s="16">
        <v>107</v>
      </c>
      <c r="J12" s="16">
        <v>2066</v>
      </c>
      <c r="K12" s="17">
        <f t="shared" ref="K12:K20" si="2">J12/$J$20</f>
        <v>6.0793314500941623E-2</v>
      </c>
      <c r="L12" s="16">
        <v>0</v>
      </c>
      <c r="M12" s="16">
        <f t="shared" ref="M12:M20" si="3">L12+J12+E12</f>
        <v>2784</v>
      </c>
      <c r="Q12" s="27"/>
    </row>
    <row r="13" spans="1:17" x14ac:dyDescent="0.2">
      <c r="B13" s="18" t="s">
        <v>91</v>
      </c>
      <c r="C13" s="16">
        <v>290</v>
      </c>
      <c r="D13" s="16">
        <v>204</v>
      </c>
      <c r="E13" s="16">
        <f t="shared" si="0"/>
        <v>494</v>
      </c>
      <c r="F13" s="17">
        <f t="shared" si="1"/>
        <v>3.8952846554171264E-2</v>
      </c>
      <c r="G13" s="16">
        <v>1013</v>
      </c>
      <c r="H13" s="16">
        <v>173</v>
      </c>
      <c r="I13" s="16">
        <v>76</v>
      </c>
      <c r="J13" s="16">
        <v>1262</v>
      </c>
      <c r="K13" s="17">
        <f t="shared" si="2"/>
        <v>3.7135122410546138E-2</v>
      </c>
      <c r="L13" s="16">
        <v>0</v>
      </c>
      <c r="M13" s="16">
        <f t="shared" si="3"/>
        <v>1756</v>
      </c>
      <c r="Q13" s="27"/>
    </row>
    <row r="14" spans="1:17" x14ac:dyDescent="0.2">
      <c r="B14" s="18" t="s">
        <v>92</v>
      </c>
      <c r="C14" s="16">
        <v>555</v>
      </c>
      <c r="D14" s="16">
        <v>243</v>
      </c>
      <c r="E14" s="16">
        <f t="shared" si="0"/>
        <v>798</v>
      </c>
      <c r="F14" s="17">
        <f t="shared" si="1"/>
        <v>6.2923829049045893E-2</v>
      </c>
      <c r="G14" s="16">
        <v>1386</v>
      </c>
      <c r="H14" s="16">
        <v>274</v>
      </c>
      <c r="I14" s="16">
        <v>91</v>
      </c>
      <c r="J14" s="16">
        <v>1751</v>
      </c>
      <c r="K14" s="17">
        <f t="shared" si="2"/>
        <v>5.152424670433145E-2</v>
      </c>
      <c r="L14" s="16">
        <v>0</v>
      </c>
      <c r="M14" s="16">
        <f t="shared" si="3"/>
        <v>2549</v>
      </c>
      <c r="Q14" s="27"/>
    </row>
    <row r="15" spans="1:17" x14ac:dyDescent="0.2">
      <c r="B15" s="18" t="s">
        <v>93</v>
      </c>
      <c r="C15" s="16">
        <v>345</v>
      </c>
      <c r="D15" s="16">
        <v>239</v>
      </c>
      <c r="E15" s="16">
        <f t="shared" si="0"/>
        <v>584</v>
      </c>
      <c r="F15" s="17">
        <f t="shared" si="1"/>
        <v>4.6049519003311778E-2</v>
      </c>
      <c r="G15" s="16">
        <v>890</v>
      </c>
      <c r="H15" s="16">
        <v>142</v>
      </c>
      <c r="I15" s="16">
        <v>58</v>
      </c>
      <c r="J15" s="16">
        <v>1090</v>
      </c>
      <c r="K15" s="17">
        <f t="shared" si="2"/>
        <v>3.2073917137476461E-2</v>
      </c>
      <c r="L15" s="16">
        <v>0</v>
      </c>
      <c r="M15" s="16">
        <f t="shared" si="3"/>
        <v>1674</v>
      </c>
      <c r="Q15" s="27"/>
    </row>
    <row r="16" spans="1:17" x14ac:dyDescent="0.2">
      <c r="B16" s="18" t="s">
        <v>94</v>
      </c>
      <c r="C16" s="16">
        <v>2082</v>
      </c>
      <c r="D16" s="16">
        <v>996</v>
      </c>
      <c r="E16" s="16">
        <f t="shared" si="0"/>
        <v>3078</v>
      </c>
      <c r="F16" s="17">
        <f t="shared" si="1"/>
        <v>0.24270619776060559</v>
      </c>
      <c r="G16" s="16">
        <v>6617</v>
      </c>
      <c r="H16" s="16">
        <v>999</v>
      </c>
      <c r="I16" s="16">
        <v>312</v>
      </c>
      <c r="J16" s="16">
        <v>7928</v>
      </c>
      <c r="K16" s="17">
        <f t="shared" si="2"/>
        <v>0.23328625235404896</v>
      </c>
      <c r="L16" s="16">
        <v>0</v>
      </c>
      <c r="M16" s="16">
        <f t="shared" si="3"/>
        <v>11006</v>
      </c>
      <c r="Q16" s="27"/>
    </row>
    <row r="17" spans="2:17" x14ac:dyDescent="0.2">
      <c r="B17" s="18" t="s">
        <v>95</v>
      </c>
      <c r="C17" s="16">
        <v>235</v>
      </c>
      <c r="D17" s="16">
        <v>119</v>
      </c>
      <c r="E17" s="16">
        <f t="shared" si="0"/>
        <v>354</v>
      </c>
      <c r="F17" s="17">
        <f t="shared" si="1"/>
        <v>2.7913578299952689E-2</v>
      </c>
      <c r="G17" s="16">
        <v>631</v>
      </c>
      <c r="H17" s="16">
        <v>51</v>
      </c>
      <c r="I17" s="16">
        <v>28</v>
      </c>
      <c r="J17" s="16">
        <v>710</v>
      </c>
      <c r="K17" s="17">
        <f t="shared" si="2"/>
        <v>2.0892184557438794E-2</v>
      </c>
      <c r="L17" s="16">
        <v>0</v>
      </c>
      <c r="M17" s="16">
        <f t="shared" si="3"/>
        <v>1064</v>
      </c>
      <c r="Q17" s="27"/>
    </row>
    <row r="18" spans="2:17" x14ac:dyDescent="0.2">
      <c r="B18" s="18" t="s">
        <v>96</v>
      </c>
      <c r="C18" s="16">
        <v>252</v>
      </c>
      <c r="D18" s="16">
        <v>119</v>
      </c>
      <c r="E18" s="16">
        <f t="shared" si="0"/>
        <v>371</v>
      </c>
      <c r="F18" s="17">
        <f t="shared" si="1"/>
        <v>2.9254060873679232E-2</v>
      </c>
      <c r="G18" s="16">
        <v>756</v>
      </c>
      <c r="H18" s="16">
        <v>100</v>
      </c>
      <c r="I18" s="16">
        <v>37</v>
      </c>
      <c r="J18" s="16">
        <v>893</v>
      </c>
      <c r="K18" s="17">
        <f t="shared" si="2"/>
        <v>2.6277071563088512E-2</v>
      </c>
      <c r="L18" s="16">
        <v>0</v>
      </c>
      <c r="M18" s="16">
        <f t="shared" si="3"/>
        <v>1264</v>
      </c>
      <c r="Q18" s="27"/>
    </row>
    <row r="19" spans="2:17" x14ac:dyDescent="0.2">
      <c r="B19" s="18" t="s">
        <v>97</v>
      </c>
      <c r="C19" s="16">
        <v>401</v>
      </c>
      <c r="D19" s="16">
        <v>152</v>
      </c>
      <c r="E19" s="16">
        <f t="shared" si="0"/>
        <v>553</v>
      </c>
      <c r="F19" s="17">
        <f t="shared" si="1"/>
        <v>4.3605109604163382E-2</v>
      </c>
      <c r="G19" s="16">
        <v>1136</v>
      </c>
      <c r="H19" s="16">
        <v>131</v>
      </c>
      <c r="I19" s="16">
        <v>58</v>
      </c>
      <c r="J19" s="16">
        <v>1325</v>
      </c>
      <c r="K19" s="17">
        <f t="shared" si="2"/>
        <v>3.8988935969868174E-2</v>
      </c>
      <c r="L19" s="16">
        <v>0</v>
      </c>
      <c r="M19" s="16">
        <f t="shared" si="3"/>
        <v>1878</v>
      </c>
      <c r="Q19" s="27"/>
    </row>
    <row r="20" spans="2:17" x14ac:dyDescent="0.2">
      <c r="B20" s="18" t="s">
        <v>39</v>
      </c>
      <c r="C20" s="16">
        <f>SUM(C11:C19)</f>
        <v>8389</v>
      </c>
      <c r="D20" s="16">
        <f>SUM(D11:D19)</f>
        <v>4293</v>
      </c>
      <c r="E20" s="18">
        <f t="shared" ref="E20" si="4">C20+D20</f>
        <v>12682</v>
      </c>
      <c r="F20" s="19">
        <f t="shared" ref="F20" si="5">E20/$E$20</f>
        <v>1</v>
      </c>
      <c r="G20" s="16">
        <f t="shared" ref="G20:J20" si="6">SUM(G11:G19)</f>
        <v>27794</v>
      </c>
      <c r="H20" s="16">
        <f t="shared" si="6"/>
        <v>4548</v>
      </c>
      <c r="I20" s="16">
        <f t="shared" si="6"/>
        <v>1642</v>
      </c>
      <c r="J20" s="16">
        <f t="shared" si="6"/>
        <v>33984</v>
      </c>
      <c r="K20" s="17">
        <f t="shared" si="2"/>
        <v>1</v>
      </c>
      <c r="L20" s="16">
        <f t="shared" ref="L20" si="7">SUM(L11:L19)</f>
        <v>0</v>
      </c>
      <c r="M20" s="18">
        <f t="shared" si="3"/>
        <v>46666</v>
      </c>
      <c r="Q20" s="27"/>
    </row>
    <row r="21" spans="2:17" ht="25.5" customHeight="1" x14ac:dyDescent="0.2">
      <c r="B21" s="28" t="s">
        <v>44</v>
      </c>
      <c r="C21" s="29">
        <f>+C20/M20</f>
        <v>0.17976685381219731</v>
      </c>
      <c r="D21" s="29">
        <f>+D20/M20</f>
        <v>9.1994171345304937E-2</v>
      </c>
      <c r="E21" s="30">
        <f>+E20/M20</f>
        <v>0.27176102515750222</v>
      </c>
      <c r="F21" s="30"/>
      <c r="G21" s="29">
        <f>+G20/M20</f>
        <v>0.59559422277461105</v>
      </c>
      <c r="H21" s="29">
        <f>+H20/M20</f>
        <v>9.7458535121930312E-2</v>
      </c>
      <c r="I21" s="29">
        <f>+I20/M20</f>
        <v>3.5186216945956368E-2</v>
      </c>
      <c r="J21" s="30">
        <f>+J20/M20</f>
        <v>0.72823897484249778</v>
      </c>
      <c r="K21" s="30"/>
      <c r="L21" s="30">
        <f>+L20/M20</f>
        <v>0</v>
      </c>
      <c r="M21" s="30">
        <f>J21+L21+E21</f>
        <v>1</v>
      </c>
    </row>
    <row r="22" spans="2:17" x14ac:dyDescent="0.2">
      <c r="B22" s="31"/>
      <c r="C22" s="32"/>
      <c r="D22" s="32"/>
      <c r="E22" s="33"/>
      <c r="F22" s="33"/>
      <c r="G22" s="32"/>
      <c r="H22" s="32"/>
      <c r="I22" s="33"/>
      <c r="J22" s="33"/>
      <c r="K22" s="33"/>
      <c r="L22" s="45"/>
    </row>
    <row r="23" spans="2:17" ht="12.75" x14ac:dyDescent="0.2">
      <c r="B23" s="377" t="s">
        <v>590</v>
      </c>
      <c r="C23" s="377"/>
      <c r="D23" s="377"/>
      <c r="E23" s="377"/>
      <c r="F23" s="377"/>
      <c r="G23" s="377"/>
      <c r="H23" s="377"/>
      <c r="I23" s="377"/>
      <c r="J23" s="377"/>
      <c r="K23" s="377"/>
      <c r="L23" s="45"/>
    </row>
    <row r="24" spans="2:17" ht="12.75" x14ac:dyDescent="0.2">
      <c r="B24" s="374" t="str">
        <f>'Solicitudes Regiones'!$B$6:$R$6</f>
        <v>Julio de 2008 a junio de 2022</v>
      </c>
      <c r="C24" s="374"/>
      <c r="D24" s="374"/>
      <c r="E24" s="374"/>
      <c r="F24" s="374"/>
      <c r="G24" s="374"/>
      <c r="H24" s="374"/>
      <c r="I24" s="374"/>
      <c r="J24" s="374"/>
      <c r="K24" s="374"/>
      <c r="L24" s="45"/>
    </row>
    <row r="25" spans="2:17" x14ac:dyDescent="0.2">
      <c r="B25" s="31"/>
      <c r="C25" s="33"/>
      <c r="D25" s="33"/>
      <c r="E25" s="33"/>
      <c r="F25" s="33"/>
      <c r="G25" s="33"/>
      <c r="H25" s="33"/>
      <c r="I25" s="33"/>
      <c r="J25" s="33"/>
      <c r="K25" s="33"/>
      <c r="L25" s="33"/>
      <c r="M25" s="45"/>
    </row>
    <row r="26" spans="2:17" ht="12.75" customHeight="1" x14ac:dyDescent="0.2">
      <c r="B26" s="373" t="s">
        <v>596</v>
      </c>
      <c r="C26" s="373"/>
      <c r="D26" s="373"/>
      <c r="E26" s="373"/>
      <c r="F26" s="373"/>
      <c r="G26" s="373"/>
      <c r="H26" s="373"/>
      <c r="I26" s="373"/>
      <c r="J26" s="373"/>
      <c r="K26" s="373"/>
      <c r="L26" s="373"/>
      <c r="M26" s="373"/>
    </row>
    <row r="27" spans="2:17" ht="20.25" customHeight="1" x14ac:dyDescent="0.2">
      <c r="B27" s="373" t="s">
        <v>41</v>
      </c>
      <c r="C27" s="370" t="s">
        <v>544</v>
      </c>
      <c r="D27" s="371"/>
      <c r="E27" s="371"/>
      <c r="F27" s="371"/>
      <c r="G27" s="371"/>
      <c r="H27" s="371"/>
      <c r="I27" s="371"/>
      <c r="J27" s="371"/>
      <c r="K27" s="371"/>
      <c r="L27" s="372"/>
      <c r="M27" s="307"/>
    </row>
    <row r="28" spans="2:17" ht="48" x14ac:dyDescent="0.2">
      <c r="B28" s="373"/>
      <c r="C28" s="20" t="s">
        <v>540</v>
      </c>
      <c r="D28" s="20" t="s">
        <v>42</v>
      </c>
      <c r="E28" s="20" t="s">
        <v>553</v>
      </c>
      <c r="F28" s="20" t="s">
        <v>554</v>
      </c>
      <c r="G28" s="20" t="s">
        <v>542</v>
      </c>
      <c r="H28" s="20" t="s">
        <v>2</v>
      </c>
      <c r="I28" s="20" t="s">
        <v>43</v>
      </c>
      <c r="J28" s="20" t="s">
        <v>549</v>
      </c>
      <c r="K28" s="296" t="s">
        <v>550</v>
      </c>
      <c r="L28" s="296" t="s">
        <v>523</v>
      </c>
      <c r="M28" s="296" t="s">
        <v>641</v>
      </c>
    </row>
    <row r="29" spans="2:17" ht="15.75" customHeight="1" x14ac:dyDescent="0.2">
      <c r="B29" s="18" t="s">
        <v>89</v>
      </c>
      <c r="C29" s="16">
        <v>3142</v>
      </c>
      <c r="D29" s="16">
        <v>1190</v>
      </c>
      <c r="E29" s="16">
        <f>C29+D29</f>
        <v>4332</v>
      </c>
      <c r="F29" s="17">
        <f>E29/$E$38</f>
        <v>0.45007792207792208</v>
      </c>
      <c r="G29" s="16">
        <v>11395</v>
      </c>
      <c r="H29" s="16">
        <v>1277</v>
      </c>
      <c r="I29" s="16">
        <v>733</v>
      </c>
      <c r="J29" s="16">
        <v>13405</v>
      </c>
      <c r="K29" s="17">
        <f>J29/$J$38</f>
        <v>0.49328426862925484</v>
      </c>
      <c r="L29" s="16">
        <v>0</v>
      </c>
      <c r="M29" s="16">
        <f>L29+J29+E29</f>
        <v>17737</v>
      </c>
    </row>
    <row r="30" spans="2:17" x14ac:dyDescent="0.2">
      <c r="B30" s="18" t="s">
        <v>90</v>
      </c>
      <c r="C30" s="16">
        <v>392</v>
      </c>
      <c r="D30" s="16">
        <v>152</v>
      </c>
      <c r="E30" s="16">
        <f t="shared" ref="E30:E37" si="8">C30+D30</f>
        <v>544</v>
      </c>
      <c r="F30" s="17">
        <f t="shared" ref="F30:F37" si="9">E30/$E$38</f>
        <v>5.6519480519480518E-2</v>
      </c>
      <c r="G30" s="16">
        <v>1400</v>
      </c>
      <c r="H30" s="16">
        <v>148</v>
      </c>
      <c r="I30" s="16">
        <v>86</v>
      </c>
      <c r="J30" s="16">
        <v>1634</v>
      </c>
      <c r="K30" s="17">
        <f t="shared" ref="K30:K38" si="10">J30/$J$38</f>
        <v>6.0128794848206074E-2</v>
      </c>
      <c r="L30" s="16">
        <v>0</v>
      </c>
      <c r="M30" s="16">
        <f t="shared" ref="M30:M38" si="11">L30+J30+E30</f>
        <v>2178</v>
      </c>
    </row>
    <row r="31" spans="2:17" x14ac:dyDescent="0.2">
      <c r="B31" s="18" t="s">
        <v>91</v>
      </c>
      <c r="C31" s="16">
        <v>248</v>
      </c>
      <c r="D31" s="16">
        <v>119</v>
      </c>
      <c r="E31" s="16">
        <f t="shared" si="8"/>
        <v>367</v>
      </c>
      <c r="F31" s="17">
        <f t="shared" si="9"/>
        <v>3.8129870129870132E-2</v>
      </c>
      <c r="G31" s="16">
        <v>910</v>
      </c>
      <c r="H31" s="16">
        <v>90</v>
      </c>
      <c r="I31" s="16">
        <v>60</v>
      </c>
      <c r="J31" s="16">
        <v>1060</v>
      </c>
      <c r="K31" s="17">
        <f t="shared" si="10"/>
        <v>3.9006439742410304E-2</v>
      </c>
      <c r="L31" s="16">
        <v>0</v>
      </c>
      <c r="M31" s="16">
        <f t="shared" si="11"/>
        <v>1427</v>
      </c>
    </row>
    <row r="32" spans="2:17" x14ac:dyDescent="0.2">
      <c r="B32" s="18" t="s">
        <v>92</v>
      </c>
      <c r="C32" s="16">
        <v>458</v>
      </c>
      <c r="D32" s="16">
        <v>150</v>
      </c>
      <c r="E32" s="16">
        <f t="shared" si="8"/>
        <v>608</v>
      </c>
      <c r="F32" s="17">
        <f t="shared" si="9"/>
        <v>6.3168831168831166E-2</v>
      </c>
      <c r="G32" s="16">
        <v>1221</v>
      </c>
      <c r="H32" s="16">
        <v>116</v>
      </c>
      <c r="I32" s="16">
        <v>57</v>
      </c>
      <c r="J32" s="16">
        <v>1394</v>
      </c>
      <c r="K32" s="17">
        <f t="shared" si="10"/>
        <v>5.1297148114075437E-2</v>
      </c>
      <c r="L32" s="16">
        <v>0</v>
      </c>
      <c r="M32" s="16">
        <f t="shared" si="11"/>
        <v>2002</v>
      </c>
    </row>
    <row r="33" spans="2:13" x14ac:dyDescent="0.2">
      <c r="B33" s="18" t="s">
        <v>93</v>
      </c>
      <c r="C33" s="16">
        <v>256</v>
      </c>
      <c r="D33" s="16">
        <v>136</v>
      </c>
      <c r="E33" s="16">
        <f t="shared" si="8"/>
        <v>392</v>
      </c>
      <c r="F33" s="17">
        <f t="shared" si="9"/>
        <v>4.072727272727273E-2</v>
      </c>
      <c r="G33" s="16">
        <v>770</v>
      </c>
      <c r="H33" s="16">
        <v>62</v>
      </c>
      <c r="I33" s="16">
        <v>41</v>
      </c>
      <c r="J33" s="16">
        <v>873</v>
      </c>
      <c r="K33" s="17">
        <f t="shared" si="10"/>
        <v>3.2125114995400182E-2</v>
      </c>
      <c r="L33" s="16">
        <v>0</v>
      </c>
      <c r="M33" s="16">
        <f t="shared" si="11"/>
        <v>1265</v>
      </c>
    </row>
    <row r="34" spans="2:13" x14ac:dyDescent="0.2">
      <c r="B34" s="18" t="s">
        <v>94</v>
      </c>
      <c r="C34" s="16">
        <v>1772</v>
      </c>
      <c r="D34" s="16">
        <v>618</v>
      </c>
      <c r="E34" s="16">
        <f t="shared" si="8"/>
        <v>2390</v>
      </c>
      <c r="F34" s="17">
        <f t="shared" si="9"/>
        <v>0.24831168831168832</v>
      </c>
      <c r="G34" s="16">
        <v>5612</v>
      </c>
      <c r="H34" s="16">
        <v>572</v>
      </c>
      <c r="I34" s="16">
        <v>268</v>
      </c>
      <c r="J34" s="16">
        <v>6452</v>
      </c>
      <c r="K34" s="17">
        <f t="shared" si="10"/>
        <v>0.23742410303587858</v>
      </c>
      <c r="L34" s="16">
        <v>0</v>
      </c>
      <c r="M34" s="16">
        <f t="shared" si="11"/>
        <v>8842</v>
      </c>
    </row>
    <row r="35" spans="2:13" x14ac:dyDescent="0.2">
      <c r="B35" s="18" t="s">
        <v>95</v>
      </c>
      <c r="C35" s="16">
        <v>217</v>
      </c>
      <c r="D35" s="16">
        <v>65</v>
      </c>
      <c r="E35" s="16">
        <f t="shared" si="8"/>
        <v>282</v>
      </c>
      <c r="F35" s="17">
        <f t="shared" si="9"/>
        <v>2.92987012987013E-2</v>
      </c>
      <c r="G35" s="16">
        <v>552</v>
      </c>
      <c r="H35" s="16">
        <v>17</v>
      </c>
      <c r="I35" s="16">
        <v>25</v>
      </c>
      <c r="J35" s="16">
        <v>594</v>
      </c>
      <c r="K35" s="17">
        <f t="shared" si="10"/>
        <v>2.1858325666973322E-2</v>
      </c>
      <c r="L35" s="16">
        <v>0</v>
      </c>
      <c r="M35" s="16">
        <f t="shared" si="11"/>
        <v>876</v>
      </c>
    </row>
    <row r="36" spans="2:13" x14ac:dyDescent="0.2">
      <c r="B36" s="18" t="s">
        <v>96</v>
      </c>
      <c r="C36" s="16">
        <v>212</v>
      </c>
      <c r="D36" s="16">
        <v>85</v>
      </c>
      <c r="E36" s="16">
        <f t="shared" si="8"/>
        <v>297</v>
      </c>
      <c r="F36" s="17">
        <f t="shared" si="9"/>
        <v>3.0857142857142857E-2</v>
      </c>
      <c r="G36" s="16">
        <v>657</v>
      </c>
      <c r="H36" s="16">
        <v>47</v>
      </c>
      <c r="I36" s="16">
        <v>27</v>
      </c>
      <c r="J36" s="16">
        <v>731</v>
      </c>
      <c r="K36" s="17">
        <f t="shared" si="10"/>
        <v>2.6899724011039558E-2</v>
      </c>
      <c r="L36" s="16">
        <v>0</v>
      </c>
      <c r="M36" s="16">
        <f t="shared" si="11"/>
        <v>1028</v>
      </c>
    </row>
    <row r="37" spans="2:13" x14ac:dyDescent="0.2">
      <c r="B37" s="18" t="s">
        <v>97</v>
      </c>
      <c r="C37" s="16">
        <v>323</v>
      </c>
      <c r="D37" s="16">
        <v>90</v>
      </c>
      <c r="E37" s="16">
        <f t="shared" si="8"/>
        <v>413</v>
      </c>
      <c r="F37" s="17">
        <f t="shared" si="9"/>
        <v>4.2909090909090911E-2</v>
      </c>
      <c r="G37" s="16">
        <v>913</v>
      </c>
      <c r="H37" s="16">
        <v>68</v>
      </c>
      <c r="I37" s="16">
        <v>51</v>
      </c>
      <c r="J37" s="16">
        <v>1032</v>
      </c>
      <c r="K37" s="17">
        <f t="shared" si="10"/>
        <v>3.7976080956761728E-2</v>
      </c>
      <c r="L37" s="16">
        <v>0</v>
      </c>
      <c r="M37" s="16">
        <f t="shared" si="11"/>
        <v>1445</v>
      </c>
    </row>
    <row r="38" spans="2:13" x14ac:dyDescent="0.2">
      <c r="B38" s="18" t="s">
        <v>39</v>
      </c>
      <c r="C38" s="16">
        <f>SUM(C29:C37)</f>
        <v>7020</v>
      </c>
      <c r="D38" s="16">
        <f>SUM(D29:D37)</f>
        <v>2605</v>
      </c>
      <c r="E38" s="18">
        <f t="shared" ref="E38" si="12">C38+D38</f>
        <v>9625</v>
      </c>
      <c r="F38" s="19">
        <f t="shared" ref="F38" si="13">E38/$E$38</f>
        <v>1</v>
      </c>
      <c r="G38" s="16">
        <f>SUM(G29:G37)</f>
        <v>23430</v>
      </c>
      <c r="H38" s="16">
        <f t="shared" ref="H38:J38" si="14">SUM(H29:H37)</f>
        <v>2397</v>
      </c>
      <c r="I38" s="16">
        <f t="shared" si="14"/>
        <v>1348</v>
      </c>
      <c r="J38" s="16">
        <f t="shared" si="14"/>
        <v>27175</v>
      </c>
      <c r="K38" s="17">
        <f t="shared" si="10"/>
        <v>1</v>
      </c>
      <c r="L38" s="16">
        <f t="shared" ref="L38" si="15">SUM(L29:L37)</f>
        <v>0</v>
      </c>
      <c r="M38" s="18">
        <f t="shared" si="11"/>
        <v>36800</v>
      </c>
    </row>
    <row r="39" spans="2:13" ht="24" x14ac:dyDescent="0.2">
      <c r="B39" s="28" t="s">
        <v>45</v>
      </c>
      <c r="C39" s="29">
        <f>+C38/M38</f>
        <v>0.1907608695652174</v>
      </c>
      <c r="D39" s="29">
        <f>+D38/M38</f>
        <v>7.078804347826087E-2</v>
      </c>
      <c r="E39" s="30">
        <f>+E38/M38</f>
        <v>0.26154891304347827</v>
      </c>
      <c r="F39" s="30"/>
      <c r="G39" s="29">
        <f>+G38/M38</f>
        <v>0.63668478260869565</v>
      </c>
      <c r="H39" s="29">
        <f>+H38/M38</f>
        <v>6.5135869565217386E-2</v>
      </c>
      <c r="I39" s="29">
        <f>+I38/M38</f>
        <v>3.6630434782608697E-2</v>
      </c>
      <c r="J39" s="30">
        <f>+J38/M38</f>
        <v>0.73845108695652173</v>
      </c>
      <c r="K39" s="30"/>
      <c r="L39" s="30">
        <f>+L38/M38</f>
        <v>0</v>
      </c>
      <c r="M39" s="30">
        <f>J39+L39+E39</f>
        <v>1</v>
      </c>
    </row>
    <row r="40" spans="2:13" x14ac:dyDescent="0.2">
      <c r="B40" s="21" t="s">
        <v>78</v>
      </c>
    </row>
    <row r="41" spans="2:13" x14ac:dyDescent="0.2">
      <c r="B41" s="21" t="s">
        <v>79</v>
      </c>
    </row>
    <row r="131" spans="2:2" x14ac:dyDescent="0.2">
      <c r="B131" s="22" t="s">
        <v>56</v>
      </c>
    </row>
  </sheetData>
  <mergeCells count="10">
    <mergeCell ref="B6:K6"/>
    <mergeCell ref="B5:K5"/>
    <mergeCell ref="B23:K23"/>
    <mergeCell ref="B24:K24"/>
    <mergeCell ref="B27:B28"/>
    <mergeCell ref="B9:B10"/>
    <mergeCell ref="B8:M8"/>
    <mergeCell ref="B26:M26"/>
    <mergeCell ref="C9:L9"/>
    <mergeCell ref="C27:L27"/>
  </mergeCells>
  <hyperlinks>
    <hyperlink ref="M5" location="'Índice PGU y SPS'!A1" display="Volver Sistema de Pensiones Solidarias" xr:uid="{4142C77A-ADFE-40BB-9FB8-79DD24BFE3E5}"/>
  </hyperlinks>
  <pageMargins left="0.74803149606299213" right="0.74803149606299213" top="0.98425196850393704" bottom="0.98425196850393704" header="0" footer="0"/>
  <pageSetup scale="80"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22">
    <pageSetUpPr fitToPage="1"/>
  </sheetPr>
  <dimension ref="A1:Q143"/>
  <sheetViews>
    <sheetView showGridLines="0" zoomScale="90" zoomScaleNormal="90" workbookViewId="0">
      <selection activeCell="M35" sqref="M35"/>
    </sheetView>
  </sheetViews>
  <sheetFormatPr baseColWidth="10" defaultRowHeight="12" x14ac:dyDescent="0.2"/>
  <cols>
    <col min="1" max="1" width="6" style="22" customWidth="1"/>
    <col min="2" max="2" width="18.140625" style="22" customWidth="1"/>
    <col min="3" max="3" width="14.5703125" style="22" customWidth="1"/>
    <col min="4" max="4" width="8.42578125" style="22" bestFit="1" customWidth="1"/>
    <col min="5" max="6" width="12.140625" style="22" customWidth="1"/>
    <col min="7" max="7" width="10.42578125" style="22" customWidth="1"/>
    <col min="8" max="8" width="8.28515625" style="22" bestFit="1" customWidth="1"/>
    <col min="9" max="9" width="8.28515625" style="22" customWidth="1"/>
    <col min="10" max="10" width="11.7109375" style="22" customWidth="1"/>
    <col min="11" max="11" width="13.140625" style="22" customWidth="1"/>
    <col min="12" max="12" width="9.140625" style="22" hidden="1" customWidth="1"/>
    <col min="13" max="13" width="11.42578125" style="22"/>
    <col min="14" max="14" width="11.28515625" style="22" customWidth="1"/>
    <col min="15" max="15" width="12.42578125" style="22" bestFit="1" customWidth="1"/>
    <col min="16" max="251" width="11.42578125" style="22"/>
    <col min="252" max="252" width="18.140625" style="22" customWidth="1"/>
    <col min="253" max="254" width="8.42578125" style="22" bestFit="1" customWidth="1"/>
    <col min="255" max="256" width="8.42578125" style="22" customWidth="1"/>
    <col min="257" max="257" width="9.7109375" style="22" bestFit="1" customWidth="1"/>
    <col min="258" max="258" width="8.28515625" style="22" bestFit="1" customWidth="1"/>
    <col min="259" max="261" width="8.28515625" style="22" customWidth="1"/>
    <col min="262" max="267" width="0" style="22" hidden="1" customWidth="1"/>
    <col min="268" max="268" width="9.140625" style="22" customWidth="1"/>
    <col min="269" max="270" width="11.42578125" style="22"/>
    <col min="271" max="271" width="12.42578125" style="22" bestFit="1" customWidth="1"/>
    <col min="272" max="507" width="11.42578125" style="22"/>
    <col min="508" max="508" width="18.140625" style="22" customWidth="1"/>
    <col min="509" max="510" width="8.42578125" style="22" bestFit="1" customWidth="1"/>
    <col min="511" max="512" width="8.42578125" style="22" customWidth="1"/>
    <col min="513" max="513" width="9.7109375" style="22" bestFit="1" customWidth="1"/>
    <col min="514" max="514" width="8.28515625" style="22" bestFit="1" customWidth="1"/>
    <col min="515" max="517" width="8.28515625" style="22" customWidth="1"/>
    <col min="518" max="523" width="0" style="22" hidden="1" customWidth="1"/>
    <col min="524" max="524" width="9.140625" style="22" customWidth="1"/>
    <col min="525" max="526" width="11.42578125" style="22"/>
    <col min="527" max="527" width="12.42578125" style="22" bestFit="1" customWidth="1"/>
    <col min="528" max="763" width="11.42578125" style="22"/>
    <col min="764" max="764" width="18.140625" style="22" customWidth="1"/>
    <col min="765" max="766" width="8.42578125" style="22" bestFit="1" customWidth="1"/>
    <col min="767" max="768" width="8.42578125" style="22" customWidth="1"/>
    <col min="769" max="769" width="9.7109375" style="22" bestFit="1" customWidth="1"/>
    <col min="770" max="770" width="8.28515625" style="22" bestFit="1" customWidth="1"/>
    <col min="771" max="773" width="8.28515625" style="22" customWidth="1"/>
    <col min="774" max="779" width="0" style="22" hidden="1" customWidth="1"/>
    <col min="780" max="780" width="9.140625" style="22" customWidth="1"/>
    <col min="781" max="782" width="11.42578125" style="22"/>
    <col min="783" max="783" width="12.42578125" style="22" bestFit="1" customWidth="1"/>
    <col min="784" max="1019" width="11.42578125" style="22"/>
    <col min="1020" max="1020" width="18.140625" style="22" customWidth="1"/>
    <col min="1021" max="1022" width="8.42578125" style="22" bestFit="1" customWidth="1"/>
    <col min="1023" max="1024" width="8.42578125" style="22" customWidth="1"/>
    <col min="1025" max="1025" width="9.7109375" style="22" bestFit="1" customWidth="1"/>
    <col min="1026" max="1026" width="8.28515625" style="22" bestFit="1" customWidth="1"/>
    <col min="1027" max="1029" width="8.28515625" style="22" customWidth="1"/>
    <col min="1030" max="1035" width="0" style="22" hidden="1" customWidth="1"/>
    <col min="1036" max="1036" width="9.140625" style="22" customWidth="1"/>
    <col min="1037" max="1038" width="11.42578125" style="22"/>
    <col min="1039" max="1039" width="12.42578125" style="22" bestFit="1" customWidth="1"/>
    <col min="1040" max="1275" width="11.42578125" style="22"/>
    <col min="1276" max="1276" width="18.140625" style="22" customWidth="1"/>
    <col min="1277" max="1278" width="8.42578125" style="22" bestFit="1" customWidth="1"/>
    <col min="1279" max="1280" width="8.42578125" style="22" customWidth="1"/>
    <col min="1281" max="1281" width="9.7109375" style="22" bestFit="1" customWidth="1"/>
    <col min="1282" max="1282" width="8.28515625" style="22" bestFit="1" customWidth="1"/>
    <col min="1283" max="1285" width="8.28515625" style="22" customWidth="1"/>
    <col min="1286" max="1291" width="0" style="22" hidden="1" customWidth="1"/>
    <col min="1292" max="1292" width="9.140625" style="22" customWidth="1"/>
    <col min="1293" max="1294" width="11.42578125" style="22"/>
    <col min="1295" max="1295" width="12.42578125" style="22" bestFit="1" customWidth="1"/>
    <col min="1296" max="1531" width="11.42578125" style="22"/>
    <col min="1532" max="1532" width="18.140625" style="22" customWidth="1"/>
    <col min="1533" max="1534" width="8.42578125" style="22" bestFit="1" customWidth="1"/>
    <col min="1535" max="1536" width="8.42578125" style="22" customWidth="1"/>
    <col min="1537" max="1537" width="9.7109375" style="22" bestFit="1" customWidth="1"/>
    <col min="1538" max="1538" width="8.28515625" style="22" bestFit="1" customWidth="1"/>
    <col min="1539" max="1541" width="8.28515625" style="22" customWidth="1"/>
    <col min="1542" max="1547" width="0" style="22" hidden="1" customWidth="1"/>
    <col min="1548" max="1548" width="9.140625" style="22" customWidth="1"/>
    <col min="1549" max="1550" width="11.42578125" style="22"/>
    <col min="1551" max="1551" width="12.42578125" style="22" bestFit="1" customWidth="1"/>
    <col min="1552" max="1787" width="11.42578125" style="22"/>
    <col min="1788" max="1788" width="18.140625" style="22" customWidth="1"/>
    <col min="1789" max="1790" width="8.42578125" style="22" bestFit="1" customWidth="1"/>
    <col min="1791" max="1792" width="8.42578125" style="22" customWidth="1"/>
    <col min="1793" max="1793" width="9.7109375" style="22" bestFit="1" customWidth="1"/>
    <col min="1794" max="1794" width="8.28515625" style="22" bestFit="1" customWidth="1"/>
    <col min="1795" max="1797" width="8.28515625" style="22" customWidth="1"/>
    <col min="1798" max="1803" width="0" style="22" hidden="1" customWidth="1"/>
    <col min="1804" max="1804" width="9.140625" style="22" customWidth="1"/>
    <col min="1805" max="1806" width="11.42578125" style="22"/>
    <col min="1807" max="1807" width="12.42578125" style="22" bestFit="1" customWidth="1"/>
    <col min="1808" max="2043" width="11.42578125" style="22"/>
    <col min="2044" max="2044" width="18.140625" style="22" customWidth="1"/>
    <col min="2045" max="2046" width="8.42578125" style="22" bestFit="1" customWidth="1"/>
    <col min="2047" max="2048" width="8.42578125" style="22" customWidth="1"/>
    <col min="2049" max="2049" width="9.7109375" style="22" bestFit="1" customWidth="1"/>
    <col min="2050" max="2050" width="8.28515625" style="22" bestFit="1" customWidth="1"/>
    <col min="2051" max="2053" width="8.28515625" style="22" customWidth="1"/>
    <col min="2054" max="2059" width="0" style="22" hidden="1" customWidth="1"/>
    <col min="2060" max="2060" width="9.140625" style="22" customWidth="1"/>
    <col min="2061" max="2062" width="11.42578125" style="22"/>
    <col min="2063" max="2063" width="12.42578125" style="22" bestFit="1" customWidth="1"/>
    <col min="2064" max="2299" width="11.42578125" style="22"/>
    <col min="2300" max="2300" width="18.140625" style="22" customWidth="1"/>
    <col min="2301" max="2302" width="8.42578125" style="22" bestFit="1" customWidth="1"/>
    <col min="2303" max="2304" width="8.42578125" style="22" customWidth="1"/>
    <col min="2305" max="2305" width="9.7109375" style="22" bestFit="1" customWidth="1"/>
    <col min="2306" max="2306" width="8.28515625" style="22" bestFit="1" customWidth="1"/>
    <col min="2307" max="2309" width="8.28515625" style="22" customWidth="1"/>
    <col min="2310" max="2315" width="0" style="22" hidden="1" customWidth="1"/>
    <col min="2316" max="2316" width="9.140625" style="22" customWidth="1"/>
    <col min="2317" max="2318" width="11.42578125" style="22"/>
    <col min="2319" max="2319" width="12.42578125" style="22" bestFit="1" customWidth="1"/>
    <col min="2320" max="2555" width="11.42578125" style="22"/>
    <col min="2556" max="2556" width="18.140625" style="22" customWidth="1"/>
    <col min="2557" max="2558" width="8.42578125" style="22" bestFit="1" customWidth="1"/>
    <col min="2559" max="2560" width="8.42578125" style="22" customWidth="1"/>
    <col min="2561" max="2561" width="9.7109375" style="22" bestFit="1" customWidth="1"/>
    <col min="2562" max="2562" width="8.28515625" style="22" bestFit="1" customWidth="1"/>
    <col min="2563" max="2565" width="8.28515625" style="22" customWidth="1"/>
    <col min="2566" max="2571" width="0" style="22" hidden="1" customWidth="1"/>
    <col min="2572" max="2572" width="9.140625" style="22" customWidth="1"/>
    <col min="2573" max="2574" width="11.42578125" style="22"/>
    <col min="2575" max="2575" width="12.42578125" style="22" bestFit="1" customWidth="1"/>
    <col min="2576" max="2811" width="11.42578125" style="22"/>
    <col min="2812" max="2812" width="18.140625" style="22" customWidth="1"/>
    <col min="2813" max="2814" width="8.42578125" style="22" bestFit="1" customWidth="1"/>
    <col min="2815" max="2816" width="8.42578125" style="22" customWidth="1"/>
    <col min="2817" max="2817" width="9.7109375" style="22" bestFit="1" customWidth="1"/>
    <col min="2818" max="2818" width="8.28515625" style="22" bestFit="1" customWidth="1"/>
    <col min="2819" max="2821" width="8.28515625" style="22" customWidth="1"/>
    <col min="2822" max="2827" width="0" style="22" hidden="1" customWidth="1"/>
    <col min="2828" max="2828" width="9.140625" style="22" customWidth="1"/>
    <col min="2829" max="2830" width="11.42578125" style="22"/>
    <col min="2831" max="2831" width="12.42578125" style="22" bestFit="1" customWidth="1"/>
    <col min="2832" max="3067" width="11.42578125" style="22"/>
    <col min="3068" max="3068" width="18.140625" style="22" customWidth="1"/>
    <col min="3069" max="3070" width="8.42578125" style="22" bestFit="1" customWidth="1"/>
    <col min="3071" max="3072" width="8.42578125" style="22" customWidth="1"/>
    <col min="3073" max="3073" width="9.7109375" style="22" bestFit="1" customWidth="1"/>
    <col min="3074" max="3074" width="8.28515625" style="22" bestFit="1" customWidth="1"/>
    <col min="3075" max="3077" width="8.28515625" style="22" customWidth="1"/>
    <col min="3078" max="3083" width="0" style="22" hidden="1" customWidth="1"/>
    <col min="3084" max="3084" width="9.140625" style="22" customWidth="1"/>
    <col min="3085" max="3086" width="11.42578125" style="22"/>
    <col min="3087" max="3087" width="12.42578125" style="22" bestFit="1" customWidth="1"/>
    <col min="3088" max="3323" width="11.42578125" style="22"/>
    <col min="3324" max="3324" width="18.140625" style="22" customWidth="1"/>
    <col min="3325" max="3326" width="8.42578125" style="22" bestFit="1" customWidth="1"/>
    <col min="3327" max="3328" width="8.42578125" style="22" customWidth="1"/>
    <col min="3329" max="3329" width="9.7109375" style="22" bestFit="1" customWidth="1"/>
    <col min="3330" max="3330" width="8.28515625" style="22" bestFit="1" customWidth="1"/>
    <col min="3331" max="3333" width="8.28515625" style="22" customWidth="1"/>
    <col min="3334" max="3339" width="0" style="22" hidden="1" customWidth="1"/>
    <col min="3340" max="3340" width="9.140625" style="22" customWidth="1"/>
    <col min="3341" max="3342" width="11.42578125" style="22"/>
    <col min="3343" max="3343" width="12.42578125" style="22" bestFit="1" customWidth="1"/>
    <col min="3344" max="3579" width="11.42578125" style="22"/>
    <col min="3580" max="3580" width="18.140625" style="22" customWidth="1"/>
    <col min="3581" max="3582" width="8.42578125" style="22" bestFit="1" customWidth="1"/>
    <col min="3583" max="3584" width="8.42578125" style="22" customWidth="1"/>
    <col min="3585" max="3585" width="9.7109375" style="22" bestFit="1" customWidth="1"/>
    <col min="3586" max="3586" width="8.28515625" style="22" bestFit="1" customWidth="1"/>
    <col min="3587" max="3589" width="8.28515625" style="22" customWidth="1"/>
    <col min="3590" max="3595" width="0" style="22" hidden="1" customWidth="1"/>
    <col min="3596" max="3596" width="9.140625" style="22" customWidth="1"/>
    <col min="3597" max="3598" width="11.42578125" style="22"/>
    <col min="3599" max="3599" width="12.42578125" style="22" bestFit="1" customWidth="1"/>
    <col min="3600" max="3835" width="11.42578125" style="22"/>
    <col min="3836" max="3836" width="18.140625" style="22" customWidth="1"/>
    <col min="3837" max="3838" width="8.42578125" style="22" bestFit="1" customWidth="1"/>
    <col min="3839" max="3840" width="8.42578125" style="22" customWidth="1"/>
    <col min="3841" max="3841" width="9.7109375" style="22" bestFit="1" customWidth="1"/>
    <col min="3842" max="3842" width="8.28515625" style="22" bestFit="1" customWidth="1"/>
    <col min="3843" max="3845" width="8.28515625" style="22" customWidth="1"/>
    <col min="3846" max="3851" width="0" style="22" hidden="1" customWidth="1"/>
    <col min="3852" max="3852" width="9.140625" style="22" customWidth="1"/>
    <col min="3853" max="3854" width="11.42578125" style="22"/>
    <col min="3855" max="3855" width="12.42578125" style="22" bestFit="1" customWidth="1"/>
    <col min="3856" max="4091" width="11.42578125" style="22"/>
    <col min="4092" max="4092" width="18.140625" style="22" customWidth="1"/>
    <col min="4093" max="4094" width="8.42578125" style="22" bestFit="1" customWidth="1"/>
    <col min="4095" max="4096" width="8.42578125" style="22" customWidth="1"/>
    <col min="4097" max="4097" width="9.7109375" style="22" bestFit="1" customWidth="1"/>
    <col min="4098" max="4098" width="8.28515625" style="22" bestFit="1" customWidth="1"/>
    <col min="4099" max="4101" width="8.28515625" style="22" customWidth="1"/>
    <col min="4102" max="4107" width="0" style="22" hidden="1" customWidth="1"/>
    <col min="4108" max="4108" width="9.140625" style="22" customWidth="1"/>
    <col min="4109" max="4110" width="11.42578125" style="22"/>
    <col min="4111" max="4111" width="12.42578125" style="22" bestFit="1" customWidth="1"/>
    <col min="4112" max="4347" width="11.42578125" style="22"/>
    <col min="4348" max="4348" width="18.140625" style="22" customWidth="1"/>
    <col min="4349" max="4350" width="8.42578125" style="22" bestFit="1" customWidth="1"/>
    <col min="4351" max="4352" width="8.42578125" style="22" customWidth="1"/>
    <col min="4353" max="4353" width="9.7109375" style="22" bestFit="1" customWidth="1"/>
    <col min="4354" max="4354" width="8.28515625" style="22" bestFit="1" customWidth="1"/>
    <col min="4355" max="4357" width="8.28515625" style="22" customWidth="1"/>
    <col min="4358" max="4363" width="0" style="22" hidden="1" customWidth="1"/>
    <col min="4364" max="4364" width="9.140625" style="22" customWidth="1"/>
    <col min="4365" max="4366" width="11.42578125" style="22"/>
    <col min="4367" max="4367" width="12.42578125" style="22" bestFit="1" customWidth="1"/>
    <col min="4368" max="4603" width="11.42578125" style="22"/>
    <col min="4604" max="4604" width="18.140625" style="22" customWidth="1"/>
    <col min="4605" max="4606" width="8.42578125" style="22" bestFit="1" customWidth="1"/>
    <col min="4607" max="4608" width="8.42578125" style="22" customWidth="1"/>
    <col min="4609" max="4609" width="9.7109375" style="22" bestFit="1" customWidth="1"/>
    <col min="4610" max="4610" width="8.28515625" style="22" bestFit="1" customWidth="1"/>
    <col min="4611" max="4613" width="8.28515625" style="22" customWidth="1"/>
    <col min="4614" max="4619" width="0" style="22" hidden="1" customWidth="1"/>
    <col min="4620" max="4620" width="9.140625" style="22" customWidth="1"/>
    <col min="4621" max="4622" width="11.42578125" style="22"/>
    <col min="4623" max="4623" width="12.42578125" style="22" bestFit="1" customWidth="1"/>
    <col min="4624" max="4859" width="11.42578125" style="22"/>
    <col min="4860" max="4860" width="18.140625" style="22" customWidth="1"/>
    <col min="4861" max="4862" width="8.42578125" style="22" bestFit="1" customWidth="1"/>
    <col min="4863" max="4864" width="8.42578125" style="22" customWidth="1"/>
    <col min="4865" max="4865" width="9.7109375" style="22" bestFit="1" customWidth="1"/>
    <col min="4866" max="4866" width="8.28515625" style="22" bestFit="1" customWidth="1"/>
    <col min="4867" max="4869" width="8.28515625" style="22" customWidth="1"/>
    <col min="4870" max="4875" width="0" style="22" hidden="1" customWidth="1"/>
    <col min="4876" max="4876" width="9.140625" style="22" customWidth="1"/>
    <col min="4877" max="4878" width="11.42578125" style="22"/>
    <col min="4879" max="4879" width="12.42578125" style="22" bestFit="1" customWidth="1"/>
    <col min="4880" max="5115" width="11.42578125" style="22"/>
    <col min="5116" max="5116" width="18.140625" style="22" customWidth="1"/>
    <col min="5117" max="5118" width="8.42578125" style="22" bestFit="1" customWidth="1"/>
    <col min="5119" max="5120" width="8.42578125" style="22" customWidth="1"/>
    <col min="5121" max="5121" width="9.7109375" style="22" bestFit="1" customWidth="1"/>
    <col min="5122" max="5122" width="8.28515625" style="22" bestFit="1" customWidth="1"/>
    <col min="5123" max="5125" width="8.28515625" style="22" customWidth="1"/>
    <col min="5126" max="5131" width="0" style="22" hidden="1" customWidth="1"/>
    <col min="5132" max="5132" width="9.140625" style="22" customWidth="1"/>
    <col min="5133" max="5134" width="11.42578125" style="22"/>
    <col min="5135" max="5135" width="12.42578125" style="22" bestFit="1" customWidth="1"/>
    <col min="5136" max="5371" width="11.42578125" style="22"/>
    <col min="5372" max="5372" width="18.140625" style="22" customWidth="1"/>
    <col min="5373" max="5374" width="8.42578125" style="22" bestFit="1" customWidth="1"/>
    <col min="5375" max="5376" width="8.42578125" style="22" customWidth="1"/>
    <col min="5377" max="5377" width="9.7109375" style="22" bestFit="1" customWidth="1"/>
    <col min="5378" max="5378" width="8.28515625" style="22" bestFit="1" customWidth="1"/>
    <col min="5379" max="5381" width="8.28515625" style="22" customWidth="1"/>
    <col min="5382" max="5387" width="0" style="22" hidden="1" customWidth="1"/>
    <col min="5388" max="5388" width="9.140625" style="22" customWidth="1"/>
    <col min="5389" max="5390" width="11.42578125" style="22"/>
    <col min="5391" max="5391" width="12.42578125" style="22" bestFit="1" customWidth="1"/>
    <col min="5392" max="5627" width="11.42578125" style="22"/>
    <col min="5628" max="5628" width="18.140625" style="22" customWidth="1"/>
    <col min="5629" max="5630" width="8.42578125" style="22" bestFit="1" customWidth="1"/>
    <col min="5631" max="5632" width="8.42578125" style="22" customWidth="1"/>
    <col min="5633" max="5633" width="9.7109375" style="22" bestFit="1" customWidth="1"/>
    <col min="5634" max="5634" width="8.28515625" style="22" bestFit="1" customWidth="1"/>
    <col min="5635" max="5637" width="8.28515625" style="22" customWidth="1"/>
    <col min="5638" max="5643" width="0" style="22" hidden="1" customWidth="1"/>
    <col min="5644" max="5644" width="9.140625" style="22" customWidth="1"/>
    <col min="5645" max="5646" width="11.42578125" style="22"/>
    <col min="5647" max="5647" width="12.42578125" style="22" bestFit="1" customWidth="1"/>
    <col min="5648" max="5883" width="11.42578125" style="22"/>
    <col min="5884" max="5884" width="18.140625" style="22" customWidth="1"/>
    <col min="5885" max="5886" width="8.42578125" style="22" bestFit="1" customWidth="1"/>
    <col min="5887" max="5888" width="8.42578125" style="22" customWidth="1"/>
    <col min="5889" max="5889" width="9.7109375" style="22" bestFit="1" customWidth="1"/>
    <col min="5890" max="5890" width="8.28515625" style="22" bestFit="1" customWidth="1"/>
    <col min="5891" max="5893" width="8.28515625" style="22" customWidth="1"/>
    <col min="5894" max="5899" width="0" style="22" hidden="1" customWidth="1"/>
    <col min="5900" max="5900" width="9.140625" style="22" customWidth="1"/>
    <col min="5901" max="5902" width="11.42578125" style="22"/>
    <col min="5903" max="5903" width="12.42578125" style="22" bestFit="1" customWidth="1"/>
    <col min="5904" max="6139" width="11.42578125" style="22"/>
    <col min="6140" max="6140" width="18.140625" style="22" customWidth="1"/>
    <col min="6141" max="6142" width="8.42578125" style="22" bestFit="1" customWidth="1"/>
    <col min="6143" max="6144" width="8.42578125" style="22" customWidth="1"/>
    <col min="6145" max="6145" width="9.7109375" style="22" bestFit="1" customWidth="1"/>
    <col min="6146" max="6146" width="8.28515625" style="22" bestFit="1" customWidth="1"/>
    <col min="6147" max="6149" width="8.28515625" style="22" customWidth="1"/>
    <col min="6150" max="6155" width="0" style="22" hidden="1" customWidth="1"/>
    <col min="6156" max="6156" width="9.140625" style="22" customWidth="1"/>
    <col min="6157" max="6158" width="11.42578125" style="22"/>
    <col min="6159" max="6159" width="12.42578125" style="22" bestFit="1" customWidth="1"/>
    <col min="6160" max="6395" width="11.42578125" style="22"/>
    <col min="6396" max="6396" width="18.140625" style="22" customWidth="1"/>
    <col min="6397" max="6398" width="8.42578125" style="22" bestFit="1" customWidth="1"/>
    <col min="6399" max="6400" width="8.42578125" style="22" customWidth="1"/>
    <col min="6401" max="6401" width="9.7109375" style="22" bestFit="1" customWidth="1"/>
    <col min="6402" max="6402" width="8.28515625" style="22" bestFit="1" customWidth="1"/>
    <col min="6403" max="6405" width="8.28515625" style="22" customWidth="1"/>
    <col min="6406" max="6411" width="0" style="22" hidden="1" customWidth="1"/>
    <col min="6412" max="6412" width="9.140625" style="22" customWidth="1"/>
    <col min="6413" max="6414" width="11.42578125" style="22"/>
    <col min="6415" max="6415" width="12.42578125" style="22" bestFit="1" customWidth="1"/>
    <col min="6416" max="6651" width="11.42578125" style="22"/>
    <col min="6652" max="6652" width="18.140625" style="22" customWidth="1"/>
    <col min="6653" max="6654" width="8.42578125" style="22" bestFit="1" customWidth="1"/>
    <col min="6655" max="6656" width="8.42578125" style="22" customWidth="1"/>
    <col min="6657" max="6657" width="9.7109375" style="22" bestFit="1" customWidth="1"/>
    <col min="6658" max="6658" width="8.28515625" style="22" bestFit="1" customWidth="1"/>
    <col min="6659" max="6661" width="8.28515625" style="22" customWidth="1"/>
    <col min="6662" max="6667" width="0" style="22" hidden="1" customWidth="1"/>
    <col min="6668" max="6668" width="9.140625" style="22" customWidth="1"/>
    <col min="6669" max="6670" width="11.42578125" style="22"/>
    <col min="6671" max="6671" width="12.42578125" style="22" bestFit="1" customWidth="1"/>
    <col min="6672" max="6907" width="11.42578125" style="22"/>
    <col min="6908" max="6908" width="18.140625" style="22" customWidth="1"/>
    <col min="6909" max="6910" width="8.42578125" style="22" bestFit="1" customWidth="1"/>
    <col min="6911" max="6912" width="8.42578125" style="22" customWidth="1"/>
    <col min="6913" max="6913" width="9.7109375" style="22" bestFit="1" customWidth="1"/>
    <col min="6914" max="6914" width="8.28515625" style="22" bestFit="1" customWidth="1"/>
    <col min="6915" max="6917" width="8.28515625" style="22" customWidth="1"/>
    <col min="6918" max="6923" width="0" style="22" hidden="1" customWidth="1"/>
    <col min="6924" max="6924" width="9.140625" style="22" customWidth="1"/>
    <col min="6925" max="6926" width="11.42578125" style="22"/>
    <col min="6927" max="6927" width="12.42578125" style="22" bestFit="1" customWidth="1"/>
    <col min="6928" max="7163" width="11.42578125" style="22"/>
    <col min="7164" max="7164" width="18.140625" style="22" customWidth="1"/>
    <col min="7165" max="7166" width="8.42578125" style="22" bestFit="1" customWidth="1"/>
    <col min="7167" max="7168" width="8.42578125" style="22" customWidth="1"/>
    <col min="7169" max="7169" width="9.7109375" style="22" bestFit="1" customWidth="1"/>
    <col min="7170" max="7170" width="8.28515625" style="22" bestFit="1" customWidth="1"/>
    <col min="7171" max="7173" width="8.28515625" style="22" customWidth="1"/>
    <col min="7174" max="7179" width="0" style="22" hidden="1" customWidth="1"/>
    <col min="7180" max="7180" width="9.140625" style="22" customWidth="1"/>
    <col min="7181" max="7182" width="11.42578125" style="22"/>
    <col min="7183" max="7183" width="12.42578125" style="22" bestFit="1" customWidth="1"/>
    <col min="7184" max="7419" width="11.42578125" style="22"/>
    <col min="7420" max="7420" width="18.140625" style="22" customWidth="1"/>
    <col min="7421" max="7422" width="8.42578125" style="22" bestFit="1" customWidth="1"/>
    <col min="7423" max="7424" width="8.42578125" style="22" customWidth="1"/>
    <col min="7425" max="7425" width="9.7109375" style="22" bestFit="1" customWidth="1"/>
    <col min="7426" max="7426" width="8.28515625" style="22" bestFit="1" customWidth="1"/>
    <col min="7427" max="7429" width="8.28515625" style="22" customWidth="1"/>
    <col min="7430" max="7435" width="0" style="22" hidden="1" customWidth="1"/>
    <col min="7436" max="7436" width="9.140625" style="22" customWidth="1"/>
    <col min="7437" max="7438" width="11.42578125" style="22"/>
    <col min="7439" max="7439" width="12.42578125" style="22" bestFit="1" customWidth="1"/>
    <col min="7440" max="7675" width="11.42578125" style="22"/>
    <col min="7676" max="7676" width="18.140625" style="22" customWidth="1"/>
    <col min="7677" max="7678" width="8.42578125" style="22" bestFit="1" customWidth="1"/>
    <col min="7679" max="7680" width="8.42578125" style="22" customWidth="1"/>
    <col min="7681" max="7681" width="9.7109375" style="22" bestFit="1" customWidth="1"/>
    <col min="7682" max="7682" width="8.28515625" style="22" bestFit="1" customWidth="1"/>
    <col min="7683" max="7685" width="8.28515625" style="22" customWidth="1"/>
    <col min="7686" max="7691" width="0" style="22" hidden="1" customWidth="1"/>
    <col min="7692" max="7692" width="9.140625" style="22" customWidth="1"/>
    <col min="7693" max="7694" width="11.42578125" style="22"/>
    <col min="7695" max="7695" width="12.42578125" style="22" bestFit="1" customWidth="1"/>
    <col min="7696" max="7931" width="11.42578125" style="22"/>
    <col min="7932" max="7932" width="18.140625" style="22" customWidth="1"/>
    <col min="7933" max="7934" width="8.42578125" style="22" bestFit="1" customWidth="1"/>
    <col min="7935" max="7936" width="8.42578125" style="22" customWidth="1"/>
    <col min="7937" max="7937" width="9.7109375" style="22" bestFit="1" customWidth="1"/>
    <col min="7938" max="7938" width="8.28515625" style="22" bestFit="1" customWidth="1"/>
    <col min="7939" max="7941" width="8.28515625" style="22" customWidth="1"/>
    <col min="7942" max="7947" width="0" style="22" hidden="1" customWidth="1"/>
    <col min="7948" max="7948" width="9.140625" style="22" customWidth="1"/>
    <col min="7949" max="7950" width="11.42578125" style="22"/>
    <col min="7951" max="7951" width="12.42578125" style="22" bestFit="1" customWidth="1"/>
    <col min="7952" max="8187" width="11.42578125" style="22"/>
    <col min="8188" max="8188" width="18.140625" style="22" customWidth="1"/>
    <col min="8189" max="8190" width="8.42578125" style="22" bestFit="1" customWidth="1"/>
    <col min="8191" max="8192" width="8.42578125" style="22" customWidth="1"/>
    <col min="8193" max="8193" width="9.7109375" style="22" bestFit="1" customWidth="1"/>
    <col min="8194" max="8194" width="8.28515625" style="22" bestFit="1" customWidth="1"/>
    <col min="8195" max="8197" width="8.28515625" style="22" customWidth="1"/>
    <col min="8198" max="8203" width="0" style="22" hidden="1" customWidth="1"/>
    <col min="8204" max="8204" width="9.140625" style="22" customWidth="1"/>
    <col min="8205" max="8206" width="11.42578125" style="22"/>
    <col min="8207" max="8207" width="12.42578125" style="22" bestFit="1" customWidth="1"/>
    <col min="8208" max="8443" width="11.42578125" style="22"/>
    <col min="8444" max="8444" width="18.140625" style="22" customWidth="1"/>
    <col min="8445" max="8446" width="8.42578125" style="22" bestFit="1" customWidth="1"/>
    <col min="8447" max="8448" width="8.42578125" style="22" customWidth="1"/>
    <col min="8449" max="8449" width="9.7109375" style="22" bestFit="1" customWidth="1"/>
    <col min="8450" max="8450" width="8.28515625" style="22" bestFit="1" customWidth="1"/>
    <col min="8451" max="8453" width="8.28515625" style="22" customWidth="1"/>
    <col min="8454" max="8459" width="0" style="22" hidden="1" customWidth="1"/>
    <col min="8460" max="8460" width="9.140625" style="22" customWidth="1"/>
    <col min="8461" max="8462" width="11.42578125" style="22"/>
    <col min="8463" max="8463" width="12.42578125" style="22" bestFit="1" customWidth="1"/>
    <col min="8464" max="8699" width="11.42578125" style="22"/>
    <col min="8700" max="8700" width="18.140625" style="22" customWidth="1"/>
    <col min="8701" max="8702" width="8.42578125" style="22" bestFit="1" customWidth="1"/>
    <col min="8703" max="8704" width="8.42578125" style="22" customWidth="1"/>
    <col min="8705" max="8705" width="9.7109375" style="22" bestFit="1" customWidth="1"/>
    <col min="8706" max="8706" width="8.28515625" style="22" bestFit="1" customWidth="1"/>
    <col min="8707" max="8709" width="8.28515625" style="22" customWidth="1"/>
    <col min="8710" max="8715" width="0" style="22" hidden="1" customWidth="1"/>
    <col min="8716" max="8716" width="9.140625" style="22" customWidth="1"/>
    <col min="8717" max="8718" width="11.42578125" style="22"/>
    <col min="8719" max="8719" width="12.42578125" style="22" bestFit="1" customWidth="1"/>
    <col min="8720" max="8955" width="11.42578125" style="22"/>
    <col min="8956" max="8956" width="18.140625" style="22" customWidth="1"/>
    <col min="8957" max="8958" width="8.42578125" style="22" bestFit="1" customWidth="1"/>
    <col min="8959" max="8960" width="8.42578125" style="22" customWidth="1"/>
    <col min="8961" max="8961" width="9.7109375" style="22" bestFit="1" customWidth="1"/>
    <col min="8962" max="8962" width="8.28515625" style="22" bestFit="1" customWidth="1"/>
    <col min="8963" max="8965" width="8.28515625" style="22" customWidth="1"/>
    <col min="8966" max="8971" width="0" style="22" hidden="1" customWidth="1"/>
    <col min="8972" max="8972" width="9.140625" style="22" customWidth="1"/>
    <col min="8973" max="8974" width="11.42578125" style="22"/>
    <col min="8975" max="8975" width="12.42578125" style="22" bestFit="1" customWidth="1"/>
    <col min="8976" max="9211" width="11.42578125" style="22"/>
    <col min="9212" max="9212" width="18.140625" style="22" customWidth="1"/>
    <col min="9213" max="9214" width="8.42578125" style="22" bestFit="1" customWidth="1"/>
    <col min="9215" max="9216" width="8.42578125" style="22" customWidth="1"/>
    <col min="9217" max="9217" width="9.7109375" style="22" bestFit="1" customWidth="1"/>
    <col min="9218" max="9218" width="8.28515625" style="22" bestFit="1" customWidth="1"/>
    <col min="9219" max="9221" width="8.28515625" style="22" customWidth="1"/>
    <col min="9222" max="9227" width="0" style="22" hidden="1" customWidth="1"/>
    <col min="9228" max="9228" width="9.140625" style="22" customWidth="1"/>
    <col min="9229" max="9230" width="11.42578125" style="22"/>
    <col min="9231" max="9231" width="12.42578125" style="22" bestFit="1" customWidth="1"/>
    <col min="9232" max="9467" width="11.42578125" style="22"/>
    <col min="9468" max="9468" width="18.140625" style="22" customWidth="1"/>
    <col min="9469" max="9470" width="8.42578125" style="22" bestFit="1" customWidth="1"/>
    <col min="9471" max="9472" width="8.42578125" style="22" customWidth="1"/>
    <col min="9473" max="9473" width="9.7109375" style="22" bestFit="1" customWidth="1"/>
    <col min="9474" max="9474" width="8.28515625" style="22" bestFit="1" customWidth="1"/>
    <col min="9475" max="9477" width="8.28515625" style="22" customWidth="1"/>
    <col min="9478" max="9483" width="0" style="22" hidden="1" customWidth="1"/>
    <col min="9484" max="9484" width="9.140625" style="22" customWidth="1"/>
    <col min="9485" max="9486" width="11.42578125" style="22"/>
    <col min="9487" max="9487" width="12.42578125" style="22" bestFit="1" customWidth="1"/>
    <col min="9488" max="9723" width="11.42578125" style="22"/>
    <col min="9724" max="9724" width="18.140625" style="22" customWidth="1"/>
    <col min="9725" max="9726" width="8.42578125" style="22" bestFit="1" customWidth="1"/>
    <col min="9727" max="9728" width="8.42578125" style="22" customWidth="1"/>
    <col min="9729" max="9729" width="9.7109375" style="22" bestFit="1" customWidth="1"/>
    <col min="9730" max="9730" width="8.28515625" style="22" bestFit="1" customWidth="1"/>
    <col min="9731" max="9733" width="8.28515625" style="22" customWidth="1"/>
    <col min="9734" max="9739" width="0" style="22" hidden="1" customWidth="1"/>
    <col min="9740" max="9740" width="9.140625" style="22" customWidth="1"/>
    <col min="9741" max="9742" width="11.42578125" style="22"/>
    <col min="9743" max="9743" width="12.42578125" style="22" bestFit="1" customWidth="1"/>
    <col min="9744" max="9979" width="11.42578125" style="22"/>
    <col min="9980" max="9980" width="18.140625" style="22" customWidth="1"/>
    <col min="9981" max="9982" width="8.42578125" style="22" bestFit="1" customWidth="1"/>
    <col min="9983" max="9984" width="8.42578125" style="22" customWidth="1"/>
    <col min="9985" max="9985" width="9.7109375" style="22" bestFit="1" customWidth="1"/>
    <col min="9986" max="9986" width="8.28515625" style="22" bestFit="1" customWidth="1"/>
    <col min="9987" max="9989" width="8.28515625" style="22" customWidth="1"/>
    <col min="9990" max="9995" width="0" style="22" hidden="1" customWidth="1"/>
    <col min="9996" max="9996" width="9.140625" style="22" customWidth="1"/>
    <col min="9997" max="9998" width="11.42578125" style="22"/>
    <col min="9999" max="9999" width="12.42578125" style="22" bestFit="1" customWidth="1"/>
    <col min="10000" max="10235" width="11.42578125" style="22"/>
    <col min="10236" max="10236" width="18.140625" style="22" customWidth="1"/>
    <col min="10237" max="10238" width="8.42578125" style="22" bestFit="1" customWidth="1"/>
    <col min="10239" max="10240" width="8.42578125" style="22" customWidth="1"/>
    <col min="10241" max="10241" width="9.7109375" style="22" bestFit="1" customWidth="1"/>
    <col min="10242" max="10242" width="8.28515625" style="22" bestFit="1" customWidth="1"/>
    <col min="10243" max="10245" width="8.28515625" style="22" customWidth="1"/>
    <col min="10246" max="10251" width="0" style="22" hidden="1" customWidth="1"/>
    <col min="10252" max="10252" width="9.140625" style="22" customWidth="1"/>
    <col min="10253" max="10254" width="11.42578125" style="22"/>
    <col min="10255" max="10255" width="12.42578125" style="22" bestFit="1" customWidth="1"/>
    <col min="10256" max="10491" width="11.42578125" style="22"/>
    <col min="10492" max="10492" width="18.140625" style="22" customWidth="1"/>
    <col min="10493" max="10494" width="8.42578125" style="22" bestFit="1" customWidth="1"/>
    <col min="10495" max="10496" width="8.42578125" style="22" customWidth="1"/>
    <col min="10497" max="10497" width="9.7109375" style="22" bestFit="1" customWidth="1"/>
    <col min="10498" max="10498" width="8.28515625" style="22" bestFit="1" customWidth="1"/>
    <col min="10499" max="10501" width="8.28515625" style="22" customWidth="1"/>
    <col min="10502" max="10507" width="0" style="22" hidden="1" customWidth="1"/>
    <col min="10508" max="10508" width="9.140625" style="22" customWidth="1"/>
    <col min="10509" max="10510" width="11.42578125" style="22"/>
    <col min="10511" max="10511" width="12.42578125" style="22" bestFit="1" customWidth="1"/>
    <col min="10512" max="10747" width="11.42578125" style="22"/>
    <col min="10748" max="10748" width="18.140625" style="22" customWidth="1"/>
    <col min="10749" max="10750" width="8.42578125" style="22" bestFit="1" customWidth="1"/>
    <col min="10751" max="10752" width="8.42578125" style="22" customWidth="1"/>
    <col min="10753" max="10753" width="9.7109375" style="22" bestFit="1" customWidth="1"/>
    <col min="10754" max="10754" width="8.28515625" style="22" bestFit="1" customWidth="1"/>
    <col min="10755" max="10757" width="8.28515625" style="22" customWidth="1"/>
    <col min="10758" max="10763" width="0" style="22" hidden="1" customWidth="1"/>
    <col min="10764" max="10764" width="9.140625" style="22" customWidth="1"/>
    <col min="10765" max="10766" width="11.42578125" style="22"/>
    <col min="10767" max="10767" width="12.42578125" style="22" bestFit="1" customWidth="1"/>
    <col min="10768" max="11003" width="11.42578125" style="22"/>
    <col min="11004" max="11004" width="18.140625" style="22" customWidth="1"/>
    <col min="11005" max="11006" width="8.42578125" style="22" bestFit="1" customWidth="1"/>
    <col min="11007" max="11008" width="8.42578125" style="22" customWidth="1"/>
    <col min="11009" max="11009" width="9.7109375" style="22" bestFit="1" customWidth="1"/>
    <col min="11010" max="11010" width="8.28515625" style="22" bestFit="1" customWidth="1"/>
    <col min="11011" max="11013" width="8.28515625" style="22" customWidth="1"/>
    <col min="11014" max="11019" width="0" style="22" hidden="1" customWidth="1"/>
    <col min="11020" max="11020" width="9.140625" style="22" customWidth="1"/>
    <col min="11021" max="11022" width="11.42578125" style="22"/>
    <col min="11023" max="11023" width="12.42578125" style="22" bestFit="1" customWidth="1"/>
    <col min="11024" max="11259" width="11.42578125" style="22"/>
    <col min="11260" max="11260" width="18.140625" style="22" customWidth="1"/>
    <col min="11261" max="11262" width="8.42578125" style="22" bestFit="1" customWidth="1"/>
    <col min="11263" max="11264" width="8.42578125" style="22" customWidth="1"/>
    <col min="11265" max="11265" width="9.7109375" style="22" bestFit="1" customWidth="1"/>
    <col min="11266" max="11266" width="8.28515625" style="22" bestFit="1" customWidth="1"/>
    <col min="11267" max="11269" width="8.28515625" style="22" customWidth="1"/>
    <col min="11270" max="11275" width="0" style="22" hidden="1" customWidth="1"/>
    <col min="11276" max="11276" width="9.140625" style="22" customWidth="1"/>
    <col min="11277" max="11278" width="11.42578125" style="22"/>
    <col min="11279" max="11279" width="12.42578125" style="22" bestFit="1" customWidth="1"/>
    <col min="11280" max="11515" width="11.42578125" style="22"/>
    <col min="11516" max="11516" width="18.140625" style="22" customWidth="1"/>
    <col min="11517" max="11518" width="8.42578125" style="22" bestFit="1" customWidth="1"/>
    <col min="11519" max="11520" width="8.42578125" style="22" customWidth="1"/>
    <col min="11521" max="11521" width="9.7109375" style="22" bestFit="1" customWidth="1"/>
    <col min="11522" max="11522" width="8.28515625" style="22" bestFit="1" customWidth="1"/>
    <col min="11523" max="11525" width="8.28515625" style="22" customWidth="1"/>
    <col min="11526" max="11531" width="0" style="22" hidden="1" customWidth="1"/>
    <col min="11532" max="11532" width="9.140625" style="22" customWidth="1"/>
    <col min="11533" max="11534" width="11.42578125" style="22"/>
    <col min="11535" max="11535" width="12.42578125" style="22" bestFit="1" customWidth="1"/>
    <col min="11536" max="11771" width="11.42578125" style="22"/>
    <col min="11772" max="11772" width="18.140625" style="22" customWidth="1"/>
    <col min="11773" max="11774" width="8.42578125" style="22" bestFit="1" customWidth="1"/>
    <col min="11775" max="11776" width="8.42578125" style="22" customWidth="1"/>
    <col min="11777" max="11777" width="9.7109375" style="22" bestFit="1" customWidth="1"/>
    <col min="11778" max="11778" width="8.28515625" style="22" bestFit="1" customWidth="1"/>
    <col min="11779" max="11781" width="8.28515625" style="22" customWidth="1"/>
    <col min="11782" max="11787" width="0" style="22" hidden="1" customWidth="1"/>
    <col min="11788" max="11788" width="9.140625" style="22" customWidth="1"/>
    <col min="11789" max="11790" width="11.42578125" style="22"/>
    <col min="11791" max="11791" width="12.42578125" style="22" bestFit="1" customWidth="1"/>
    <col min="11792" max="12027" width="11.42578125" style="22"/>
    <col min="12028" max="12028" width="18.140625" style="22" customWidth="1"/>
    <col min="12029" max="12030" width="8.42578125" style="22" bestFit="1" customWidth="1"/>
    <col min="12031" max="12032" width="8.42578125" style="22" customWidth="1"/>
    <col min="12033" max="12033" width="9.7109375" style="22" bestFit="1" customWidth="1"/>
    <col min="12034" max="12034" width="8.28515625" style="22" bestFit="1" customWidth="1"/>
    <col min="12035" max="12037" width="8.28515625" style="22" customWidth="1"/>
    <col min="12038" max="12043" width="0" style="22" hidden="1" customWidth="1"/>
    <col min="12044" max="12044" width="9.140625" style="22" customWidth="1"/>
    <col min="12045" max="12046" width="11.42578125" style="22"/>
    <col min="12047" max="12047" width="12.42578125" style="22" bestFit="1" customWidth="1"/>
    <col min="12048" max="12283" width="11.42578125" style="22"/>
    <col min="12284" max="12284" width="18.140625" style="22" customWidth="1"/>
    <col min="12285" max="12286" width="8.42578125" style="22" bestFit="1" customWidth="1"/>
    <col min="12287" max="12288" width="8.42578125" style="22" customWidth="1"/>
    <col min="12289" max="12289" width="9.7109375" style="22" bestFit="1" customWidth="1"/>
    <col min="12290" max="12290" width="8.28515625" style="22" bestFit="1" customWidth="1"/>
    <col min="12291" max="12293" width="8.28515625" style="22" customWidth="1"/>
    <col min="12294" max="12299" width="0" style="22" hidden="1" customWidth="1"/>
    <col min="12300" max="12300" width="9.140625" style="22" customWidth="1"/>
    <col min="12301" max="12302" width="11.42578125" style="22"/>
    <col min="12303" max="12303" width="12.42578125" style="22" bestFit="1" customWidth="1"/>
    <col min="12304" max="12539" width="11.42578125" style="22"/>
    <col min="12540" max="12540" width="18.140625" style="22" customWidth="1"/>
    <col min="12541" max="12542" width="8.42578125" style="22" bestFit="1" customWidth="1"/>
    <col min="12543" max="12544" width="8.42578125" style="22" customWidth="1"/>
    <col min="12545" max="12545" width="9.7109375" style="22" bestFit="1" customWidth="1"/>
    <col min="12546" max="12546" width="8.28515625" style="22" bestFit="1" customWidth="1"/>
    <col min="12547" max="12549" width="8.28515625" style="22" customWidth="1"/>
    <col min="12550" max="12555" width="0" style="22" hidden="1" customWidth="1"/>
    <col min="12556" max="12556" width="9.140625" style="22" customWidth="1"/>
    <col min="12557" max="12558" width="11.42578125" style="22"/>
    <col min="12559" max="12559" width="12.42578125" style="22" bestFit="1" customWidth="1"/>
    <col min="12560" max="12795" width="11.42578125" style="22"/>
    <col min="12796" max="12796" width="18.140625" style="22" customWidth="1"/>
    <col min="12797" max="12798" width="8.42578125" style="22" bestFit="1" customWidth="1"/>
    <col min="12799" max="12800" width="8.42578125" style="22" customWidth="1"/>
    <col min="12801" max="12801" width="9.7109375" style="22" bestFit="1" customWidth="1"/>
    <col min="12802" max="12802" width="8.28515625" style="22" bestFit="1" customWidth="1"/>
    <col min="12803" max="12805" width="8.28515625" style="22" customWidth="1"/>
    <col min="12806" max="12811" width="0" style="22" hidden="1" customWidth="1"/>
    <col min="12812" max="12812" width="9.140625" style="22" customWidth="1"/>
    <col min="12813" max="12814" width="11.42578125" style="22"/>
    <col min="12815" max="12815" width="12.42578125" style="22" bestFit="1" customWidth="1"/>
    <col min="12816" max="13051" width="11.42578125" style="22"/>
    <col min="13052" max="13052" width="18.140625" style="22" customWidth="1"/>
    <col min="13053" max="13054" width="8.42578125" style="22" bestFit="1" customWidth="1"/>
    <col min="13055" max="13056" width="8.42578125" style="22" customWidth="1"/>
    <col min="13057" max="13057" width="9.7109375" style="22" bestFit="1" customWidth="1"/>
    <col min="13058" max="13058" width="8.28515625" style="22" bestFit="1" customWidth="1"/>
    <col min="13059" max="13061" width="8.28515625" style="22" customWidth="1"/>
    <col min="13062" max="13067" width="0" style="22" hidden="1" customWidth="1"/>
    <col min="13068" max="13068" width="9.140625" style="22" customWidth="1"/>
    <col min="13069" max="13070" width="11.42578125" style="22"/>
    <col min="13071" max="13071" width="12.42578125" style="22" bestFit="1" customWidth="1"/>
    <col min="13072" max="13307" width="11.42578125" style="22"/>
    <col min="13308" max="13308" width="18.140625" style="22" customWidth="1"/>
    <col min="13309" max="13310" width="8.42578125" style="22" bestFit="1" customWidth="1"/>
    <col min="13311" max="13312" width="8.42578125" style="22" customWidth="1"/>
    <col min="13313" max="13313" width="9.7109375" style="22" bestFit="1" customWidth="1"/>
    <col min="13314" max="13314" width="8.28515625" style="22" bestFit="1" customWidth="1"/>
    <col min="13315" max="13317" width="8.28515625" style="22" customWidth="1"/>
    <col min="13318" max="13323" width="0" style="22" hidden="1" customWidth="1"/>
    <col min="13324" max="13324" width="9.140625" style="22" customWidth="1"/>
    <col min="13325" max="13326" width="11.42578125" style="22"/>
    <col min="13327" max="13327" width="12.42578125" style="22" bestFit="1" customWidth="1"/>
    <col min="13328" max="13563" width="11.42578125" style="22"/>
    <col min="13564" max="13564" width="18.140625" style="22" customWidth="1"/>
    <col min="13565" max="13566" width="8.42578125" style="22" bestFit="1" customWidth="1"/>
    <col min="13567" max="13568" width="8.42578125" style="22" customWidth="1"/>
    <col min="13569" max="13569" width="9.7109375" style="22" bestFit="1" customWidth="1"/>
    <col min="13570" max="13570" width="8.28515625" style="22" bestFit="1" customWidth="1"/>
    <col min="13571" max="13573" width="8.28515625" style="22" customWidth="1"/>
    <col min="13574" max="13579" width="0" style="22" hidden="1" customWidth="1"/>
    <col min="13580" max="13580" width="9.140625" style="22" customWidth="1"/>
    <col min="13581" max="13582" width="11.42578125" style="22"/>
    <col min="13583" max="13583" width="12.42578125" style="22" bestFit="1" customWidth="1"/>
    <col min="13584" max="13819" width="11.42578125" style="22"/>
    <col min="13820" max="13820" width="18.140625" style="22" customWidth="1"/>
    <col min="13821" max="13822" width="8.42578125" style="22" bestFit="1" customWidth="1"/>
    <col min="13823" max="13824" width="8.42578125" style="22" customWidth="1"/>
    <col min="13825" max="13825" width="9.7109375" style="22" bestFit="1" customWidth="1"/>
    <col min="13826" max="13826" width="8.28515625" style="22" bestFit="1" customWidth="1"/>
    <col min="13827" max="13829" width="8.28515625" style="22" customWidth="1"/>
    <col min="13830" max="13835" width="0" style="22" hidden="1" customWidth="1"/>
    <col min="13836" max="13836" width="9.140625" style="22" customWidth="1"/>
    <col min="13837" max="13838" width="11.42578125" style="22"/>
    <col min="13839" max="13839" width="12.42578125" style="22" bestFit="1" customWidth="1"/>
    <col min="13840" max="14075" width="11.42578125" style="22"/>
    <col min="14076" max="14076" width="18.140625" style="22" customWidth="1"/>
    <col min="14077" max="14078" width="8.42578125" style="22" bestFit="1" customWidth="1"/>
    <col min="14079" max="14080" width="8.42578125" style="22" customWidth="1"/>
    <col min="14081" max="14081" width="9.7109375" style="22" bestFit="1" customWidth="1"/>
    <col min="14082" max="14082" width="8.28515625" style="22" bestFit="1" customWidth="1"/>
    <col min="14083" max="14085" width="8.28515625" style="22" customWidth="1"/>
    <col min="14086" max="14091" width="0" style="22" hidden="1" customWidth="1"/>
    <col min="14092" max="14092" width="9.140625" style="22" customWidth="1"/>
    <col min="14093" max="14094" width="11.42578125" style="22"/>
    <col min="14095" max="14095" width="12.42578125" style="22" bestFit="1" customWidth="1"/>
    <col min="14096" max="14331" width="11.42578125" style="22"/>
    <col min="14332" max="14332" width="18.140625" style="22" customWidth="1"/>
    <col min="14333" max="14334" width="8.42578125" style="22" bestFit="1" customWidth="1"/>
    <col min="14335" max="14336" width="8.42578125" style="22" customWidth="1"/>
    <col min="14337" max="14337" width="9.7109375" style="22" bestFit="1" customWidth="1"/>
    <col min="14338" max="14338" width="8.28515625" style="22" bestFit="1" customWidth="1"/>
    <col min="14339" max="14341" width="8.28515625" style="22" customWidth="1"/>
    <col min="14342" max="14347" width="0" style="22" hidden="1" customWidth="1"/>
    <col min="14348" max="14348" width="9.140625" style="22" customWidth="1"/>
    <col min="14349" max="14350" width="11.42578125" style="22"/>
    <col min="14351" max="14351" width="12.42578125" style="22" bestFit="1" customWidth="1"/>
    <col min="14352" max="14587" width="11.42578125" style="22"/>
    <col min="14588" max="14588" width="18.140625" style="22" customWidth="1"/>
    <col min="14589" max="14590" width="8.42578125" style="22" bestFit="1" customWidth="1"/>
    <col min="14591" max="14592" width="8.42578125" style="22" customWidth="1"/>
    <col min="14593" max="14593" width="9.7109375" style="22" bestFit="1" customWidth="1"/>
    <col min="14594" max="14594" width="8.28515625" style="22" bestFit="1" customWidth="1"/>
    <col min="14595" max="14597" width="8.28515625" style="22" customWidth="1"/>
    <col min="14598" max="14603" width="0" style="22" hidden="1" customWidth="1"/>
    <col min="14604" max="14604" width="9.140625" style="22" customWidth="1"/>
    <col min="14605" max="14606" width="11.42578125" style="22"/>
    <col min="14607" max="14607" width="12.42578125" style="22" bestFit="1" customWidth="1"/>
    <col min="14608" max="14843" width="11.42578125" style="22"/>
    <col min="14844" max="14844" width="18.140625" style="22" customWidth="1"/>
    <col min="14845" max="14846" width="8.42578125" style="22" bestFit="1" customWidth="1"/>
    <col min="14847" max="14848" width="8.42578125" style="22" customWidth="1"/>
    <col min="14849" max="14849" width="9.7109375" style="22" bestFit="1" customWidth="1"/>
    <col min="14850" max="14850" width="8.28515625" style="22" bestFit="1" customWidth="1"/>
    <col min="14851" max="14853" width="8.28515625" style="22" customWidth="1"/>
    <col min="14854" max="14859" width="0" style="22" hidden="1" customWidth="1"/>
    <col min="14860" max="14860" width="9.140625" style="22" customWidth="1"/>
    <col min="14861" max="14862" width="11.42578125" style="22"/>
    <col min="14863" max="14863" width="12.42578125" style="22" bestFit="1" customWidth="1"/>
    <col min="14864" max="15099" width="11.42578125" style="22"/>
    <col min="15100" max="15100" width="18.140625" style="22" customWidth="1"/>
    <col min="15101" max="15102" width="8.42578125" style="22" bestFit="1" customWidth="1"/>
    <col min="15103" max="15104" width="8.42578125" style="22" customWidth="1"/>
    <col min="15105" max="15105" width="9.7109375" style="22" bestFit="1" customWidth="1"/>
    <col min="15106" max="15106" width="8.28515625" style="22" bestFit="1" customWidth="1"/>
    <col min="15107" max="15109" width="8.28515625" style="22" customWidth="1"/>
    <col min="15110" max="15115" width="0" style="22" hidden="1" customWidth="1"/>
    <col min="15116" max="15116" width="9.140625" style="22" customWidth="1"/>
    <col min="15117" max="15118" width="11.42578125" style="22"/>
    <col min="15119" max="15119" width="12.42578125" style="22" bestFit="1" customWidth="1"/>
    <col min="15120" max="15355" width="11.42578125" style="22"/>
    <col min="15356" max="15356" width="18.140625" style="22" customWidth="1"/>
    <col min="15357" max="15358" width="8.42578125" style="22" bestFit="1" customWidth="1"/>
    <col min="15359" max="15360" width="8.42578125" style="22" customWidth="1"/>
    <col min="15361" max="15361" width="9.7109375" style="22" bestFit="1" customWidth="1"/>
    <col min="15362" max="15362" width="8.28515625" style="22" bestFit="1" customWidth="1"/>
    <col min="15363" max="15365" width="8.28515625" style="22" customWidth="1"/>
    <col min="15366" max="15371" width="0" style="22" hidden="1" customWidth="1"/>
    <col min="15372" max="15372" width="9.140625" style="22" customWidth="1"/>
    <col min="15373" max="15374" width="11.42578125" style="22"/>
    <col min="15375" max="15375" width="12.42578125" style="22" bestFit="1" customWidth="1"/>
    <col min="15376" max="15611" width="11.42578125" style="22"/>
    <col min="15612" max="15612" width="18.140625" style="22" customWidth="1"/>
    <col min="15613" max="15614" width="8.42578125" style="22" bestFit="1" customWidth="1"/>
    <col min="15615" max="15616" width="8.42578125" style="22" customWidth="1"/>
    <col min="15617" max="15617" width="9.7109375" style="22" bestFit="1" customWidth="1"/>
    <col min="15618" max="15618" width="8.28515625" style="22" bestFit="1" customWidth="1"/>
    <col min="15619" max="15621" width="8.28515625" style="22" customWidth="1"/>
    <col min="15622" max="15627" width="0" style="22" hidden="1" customWidth="1"/>
    <col min="15628" max="15628" width="9.140625" style="22" customWidth="1"/>
    <col min="15629" max="15630" width="11.42578125" style="22"/>
    <col min="15631" max="15631" width="12.42578125" style="22" bestFit="1" customWidth="1"/>
    <col min="15632" max="15867" width="11.42578125" style="22"/>
    <col min="15868" max="15868" width="18.140625" style="22" customWidth="1"/>
    <col min="15869" max="15870" width="8.42578125" style="22" bestFit="1" customWidth="1"/>
    <col min="15871" max="15872" width="8.42578125" style="22" customWidth="1"/>
    <col min="15873" max="15873" width="9.7109375" style="22" bestFit="1" customWidth="1"/>
    <col min="15874" max="15874" width="8.28515625" style="22" bestFit="1" customWidth="1"/>
    <col min="15875" max="15877" width="8.28515625" style="22" customWidth="1"/>
    <col min="15878" max="15883" width="0" style="22" hidden="1" customWidth="1"/>
    <col min="15884" max="15884" width="9.140625" style="22" customWidth="1"/>
    <col min="15885" max="15886" width="11.42578125" style="22"/>
    <col min="15887" max="15887" width="12.42578125" style="22" bestFit="1" customWidth="1"/>
    <col min="15888" max="16123" width="11.42578125" style="22"/>
    <col min="16124" max="16124" width="18.140625" style="22" customWidth="1"/>
    <col min="16125" max="16126" width="8.42578125" style="22" bestFit="1" customWidth="1"/>
    <col min="16127" max="16128" width="8.42578125" style="22" customWidth="1"/>
    <col min="16129" max="16129" width="9.7109375" style="22" bestFit="1" customWidth="1"/>
    <col min="16130" max="16130" width="8.28515625" style="22" bestFit="1" customWidth="1"/>
    <col min="16131" max="16133" width="8.28515625" style="22" customWidth="1"/>
    <col min="16134" max="16139" width="0" style="22" hidden="1" customWidth="1"/>
    <col min="16140" max="16140" width="9.140625" style="22" customWidth="1"/>
    <col min="16141" max="16142" width="11.42578125" style="22"/>
    <col min="16143" max="16143" width="12.42578125" style="22" bestFit="1" customWidth="1"/>
    <col min="16144" max="16384" width="11.42578125" style="22"/>
  </cols>
  <sheetData>
    <row r="1" spans="1:17" s="23" customFormat="1" x14ac:dyDescent="0.2"/>
    <row r="2" spans="1:17" s="23" customFormat="1" x14ac:dyDescent="0.2">
      <c r="A2" s="40" t="s">
        <v>58</v>
      </c>
    </row>
    <row r="3" spans="1:17" s="23" customFormat="1" ht="15" x14ac:dyDescent="0.25">
      <c r="A3" s="40" t="s">
        <v>59</v>
      </c>
      <c r="J3" s="88"/>
    </row>
    <row r="4" spans="1:17" s="23" customFormat="1" x14ac:dyDescent="0.2"/>
    <row r="5" spans="1:17" s="23" customFormat="1" ht="12.75" x14ac:dyDescent="0.2">
      <c r="B5" s="344" t="s">
        <v>587</v>
      </c>
      <c r="C5" s="344"/>
      <c r="D5" s="344"/>
      <c r="E5" s="344"/>
      <c r="F5" s="344"/>
      <c r="G5" s="344"/>
      <c r="H5" s="344"/>
      <c r="I5" s="344"/>
      <c r="J5" s="344"/>
      <c r="K5" s="344"/>
      <c r="M5" s="110" t="s">
        <v>509</v>
      </c>
      <c r="O5" s="89"/>
    </row>
    <row r="6" spans="1:17" s="23" customFormat="1" ht="12.75" x14ac:dyDescent="0.2">
      <c r="B6" s="374" t="str">
        <f>'Solicitudes Regiones'!$B$6:$R$6</f>
        <v>Julio de 2008 a junio de 2022</v>
      </c>
      <c r="C6" s="374"/>
      <c r="D6" s="374"/>
      <c r="E6" s="374"/>
      <c r="F6" s="374"/>
      <c r="G6" s="374"/>
      <c r="H6" s="374"/>
      <c r="I6" s="374"/>
      <c r="J6" s="374"/>
      <c r="K6" s="374"/>
      <c r="L6" s="48"/>
    </row>
    <row r="7" spans="1:17" s="26" customFormat="1" x14ac:dyDescent="0.2">
      <c r="B7" s="24"/>
      <c r="C7" s="25"/>
      <c r="D7" s="25"/>
      <c r="E7" s="25"/>
      <c r="F7" s="25"/>
      <c r="G7" s="25"/>
      <c r="H7" s="25"/>
      <c r="I7" s="25"/>
      <c r="J7" s="25"/>
      <c r="K7" s="25"/>
      <c r="L7" s="25"/>
    </row>
    <row r="8" spans="1:17" ht="15" customHeight="1" x14ac:dyDescent="0.2">
      <c r="B8" s="373" t="s">
        <v>595</v>
      </c>
      <c r="C8" s="373"/>
      <c r="D8" s="373"/>
      <c r="E8" s="373"/>
      <c r="F8" s="373"/>
      <c r="G8" s="373"/>
      <c r="H8" s="373"/>
      <c r="I8" s="373"/>
      <c r="J8" s="373"/>
      <c r="K8" s="373"/>
      <c r="L8" s="373"/>
      <c r="M8" s="373"/>
    </row>
    <row r="9" spans="1:17" ht="20.25" customHeight="1" x14ac:dyDescent="0.2">
      <c r="B9" s="373" t="s">
        <v>41</v>
      </c>
      <c r="C9" s="370" t="s">
        <v>544</v>
      </c>
      <c r="D9" s="371"/>
      <c r="E9" s="371"/>
      <c r="F9" s="371"/>
      <c r="G9" s="371"/>
      <c r="H9" s="371"/>
      <c r="I9" s="371"/>
      <c r="J9" s="371"/>
      <c r="K9" s="371"/>
      <c r="L9" s="372"/>
      <c r="M9" s="307"/>
    </row>
    <row r="10" spans="1:17" ht="36" x14ac:dyDescent="0.2">
      <c r="B10" s="373"/>
      <c r="C10" s="20" t="s">
        <v>540</v>
      </c>
      <c r="D10" s="20" t="s">
        <v>42</v>
      </c>
      <c r="E10" s="20" t="s">
        <v>553</v>
      </c>
      <c r="F10" s="20" t="s">
        <v>554</v>
      </c>
      <c r="G10" s="20" t="s">
        <v>542</v>
      </c>
      <c r="H10" s="20" t="s">
        <v>2</v>
      </c>
      <c r="I10" s="20" t="s">
        <v>43</v>
      </c>
      <c r="J10" s="20" t="s">
        <v>549</v>
      </c>
      <c r="K10" s="296" t="s">
        <v>550</v>
      </c>
      <c r="L10" s="296" t="s">
        <v>523</v>
      </c>
      <c r="M10" s="296" t="s">
        <v>641</v>
      </c>
    </row>
    <row r="11" spans="1:17" x14ac:dyDescent="0.2">
      <c r="B11" s="16" t="s">
        <v>98</v>
      </c>
      <c r="C11" s="16">
        <v>6096</v>
      </c>
      <c r="D11" s="16">
        <v>3005</v>
      </c>
      <c r="E11" s="16">
        <f>C11+D11</f>
        <v>9101</v>
      </c>
      <c r="F11" s="17">
        <f>E11/$E$26</f>
        <v>0.2381774881578603</v>
      </c>
      <c r="G11" s="16">
        <v>22117</v>
      </c>
      <c r="H11" s="16">
        <v>4675</v>
      </c>
      <c r="I11" s="16">
        <v>1342</v>
      </c>
      <c r="J11" s="16">
        <v>28134</v>
      </c>
      <c r="K11" s="17">
        <f>J11/$J$26</f>
        <v>0.2793732125834128</v>
      </c>
      <c r="L11" s="16">
        <v>0</v>
      </c>
      <c r="M11" s="16">
        <f>L11+J11+E11</f>
        <v>37235</v>
      </c>
      <c r="Q11" s="27"/>
    </row>
    <row r="12" spans="1:17" x14ac:dyDescent="0.2">
      <c r="B12" s="16" t="s">
        <v>28</v>
      </c>
      <c r="C12" s="16">
        <v>6961</v>
      </c>
      <c r="D12" s="16">
        <v>3413</v>
      </c>
      <c r="E12" s="16">
        <f t="shared" ref="E12:E25" si="0">C12+D12</f>
        <v>10374</v>
      </c>
      <c r="F12" s="17">
        <f t="shared" ref="F12:F25" si="1">E12/$E$26</f>
        <v>0.27149250215906412</v>
      </c>
      <c r="G12" s="16">
        <v>23637</v>
      </c>
      <c r="H12" s="16">
        <v>4488</v>
      </c>
      <c r="I12" s="16">
        <v>1394</v>
      </c>
      <c r="J12" s="16">
        <v>29519</v>
      </c>
      <c r="K12" s="17">
        <f t="shared" ref="K12:K26" si="2">J12/$J$26</f>
        <v>0.29312639021290116</v>
      </c>
      <c r="L12" s="16">
        <v>0</v>
      </c>
      <c r="M12" s="16">
        <f t="shared" ref="M12:M26" si="3">L12+J12+E12</f>
        <v>39893</v>
      </c>
      <c r="Q12" s="27"/>
    </row>
    <row r="13" spans="1:17" x14ac:dyDescent="0.2">
      <c r="B13" s="16" t="s">
        <v>99</v>
      </c>
      <c r="C13" s="16">
        <v>431</v>
      </c>
      <c r="D13" s="16">
        <v>270</v>
      </c>
      <c r="E13" s="16">
        <f t="shared" si="0"/>
        <v>701</v>
      </c>
      <c r="F13" s="17">
        <f t="shared" si="1"/>
        <v>1.834550260396221E-2</v>
      </c>
      <c r="G13" s="16">
        <v>1437</v>
      </c>
      <c r="H13" s="16">
        <v>181</v>
      </c>
      <c r="I13" s="16">
        <v>72</v>
      </c>
      <c r="J13" s="16">
        <v>1690</v>
      </c>
      <c r="K13" s="17">
        <f t="shared" si="2"/>
        <v>1.6781855735621225E-2</v>
      </c>
      <c r="L13" s="16">
        <v>0</v>
      </c>
      <c r="M13" s="16">
        <f t="shared" si="3"/>
        <v>2391</v>
      </c>
      <c r="Q13" s="27"/>
    </row>
    <row r="14" spans="1:17" x14ac:dyDescent="0.2">
      <c r="B14" s="16" t="s">
        <v>100</v>
      </c>
      <c r="C14" s="16">
        <v>188</v>
      </c>
      <c r="D14" s="16">
        <v>83</v>
      </c>
      <c r="E14" s="16">
        <f t="shared" si="0"/>
        <v>271</v>
      </c>
      <c r="F14" s="17">
        <f t="shared" si="1"/>
        <v>7.0921985815602835E-3</v>
      </c>
      <c r="G14" s="16">
        <v>438</v>
      </c>
      <c r="H14" s="16">
        <v>50</v>
      </c>
      <c r="I14" s="16">
        <v>32</v>
      </c>
      <c r="J14" s="16">
        <v>520</v>
      </c>
      <c r="K14" s="17">
        <f t="shared" si="2"/>
        <v>5.1636479186526847E-3</v>
      </c>
      <c r="L14" s="16">
        <v>0</v>
      </c>
      <c r="M14" s="16">
        <f t="shared" si="3"/>
        <v>791</v>
      </c>
      <c r="Q14" s="27"/>
    </row>
    <row r="15" spans="1:17" x14ac:dyDescent="0.2">
      <c r="B15" s="16" t="s">
        <v>101</v>
      </c>
      <c r="C15" s="16">
        <v>144</v>
      </c>
      <c r="D15" s="16">
        <v>62</v>
      </c>
      <c r="E15" s="16">
        <f t="shared" si="0"/>
        <v>206</v>
      </c>
      <c r="F15" s="17">
        <f t="shared" si="1"/>
        <v>5.3911177409646438E-3</v>
      </c>
      <c r="G15" s="16">
        <v>582</v>
      </c>
      <c r="H15" s="16">
        <v>101</v>
      </c>
      <c r="I15" s="16">
        <v>24</v>
      </c>
      <c r="J15" s="16">
        <v>707</v>
      </c>
      <c r="K15" s="17">
        <f t="shared" si="2"/>
        <v>7.0205751509374009E-3</v>
      </c>
      <c r="L15" s="16">
        <v>0</v>
      </c>
      <c r="M15" s="16">
        <f t="shared" si="3"/>
        <v>913</v>
      </c>
      <c r="Q15" s="27"/>
    </row>
    <row r="16" spans="1:17" x14ac:dyDescent="0.2">
      <c r="B16" s="16" t="s">
        <v>102</v>
      </c>
      <c r="C16" s="16">
        <v>732</v>
      </c>
      <c r="D16" s="16">
        <v>444</v>
      </c>
      <c r="E16" s="16">
        <f t="shared" si="0"/>
        <v>1176</v>
      </c>
      <c r="F16" s="17">
        <f t="shared" si="1"/>
        <v>3.0776477977545732E-2</v>
      </c>
      <c r="G16" s="16">
        <v>3261</v>
      </c>
      <c r="H16" s="16">
        <v>472</v>
      </c>
      <c r="I16" s="16">
        <v>211</v>
      </c>
      <c r="J16" s="16">
        <v>3944</v>
      </c>
      <c r="K16" s="17">
        <f t="shared" si="2"/>
        <v>3.9164283444550363E-2</v>
      </c>
      <c r="L16" s="16">
        <v>0</v>
      </c>
      <c r="M16" s="16">
        <f t="shared" si="3"/>
        <v>5120</v>
      </c>
      <c r="Q16" s="27"/>
    </row>
    <row r="17" spans="2:17" x14ac:dyDescent="0.2">
      <c r="B17" s="16" t="s">
        <v>103</v>
      </c>
      <c r="C17" s="16">
        <v>1435</v>
      </c>
      <c r="D17" s="16">
        <v>611</v>
      </c>
      <c r="E17" s="16">
        <f t="shared" si="0"/>
        <v>2046</v>
      </c>
      <c r="F17" s="17">
        <f t="shared" si="1"/>
        <v>5.3544790767056608E-2</v>
      </c>
      <c r="G17" s="16">
        <v>4120</v>
      </c>
      <c r="H17" s="16">
        <v>637</v>
      </c>
      <c r="I17" s="16">
        <v>243</v>
      </c>
      <c r="J17" s="16">
        <v>5000</v>
      </c>
      <c r="K17" s="17">
        <f t="shared" si="2"/>
        <v>4.965046075627582E-2</v>
      </c>
      <c r="L17" s="16">
        <v>0</v>
      </c>
      <c r="M17" s="16">
        <f t="shared" si="3"/>
        <v>7046</v>
      </c>
      <c r="Q17" s="27"/>
    </row>
    <row r="18" spans="2:17" x14ac:dyDescent="0.2">
      <c r="B18" s="16" t="s">
        <v>104</v>
      </c>
      <c r="C18" s="16">
        <v>537</v>
      </c>
      <c r="D18" s="16">
        <v>247</v>
      </c>
      <c r="E18" s="16">
        <f t="shared" si="0"/>
        <v>784</v>
      </c>
      <c r="F18" s="17">
        <f t="shared" si="1"/>
        <v>2.0517651985030489E-2</v>
      </c>
      <c r="G18" s="16">
        <v>1027</v>
      </c>
      <c r="H18" s="16">
        <v>84</v>
      </c>
      <c r="I18" s="16">
        <v>66</v>
      </c>
      <c r="J18" s="16">
        <v>1177</v>
      </c>
      <c r="K18" s="17">
        <f t="shared" si="2"/>
        <v>1.1687718462027328E-2</v>
      </c>
      <c r="L18" s="16">
        <v>0</v>
      </c>
      <c r="M18" s="16">
        <f t="shared" si="3"/>
        <v>1961</v>
      </c>
      <c r="Q18" s="27"/>
    </row>
    <row r="19" spans="2:17" x14ac:dyDescent="0.2">
      <c r="B19" s="16" t="s">
        <v>105</v>
      </c>
      <c r="C19" s="16">
        <v>828</v>
      </c>
      <c r="D19" s="16">
        <v>380</v>
      </c>
      <c r="E19" s="16">
        <f t="shared" si="0"/>
        <v>1208</v>
      </c>
      <c r="F19" s="17">
        <f t="shared" si="1"/>
        <v>3.1613933160608204E-2</v>
      </c>
      <c r="G19" s="16">
        <v>2464</v>
      </c>
      <c r="H19" s="16">
        <v>339</v>
      </c>
      <c r="I19" s="16">
        <v>146</v>
      </c>
      <c r="J19" s="16">
        <v>2949</v>
      </c>
      <c r="K19" s="17">
        <f t="shared" si="2"/>
        <v>2.9283841754051479E-2</v>
      </c>
      <c r="L19" s="16">
        <v>0</v>
      </c>
      <c r="M19" s="16">
        <f t="shared" si="3"/>
        <v>4157</v>
      </c>
      <c r="Q19" s="27"/>
    </row>
    <row r="20" spans="2:17" x14ac:dyDescent="0.2">
      <c r="B20" s="16" t="s">
        <v>106</v>
      </c>
      <c r="C20" s="16">
        <v>1251</v>
      </c>
      <c r="D20" s="16">
        <v>536</v>
      </c>
      <c r="E20" s="16">
        <f t="shared" si="0"/>
        <v>1787</v>
      </c>
      <c r="F20" s="17">
        <f t="shared" si="1"/>
        <v>4.676663787914475E-2</v>
      </c>
      <c r="G20" s="16">
        <v>3380</v>
      </c>
      <c r="H20" s="16">
        <v>431</v>
      </c>
      <c r="I20" s="16">
        <v>163</v>
      </c>
      <c r="J20" s="16">
        <v>3974</v>
      </c>
      <c r="K20" s="17">
        <f t="shared" si="2"/>
        <v>3.9462186209088021E-2</v>
      </c>
      <c r="L20" s="16">
        <v>0</v>
      </c>
      <c r="M20" s="16">
        <f t="shared" si="3"/>
        <v>5761</v>
      </c>
      <c r="Q20" s="27"/>
    </row>
    <row r="21" spans="2:17" x14ac:dyDescent="0.2">
      <c r="B21" s="16" t="s">
        <v>107</v>
      </c>
      <c r="C21" s="16">
        <v>4495</v>
      </c>
      <c r="D21" s="16">
        <v>1952</v>
      </c>
      <c r="E21" s="16">
        <f t="shared" si="0"/>
        <v>6447</v>
      </c>
      <c r="F21" s="17">
        <f t="shared" si="1"/>
        <v>0.16872104891261677</v>
      </c>
      <c r="G21" s="16">
        <v>12321</v>
      </c>
      <c r="H21" s="16">
        <v>1750</v>
      </c>
      <c r="I21" s="16">
        <v>770</v>
      </c>
      <c r="J21" s="16">
        <v>14841</v>
      </c>
      <c r="K21" s="17">
        <f t="shared" si="2"/>
        <v>0.14737249761677787</v>
      </c>
      <c r="L21" s="16">
        <v>0</v>
      </c>
      <c r="M21" s="16">
        <f t="shared" si="3"/>
        <v>21288</v>
      </c>
      <c r="Q21" s="27"/>
    </row>
    <row r="22" spans="2:17" x14ac:dyDescent="0.2">
      <c r="B22" s="16" t="s">
        <v>108</v>
      </c>
      <c r="C22" s="16">
        <v>682</v>
      </c>
      <c r="D22" s="16">
        <v>348</v>
      </c>
      <c r="E22" s="16">
        <f t="shared" si="0"/>
        <v>1030</v>
      </c>
      <c r="F22" s="17">
        <f t="shared" si="1"/>
        <v>2.695558870482322E-2</v>
      </c>
      <c r="G22" s="16">
        <v>2103</v>
      </c>
      <c r="H22" s="16">
        <v>225</v>
      </c>
      <c r="I22" s="16">
        <v>97</v>
      </c>
      <c r="J22" s="16">
        <v>2425</v>
      </c>
      <c r="K22" s="17">
        <f t="shared" si="2"/>
        <v>2.4080473466793772E-2</v>
      </c>
      <c r="L22" s="16">
        <v>0</v>
      </c>
      <c r="M22" s="16">
        <f t="shared" si="3"/>
        <v>3455</v>
      </c>
      <c r="Q22" s="27"/>
    </row>
    <row r="23" spans="2:17" x14ac:dyDescent="0.2">
      <c r="B23" s="16" t="s">
        <v>109</v>
      </c>
      <c r="C23" s="16">
        <v>1170</v>
      </c>
      <c r="D23" s="16">
        <v>621</v>
      </c>
      <c r="E23" s="16">
        <f t="shared" si="0"/>
        <v>1791</v>
      </c>
      <c r="F23" s="17">
        <f t="shared" si="1"/>
        <v>4.6871319777027555E-2</v>
      </c>
      <c r="G23" s="16">
        <v>3193</v>
      </c>
      <c r="H23" s="16">
        <v>313</v>
      </c>
      <c r="I23" s="16">
        <v>248</v>
      </c>
      <c r="J23" s="16">
        <v>3754</v>
      </c>
      <c r="K23" s="17">
        <f t="shared" si="2"/>
        <v>3.7277565935811885E-2</v>
      </c>
      <c r="L23" s="16">
        <v>0</v>
      </c>
      <c r="M23" s="16">
        <f t="shared" si="3"/>
        <v>5545</v>
      </c>
      <c r="Q23" s="27"/>
    </row>
    <row r="24" spans="2:17" x14ac:dyDescent="0.2">
      <c r="B24" s="16" t="s">
        <v>110</v>
      </c>
      <c r="C24" s="16">
        <v>490</v>
      </c>
      <c r="D24" s="16">
        <v>436</v>
      </c>
      <c r="E24" s="16">
        <f t="shared" si="0"/>
        <v>926</v>
      </c>
      <c r="F24" s="17">
        <f t="shared" si="1"/>
        <v>2.4233859359870196E-2</v>
      </c>
      <c r="G24" s="16">
        <v>1278</v>
      </c>
      <c r="H24" s="16">
        <v>93</v>
      </c>
      <c r="I24" s="16">
        <v>102</v>
      </c>
      <c r="J24" s="16">
        <v>1473</v>
      </c>
      <c r="K24" s="17">
        <f t="shared" si="2"/>
        <v>1.4627025738798856E-2</v>
      </c>
      <c r="L24" s="16">
        <v>0</v>
      </c>
      <c r="M24" s="16">
        <f t="shared" si="3"/>
        <v>2399</v>
      </c>
      <c r="Q24" s="27"/>
    </row>
    <row r="25" spans="2:17" x14ac:dyDescent="0.2">
      <c r="B25" s="16" t="s">
        <v>111</v>
      </c>
      <c r="C25" s="16">
        <v>279</v>
      </c>
      <c r="D25" s="16">
        <v>84</v>
      </c>
      <c r="E25" s="16">
        <f t="shared" si="0"/>
        <v>363</v>
      </c>
      <c r="F25" s="17">
        <f t="shared" si="1"/>
        <v>9.4998822328648813E-3</v>
      </c>
      <c r="G25" s="16">
        <v>538</v>
      </c>
      <c r="H25" s="16">
        <v>34</v>
      </c>
      <c r="I25" s="16">
        <v>25</v>
      </c>
      <c r="J25" s="16">
        <v>597</v>
      </c>
      <c r="K25" s="17">
        <f t="shared" si="2"/>
        <v>5.9282650142993328E-3</v>
      </c>
      <c r="L25" s="16">
        <v>0</v>
      </c>
      <c r="M25" s="16">
        <f t="shared" si="3"/>
        <v>960</v>
      </c>
      <c r="Q25" s="27"/>
    </row>
    <row r="26" spans="2:17" x14ac:dyDescent="0.2">
      <c r="B26" s="18" t="s">
        <v>39</v>
      </c>
      <c r="C26" s="16">
        <f>SUM(C11:C25)</f>
        <v>25719</v>
      </c>
      <c r="D26" s="16">
        <f t="shared" ref="D26" si="4">SUM(D11:D25)</f>
        <v>12492</v>
      </c>
      <c r="E26" s="18">
        <f t="shared" ref="E26" si="5">C26+D26</f>
        <v>38211</v>
      </c>
      <c r="F26" s="19">
        <f t="shared" ref="F26" si="6">E26/$E$26</f>
        <v>1</v>
      </c>
      <c r="G26" s="16">
        <f t="shared" ref="G26:J26" si="7">SUM(G11:G25)</f>
        <v>81896</v>
      </c>
      <c r="H26" s="16">
        <f t="shared" si="7"/>
        <v>13873</v>
      </c>
      <c r="I26" s="16">
        <f t="shared" si="7"/>
        <v>4935</v>
      </c>
      <c r="J26" s="16">
        <f t="shared" si="7"/>
        <v>100704</v>
      </c>
      <c r="K26" s="17">
        <f t="shared" si="2"/>
        <v>1</v>
      </c>
      <c r="L26" s="16">
        <f t="shared" ref="L26" si="8">SUM(L11:L25)</f>
        <v>0</v>
      </c>
      <c r="M26" s="16">
        <f t="shared" si="3"/>
        <v>138915</v>
      </c>
      <c r="Q26" s="27"/>
    </row>
    <row r="27" spans="2:17" ht="25.5" customHeight="1" x14ac:dyDescent="0.2">
      <c r="B27" s="28" t="s">
        <v>44</v>
      </c>
      <c r="C27" s="29">
        <f>+C26/M26</f>
        <v>0.1851419933052586</v>
      </c>
      <c r="D27" s="29">
        <f>+D26/M26</f>
        <v>8.9925494007126655E-2</v>
      </c>
      <c r="E27" s="30">
        <f>+E26/M26</f>
        <v>0.27506748731238528</v>
      </c>
      <c r="F27" s="30"/>
      <c r="G27" s="29">
        <f>+G26/M26</f>
        <v>0.58954036641111474</v>
      </c>
      <c r="H27" s="29">
        <f>+H26/M26</f>
        <v>9.9866825036893064E-2</v>
      </c>
      <c r="I27" s="29">
        <f>+I26/M26</f>
        <v>3.5525321239606951E-2</v>
      </c>
      <c r="J27" s="30">
        <f>+J26/M26</f>
        <v>0.72493251268761472</v>
      </c>
      <c r="K27" s="30"/>
      <c r="L27" s="30">
        <f>+L26/M26</f>
        <v>0</v>
      </c>
      <c r="M27" s="30">
        <f>J27+L27+E27</f>
        <v>1</v>
      </c>
    </row>
    <row r="28" spans="2:17" x14ac:dyDescent="0.2">
      <c r="B28" s="34"/>
      <c r="C28" s="34"/>
      <c r="D28" s="34"/>
      <c r="E28" s="34"/>
      <c r="F28" s="34"/>
      <c r="G28" s="34"/>
      <c r="H28" s="34"/>
      <c r="I28" s="34"/>
      <c r="J28" s="34"/>
      <c r="K28" s="34"/>
    </row>
    <row r="29" spans="2:17" ht="12.75" x14ac:dyDescent="0.2">
      <c r="B29" s="344" t="s">
        <v>588</v>
      </c>
      <c r="C29" s="344"/>
      <c r="D29" s="344"/>
      <c r="E29" s="344"/>
      <c r="F29" s="344"/>
      <c r="G29" s="344"/>
      <c r="H29" s="344"/>
      <c r="I29" s="344"/>
      <c r="J29" s="344"/>
      <c r="K29" s="344"/>
    </row>
    <row r="30" spans="2:17" ht="12.75" x14ac:dyDescent="0.2">
      <c r="B30" s="374" t="str">
        <f>'Solicitudes Regiones'!$B$6:$R$6</f>
        <v>Julio de 2008 a junio de 2022</v>
      </c>
      <c r="C30" s="374"/>
      <c r="D30" s="374"/>
      <c r="E30" s="374"/>
      <c r="F30" s="374"/>
      <c r="G30" s="374"/>
      <c r="H30" s="374"/>
      <c r="I30" s="374"/>
      <c r="J30" s="374"/>
      <c r="K30" s="374"/>
    </row>
    <row r="31" spans="2:17" x14ac:dyDescent="0.2">
      <c r="B31" s="34"/>
      <c r="C31" s="34"/>
      <c r="D31" s="34"/>
      <c r="E31" s="34"/>
      <c r="F31" s="34"/>
      <c r="G31" s="34"/>
      <c r="H31" s="34"/>
      <c r="I31" s="34"/>
      <c r="J31" s="34"/>
      <c r="K31" s="34"/>
    </row>
    <row r="32" spans="2:17" ht="12.75" customHeight="1" x14ac:dyDescent="0.2">
      <c r="B32" s="373" t="s">
        <v>596</v>
      </c>
      <c r="C32" s="373"/>
      <c r="D32" s="373"/>
      <c r="E32" s="373"/>
      <c r="F32" s="373"/>
      <c r="G32" s="373"/>
      <c r="H32" s="373"/>
      <c r="I32" s="373"/>
      <c r="J32" s="373"/>
      <c r="K32" s="373"/>
      <c r="L32" s="373"/>
      <c r="M32" s="373"/>
    </row>
    <row r="33" spans="2:13" ht="20.25" customHeight="1" x14ac:dyDescent="0.2">
      <c r="B33" s="373" t="s">
        <v>41</v>
      </c>
      <c r="C33" s="370" t="s">
        <v>544</v>
      </c>
      <c r="D33" s="371"/>
      <c r="E33" s="371"/>
      <c r="F33" s="371"/>
      <c r="G33" s="371"/>
      <c r="H33" s="371"/>
      <c r="I33" s="371"/>
      <c r="J33" s="371"/>
      <c r="K33" s="371"/>
      <c r="L33" s="372"/>
      <c r="M33" s="307"/>
    </row>
    <row r="34" spans="2:13" ht="36" x14ac:dyDescent="0.2">
      <c r="B34" s="373"/>
      <c r="C34" s="20" t="s">
        <v>540</v>
      </c>
      <c r="D34" s="20" t="s">
        <v>42</v>
      </c>
      <c r="E34" s="20" t="s">
        <v>553</v>
      </c>
      <c r="F34" s="20" t="s">
        <v>554</v>
      </c>
      <c r="G34" s="20" t="s">
        <v>542</v>
      </c>
      <c r="H34" s="20" t="s">
        <v>2</v>
      </c>
      <c r="I34" s="20" t="s">
        <v>43</v>
      </c>
      <c r="J34" s="20" t="s">
        <v>549</v>
      </c>
      <c r="K34" s="296" t="s">
        <v>550</v>
      </c>
      <c r="L34" s="296" t="s">
        <v>523</v>
      </c>
      <c r="M34" s="296" t="s">
        <v>641</v>
      </c>
    </row>
    <row r="35" spans="2:13" ht="15.75" customHeight="1" x14ac:dyDescent="0.2">
      <c r="B35" s="35" t="s">
        <v>98</v>
      </c>
      <c r="C35" s="35">
        <v>5000</v>
      </c>
      <c r="D35" s="35">
        <v>1973</v>
      </c>
      <c r="E35" s="35">
        <f>C35+D35</f>
        <v>6973</v>
      </c>
      <c r="F35" s="36">
        <f>E35/$E$50</f>
        <v>0.23596494196473894</v>
      </c>
      <c r="G35" s="35">
        <v>17443</v>
      </c>
      <c r="H35" s="35">
        <v>2220</v>
      </c>
      <c r="I35" s="35">
        <v>1157</v>
      </c>
      <c r="J35" s="35">
        <v>20820</v>
      </c>
      <c r="K35" s="36">
        <f>J35/$J$50</f>
        <v>0.25839280173751161</v>
      </c>
      <c r="L35" s="35">
        <v>0</v>
      </c>
      <c r="M35" s="16">
        <f>L35+J35+E35</f>
        <v>27793</v>
      </c>
    </row>
    <row r="36" spans="2:13" x14ac:dyDescent="0.2">
      <c r="B36" s="35" t="s">
        <v>28</v>
      </c>
      <c r="C36" s="35">
        <v>5833</v>
      </c>
      <c r="D36" s="35">
        <v>2068</v>
      </c>
      <c r="E36" s="35">
        <f t="shared" ref="E36:E49" si="9">C36+D36</f>
        <v>7901</v>
      </c>
      <c r="F36" s="36">
        <f t="shared" ref="F36:F49" si="10">E36/$E$50</f>
        <v>0.26736827856925316</v>
      </c>
      <c r="G36" s="35">
        <v>19667</v>
      </c>
      <c r="H36" s="35">
        <v>2367</v>
      </c>
      <c r="I36" s="35">
        <v>1243</v>
      </c>
      <c r="J36" s="35">
        <v>23277</v>
      </c>
      <c r="K36" s="36">
        <f t="shared" ref="K36:K50" si="11">J36/$J$50</f>
        <v>0.28888613093391252</v>
      </c>
      <c r="L36" s="35">
        <v>0</v>
      </c>
      <c r="M36" s="16">
        <f t="shared" ref="M36:M50" si="12">L36+J36+E36</f>
        <v>31178</v>
      </c>
    </row>
    <row r="37" spans="2:13" x14ac:dyDescent="0.2">
      <c r="B37" s="35" t="s">
        <v>99</v>
      </c>
      <c r="C37" s="35">
        <v>377</v>
      </c>
      <c r="D37" s="35">
        <v>123</v>
      </c>
      <c r="E37" s="35">
        <f t="shared" si="9"/>
        <v>500</v>
      </c>
      <c r="F37" s="36">
        <f t="shared" si="10"/>
        <v>1.6919901187777062E-2</v>
      </c>
      <c r="G37" s="35">
        <v>1318</v>
      </c>
      <c r="H37" s="35">
        <v>104</v>
      </c>
      <c r="I37" s="35">
        <v>64</v>
      </c>
      <c r="J37" s="35">
        <v>1486</v>
      </c>
      <c r="K37" s="36">
        <f t="shared" si="11"/>
        <v>1.8442444927086566E-2</v>
      </c>
      <c r="L37" s="35">
        <v>0</v>
      </c>
      <c r="M37" s="16">
        <f t="shared" si="12"/>
        <v>1986</v>
      </c>
    </row>
    <row r="38" spans="2:13" x14ac:dyDescent="0.2">
      <c r="B38" s="35" t="s">
        <v>100</v>
      </c>
      <c r="C38" s="35">
        <v>170</v>
      </c>
      <c r="D38" s="35">
        <v>50</v>
      </c>
      <c r="E38" s="35">
        <f t="shared" si="9"/>
        <v>220</v>
      </c>
      <c r="F38" s="36">
        <f t="shared" si="10"/>
        <v>7.4447565226219078E-3</v>
      </c>
      <c r="G38" s="35">
        <v>393</v>
      </c>
      <c r="H38" s="35">
        <v>26</v>
      </c>
      <c r="I38" s="35">
        <v>29</v>
      </c>
      <c r="J38" s="35">
        <v>448</v>
      </c>
      <c r="K38" s="36">
        <f t="shared" si="11"/>
        <v>5.5600372323921813E-3</v>
      </c>
      <c r="L38" s="35">
        <v>0</v>
      </c>
      <c r="M38" s="16">
        <f t="shared" si="12"/>
        <v>668</v>
      </c>
    </row>
    <row r="39" spans="2:13" x14ac:dyDescent="0.2">
      <c r="B39" s="35" t="s">
        <v>101</v>
      </c>
      <c r="C39" s="35">
        <v>127</v>
      </c>
      <c r="D39" s="35">
        <v>37</v>
      </c>
      <c r="E39" s="35">
        <f t="shared" si="9"/>
        <v>164</v>
      </c>
      <c r="F39" s="36">
        <f t="shared" si="10"/>
        <v>5.5497275895908769E-3</v>
      </c>
      <c r="G39" s="35">
        <v>516</v>
      </c>
      <c r="H39" s="35">
        <v>51</v>
      </c>
      <c r="I39" s="35">
        <v>20</v>
      </c>
      <c r="J39" s="35">
        <v>587</v>
      </c>
      <c r="K39" s="36">
        <f t="shared" si="11"/>
        <v>7.2851380701210054E-3</v>
      </c>
      <c r="L39" s="35">
        <v>0</v>
      </c>
      <c r="M39" s="16">
        <f t="shared" si="12"/>
        <v>751</v>
      </c>
    </row>
    <row r="40" spans="2:13" x14ac:dyDescent="0.2">
      <c r="B40" s="35" t="s">
        <v>102</v>
      </c>
      <c r="C40" s="35">
        <v>629</v>
      </c>
      <c r="D40" s="35">
        <v>259</v>
      </c>
      <c r="E40" s="35">
        <f t="shared" si="9"/>
        <v>888</v>
      </c>
      <c r="F40" s="36">
        <f t="shared" si="10"/>
        <v>3.0049744509492063E-2</v>
      </c>
      <c r="G40" s="35">
        <v>2898</v>
      </c>
      <c r="H40" s="35">
        <v>245</v>
      </c>
      <c r="I40" s="35">
        <v>183</v>
      </c>
      <c r="J40" s="35">
        <v>3326</v>
      </c>
      <c r="K40" s="36">
        <f t="shared" si="11"/>
        <v>4.1278312131554452E-2</v>
      </c>
      <c r="L40" s="35">
        <v>0</v>
      </c>
      <c r="M40" s="16">
        <f t="shared" si="12"/>
        <v>4214</v>
      </c>
    </row>
    <row r="41" spans="2:13" x14ac:dyDescent="0.2">
      <c r="B41" s="35" t="s">
        <v>103</v>
      </c>
      <c r="C41" s="35">
        <v>1251</v>
      </c>
      <c r="D41" s="35">
        <v>349</v>
      </c>
      <c r="E41" s="35">
        <f t="shared" si="9"/>
        <v>1600</v>
      </c>
      <c r="F41" s="36">
        <f t="shared" si="10"/>
        <v>5.4143683800886605E-2</v>
      </c>
      <c r="G41" s="35">
        <v>3618</v>
      </c>
      <c r="H41" s="35">
        <v>313</v>
      </c>
      <c r="I41" s="35">
        <v>208</v>
      </c>
      <c r="J41" s="35">
        <v>4139</v>
      </c>
      <c r="K41" s="36">
        <f t="shared" si="11"/>
        <v>5.1368290412659015E-2</v>
      </c>
      <c r="L41" s="35">
        <v>0</v>
      </c>
      <c r="M41" s="16">
        <f t="shared" si="12"/>
        <v>5739</v>
      </c>
    </row>
    <row r="42" spans="2:13" x14ac:dyDescent="0.2">
      <c r="B42" s="35" t="s">
        <v>104</v>
      </c>
      <c r="C42" s="35">
        <v>504</v>
      </c>
      <c r="D42" s="35">
        <v>132</v>
      </c>
      <c r="E42" s="35">
        <f t="shared" si="9"/>
        <v>636</v>
      </c>
      <c r="F42" s="36">
        <f t="shared" si="10"/>
        <v>2.1522114310852426E-2</v>
      </c>
      <c r="G42" s="35">
        <v>939</v>
      </c>
      <c r="H42" s="35">
        <v>44</v>
      </c>
      <c r="I42" s="35">
        <v>59</v>
      </c>
      <c r="J42" s="35">
        <v>1042</v>
      </c>
      <c r="K42" s="36">
        <f t="shared" si="11"/>
        <v>1.2932050884269315E-2</v>
      </c>
      <c r="L42" s="35">
        <v>0</v>
      </c>
      <c r="M42" s="16">
        <f t="shared" si="12"/>
        <v>1678</v>
      </c>
    </row>
    <row r="43" spans="2:13" x14ac:dyDescent="0.2">
      <c r="B43" s="35" t="s">
        <v>105</v>
      </c>
      <c r="C43" s="35">
        <v>730</v>
      </c>
      <c r="D43" s="35">
        <v>220</v>
      </c>
      <c r="E43" s="35">
        <f t="shared" si="9"/>
        <v>950</v>
      </c>
      <c r="F43" s="36">
        <f t="shared" si="10"/>
        <v>3.2147812256776417E-2</v>
      </c>
      <c r="G43" s="35">
        <v>2181</v>
      </c>
      <c r="H43" s="35">
        <v>169</v>
      </c>
      <c r="I43" s="35">
        <v>124</v>
      </c>
      <c r="J43" s="35">
        <v>2474</v>
      </c>
      <c r="K43" s="36">
        <f t="shared" si="11"/>
        <v>3.0704312752094322E-2</v>
      </c>
      <c r="L43" s="35">
        <v>0</v>
      </c>
      <c r="M43" s="16">
        <f t="shared" si="12"/>
        <v>3424</v>
      </c>
    </row>
    <row r="44" spans="2:13" x14ac:dyDescent="0.2">
      <c r="B44" s="35" t="s">
        <v>106</v>
      </c>
      <c r="C44" s="35">
        <v>1106</v>
      </c>
      <c r="D44" s="35">
        <v>322</v>
      </c>
      <c r="E44" s="35">
        <f t="shared" si="9"/>
        <v>1428</v>
      </c>
      <c r="F44" s="36">
        <f t="shared" si="10"/>
        <v>4.8323237792291293E-2</v>
      </c>
      <c r="G44" s="35">
        <v>3023</v>
      </c>
      <c r="H44" s="35">
        <v>179</v>
      </c>
      <c r="I44" s="35">
        <v>134</v>
      </c>
      <c r="J44" s="35">
        <v>3336</v>
      </c>
      <c r="K44" s="36">
        <f t="shared" si="11"/>
        <v>4.1402420105491777E-2</v>
      </c>
      <c r="L44" s="35">
        <v>0</v>
      </c>
      <c r="M44" s="16">
        <f t="shared" si="12"/>
        <v>4764</v>
      </c>
    </row>
    <row r="45" spans="2:13" x14ac:dyDescent="0.2">
      <c r="B45" s="35" t="s">
        <v>107</v>
      </c>
      <c r="C45" s="35">
        <v>3968</v>
      </c>
      <c r="D45" s="35">
        <v>1223</v>
      </c>
      <c r="E45" s="35">
        <f t="shared" si="9"/>
        <v>5191</v>
      </c>
      <c r="F45" s="36">
        <f t="shared" si="10"/>
        <v>0.17566241413150147</v>
      </c>
      <c r="G45" s="35">
        <v>10860</v>
      </c>
      <c r="H45" s="35">
        <v>923</v>
      </c>
      <c r="I45" s="35">
        <v>647</v>
      </c>
      <c r="J45" s="35">
        <v>12430</v>
      </c>
      <c r="K45" s="36">
        <f t="shared" si="11"/>
        <v>0.15426621160409557</v>
      </c>
      <c r="L45" s="35">
        <v>0</v>
      </c>
      <c r="M45" s="16">
        <f t="shared" si="12"/>
        <v>17621</v>
      </c>
    </row>
    <row r="46" spans="2:13" x14ac:dyDescent="0.2">
      <c r="B46" s="35" t="s">
        <v>108</v>
      </c>
      <c r="C46" s="35">
        <v>620</v>
      </c>
      <c r="D46" s="35">
        <v>174</v>
      </c>
      <c r="E46" s="35">
        <f t="shared" si="9"/>
        <v>794</v>
      </c>
      <c r="F46" s="36">
        <f t="shared" si="10"/>
        <v>2.6868803086189975E-2</v>
      </c>
      <c r="G46" s="35">
        <v>1861</v>
      </c>
      <c r="H46" s="35">
        <v>146</v>
      </c>
      <c r="I46" s="35">
        <v>87</v>
      </c>
      <c r="J46" s="35">
        <v>2094</v>
      </c>
      <c r="K46" s="36">
        <f t="shared" si="11"/>
        <v>2.5988209742475954E-2</v>
      </c>
      <c r="L46" s="35">
        <v>0</v>
      </c>
      <c r="M46" s="16">
        <f t="shared" si="12"/>
        <v>2888</v>
      </c>
    </row>
    <row r="47" spans="2:13" x14ac:dyDescent="0.2">
      <c r="B47" s="35" t="s">
        <v>109</v>
      </c>
      <c r="C47" s="35">
        <v>1046</v>
      </c>
      <c r="D47" s="35">
        <v>362</v>
      </c>
      <c r="E47" s="35">
        <f t="shared" si="9"/>
        <v>1408</v>
      </c>
      <c r="F47" s="36">
        <f t="shared" si="10"/>
        <v>4.7646441744780207E-2</v>
      </c>
      <c r="G47" s="35">
        <v>2956</v>
      </c>
      <c r="H47" s="35">
        <v>145</v>
      </c>
      <c r="I47" s="35">
        <v>208</v>
      </c>
      <c r="J47" s="35">
        <v>3309</v>
      </c>
      <c r="K47" s="36">
        <f t="shared" si="11"/>
        <v>4.1067328575860998E-2</v>
      </c>
      <c r="L47" s="35">
        <v>0</v>
      </c>
      <c r="M47" s="16">
        <f t="shared" si="12"/>
        <v>4717</v>
      </c>
    </row>
    <row r="48" spans="2:13" x14ac:dyDescent="0.2">
      <c r="B48" s="35" t="s">
        <v>110</v>
      </c>
      <c r="C48" s="35">
        <v>413</v>
      </c>
      <c r="D48" s="35">
        <v>174</v>
      </c>
      <c r="E48" s="35">
        <f t="shared" si="9"/>
        <v>587</v>
      </c>
      <c r="F48" s="36">
        <f t="shared" si="10"/>
        <v>1.9863963994450274E-2</v>
      </c>
      <c r="G48" s="35">
        <v>1134</v>
      </c>
      <c r="H48" s="35">
        <v>54</v>
      </c>
      <c r="I48" s="35">
        <v>77</v>
      </c>
      <c r="J48" s="35">
        <v>1265</v>
      </c>
      <c r="K48" s="36">
        <f t="shared" si="11"/>
        <v>1.5699658703071672E-2</v>
      </c>
      <c r="L48" s="35">
        <v>0</v>
      </c>
      <c r="M48" s="16">
        <f t="shared" si="12"/>
        <v>1852</v>
      </c>
    </row>
    <row r="49" spans="2:13" x14ac:dyDescent="0.2">
      <c r="B49" s="35" t="s">
        <v>111</v>
      </c>
      <c r="C49" s="35">
        <v>260</v>
      </c>
      <c r="D49" s="35">
        <v>51</v>
      </c>
      <c r="E49" s="35">
        <f t="shared" si="9"/>
        <v>311</v>
      </c>
      <c r="F49" s="36">
        <f t="shared" si="10"/>
        <v>1.0524178538797333E-2</v>
      </c>
      <c r="G49" s="35">
        <v>496</v>
      </c>
      <c r="H49" s="35">
        <v>23</v>
      </c>
      <c r="I49" s="35">
        <v>23</v>
      </c>
      <c r="J49" s="35">
        <v>542</v>
      </c>
      <c r="K49" s="36">
        <f t="shared" si="11"/>
        <v>6.7266521874030406E-3</v>
      </c>
      <c r="L49" s="35">
        <v>0</v>
      </c>
      <c r="M49" s="16">
        <f t="shared" si="12"/>
        <v>853</v>
      </c>
    </row>
    <row r="50" spans="2:13" x14ac:dyDescent="0.2">
      <c r="B50" s="37" t="s">
        <v>39</v>
      </c>
      <c r="C50" s="35">
        <f t="shared" ref="C50:D50" si="13">SUM(C35:C49)</f>
        <v>22034</v>
      </c>
      <c r="D50" s="35">
        <f t="shared" si="13"/>
        <v>7517</v>
      </c>
      <c r="E50" s="37">
        <f t="shared" ref="E50" si="14">C50+D50</f>
        <v>29551</v>
      </c>
      <c r="F50" s="38">
        <f t="shared" ref="F50" si="15">E50/$E$50</f>
        <v>1</v>
      </c>
      <c r="G50" s="35">
        <f t="shared" ref="G50:J50" si="16">SUM(G35:G49)</f>
        <v>69303</v>
      </c>
      <c r="H50" s="35">
        <f t="shared" si="16"/>
        <v>7009</v>
      </c>
      <c r="I50" s="35">
        <f t="shared" si="16"/>
        <v>4263</v>
      </c>
      <c r="J50" s="35">
        <f t="shared" si="16"/>
        <v>80575</v>
      </c>
      <c r="K50" s="36">
        <f t="shared" si="11"/>
        <v>1</v>
      </c>
      <c r="L50" s="35">
        <f t="shared" ref="L50" si="17">SUM(L35:L49)</f>
        <v>0</v>
      </c>
      <c r="M50" s="16">
        <f t="shared" si="12"/>
        <v>110126</v>
      </c>
    </row>
    <row r="51" spans="2:13" ht="27" customHeight="1" x14ac:dyDescent="0.2">
      <c r="B51" s="28" t="s">
        <v>45</v>
      </c>
      <c r="C51" s="29">
        <f>+C50/M50</f>
        <v>0.20007990846848156</v>
      </c>
      <c r="D51" s="29">
        <f>+D50/M50</f>
        <v>6.8258176997257683E-2</v>
      </c>
      <c r="E51" s="30">
        <f>+E50/M50</f>
        <v>0.26833808546573923</v>
      </c>
      <c r="F51" s="30"/>
      <c r="G51" s="29">
        <f>+G50/M50</f>
        <v>0.62930643081561122</v>
      </c>
      <c r="H51" s="29">
        <f>+H50/M50</f>
        <v>6.3645279044004147E-2</v>
      </c>
      <c r="I51" s="29">
        <f>+I50/M50</f>
        <v>3.8710204674645407E-2</v>
      </c>
      <c r="J51" s="30">
        <f>+J50/M50</f>
        <v>0.73166191453426077</v>
      </c>
      <c r="K51" s="30"/>
      <c r="L51" s="30">
        <f>+L50/M50</f>
        <v>0</v>
      </c>
      <c r="M51" s="30">
        <f>J51+L51+E51</f>
        <v>1</v>
      </c>
    </row>
    <row r="52" spans="2:13" x14ac:dyDescent="0.2">
      <c r="B52" s="21" t="s">
        <v>78</v>
      </c>
    </row>
    <row r="53" spans="2:13" x14ac:dyDescent="0.2">
      <c r="B53" s="21" t="s">
        <v>79</v>
      </c>
    </row>
    <row r="143" spans="2:2" x14ac:dyDescent="0.2">
      <c r="B143" s="22" t="s">
        <v>56</v>
      </c>
    </row>
  </sheetData>
  <mergeCells count="10">
    <mergeCell ref="B6:K6"/>
    <mergeCell ref="B5:K5"/>
    <mergeCell ref="B29:K29"/>
    <mergeCell ref="B30:K30"/>
    <mergeCell ref="B8:M8"/>
    <mergeCell ref="B33:B34"/>
    <mergeCell ref="B9:B10"/>
    <mergeCell ref="C9:L9"/>
    <mergeCell ref="C33:L33"/>
    <mergeCell ref="B32:M32"/>
  </mergeCells>
  <hyperlinks>
    <hyperlink ref="M5" location="'Índice PGU y SPS'!A1" display="Volver Sistema de Pensiones Solidarias" xr:uid="{8EB29901-68CD-408F-80A5-984B7C63403A}"/>
  </hyperlinks>
  <pageMargins left="0.74803149606299213" right="0.74803149606299213" top="0.98425196850393704" bottom="0.98425196850393704" header="0" footer="0"/>
  <pageSetup scale="77"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dimension ref="A1:P141"/>
  <sheetViews>
    <sheetView showGridLines="0" zoomScale="90" zoomScaleNormal="90" workbookViewId="0">
      <selection activeCell="M35" sqref="M35"/>
    </sheetView>
  </sheetViews>
  <sheetFormatPr baseColWidth="10" defaultRowHeight="12" x14ac:dyDescent="0.2"/>
  <cols>
    <col min="1" max="1" width="6" style="22" customWidth="1"/>
    <col min="2" max="2" width="18.140625" style="22" customWidth="1"/>
    <col min="3" max="3" width="11.5703125" style="22" customWidth="1"/>
    <col min="4" max="4" width="9.140625" style="22" bestFit="1" customWidth="1"/>
    <col min="5" max="6" width="9.140625" style="22" customWidth="1"/>
    <col min="7" max="7" width="10.85546875" style="22" customWidth="1"/>
    <col min="8" max="8" width="8.42578125" style="22" bestFit="1" customWidth="1"/>
    <col min="9" max="11" width="8.42578125" style="22" customWidth="1"/>
    <col min="12" max="12" width="9.85546875" style="22" hidden="1" customWidth="1"/>
    <col min="13" max="251" width="11.42578125" style="22"/>
    <col min="252" max="252" width="18.140625" style="22" customWidth="1"/>
    <col min="253" max="253" width="9.7109375" style="22" bestFit="1" customWidth="1"/>
    <col min="254" max="254" width="9.140625" style="22" bestFit="1" customWidth="1"/>
    <col min="255" max="256" width="9.140625" style="22" customWidth="1"/>
    <col min="257" max="257" width="9.42578125" style="22" bestFit="1" customWidth="1"/>
    <col min="258" max="258" width="8.42578125" style="22" bestFit="1" customWidth="1"/>
    <col min="259" max="261" width="8.42578125" style="22" customWidth="1"/>
    <col min="262" max="267" width="0" style="22" hidden="1" customWidth="1"/>
    <col min="268" max="268" width="9.85546875" style="22" customWidth="1"/>
    <col min="269" max="507" width="11.42578125" style="22"/>
    <col min="508" max="508" width="18.140625" style="22" customWidth="1"/>
    <col min="509" max="509" width="9.7109375" style="22" bestFit="1" customWidth="1"/>
    <col min="510" max="510" width="9.140625" style="22" bestFit="1" customWidth="1"/>
    <col min="511" max="512" width="9.140625" style="22" customWidth="1"/>
    <col min="513" max="513" width="9.42578125" style="22" bestFit="1" customWidth="1"/>
    <col min="514" max="514" width="8.42578125" style="22" bestFit="1" customWidth="1"/>
    <col min="515" max="517" width="8.42578125" style="22" customWidth="1"/>
    <col min="518" max="523" width="0" style="22" hidden="1" customWidth="1"/>
    <col min="524" max="524" width="9.85546875" style="22" customWidth="1"/>
    <col min="525" max="763" width="11.42578125" style="22"/>
    <col min="764" max="764" width="18.140625" style="22" customWidth="1"/>
    <col min="765" max="765" width="9.7109375" style="22" bestFit="1" customWidth="1"/>
    <col min="766" max="766" width="9.140625" style="22" bestFit="1" customWidth="1"/>
    <col min="767" max="768" width="9.140625" style="22" customWidth="1"/>
    <col min="769" max="769" width="9.42578125" style="22" bestFit="1" customWidth="1"/>
    <col min="770" max="770" width="8.42578125" style="22" bestFit="1" customWidth="1"/>
    <col min="771" max="773" width="8.42578125" style="22" customWidth="1"/>
    <col min="774" max="779" width="0" style="22" hidden="1" customWidth="1"/>
    <col min="780" max="780" width="9.85546875" style="22" customWidth="1"/>
    <col min="781" max="1019" width="11.42578125" style="22"/>
    <col min="1020" max="1020" width="18.140625" style="22" customWidth="1"/>
    <col min="1021" max="1021" width="9.7109375" style="22" bestFit="1" customWidth="1"/>
    <col min="1022" max="1022" width="9.140625" style="22" bestFit="1" customWidth="1"/>
    <col min="1023" max="1024" width="9.140625" style="22" customWidth="1"/>
    <col min="1025" max="1025" width="9.42578125" style="22" bestFit="1" customWidth="1"/>
    <col min="1026" max="1026" width="8.42578125" style="22" bestFit="1" customWidth="1"/>
    <col min="1027" max="1029" width="8.42578125" style="22" customWidth="1"/>
    <col min="1030" max="1035" width="0" style="22" hidden="1" customWidth="1"/>
    <col min="1036" max="1036" width="9.85546875" style="22" customWidth="1"/>
    <col min="1037" max="1275" width="11.42578125" style="22"/>
    <col min="1276" max="1276" width="18.140625" style="22" customWidth="1"/>
    <col min="1277" max="1277" width="9.7109375" style="22" bestFit="1" customWidth="1"/>
    <col min="1278" max="1278" width="9.140625" style="22" bestFit="1" customWidth="1"/>
    <col min="1279" max="1280" width="9.140625" style="22" customWidth="1"/>
    <col min="1281" max="1281" width="9.42578125" style="22" bestFit="1" customWidth="1"/>
    <col min="1282" max="1282" width="8.42578125" style="22" bestFit="1" customWidth="1"/>
    <col min="1283" max="1285" width="8.42578125" style="22" customWidth="1"/>
    <col min="1286" max="1291" width="0" style="22" hidden="1" customWidth="1"/>
    <col min="1292" max="1292" width="9.85546875" style="22" customWidth="1"/>
    <col min="1293" max="1531" width="11.42578125" style="22"/>
    <col min="1532" max="1532" width="18.140625" style="22" customWidth="1"/>
    <col min="1533" max="1533" width="9.7109375" style="22" bestFit="1" customWidth="1"/>
    <col min="1534" max="1534" width="9.140625" style="22" bestFit="1" customWidth="1"/>
    <col min="1535" max="1536" width="9.140625" style="22" customWidth="1"/>
    <col min="1537" max="1537" width="9.42578125" style="22" bestFit="1" customWidth="1"/>
    <col min="1538" max="1538" width="8.42578125" style="22" bestFit="1" customWidth="1"/>
    <col min="1539" max="1541" width="8.42578125" style="22" customWidth="1"/>
    <col min="1542" max="1547" width="0" style="22" hidden="1" customWidth="1"/>
    <col min="1548" max="1548" width="9.85546875" style="22" customWidth="1"/>
    <col min="1549" max="1787" width="11.42578125" style="22"/>
    <col min="1788" max="1788" width="18.140625" style="22" customWidth="1"/>
    <col min="1789" max="1789" width="9.7109375" style="22" bestFit="1" customWidth="1"/>
    <col min="1790" max="1790" width="9.140625" style="22" bestFit="1" customWidth="1"/>
    <col min="1791" max="1792" width="9.140625" style="22" customWidth="1"/>
    <col min="1793" max="1793" width="9.42578125" style="22" bestFit="1" customWidth="1"/>
    <col min="1794" max="1794" width="8.42578125" style="22" bestFit="1" customWidth="1"/>
    <col min="1795" max="1797" width="8.42578125" style="22" customWidth="1"/>
    <col min="1798" max="1803" width="0" style="22" hidden="1" customWidth="1"/>
    <col min="1804" max="1804" width="9.85546875" style="22" customWidth="1"/>
    <col min="1805" max="2043" width="11.42578125" style="22"/>
    <col min="2044" max="2044" width="18.140625" style="22" customWidth="1"/>
    <col min="2045" max="2045" width="9.7109375" style="22" bestFit="1" customWidth="1"/>
    <col min="2046" max="2046" width="9.140625" style="22" bestFit="1" customWidth="1"/>
    <col min="2047" max="2048" width="9.140625" style="22" customWidth="1"/>
    <col min="2049" max="2049" width="9.42578125" style="22" bestFit="1" customWidth="1"/>
    <col min="2050" max="2050" width="8.42578125" style="22" bestFit="1" customWidth="1"/>
    <col min="2051" max="2053" width="8.42578125" style="22" customWidth="1"/>
    <col min="2054" max="2059" width="0" style="22" hidden="1" customWidth="1"/>
    <col min="2060" max="2060" width="9.85546875" style="22" customWidth="1"/>
    <col min="2061" max="2299" width="11.42578125" style="22"/>
    <col min="2300" max="2300" width="18.140625" style="22" customWidth="1"/>
    <col min="2301" max="2301" width="9.7109375" style="22" bestFit="1" customWidth="1"/>
    <col min="2302" max="2302" width="9.140625" style="22" bestFit="1" customWidth="1"/>
    <col min="2303" max="2304" width="9.140625" style="22" customWidth="1"/>
    <col min="2305" max="2305" width="9.42578125" style="22" bestFit="1" customWidth="1"/>
    <col min="2306" max="2306" width="8.42578125" style="22" bestFit="1" customWidth="1"/>
    <col min="2307" max="2309" width="8.42578125" style="22" customWidth="1"/>
    <col min="2310" max="2315" width="0" style="22" hidden="1" customWidth="1"/>
    <col min="2316" max="2316" width="9.85546875" style="22" customWidth="1"/>
    <col min="2317" max="2555" width="11.42578125" style="22"/>
    <col min="2556" max="2556" width="18.140625" style="22" customWidth="1"/>
    <col min="2557" max="2557" width="9.7109375" style="22" bestFit="1" customWidth="1"/>
    <col min="2558" max="2558" width="9.140625" style="22" bestFit="1" customWidth="1"/>
    <col min="2559" max="2560" width="9.140625" style="22" customWidth="1"/>
    <col min="2561" max="2561" width="9.42578125" style="22" bestFit="1" customWidth="1"/>
    <col min="2562" max="2562" width="8.42578125" style="22" bestFit="1" customWidth="1"/>
    <col min="2563" max="2565" width="8.42578125" style="22" customWidth="1"/>
    <col min="2566" max="2571" width="0" style="22" hidden="1" customWidth="1"/>
    <col min="2572" max="2572" width="9.85546875" style="22" customWidth="1"/>
    <col min="2573" max="2811" width="11.42578125" style="22"/>
    <col min="2812" max="2812" width="18.140625" style="22" customWidth="1"/>
    <col min="2813" max="2813" width="9.7109375" style="22" bestFit="1" customWidth="1"/>
    <col min="2814" max="2814" width="9.140625" style="22" bestFit="1" customWidth="1"/>
    <col min="2815" max="2816" width="9.140625" style="22" customWidth="1"/>
    <col min="2817" max="2817" width="9.42578125" style="22" bestFit="1" customWidth="1"/>
    <col min="2818" max="2818" width="8.42578125" style="22" bestFit="1" customWidth="1"/>
    <col min="2819" max="2821" width="8.42578125" style="22" customWidth="1"/>
    <col min="2822" max="2827" width="0" style="22" hidden="1" customWidth="1"/>
    <col min="2828" max="2828" width="9.85546875" style="22" customWidth="1"/>
    <col min="2829" max="3067" width="11.42578125" style="22"/>
    <col min="3068" max="3068" width="18.140625" style="22" customWidth="1"/>
    <col min="3069" max="3069" width="9.7109375" style="22" bestFit="1" customWidth="1"/>
    <col min="3070" max="3070" width="9.140625" style="22" bestFit="1" customWidth="1"/>
    <col min="3071" max="3072" width="9.140625" style="22" customWidth="1"/>
    <col min="3073" max="3073" width="9.42578125" style="22" bestFit="1" customWidth="1"/>
    <col min="3074" max="3074" width="8.42578125" style="22" bestFit="1" customWidth="1"/>
    <col min="3075" max="3077" width="8.42578125" style="22" customWidth="1"/>
    <col min="3078" max="3083" width="0" style="22" hidden="1" customWidth="1"/>
    <col min="3084" max="3084" width="9.85546875" style="22" customWidth="1"/>
    <col min="3085" max="3323" width="11.42578125" style="22"/>
    <col min="3324" max="3324" width="18.140625" style="22" customWidth="1"/>
    <col min="3325" max="3325" width="9.7109375" style="22" bestFit="1" customWidth="1"/>
    <col min="3326" max="3326" width="9.140625" style="22" bestFit="1" customWidth="1"/>
    <col min="3327" max="3328" width="9.140625" style="22" customWidth="1"/>
    <col min="3329" max="3329" width="9.42578125" style="22" bestFit="1" customWidth="1"/>
    <col min="3330" max="3330" width="8.42578125" style="22" bestFit="1" customWidth="1"/>
    <col min="3331" max="3333" width="8.42578125" style="22" customWidth="1"/>
    <col min="3334" max="3339" width="0" style="22" hidden="1" customWidth="1"/>
    <col min="3340" max="3340" width="9.85546875" style="22" customWidth="1"/>
    <col min="3341" max="3579" width="11.42578125" style="22"/>
    <col min="3580" max="3580" width="18.140625" style="22" customWidth="1"/>
    <col min="3581" max="3581" width="9.7109375" style="22" bestFit="1" customWidth="1"/>
    <col min="3582" max="3582" width="9.140625" style="22" bestFit="1" customWidth="1"/>
    <col min="3583" max="3584" width="9.140625" style="22" customWidth="1"/>
    <col min="3585" max="3585" width="9.42578125" style="22" bestFit="1" customWidth="1"/>
    <col min="3586" max="3586" width="8.42578125" style="22" bestFit="1" customWidth="1"/>
    <col min="3587" max="3589" width="8.42578125" style="22" customWidth="1"/>
    <col min="3590" max="3595" width="0" style="22" hidden="1" customWidth="1"/>
    <col min="3596" max="3596" width="9.85546875" style="22" customWidth="1"/>
    <col min="3597" max="3835" width="11.42578125" style="22"/>
    <col min="3836" max="3836" width="18.140625" style="22" customWidth="1"/>
    <col min="3837" max="3837" width="9.7109375" style="22" bestFit="1" customWidth="1"/>
    <col min="3838" max="3838" width="9.140625" style="22" bestFit="1" customWidth="1"/>
    <col min="3839" max="3840" width="9.140625" style="22" customWidth="1"/>
    <col min="3841" max="3841" width="9.42578125" style="22" bestFit="1" customWidth="1"/>
    <col min="3842" max="3842" width="8.42578125" style="22" bestFit="1" customWidth="1"/>
    <col min="3843" max="3845" width="8.42578125" style="22" customWidth="1"/>
    <col min="3846" max="3851" width="0" style="22" hidden="1" customWidth="1"/>
    <col min="3852" max="3852" width="9.85546875" style="22" customWidth="1"/>
    <col min="3853" max="4091" width="11.42578125" style="22"/>
    <col min="4092" max="4092" width="18.140625" style="22" customWidth="1"/>
    <col min="4093" max="4093" width="9.7109375" style="22" bestFit="1" customWidth="1"/>
    <col min="4094" max="4094" width="9.140625" style="22" bestFit="1" customWidth="1"/>
    <col min="4095" max="4096" width="9.140625" style="22" customWidth="1"/>
    <col min="4097" max="4097" width="9.42578125" style="22" bestFit="1" customWidth="1"/>
    <col min="4098" max="4098" width="8.42578125" style="22" bestFit="1" customWidth="1"/>
    <col min="4099" max="4101" width="8.42578125" style="22" customWidth="1"/>
    <col min="4102" max="4107" width="0" style="22" hidden="1" customWidth="1"/>
    <col min="4108" max="4108" width="9.85546875" style="22" customWidth="1"/>
    <col min="4109" max="4347" width="11.42578125" style="22"/>
    <col min="4348" max="4348" width="18.140625" style="22" customWidth="1"/>
    <col min="4349" max="4349" width="9.7109375" style="22" bestFit="1" customWidth="1"/>
    <col min="4350" max="4350" width="9.140625" style="22" bestFit="1" customWidth="1"/>
    <col min="4351" max="4352" width="9.140625" style="22" customWidth="1"/>
    <col min="4353" max="4353" width="9.42578125" style="22" bestFit="1" customWidth="1"/>
    <col min="4354" max="4354" width="8.42578125" style="22" bestFit="1" customWidth="1"/>
    <col min="4355" max="4357" width="8.42578125" style="22" customWidth="1"/>
    <col min="4358" max="4363" width="0" style="22" hidden="1" customWidth="1"/>
    <col min="4364" max="4364" width="9.85546875" style="22" customWidth="1"/>
    <col min="4365" max="4603" width="11.42578125" style="22"/>
    <col min="4604" max="4604" width="18.140625" style="22" customWidth="1"/>
    <col min="4605" max="4605" width="9.7109375" style="22" bestFit="1" customWidth="1"/>
    <col min="4606" max="4606" width="9.140625" style="22" bestFit="1" customWidth="1"/>
    <col min="4607" max="4608" width="9.140625" style="22" customWidth="1"/>
    <col min="4609" max="4609" width="9.42578125" style="22" bestFit="1" customWidth="1"/>
    <col min="4610" max="4610" width="8.42578125" style="22" bestFit="1" customWidth="1"/>
    <col min="4611" max="4613" width="8.42578125" style="22" customWidth="1"/>
    <col min="4614" max="4619" width="0" style="22" hidden="1" customWidth="1"/>
    <col min="4620" max="4620" width="9.85546875" style="22" customWidth="1"/>
    <col min="4621" max="4859" width="11.42578125" style="22"/>
    <col min="4860" max="4860" width="18.140625" style="22" customWidth="1"/>
    <col min="4861" max="4861" width="9.7109375" style="22" bestFit="1" customWidth="1"/>
    <col min="4862" max="4862" width="9.140625" style="22" bestFit="1" customWidth="1"/>
    <col min="4863" max="4864" width="9.140625" style="22" customWidth="1"/>
    <col min="4865" max="4865" width="9.42578125" style="22" bestFit="1" customWidth="1"/>
    <col min="4866" max="4866" width="8.42578125" style="22" bestFit="1" customWidth="1"/>
    <col min="4867" max="4869" width="8.42578125" style="22" customWidth="1"/>
    <col min="4870" max="4875" width="0" style="22" hidden="1" customWidth="1"/>
    <col min="4876" max="4876" width="9.85546875" style="22" customWidth="1"/>
    <col min="4877" max="5115" width="11.42578125" style="22"/>
    <col min="5116" max="5116" width="18.140625" style="22" customWidth="1"/>
    <col min="5117" max="5117" width="9.7109375" style="22" bestFit="1" customWidth="1"/>
    <col min="5118" max="5118" width="9.140625" style="22" bestFit="1" customWidth="1"/>
    <col min="5119" max="5120" width="9.140625" style="22" customWidth="1"/>
    <col min="5121" max="5121" width="9.42578125" style="22" bestFit="1" customWidth="1"/>
    <col min="5122" max="5122" width="8.42578125" style="22" bestFit="1" customWidth="1"/>
    <col min="5123" max="5125" width="8.42578125" style="22" customWidth="1"/>
    <col min="5126" max="5131" width="0" style="22" hidden="1" customWidth="1"/>
    <col min="5132" max="5132" width="9.85546875" style="22" customWidth="1"/>
    <col min="5133" max="5371" width="11.42578125" style="22"/>
    <col min="5372" max="5372" width="18.140625" style="22" customWidth="1"/>
    <col min="5373" max="5373" width="9.7109375" style="22" bestFit="1" customWidth="1"/>
    <col min="5374" max="5374" width="9.140625" style="22" bestFit="1" customWidth="1"/>
    <col min="5375" max="5376" width="9.140625" style="22" customWidth="1"/>
    <col min="5377" max="5377" width="9.42578125" style="22" bestFit="1" customWidth="1"/>
    <col min="5378" max="5378" width="8.42578125" style="22" bestFit="1" customWidth="1"/>
    <col min="5379" max="5381" width="8.42578125" style="22" customWidth="1"/>
    <col min="5382" max="5387" width="0" style="22" hidden="1" customWidth="1"/>
    <col min="5388" max="5388" width="9.85546875" style="22" customWidth="1"/>
    <col min="5389" max="5627" width="11.42578125" style="22"/>
    <col min="5628" max="5628" width="18.140625" style="22" customWidth="1"/>
    <col min="5629" max="5629" width="9.7109375" style="22" bestFit="1" customWidth="1"/>
    <col min="5630" max="5630" width="9.140625" style="22" bestFit="1" customWidth="1"/>
    <col min="5631" max="5632" width="9.140625" style="22" customWidth="1"/>
    <col min="5633" max="5633" width="9.42578125" style="22" bestFit="1" customWidth="1"/>
    <col min="5634" max="5634" width="8.42578125" style="22" bestFit="1" customWidth="1"/>
    <col min="5635" max="5637" width="8.42578125" style="22" customWidth="1"/>
    <col min="5638" max="5643" width="0" style="22" hidden="1" customWidth="1"/>
    <col min="5644" max="5644" width="9.85546875" style="22" customWidth="1"/>
    <col min="5645" max="5883" width="11.42578125" style="22"/>
    <col min="5884" max="5884" width="18.140625" style="22" customWidth="1"/>
    <col min="5885" max="5885" width="9.7109375" style="22" bestFit="1" customWidth="1"/>
    <col min="5886" max="5886" width="9.140625" style="22" bestFit="1" customWidth="1"/>
    <col min="5887" max="5888" width="9.140625" style="22" customWidth="1"/>
    <col min="5889" max="5889" width="9.42578125" style="22" bestFit="1" customWidth="1"/>
    <col min="5890" max="5890" width="8.42578125" style="22" bestFit="1" customWidth="1"/>
    <col min="5891" max="5893" width="8.42578125" style="22" customWidth="1"/>
    <col min="5894" max="5899" width="0" style="22" hidden="1" customWidth="1"/>
    <col min="5900" max="5900" width="9.85546875" style="22" customWidth="1"/>
    <col min="5901" max="6139" width="11.42578125" style="22"/>
    <col min="6140" max="6140" width="18.140625" style="22" customWidth="1"/>
    <col min="6141" max="6141" width="9.7109375" style="22" bestFit="1" customWidth="1"/>
    <col min="6142" max="6142" width="9.140625" style="22" bestFit="1" customWidth="1"/>
    <col min="6143" max="6144" width="9.140625" style="22" customWidth="1"/>
    <col min="6145" max="6145" width="9.42578125" style="22" bestFit="1" customWidth="1"/>
    <col min="6146" max="6146" width="8.42578125" style="22" bestFit="1" customWidth="1"/>
    <col min="6147" max="6149" width="8.42578125" style="22" customWidth="1"/>
    <col min="6150" max="6155" width="0" style="22" hidden="1" customWidth="1"/>
    <col min="6156" max="6156" width="9.85546875" style="22" customWidth="1"/>
    <col min="6157" max="6395" width="11.42578125" style="22"/>
    <col min="6396" max="6396" width="18.140625" style="22" customWidth="1"/>
    <col min="6397" max="6397" width="9.7109375" style="22" bestFit="1" customWidth="1"/>
    <col min="6398" max="6398" width="9.140625" style="22" bestFit="1" customWidth="1"/>
    <col min="6399" max="6400" width="9.140625" style="22" customWidth="1"/>
    <col min="6401" max="6401" width="9.42578125" style="22" bestFit="1" customWidth="1"/>
    <col min="6402" max="6402" width="8.42578125" style="22" bestFit="1" customWidth="1"/>
    <col min="6403" max="6405" width="8.42578125" style="22" customWidth="1"/>
    <col min="6406" max="6411" width="0" style="22" hidden="1" customWidth="1"/>
    <col min="6412" max="6412" width="9.85546875" style="22" customWidth="1"/>
    <col min="6413" max="6651" width="11.42578125" style="22"/>
    <col min="6652" max="6652" width="18.140625" style="22" customWidth="1"/>
    <col min="6653" max="6653" width="9.7109375" style="22" bestFit="1" customWidth="1"/>
    <col min="6654" max="6654" width="9.140625" style="22" bestFit="1" customWidth="1"/>
    <col min="6655" max="6656" width="9.140625" style="22" customWidth="1"/>
    <col min="6657" max="6657" width="9.42578125" style="22" bestFit="1" customWidth="1"/>
    <col min="6658" max="6658" width="8.42578125" style="22" bestFit="1" customWidth="1"/>
    <col min="6659" max="6661" width="8.42578125" style="22" customWidth="1"/>
    <col min="6662" max="6667" width="0" style="22" hidden="1" customWidth="1"/>
    <col min="6668" max="6668" width="9.85546875" style="22" customWidth="1"/>
    <col min="6669" max="6907" width="11.42578125" style="22"/>
    <col min="6908" max="6908" width="18.140625" style="22" customWidth="1"/>
    <col min="6909" max="6909" width="9.7109375" style="22" bestFit="1" customWidth="1"/>
    <col min="6910" max="6910" width="9.140625" style="22" bestFit="1" customWidth="1"/>
    <col min="6911" max="6912" width="9.140625" style="22" customWidth="1"/>
    <col min="6913" max="6913" width="9.42578125" style="22" bestFit="1" customWidth="1"/>
    <col min="6914" max="6914" width="8.42578125" style="22" bestFit="1" customWidth="1"/>
    <col min="6915" max="6917" width="8.42578125" style="22" customWidth="1"/>
    <col min="6918" max="6923" width="0" style="22" hidden="1" customWidth="1"/>
    <col min="6924" max="6924" width="9.85546875" style="22" customWidth="1"/>
    <col min="6925" max="7163" width="11.42578125" style="22"/>
    <col min="7164" max="7164" width="18.140625" style="22" customWidth="1"/>
    <col min="7165" max="7165" width="9.7109375" style="22" bestFit="1" customWidth="1"/>
    <col min="7166" max="7166" width="9.140625" style="22" bestFit="1" customWidth="1"/>
    <col min="7167" max="7168" width="9.140625" style="22" customWidth="1"/>
    <col min="7169" max="7169" width="9.42578125" style="22" bestFit="1" customWidth="1"/>
    <col min="7170" max="7170" width="8.42578125" style="22" bestFit="1" customWidth="1"/>
    <col min="7171" max="7173" width="8.42578125" style="22" customWidth="1"/>
    <col min="7174" max="7179" width="0" style="22" hidden="1" customWidth="1"/>
    <col min="7180" max="7180" width="9.85546875" style="22" customWidth="1"/>
    <col min="7181" max="7419" width="11.42578125" style="22"/>
    <col min="7420" max="7420" width="18.140625" style="22" customWidth="1"/>
    <col min="7421" max="7421" width="9.7109375" style="22" bestFit="1" customWidth="1"/>
    <col min="7422" max="7422" width="9.140625" style="22" bestFit="1" customWidth="1"/>
    <col min="7423" max="7424" width="9.140625" style="22" customWidth="1"/>
    <col min="7425" max="7425" width="9.42578125" style="22" bestFit="1" customWidth="1"/>
    <col min="7426" max="7426" width="8.42578125" style="22" bestFit="1" customWidth="1"/>
    <col min="7427" max="7429" width="8.42578125" style="22" customWidth="1"/>
    <col min="7430" max="7435" width="0" style="22" hidden="1" customWidth="1"/>
    <col min="7436" max="7436" width="9.85546875" style="22" customWidth="1"/>
    <col min="7437" max="7675" width="11.42578125" style="22"/>
    <col min="7676" max="7676" width="18.140625" style="22" customWidth="1"/>
    <col min="7677" max="7677" width="9.7109375" style="22" bestFit="1" customWidth="1"/>
    <col min="7678" max="7678" width="9.140625" style="22" bestFit="1" customWidth="1"/>
    <col min="7679" max="7680" width="9.140625" style="22" customWidth="1"/>
    <col min="7681" max="7681" width="9.42578125" style="22" bestFit="1" customWidth="1"/>
    <col min="7682" max="7682" width="8.42578125" style="22" bestFit="1" customWidth="1"/>
    <col min="7683" max="7685" width="8.42578125" style="22" customWidth="1"/>
    <col min="7686" max="7691" width="0" style="22" hidden="1" customWidth="1"/>
    <col min="7692" max="7692" width="9.85546875" style="22" customWidth="1"/>
    <col min="7693" max="7931" width="11.42578125" style="22"/>
    <col min="7932" max="7932" width="18.140625" style="22" customWidth="1"/>
    <col min="7933" max="7933" width="9.7109375" style="22" bestFit="1" customWidth="1"/>
    <col min="7934" max="7934" width="9.140625" style="22" bestFit="1" customWidth="1"/>
    <col min="7935" max="7936" width="9.140625" style="22" customWidth="1"/>
    <col min="7937" max="7937" width="9.42578125" style="22" bestFit="1" customWidth="1"/>
    <col min="7938" max="7938" width="8.42578125" style="22" bestFit="1" customWidth="1"/>
    <col min="7939" max="7941" width="8.42578125" style="22" customWidth="1"/>
    <col min="7942" max="7947" width="0" style="22" hidden="1" customWidth="1"/>
    <col min="7948" max="7948" width="9.85546875" style="22" customWidth="1"/>
    <col min="7949" max="8187" width="11.42578125" style="22"/>
    <col min="8188" max="8188" width="18.140625" style="22" customWidth="1"/>
    <col min="8189" max="8189" width="9.7109375" style="22" bestFit="1" customWidth="1"/>
    <col min="8190" max="8190" width="9.140625" style="22" bestFit="1" customWidth="1"/>
    <col min="8191" max="8192" width="9.140625" style="22" customWidth="1"/>
    <col min="8193" max="8193" width="9.42578125" style="22" bestFit="1" customWidth="1"/>
    <col min="8194" max="8194" width="8.42578125" style="22" bestFit="1" customWidth="1"/>
    <col min="8195" max="8197" width="8.42578125" style="22" customWidth="1"/>
    <col min="8198" max="8203" width="0" style="22" hidden="1" customWidth="1"/>
    <col min="8204" max="8204" width="9.85546875" style="22" customWidth="1"/>
    <col min="8205" max="8443" width="11.42578125" style="22"/>
    <col min="8444" max="8444" width="18.140625" style="22" customWidth="1"/>
    <col min="8445" max="8445" width="9.7109375" style="22" bestFit="1" customWidth="1"/>
    <col min="8446" max="8446" width="9.140625" style="22" bestFit="1" customWidth="1"/>
    <col min="8447" max="8448" width="9.140625" style="22" customWidth="1"/>
    <col min="8449" max="8449" width="9.42578125" style="22" bestFit="1" customWidth="1"/>
    <col min="8450" max="8450" width="8.42578125" style="22" bestFit="1" customWidth="1"/>
    <col min="8451" max="8453" width="8.42578125" style="22" customWidth="1"/>
    <col min="8454" max="8459" width="0" style="22" hidden="1" customWidth="1"/>
    <col min="8460" max="8460" width="9.85546875" style="22" customWidth="1"/>
    <col min="8461" max="8699" width="11.42578125" style="22"/>
    <col min="8700" max="8700" width="18.140625" style="22" customWidth="1"/>
    <col min="8701" max="8701" width="9.7109375" style="22" bestFit="1" customWidth="1"/>
    <col min="8702" max="8702" width="9.140625" style="22" bestFit="1" customWidth="1"/>
    <col min="8703" max="8704" width="9.140625" style="22" customWidth="1"/>
    <col min="8705" max="8705" width="9.42578125" style="22" bestFit="1" customWidth="1"/>
    <col min="8706" max="8706" width="8.42578125" style="22" bestFit="1" customWidth="1"/>
    <col min="8707" max="8709" width="8.42578125" style="22" customWidth="1"/>
    <col min="8710" max="8715" width="0" style="22" hidden="1" customWidth="1"/>
    <col min="8716" max="8716" width="9.85546875" style="22" customWidth="1"/>
    <col min="8717" max="8955" width="11.42578125" style="22"/>
    <col min="8956" max="8956" width="18.140625" style="22" customWidth="1"/>
    <col min="8957" max="8957" width="9.7109375" style="22" bestFit="1" customWidth="1"/>
    <col min="8958" max="8958" width="9.140625" style="22" bestFit="1" customWidth="1"/>
    <col min="8959" max="8960" width="9.140625" style="22" customWidth="1"/>
    <col min="8961" max="8961" width="9.42578125" style="22" bestFit="1" customWidth="1"/>
    <col min="8962" max="8962" width="8.42578125" style="22" bestFit="1" customWidth="1"/>
    <col min="8963" max="8965" width="8.42578125" style="22" customWidth="1"/>
    <col min="8966" max="8971" width="0" style="22" hidden="1" customWidth="1"/>
    <col min="8972" max="8972" width="9.85546875" style="22" customWidth="1"/>
    <col min="8973" max="9211" width="11.42578125" style="22"/>
    <col min="9212" max="9212" width="18.140625" style="22" customWidth="1"/>
    <col min="9213" max="9213" width="9.7109375" style="22" bestFit="1" customWidth="1"/>
    <col min="9214" max="9214" width="9.140625" style="22" bestFit="1" customWidth="1"/>
    <col min="9215" max="9216" width="9.140625" style="22" customWidth="1"/>
    <col min="9217" max="9217" width="9.42578125" style="22" bestFit="1" customWidth="1"/>
    <col min="9218" max="9218" width="8.42578125" style="22" bestFit="1" customWidth="1"/>
    <col min="9219" max="9221" width="8.42578125" style="22" customWidth="1"/>
    <col min="9222" max="9227" width="0" style="22" hidden="1" customWidth="1"/>
    <col min="9228" max="9228" width="9.85546875" style="22" customWidth="1"/>
    <col min="9229" max="9467" width="11.42578125" style="22"/>
    <col min="9468" max="9468" width="18.140625" style="22" customWidth="1"/>
    <col min="9469" max="9469" width="9.7109375" style="22" bestFit="1" customWidth="1"/>
    <col min="9470" max="9470" width="9.140625" style="22" bestFit="1" customWidth="1"/>
    <col min="9471" max="9472" width="9.140625" style="22" customWidth="1"/>
    <col min="9473" max="9473" width="9.42578125" style="22" bestFit="1" customWidth="1"/>
    <col min="9474" max="9474" width="8.42578125" style="22" bestFit="1" customWidth="1"/>
    <col min="9475" max="9477" width="8.42578125" style="22" customWidth="1"/>
    <col min="9478" max="9483" width="0" style="22" hidden="1" customWidth="1"/>
    <col min="9484" max="9484" width="9.85546875" style="22" customWidth="1"/>
    <col min="9485" max="9723" width="11.42578125" style="22"/>
    <col min="9724" max="9724" width="18.140625" style="22" customWidth="1"/>
    <col min="9725" max="9725" width="9.7109375" style="22" bestFit="1" customWidth="1"/>
    <col min="9726" max="9726" width="9.140625" style="22" bestFit="1" customWidth="1"/>
    <col min="9727" max="9728" width="9.140625" style="22" customWidth="1"/>
    <col min="9729" max="9729" width="9.42578125" style="22" bestFit="1" customWidth="1"/>
    <col min="9730" max="9730" width="8.42578125" style="22" bestFit="1" customWidth="1"/>
    <col min="9731" max="9733" width="8.42578125" style="22" customWidth="1"/>
    <col min="9734" max="9739" width="0" style="22" hidden="1" customWidth="1"/>
    <col min="9740" max="9740" width="9.85546875" style="22" customWidth="1"/>
    <col min="9741" max="9979" width="11.42578125" style="22"/>
    <col min="9980" max="9980" width="18.140625" style="22" customWidth="1"/>
    <col min="9981" max="9981" width="9.7109375" style="22" bestFit="1" customWidth="1"/>
    <col min="9982" max="9982" width="9.140625" style="22" bestFit="1" customWidth="1"/>
    <col min="9983" max="9984" width="9.140625" style="22" customWidth="1"/>
    <col min="9985" max="9985" width="9.42578125" style="22" bestFit="1" customWidth="1"/>
    <col min="9986" max="9986" width="8.42578125" style="22" bestFit="1" customWidth="1"/>
    <col min="9987" max="9989" width="8.42578125" style="22" customWidth="1"/>
    <col min="9990" max="9995" width="0" style="22" hidden="1" customWidth="1"/>
    <col min="9996" max="9996" width="9.85546875" style="22" customWidth="1"/>
    <col min="9997" max="10235" width="11.42578125" style="22"/>
    <col min="10236" max="10236" width="18.140625" style="22" customWidth="1"/>
    <col min="10237" max="10237" width="9.7109375" style="22" bestFit="1" customWidth="1"/>
    <col min="10238" max="10238" width="9.140625" style="22" bestFit="1" customWidth="1"/>
    <col min="10239" max="10240" width="9.140625" style="22" customWidth="1"/>
    <col min="10241" max="10241" width="9.42578125" style="22" bestFit="1" customWidth="1"/>
    <col min="10242" max="10242" width="8.42578125" style="22" bestFit="1" customWidth="1"/>
    <col min="10243" max="10245" width="8.42578125" style="22" customWidth="1"/>
    <col min="10246" max="10251" width="0" style="22" hidden="1" customWidth="1"/>
    <col min="10252" max="10252" width="9.85546875" style="22" customWidth="1"/>
    <col min="10253" max="10491" width="11.42578125" style="22"/>
    <col min="10492" max="10492" width="18.140625" style="22" customWidth="1"/>
    <col min="10493" max="10493" width="9.7109375" style="22" bestFit="1" customWidth="1"/>
    <col min="10494" max="10494" width="9.140625" style="22" bestFit="1" customWidth="1"/>
    <col min="10495" max="10496" width="9.140625" style="22" customWidth="1"/>
    <col min="10497" max="10497" width="9.42578125" style="22" bestFit="1" customWidth="1"/>
    <col min="10498" max="10498" width="8.42578125" style="22" bestFit="1" customWidth="1"/>
    <col min="10499" max="10501" width="8.42578125" style="22" customWidth="1"/>
    <col min="10502" max="10507" width="0" style="22" hidden="1" customWidth="1"/>
    <col min="10508" max="10508" width="9.85546875" style="22" customWidth="1"/>
    <col min="10509" max="10747" width="11.42578125" style="22"/>
    <col min="10748" max="10748" width="18.140625" style="22" customWidth="1"/>
    <col min="10749" max="10749" width="9.7109375" style="22" bestFit="1" customWidth="1"/>
    <col min="10750" max="10750" width="9.140625" style="22" bestFit="1" customWidth="1"/>
    <col min="10751" max="10752" width="9.140625" style="22" customWidth="1"/>
    <col min="10753" max="10753" width="9.42578125" style="22" bestFit="1" customWidth="1"/>
    <col min="10754" max="10754" width="8.42578125" style="22" bestFit="1" customWidth="1"/>
    <col min="10755" max="10757" width="8.42578125" style="22" customWidth="1"/>
    <col min="10758" max="10763" width="0" style="22" hidden="1" customWidth="1"/>
    <col min="10764" max="10764" width="9.85546875" style="22" customWidth="1"/>
    <col min="10765" max="11003" width="11.42578125" style="22"/>
    <col min="11004" max="11004" width="18.140625" style="22" customWidth="1"/>
    <col min="11005" max="11005" width="9.7109375" style="22" bestFit="1" customWidth="1"/>
    <col min="11006" max="11006" width="9.140625" style="22" bestFit="1" customWidth="1"/>
    <col min="11007" max="11008" width="9.140625" style="22" customWidth="1"/>
    <col min="11009" max="11009" width="9.42578125" style="22" bestFit="1" customWidth="1"/>
    <col min="11010" max="11010" width="8.42578125" style="22" bestFit="1" customWidth="1"/>
    <col min="11011" max="11013" width="8.42578125" style="22" customWidth="1"/>
    <col min="11014" max="11019" width="0" style="22" hidden="1" customWidth="1"/>
    <col min="11020" max="11020" width="9.85546875" style="22" customWidth="1"/>
    <col min="11021" max="11259" width="11.42578125" style="22"/>
    <col min="11260" max="11260" width="18.140625" style="22" customWidth="1"/>
    <col min="11261" max="11261" width="9.7109375" style="22" bestFit="1" customWidth="1"/>
    <col min="11262" max="11262" width="9.140625" style="22" bestFit="1" customWidth="1"/>
    <col min="11263" max="11264" width="9.140625" style="22" customWidth="1"/>
    <col min="11265" max="11265" width="9.42578125" style="22" bestFit="1" customWidth="1"/>
    <col min="11266" max="11266" width="8.42578125" style="22" bestFit="1" customWidth="1"/>
    <col min="11267" max="11269" width="8.42578125" style="22" customWidth="1"/>
    <col min="11270" max="11275" width="0" style="22" hidden="1" customWidth="1"/>
    <col min="11276" max="11276" width="9.85546875" style="22" customWidth="1"/>
    <col min="11277" max="11515" width="11.42578125" style="22"/>
    <col min="11516" max="11516" width="18.140625" style="22" customWidth="1"/>
    <col min="11517" max="11517" width="9.7109375" style="22" bestFit="1" customWidth="1"/>
    <col min="11518" max="11518" width="9.140625" style="22" bestFit="1" customWidth="1"/>
    <col min="11519" max="11520" width="9.140625" style="22" customWidth="1"/>
    <col min="11521" max="11521" width="9.42578125" style="22" bestFit="1" customWidth="1"/>
    <col min="11522" max="11522" width="8.42578125" style="22" bestFit="1" customWidth="1"/>
    <col min="11523" max="11525" width="8.42578125" style="22" customWidth="1"/>
    <col min="11526" max="11531" width="0" style="22" hidden="1" customWidth="1"/>
    <col min="11532" max="11532" width="9.85546875" style="22" customWidth="1"/>
    <col min="11533" max="11771" width="11.42578125" style="22"/>
    <col min="11772" max="11772" width="18.140625" style="22" customWidth="1"/>
    <col min="11773" max="11773" width="9.7109375" style="22" bestFit="1" customWidth="1"/>
    <col min="11774" max="11774" width="9.140625" style="22" bestFit="1" customWidth="1"/>
    <col min="11775" max="11776" width="9.140625" style="22" customWidth="1"/>
    <col min="11777" max="11777" width="9.42578125" style="22" bestFit="1" customWidth="1"/>
    <col min="11778" max="11778" width="8.42578125" style="22" bestFit="1" customWidth="1"/>
    <col min="11779" max="11781" width="8.42578125" style="22" customWidth="1"/>
    <col min="11782" max="11787" width="0" style="22" hidden="1" customWidth="1"/>
    <col min="11788" max="11788" width="9.85546875" style="22" customWidth="1"/>
    <col min="11789" max="12027" width="11.42578125" style="22"/>
    <col min="12028" max="12028" width="18.140625" style="22" customWidth="1"/>
    <col min="12029" max="12029" width="9.7109375" style="22" bestFit="1" customWidth="1"/>
    <col min="12030" max="12030" width="9.140625" style="22" bestFit="1" customWidth="1"/>
    <col min="12031" max="12032" width="9.140625" style="22" customWidth="1"/>
    <col min="12033" max="12033" width="9.42578125" style="22" bestFit="1" customWidth="1"/>
    <col min="12034" max="12034" width="8.42578125" style="22" bestFit="1" customWidth="1"/>
    <col min="12035" max="12037" width="8.42578125" style="22" customWidth="1"/>
    <col min="12038" max="12043" width="0" style="22" hidden="1" customWidth="1"/>
    <col min="12044" max="12044" width="9.85546875" style="22" customWidth="1"/>
    <col min="12045" max="12283" width="11.42578125" style="22"/>
    <col min="12284" max="12284" width="18.140625" style="22" customWidth="1"/>
    <col min="12285" max="12285" width="9.7109375" style="22" bestFit="1" customWidth="1"/>
    <col min="12286" max="12286" width="9.140625" style="22" bestFit="1" customWidth="1"/>
    <col min="12287" max="12288" width="9.140625" style="22" customWidth="1"/>
    <col min="12289" max="12289" width="9.42578125" style="22" bestFit="1" customWidth="1"/>
    <col min="12290" max="12290" width="8.42578125" style="22" bestFit="1" customWidth="1"/>
    <col min="12291" max="12293" width="8.42578125" style="22" customWidth="1"/>
    <col min="12294" max="12299" width="0" style="22" hidden="1" customWidth="1"/>
    <col min="12300" max="12300" width="9.85546875" style="22" customWidth="1"/>
    <col min="12301" max="12539" width="11.42578125" style="22"/>
    <col min="12540" max="12540" width="18.140625" style="22" customWidth="1"/>
    <col min="12541" max="12541" width="9.7109375" style="22" bestFit="1" customWidth="1"/>
    <col min="12542" max="12542" width="9.140625" style="22" bestFit="1" customWidth="1"/>
    <col min="12543" max="12544" width="9.140625" style="22" customWidth="1"/>
    <col min="12545" max="12545" width="9.42578125" style="22" bestFit="1" customWidth="1"/>
    <col min="12546" max="12546" width="8.42578125" style="22" bestFit="1" customWidth="1"/>
    <col min="12547" max="12549" width="8.42578125" style="22" customWidth="1"/>
    <col min="12550" max="12555" width="0" style="22" hidden="1" customWidth="1"/>
    <col min="12556" max="12556" width="9.85546875" style="22" customWidth="1"/>
    <col min="12557" max="12795" width="11.42578125" style="22"/>
    <col min="12796" max="12796" width="18.140625" style="22" customWidth="1"/>
    <col min="12797" max="12797" width="9.7109375" style="22" bestFit="1" customWidth="1"/>
    <col min="12798" max="12798" width="9.140625" style="22" bestFit="1" customWidth="1"/>
    <col min="12799" max="12800" width="9.140625" style="22" customWidth="1"/>
    <col min="12801" max="12801" width="9.42578125" style="22" bestFit="1" customWidth="1"/>
    <col min="12802" max="12802" width="8.42578125" style="22" bestFit="1" customWidth="1"/>
    <col min="12803" max="12805" width="8.42578125" style="22" customWidth="1"/>
    <col min="12806" max="12811" width="0" style="22" hidden="1" customWidth="1"/>
    <col min="12812" max="12812" width="9.85546875" style="22" customWidth="1"/>
    <col min="12813" max="13051" width="11.42578125" style="22"/>
    <col min="13052" max="13052" width="18.140625" style="22" customWidth="1"/>
    <col min="13053" max="13053" width="9.7109375" style="22" bestFit="1" customWidth="1"/>
    <col min="13054" max="13054" width="9.140625" style="22" bestFit="1" customWidth="1"/>
    <col min="13055" max="13056" width="9.140625" style="22" customWidth="1"/>
    <col min="13057" max="13057" width="9.42578125" style="22" bestFit="1" customWidth="1"/>
    <col min="13058" max="13058" width="8.42578125" style="22" bestFit="1" customWidth="1"/>
    <col min="13059" max="13061" width="8.42578125" style="22" customWidth="1"/>
    <col min="13062" max="13067" width="0" style="22" hidden="1" customWidth="1"/>
    <col min="13068" max="13068" width="9.85546875" style="22" customWidth="1"/>
    <col min="13069" max="13307" width="11.42578125" style="22"/>
    <col min="13308" max="13308" width="18.140625" style="22" customWidth="1"/>
    <col min="13309" max="13309" width="9.7109375" style="22" bestFit="1" customWidth="1"/>
    <col min="13310" max="13310" width="9.140625" style="22" bestFit="1" customWidth="1"/>
    <col min="13311" max="13312" width="9.140625" style="22" customWidth="1"/>
    <col min="13313" max="13313" width="9.42578125" style="22" bestFit="1" customWidth="1"/>
    <col min="13314" max="13314" width="8.42578125" style="22" bestFit="1" customWidth="1"/>
    <col min="13315" max="13317" width="8.42578125" style="22" customWidth="1"/>
    <col min="13318" max="13323" width="0" style="22" hidden="1" customWidth="1"/>
    <col min="13324" max="13324" width="9.85546875" style="22" customWidth="1"/>
    <col min="13325" max="13563" width="11.42578125" style="22"/>
    <col min="13564" max="13564" width="18.140625" style="22" customWidth="1"/>
    <col min="13565" max="13565" width="9.7109375" style="22" bestFit="1" customWidth="1"/>
    <col min="13566" max="13566" width="9.140625" style="22" bestFit="1" customWidth="1"/>
    <col min="13567" max="13568" width="9.140625" style="22" customWidth="1"/>
    <col min="13569" max="13569" width="9.42578125" style="22" bestFit="1" customWidth="1"/>
    <col min="13570" max="13570" width="8.42578125" style="22" bestFit="1" customWidth="1"/>
    <col min="13571" max="13573" width="8.42578125" style="22" customWidth="1"/>
    <col min="13574" max="13579" width="0" style="22" hidden="1" customWidth="1"/>
    <col min="13580" max="13580" width="9.85546875" style="22" customWidth="1"/>
    <col min="13581" max="13819" width="11.42578125" style="22"/>
    <col min="13820" max="13820" width="18.140625" style="22" customWidth="1"/>
    <col min="13821" max="13821" width="9.7109375" style="22" bestFit="1" customWidth="1"/>
    <col min="13822" max="13822" width="9.140625" style="22" bestFit="1" customWidth="1"/>
    <col min="13823" max="13824" width="9.140625" style="22" customWidth="1"/>
    <col min="13825" max="13825" width="9.42578125" style="22" bestFit="1" customWidth="1"/>
    <col min="13826" max="13826" width="8.42578125" style="22" bestFit="1" customWidth="1"/>
    <col min="13827" max="13829" width="8.42578125" style="22" customWidth="1"/>
    <col min="13830" max="13835" width="0" style="22" hidden="1" customWidth="1"/>
    <col min="13836" max="13836" width="9.85546875" style="22" customWidth="1"/>
    <col min="13837" max="14075" width="11.42578125" style="22"/>
    <col min="14076" max="14076" width="18.140625" style="22" customWidth="1"/>
    <col min="14077" max="14077" width="9.7109375" style="22" bestFit="1" customWidth="1"/>
    <col min="14078" max="14078" width="9.140625" style="22" bestFit="1" customWidth="1"/>
    <col min="14079" max="14080" width="9.140625" style="22" customWidth="1"/>
    <col min="14081" max="14081" width="9.42578125" style="22" bestFit="1" customWidth="1"/>
    <col min="14082" max="14082" width="8.42578125" style="22" bestFit="1" customWidth="1"/>
    <col min="14083" max="14085" width="8.42578125" style="22" customWidth="1"/>
    <col min="14086" max="14091" width="0" style="22" hidden="1" customWidth="1"/>
    <col min="14092" max="14092" width="9.85546875" style="22" customWidth="1"/>
    <col min="14093" max="14331" width="11.42578125" style="22"/>
    <col min="14332" max="14332" width="18.140625" style="22" customWidth="1"/>
    <col min="14333" max="14333" width="9.7109375" style="22" bestFit="1" customWidth="1"/>
    <col min="14334" max="14334" width="9.140625" style="22" bestFit="1" customWidth="1"/>
    <col min="14335" max="14336" width="9.140625" style="22" customWidth="1"/>
    <col min="14337" max="14337" width="9.42578125" style="22" bestFit="1" customWidth="1"/>
    <col min="14338" max="14338" width="8.42578125" style="22" bestFit="1" customWidth="1"/>
    <col min="14339" max="14341" width="8.42578125" style="22" customWidth="1"/>
    <col min="14342" max="14347" width="0" style="22" hidden="1" customWidth="1"/>
    <col min="14348" max="14348" width="9.85546875" style="22" customWidth="1"/>
    <col min="14349" max="14587" width="11.42578125" style="22"/>
    <col min="14588" max="14588" width="18.140625" style="22" customWidth="1"/>
    <col min="14589" max="14589" width="9.7109375" style="22" bestFit="1" customWidth="1"/>
    <col min="14590" max="14590" width="9.140625" style="22" bestFit="1" customWidth="1"/>
    <col min="14591" max="14592" width="9.140625" style="22" customWidth="1"/>
    <col min="14593" max="14593" width="9.42578125" style="22" bestFit="1" customWidth="1"/>
    <col min="14594" max="14594" width="8.42578125" style="22" bestFit="1" customWidth="1"/>
    <col min="14595" max="14597" width="8.42578125" style="22" customWidth="1"/>
    <col min="14598" max="14603" width="0" style="22" hidden="1" customWidth="1"/>
    <col min="14604" max="14604" width="9.85546875" style="22" customWidth="1"/>
    <col min="14605" max="14843" width="11.42578125" style="22"/>
    <col min="14844" max="14844" width="18.140625" style="22" customWidth="1"/>
    <col min="14845" max="14845" width="9.7109375" style="22" bestFit="1" customWidth="1"/>
    <col min="14846" max="14846" width="9.140625" style="22" bestFit="1" customWidth="1"/>
    <col min="14847" max="14848" width="9.140625" style="22" customWidth="1"/>
    <col min="14849" max="14849" width="9.42578125" style="22" bestFit="1" customWidth="1"/>
    <col min="14850" max="14850" width="8.42578125" style="22" bestFit="1" customWidth="1"/>
    <col min="14851" max="14853" width="8.42578125" style="22" customWidth="1"/>
    <col min="14854" max="14859" width="0" style="22" hidden="1" customWidth="1"/>
    <col min="14860" max="14860" width="9.85546875" style="22" customWidth="1"/>
    <col min="14861" max="15099" width="11.42578125" style="22"/>
    <col min="15100" max="15100" width="18.140625" style="22" customWidth="1"/>
    <col min="15101" max="15101" width="9.7109375" style="22" bestFit="1" customWidth="1"/>
    <col min="15102" max="15102" width="9.140625" style="22" bestFit="1" customWidth="1"/>
    <col min="15103" max="15104" width="9.140625" style="22" customWidth="1"/>
    <col min="15105" max="15105" width="9.42578125" style="22" bestFit="1" customWidth="1"/>
    <col min="15106" max="15106" width="8.42578125" style="22" bestFit="1" customWidth="1"/>
    <col min="15107" max="15109" width="8.42578125" style="22" customWidth="1"/>
    <col min="15110" max="15115" width="0" style="22" hidden="1" customWidth="1"/>
    <col min="15116" max="15116" width="9.85546875" style="22" customWidth="1"/>
    <col min="15117" max="15355" width="11.42578125" style="22"/>
    <col min="15356" max="15356" width="18.140625" style="22" customWidth="1"/>
    <col min="15357" max="15357" width="9.7109375" style="22" bestFit="1" customWidth="1"/>
    <col min="15358" max="15358" width="9.140625" style="22" bestFit="1" customWidth="1"/>
    <col min="15359" max="15360" width="9.140625" style="22" customWidth="1"/>
    <col min="15361" max="15361" width="9.42578125" style="22" bestFit="1" customWidth="1"/>
    <col min="15362" max="15362" width="8.42578125" style="22" bestFit="1" customWidth="1"/>
    <col min="15363" max="15365" width="8.42578125" style="22" customWidth="1"/>
    <col min="15366" max="15371" width="0" style="22" hidden="1" customWidth="1"/>
    <col min="15372" max="15372" width="9.85546875" style="22" customWidth="1"/>
    <col min="15373" max="15611" width="11.42578125" style="22"/>
    <col min="15612" max="15612" width="18.140625" style="22" customWidth="1"/>
    <col min="15613" max="15613" width="9.7109375" style="22" bestFit="1" customWidth="1"/>
    <col min="15614" max="15614" width="9.140625" style="22" bestFit="1" customWidth="1"/>
    <col min="15615" max="15616" width="9.140625" style="22" customWidth="1"/>
    <col min="15617" max="15617" width="9.42578125" style="22" bestFit="1" customWidth="1"/>
    <col min="15618" max="15618" width="8.42578125" style="22" bestFit="1" customWidth="1"/>
    <col min="15619" max="15621" width="8.42578125" style="22" customWidth="1"/>
    <col min="15622" max="15627" width="0" style="22" hidden="1" customWidth="1"/>
    <col min="15628" max="15628" width="9.85546875" style="22" customWidth="1"/>
    <col min="15629" max="15867" width="11.42578125" style="22"/>
    <col min="15868" max="15868" width="18.140625" style="22" customWidth="1"/>
    <col min="15869" max="15869" width="9.7109375" style="22" bestFit="1" customWidth="1"/>
    <col min="15870" max="15870" width="9.140625" style="22" bestFit="1" customWidth="1"/>
    <col min="15871" max="15872" width="9.140625" style="22" customWidth="1"/>
    <col min="15873" max="15873" width="9.42578125" style="22" bestFit="1" customWidth="1"/>
    <col min="15874" max="15874" width="8.42578125" style="22" bestFit="1" customWidth="1"/>
    <col min="15875" max="15877" width="8.42578125" style="22" customWidth="1"/>
    <col min="15878" max="15883" width="0" style="22" hidden="1" customWidth="1"/>
    <col min="15884" max="15884" width="9.85546875" style="22" customWidth="1"/>
    <col min="15885" max="16123" width="11.42578125" style="22"/>
    <col min="16124" max="16124" width="18.140625" style="22" customWidth="1"/>
    <col min="16125" max="16125" width="9.7109375" style="22" bestFit="1" customWidth="1"/>
    <col min="16126" max="16126" width="9.140625" style="22" bestFit="1" customWidth="1"/>
    <col min="16127" max="16128" width="9.140625" style="22" customWidth="1"/>
    <col min="16129" max="16129" width="9.42578125" style="22" bestFit="1" customWidth="1"/>
    <col min="16130" max="16130" width="8.42578125" style="22" bestFit="1" customWidth="1"/>
    <col min="16131" max="16133" width="8.42578125" style="22" customWidth="1"/>
    <col min="16134" max="16139" width="0" style="22" hidden="1" customWidth="1"/>
    <col min="16140" max="16140" width="9.85546875" style="22" customWidth="1"/>
    <col min="16141" max="16384" width="11.42578125" style="22"/>
  </cols>
  <sheetData>
    <row r="1" spans="1:16" s="23" customFormat="1" ht="12.75" customHeight="1" x14ac:dyDescent="0.2">
      <c r="B1" s="21"/>
      <c r="C1" s="21"/>
      <c r="D1" s="21"/>
      <c r="E1" s="21"/>
      <c r="F1" s="21"/>
      <c r="G1" s="21"/>
      <c r="H1" s="21"/>
      <c r="I1" s="21"/>
      <c r="J1" s="21"/>
      <c r="K1" s="21"/>
      <c r="L1" s="21"/>
    </row>
    <row r="2" spans="1:16" s="23" customFormat="1" ht="12.75" customHeight="1" x14ac:dyDescent="0.2">
      <c r="A2" s="40" t="s">
        <v>58</v>
      </c>
      <c r="B2" s="21"/>
      <c r="C2" s="21"/>
      <c r="D2" s="21"/>
      <c r="E2" s="21"/>
      <c r="F2" s="21"/>
      <c r="G2" s="21"/>
      <c r="H2" s="21"/>
      <c r="I2" s="21"/>
      <c r="K2" s="21"/>
      <c r="L2" s="21"/>
    </row>
    <row r="3" spans="1:16" s="23" customFormat="1" ht="12.75" customHeight="1" x14ac:dyDescent="0.25">
      <c r="A3" s="40" t="s">
        <v>59</v>
      </c>
      <c r="B3" s="21"/>
      <c r="C3" s="21"/>
      <c r="D3" s="21"/>
      <c r="E3" s="21"/>
      <c r="F3" s="21"/>
      <c r="G3" s="21"/>
      <c r="H3" s="21"/>
      <c r="I3" s="21"/>
      <c r="J3" s="88"/>
      <c r="K3" s="21"/>
      <c r="L3" s="21"/>
    </row>
    <row r="4" spans="1:16" s="23" customFormat="1" ht="12.75" customHeight="1" x14ac:dyDescent="0.2">
      <c r="B4" s="21"/>
      <c r="C4" s="21"/>
      <c r="D4" s="21"/>
      <c r="E4" s="21"/>
      <c r="F4" s="21"/>
      <c r="G4" s="21"/>
      <c r="H4" s="21"/>
      <c r="I4" s="21"/>
      <c r="J4" s="21"/>
      <c r="K4" s="21"/>
      <c r="L4" s="21"/>
    </row>
    <row r="5" spans="1:16" s="23" customFormat="1" ht="12.75" x14ac:dyDescent="0.2">
      <c r="B5" s="344" t="s">
        <v>585</v>
      </c>
      <c r="C5" s="344"/>
      <c r="D5" s="344"/>
      <c r="E5" s="344"/>
      <c r="F5" s="344"/>
      <c r="G5" s="344"/>
      <c r="H5" s="344"/>
      <c r="I5" s="344"/>
      <c r="J5" s="344"/>
      <c r="K5" s="344"/>
      <c r="M5" s="110" t="s">
        <v>509</v>
      </c>
      <c r="O5" s="89"/>
    </row>
    <row r="6" spans="1:16" s="23" customFormat="1" ht="12.75" x14ac:dyDescent="0.2">
      <c r="B6" s="374" t="str">
        <f>'Solicitudes Regiones'!$B$6:$R$6</f>
        <v>Julio de 2008 a junio de 2022</v>
      </c>
      <c r="C6" s="374"/>
      <c r="D6" s="374"/>
      <c r="E6" s="374"/>
      <c r="F6" s="374"/>
      <c r="G6" s="374"/>
      <c r="H6" s="374"/>
      <c r="I6" s="374"/>
      <c r="J6" s="374"/>
      <c r="K6" s="374"/>
      <c r="L6" s="48"/>
    </row>
    <row r="7" spans="1:16" x14ac:dyDescent="0.2">
      <c r="B7" s="24"/>
      <c r="C7" s="25"/>
      <c r="D7" s="25"/>
      <c r="E7" s="25"/>
      <c r="F7" s="25"/>
      <c r="G7" s="25"/>
      <c r="H7" s="25"/>
      <c r="I7" s="25"/>
      <c r="J7" s="25"/>
      <c r="K7" s="25"/>
      <c r="L7" s="25"/>
    </row>
    <row r="8" spans="1:16" ht="15" customHeight="1" x14ac:dyDescent="0.2">
      <c r="B8" s="373" t="s">
        <v>595</v>
      </c>
      <c r="C8" s="373"/>
      <c r="D8" s="373"/>
      <c r="E8" s="373"/>
      <c r="F8" s="373"/>
      <c r="G8" s="373"/>
      <c r="H8" s="373"/>
      <c r="I8" s="373"/>
      <c r="J8" s="373"/>
      <c r="K8" s="373"/>
      <c r="L8" s="373"/>
      <c r="M8" s="373"/>
    </row>
    <row r="9" spans="1:16" ht="20.25" customHeight="1" x14ac:dyDescent="0.2">
      <c r="B9" s="373" t="s">
        <v>41</v>
      </c>
      <c r="C9" s="370" t="s">
        <v>544</v>
      </c>
      <c r="D9" s="371"/>
      <c r="E9" s="371"/>
      <c r="F9" s="371"/>
      <c r="G9" s="371"/>
      <c r="H9" s="371"/>
      <c r="I9" s="371"/>
      <c r="J9" s="371"/>
      <c r="K9" s="371"/>
      <c r="L9" s="372"/>
      <c r="M9" s="307"/>
    </row>
    <row r="10" spans="1:16" ht="48" x14ac:dyDescent="0.2">
      <c r="B10" s="373"/>
      <c r="C10" s="20" t="s">
        <v>540</v>
      </c>
      <c r="D10" s="20" t="s">
        <v>42</v>
      </c>
      <c r="E10" s="20" t="s">
        <v>553</v>
      </c>
      <c r="F10" s="20" t="s">
        <v>554</v>
      </c>
      <c r="G10" s="20" t="s">
        <v>542</v>
      </c>
      <c r="H10" s="20" t="s">
        <v>2</v>
      </c>
      <c r="I10" s="20" t="s">
        <v>43</v>
      </c>
      <c r="J10" s="20" t="s">
        <v>549</v>
      </c>
      <c r="K10" s="296" t="s">
        <v>550</v>
      </c>
      <c r="L10" s="296" t="s">
        <v>523</v>
      </c>
      <c r="M10" s="296" t="s">
        <v>641</v>
      </c>
    </row>
    <row r="11" spans="1:16" x14ac:dyDescent="0.2">
      <c r="B11" s="16" t="s">
        <v>29</v>
      </c>
      <c r="C11" s="16">
        <v>10839</v>
      </c>
      <c r="D11" s="16">
        <v>6113</v>
      </c>
      <c r="E11" s="16">
        <f>C11+D11</f>
        <v>16952</v>
      </c>
      <c r="F11" s="17">
        <f>E11/$E$49</f>
        <v>0.17963145457820728</v>
      </c>
      <c r="G11" s="16">
        <v>36614</v>
      </c>
      <c r="H11" s="16">
        <v>7498</v>
      </c>
      <c r="I11" s="16">
        <v>2803</v>
      </c>
      <c r="J11" s="16">
        <v>46915</v>
      </c>
      <c r="K11" s="17">
        <f>J11/$J$49</f>
        <v>0.17053054755881242</v>
      </c>
      <c r="L11" s="16">
        <v>0</v>
      </c>
      <c r="M11" s="16">
        <f>L11+J11+E11</f>
        <v>63867</v>
      </c>
      <c r="P11" s="27"/>
    </row>
    <row r="12" spans="1:16" x14ac:dyDescent="0.2">
      <c r="B12" s="16" t="s">
        <v>112</v>
      </c>
      <c r="C12" s="16">
        <v>1217</v>
      </c>
      <c r="D12" s="16">
        <v>529</v>
      </c>
      <c r="E12" s="16">
        <f t="shared" ref="E12:E48" si="0">C12+D12</f>
        <v>1746</v>
      </c>
      <c r="F12" s="17">
        <f t="shared" ref="F12:F48" si="1">E12/$E$49</f>
        <v>1.8501446418921066E-2</v>
      </c>
      <c r="G12" s="16">
        <v>3885</v>
      </c>
      <c r="H12" s="16">
        <v>756</v>
      </c>
      <c r="I12" s="16">
        <v>204</v>
      </c>
      <c r="J12" s="16">
        <v>4845</v>
      </c>
      <c r="K12" s="17">
        <f t="shared" ref="K12:K49" si="2">J12/$J$49</f>
        <v>1.761100933438018E-2</v>
      </c>
      <c r="L12" s="16">
        <v>0</v>
      </c>
      <c r="M12" s="16">
        <f t="shared" ref="M12:M49" si="3">L12+J12+E12</f>
        <v>6591</v>
      </c>
      <c r="P12" s="27"/>
    </row>
    <row r="13" spans="1:16" x14ac:dyDescent="0.2">
      <c r="B13" s="16" t="s">
        <v>113</v>
      </c>
      <c r="C13" s="16">
        <v>873</v>
      </c>
      <c r="D13" s="16">
        <v>317</v>
      </c>
      <c r="E13" s="16">
        <f t="shared" si="0"/>
        <v>1190</v>
      </c>
      <c r="F13" s="17">
        <f t="shared" si="1"/>
        <v>1.260980597853154E-2</v>
      </c>
      <c r="G13" s="16">
        <v>2359</v>
      </c>
      <c r="H13" s="16">
        <v>421</v>
      </c>
      <c r="I13" s="16">
        <v>106</v>
      </c>
      <c r="J13" s="16">
        <v>2886</v>
      </c>
      <c r="K13" s="17">
        <f t="shared" si="2"/>
        <v>1.0490273052429555E-2</v>
      </c>
      <c r="L13" s="16">
        <v>0</v>
      </c>
      <c r="M13" s="16">
        <f t="shared" si="3"/>
        <v>4076</v>
      </c>
      <c r="P13" s="27"/>
    </row>
    <row r="14" spans="1:16" x14ac:dyDescent="0.2">
      <c r="B14" s="16" t="s">
        <v>114</v>
      </c>
      <c r="C14" s="16">
        <v>10055</v>
      </c>
      <c r="D14" s="16">
        <v>4122</v>
      </c>
      <c r="E14" s="16">
        <f t="shared" si="0"/>
        <v>14177</v>
      </c>
      <c r="F14" s="17">
        <f t="shared" si="1"/>
        <v>0.1502262347543207</v>
      </c>
      <c r="G14" s="16">
        <v>38215</v>
      </c>
      <c r="H14" s="16">
        <v>8942</v>
      </c>
      <c r="I14" s="16">
        <v>2137</v>
      </c>
      <c r="J14" s="16">
        <v>49294</v>
      </c>
      <c r="K14" s="17">
        <f t="shared" si="2"/>
        <v>0.17917793480473407</v>
      </c>
      <c r="L14" s="16">
        <v>0</v>
      </c>
      <c r="M14" s="16">
        <f t="shared" si="3"/>
        <v>63471</v>
      </c>
      <c r="P14" s="27"/>
    </row>
    <row r="15" spans="1:16" x14ac:dyDescent="0.2">
      <c r="B15" s="16" t="s">
        <v>115</v>
      </c>
      <c r="C15" s="16">
        <v>134</v>
      </c>
      <c r="D15" s="16">
        <v>77</v>
      </c>
      <c r="E15" s="16">
        <f t="shared" si="0"/>
        <v>211</v>
      </c>
      <c r="F15" s="17">
        <f t="shared" si="1"/>
        <v>2.2358563541766008E-3</v>
      </c>
      <c r="G15" s="16">
        <v>390</v>
      </c>
      <c r="H15" s="16">
        <v>57</v>
      </c>
      <c r="I15" s="16">
        <v>39</v>
      </c>
      <c r="J15" s="16">
        <v>486</v>
      </c>
      <c r="K15" s="17">
        <f t="shared" si="2"/>
        <v>1.766553258309343E-3</v>
      </c>
      <c r="L15" s="16">
        <v>0</v>
      </c>
      <c r="M15" s="16">
        <f t="shared" si="3"/>
        <v>697</v>
      </c>
      <c r="P15" s="27"/>
    </row>
    <row r="16" spans="1:16" x14ac:dyDescent="0.2">
      <c r="B16" s="16" t="s">
        <v>116</v>
      </c>
      <c r="C16" s="16">
        <v>2014</v>
      </c>
      <c r="D16" s="16">
        <v>953</v>
      </c>
      <c r="E16" s="16">
        <f t="shared" si="0"/>
        <v>2967</v>
      </c>
      <c r="F16" s="17">
        <f t="shared" si="1"/>
        <v>3.1439743141431158E-2</v>
      </c>
      <c r="G16" s="16">
        <v>8212</v>
      </c>
      <c r="H16" s="16">
        <v>1671</v>
      </c>
      <c r="I16" s="16">
        <v>515</v>
      </c>
      <c r="J16" s="16">
        <v>10398</v>
      </c>
      <c r="K16" s="17">
        <f t="shared" si="2"/>
        <v>3.7795516008025824E-2</v>
      </c>
      <c r="L16" s="16">
        <v>0</v>
      </c>
      <c r="M16" s="16">
        <f t="shared" si="3"/>
        <v>13365</v>
      </c>
      <c r="P16" s="27"/>
    </row>
    <row r="17" spans="2:16" x14ac:dyDescent="0.2">
      <c r="B17" s="16" t="s">
        <v>117</v>
      </c>
      <c r="C17" s="16">
        <v>208</v>
      </c>
      <c r="D17" s="16">
        <v>122</v>
      </c>
      <c r="E17" s="16">
        <f t="shared" si="0"/>
        <v>330</v>
      </c>
      <c r="F17" s="17">
        <f t="shared" si="1"/>
        <v>3.4968369520297551E-3</v>
      </c>
      <c r="G17" s="16">
        <v>1031</v>
      </c>
      <c r="H17" s="16">
        <v>130</v>
      </c>
      <c r="I17" s="16">
        <v>75</v>
      </c>
      <c r="J17" s="16">
        <v>1236</v>
      </c>
      <c r="K17" s="17">
        <f t="shared" si="2"/>
        <v>4.4927156939719099E-3</v>
      </c>
      <c r="L17" s="16">
        <v>0</v>
      </c>
      <c r="M17" s="16">
        <f t="shared" si="3"/>
        <v>1566</v>
      </c>
      <c r="P17" s="27"/>
    </row>
    <row r="18" spans="2:16" x14ac:dyDescent="0.2">
      <c r="B18" s="16" t="s">
        <v>118</v>
      </c>
      <c r="C18" s="16">
        <v>527</v>
      </c>
      <c r="D18" s="16">
        <v>312</v>
      </c>
      <c r="E18" s="16">
        <f t="shared" si="0"/>
        <v>839</v>
      </c>
      <c r="F18" s="17">
        <f t="shared" si="1"/>
        <v>8.8904430386453469E-3</v>
      </c>
      <c r="G18" s="16">
        <v>2077</v>
      </c>
      <c r="H18" s="16">
        <v>356</v>
      </c>
      <c r="I18" s="16">
        <v>126</v>
      </c>
      <c r="J18" s="16">
        <v>2559</v>
      </c>
      <c r="K18" s="17">
        <f t="shared" si="2"/>
        <v>9.3016662304806763E-3</v>
      </c>
      <c r="L18" s="16">
        <v>0</v>
      </c>
      <c r="M18" s="16">
        <f t="shared" si="3"/>
        <v>3398</v>
      </c>
      <c r="P18" s="27"/>
    </row>
    <row r="19" spans="2:16" x14ac:dyDescent="0.2">
      <c r="B19" s="16" t="s">
        <v>119</v>
      </c>
      <c r="C19" s="16">
        <v>232</v>
      </c>
      <c r="D19" s="16">
        <v>120</v>
      </c>
      <c r="E19" s="16">
        <f t="shared" si="0"/>
        <v>352</v>
      </c>
      <c r="F19" s="17">
        <f t="shared" si="1"/>
        <v>3.7299594154984054E-3</v>
      </c>
      <c r="G19" s="16">
        <v>656</v>
      </c>
      <c r="H19" s="16">
        <v>101</v>
      </c>
      <c r="I19" s="16">
        <v>57</v>
      </c>
      <c r="J19" s="16">
        <v>814</v>
      </c>
      <c r="K19" s="17">
        <f t="shared" si="2"/>
        <v>2.9587949635057724E-3</v>
      </c>
      <c r="L19" s="16">
        <v>0</v>
      </c>
      <c r="M19" s="16">
        <f t="shared" si="3"/>
        <v>1166</v>
      </c>
      <c r="P19" s="27"/>
    </row>
    <row r="20" spans="2:16" x14ac:dyDescent="0.2">
      <c r="B20" s="16" t="s">
        <v>120</v>
      </c>
      <c r="C20" s="16">
        <v>2235</v>
      </c>
      <c r="D20" s="16">
        <v>1168</v>
      </c>
      <c r="E20" s="16">
        <f t="shared" si="0"/>
        <v>3403</v>
      </c>
      <c r="F20" s="17">
        <f t="shared" si="1"/>
        <v>3.6059806508355323E-2</v>
      </c>
      <c r="G20" s="16">
        <v>6937</v>
      </c>
      <c r="H20" s="16">
        <v>1159</v>
      </c>
      <c r="I20" s="16">
        <v>545</v>
      </c>
      <c r="J20" s="16">
        <v>8641</v>
      </c>
      <c r="K20" s="17">
        <f t="shared" si="2"/>
        <v>3.1409026142080319E-2</v>
      </c>
      <c r="L20" s="16">
        <v>0</v>
      </c>
      <c r="M20" s="16">
        <f t="shared" si="3"/>
        <v>12044</v>
      </c>
      <c r="P20" s="27"/>
    </row>
    <row r="21" spans="2:16" x14ac:dyDescent="0.2">
      <c r="B21" s="16" t="s">
        <v>121</v>
      </c>
      <c r="C21" s="16">
        <v>835</v>
      </c>
      <c r="D21" s="16">
        <v>504</v>
      </c>
      <c r="E21" s="16">
        <f t="shared" si="0"/>
        <v>1339</v>
      </c>
      <c r="F21" s="17">
        <f t="shared" si="1"/>
        <v>1.4188680844751035E-2</v>
      </c>
      <c r="G21" s="16">
        <v>1995</v>
      </c>
      <c r="H21" s="16">
        <v>293</v>
      </c>
      <c r="I21" s="16">
        <v>205</v>
      </c>
      <c r="J21" s="16">
        <v>2493</v>
      </c>
      <c r="K21" s="17">
        <f t="shared" si="2"/>
        <v>9.0617639361423707E-3</v>
      </c>
      <c r="L21" s="16">
        <v>0</v>
      </c>
      <c r="M21" s="16">
        <f t="shared" si="3"/>
        <v>3832</v>
      </c>
      <c r="P21" s="27"/>
    </row>
    <row r="22" spans="2:16" x14ac:dyDescent="0.2">
      <c r="B22" s="16" t="s">
        <v>122</v>
      </c>
      <c r="C22" s="16">
        <v>490</v>
      </c>
      <c r="D22" s="16">
        <v>223</v>
      </c>
      <c r="E22" s="16">
        <f t="shared" si="0"/>
        <v>713</v>
      </c>
      <c r="F22" s="17">
        <f t="shared" si="1"/>
        <v>7.5552871115067127E-3</v>
      </c>
      <c r="G22" s="16">
        <v>1817</v>
      </c>
      <c r="H22" s="16">
        <v>269</v>
      </c>
      <c r="I22" s="16">
        <v>150</v>
      </c>
      <c r="J22" s="16">
        <v>2236</v>
      </c>
      <c r="K22" s="17">
        <f t="shared" si="2"/>
        <v>8.127598941521999E-3</v>
      </c>
      <c r="L22" s="16">
        <v>0</v>
      </c>
      <c r="M22" s="16">
        <f t="shared" si="3"/>
        <v>2949</v>
      </c>
      <c r="P22" s="27"/>
    </row>
    <row r="23" spans="2:16" x14ac:dyDescent="0.2">
      <c r="B23" s="16" t="s">
        <v>123</v>
      </c>
      <c r="C23" s="16">
        <v>3726</v>
      </c>
      <c r="D23" s="16">
        <v>2017</v>
      </c>
      <c r="E23" s="16">
        <f t="shared" si="0"/>
        <v>5743</v>
      </c>
      <c r="F23" s="17">
        <f t="shared" si="1"/>
        <v>6.0855559440929949E-2</v>
      </c>
      <c r="G23" s="16">
        <v>11996</v>
      </c>
      <c r="H23" s="16">
        <v>2360</v>
      </c>
      <c r="I23" s="16">
        <v>986</v>
      </c>
      <c r="J23" s="16">
        <v>15342</v>
      </c>
      <c r="K23" s="17">
        <f t="shared" si="2"/>
        <v>5.576637878391346E-2</v>
      </c>
      <c r="L23" s="16">
        <v>0</v>
      </c>
      <c r="M23" s="16">
        <f t="shared" si="3"/>
        <v>21085</v>
      </c>
      <c r="P23" s="27"/>
    </row>
    <row r="24" spans="2:16" x14ac:dyDescent="0.2">
      <c r="B24" s="16" t="s">
        <v>124</v>
      </c>
      <c r="C24" s="16">
        <v>1222</v>
      </c>
      <c r="D24" s="16">
        <v>554</v>
      </c>
      <c r="E24" s="16">
        <f t="shared" si="0"/>
        <v>1776</v>
      </c>
      <c r="F24" s="17">
        <f t="shared" si="1"/>
        <v>1.8819340687287408E-2</v>
      </c>
      <c r="G24" s="16">
        <v>3060</v>
      </c>
      <c r="H24" s="16">
        <v>475</v>
      </c>
      <c r="I24" s="16">
        <v>262</v>
      </c>
      <c r="J24" s="16">
        <v>3797</v>
      </c>
      <c r="K24" s="17">
        <f t="shared" si="2"/>
        <v>1.3801651690947686E-2</v>
      </c>
      <c r="L24" s="16">
        <v>0</v>
      </c>
      <c r="M24" s="16">
        <f t="shared" si="3"/>
        <v>5573</v>
      </c>
      <c r="P24" s="27"/>
    </row>
    <row r="25" spans="2:16" x14ac:dyDescent="0.2">
      <c r="B25" s="16" t="s">
        <v>125</v>
      </c>
      <c r="C25" s="16">
        <v>862</v>
      </c>
      <c r="D25" s="16">
        <v>264</v>
      </c>
      <c r="E25" s="16">
        <f t="shared" si="0"/>
        <v>1126</v>
      </c>
      <c r="F25" s="17">
        <f t="shared" si="1"/>
        <v>1.1931631539350012E-2</v>
      </c>
      <c r="G25" s="16">
        <v>2602</v>
      </c>
      <c r="H25" s="16">
        <v>587</v>
      </c>
      <c r="I25" s="16">
        <v>119</v>
      </c>
      <c r="J25" s="16">
        <v>3308</v>
      </c>
      <c r="K25" s="17">
        <f t="shared" si="2"/>
        <v>1.2024193782895693E-2</v>
      </c>
      <c r="L25" s="16">
        <v>0</v>
      </c>
      <c r="M25" s="16">
        <f t="shared" si="3"/>
        <v>4434</v>
      </c>
      <c r="P25" s="27"/>
    </row>
    <row r="26" spans="2:16" x14ac:dyDescent="0.2">
      <c r="B26" s="16" t="s">
        <v>126</v>
      </c>
      <c r="C26" s="16">
        <v>1909</v>
      </c>
      <c r="D26" s="16">
        <v>1071</v>
      </c>
      <c r="E26" s="16">
        <f t="shared" si="0"/>
        <v>2980</v>
      </c>
      <c r="F26" s="17">
        <f t="shared" si="1"/>
        <v>3.1577497324389907E-2</v>
      </c>
      <c r="G26" s="16">
        <v>9632</v>
      </c>
      <c r="H26" s="16">
        <v>2030</v>
      </c>
      <c r="I26" s="16">
        <v>692</v>
      </c>
      <c r="J26" s="16">
        <v>12354</v>
      </c>
      <c r="K26" s="17">
        <f t="shared" si="2"/>
        <v>4.4905347640233795E-2</v>
      </c>
      <c r="L26" s="16">
        <v>0</v>
      </c>
      <c r="M26" s="16">
        <f t="shared" si="3"/>
        <v>15334</v>
      </c>
      <c r="P26" s="27"/>
    </row>
    <row r="27" spans="2:16" x14ac:dyDescent="0.2">
      <c r="B27" s="16" t="s">
        <v>127</v>
      </c>
      <c r="C27" s="16">
        <v>828</v>
      </c>
      <c r="D27" s="16">
        <v>462</v>
      </c>
      <c r="E27" s="16">
        <f t="shared" si="0"/>
        <v>1290</v>
      </c>
      <c r="F27" s="17">
        <f t="shared" si="1"/>
        <v>1.3669453539752678E-2</v>
      </c>
      <c r="G27" s="16">
        <v>3278</v>
      </c>
      <c r="H27" s="16">
        <v>535</v>
      </c>
      <c r="I27" s="16">
        <v>209</v>
      </c>
      <c r="J27" s="16">
        <v>4022</v>
      </c>
      <c r="K27" s="17">
        <f t="shared" si="2"/>
        <v>1.4619500421646456E-2</v>
      </c>
      <c r="L27" s="16">
        <v>0</v>
      </c>
      <c r="M27" s="16">
        <f t="shared" si="3"/>
        <v>5312</v>
      </c>
      <c r="P27" s="27"/>
    </row>
    <row r="28" spans="2:16" x14ac:dyDescent="0.2">
      <c r="B28" s="16" t="s">
        <v>128</v>
      </c>
      <c r="C28" s="16">
        <v>605</v>
      </c>
      <c r="D28" s="16">
        <v>488</v>
      </c>
      <c r="E28" s="16">
        <f t="shared" si="0"/>
        <v>1093</v>
      </c>
      <c r="F28" s="17">
        <f t="shared" si="1"/>
        <v>1.1581947844147037E-2</v>
      </c>
      <c r="G28" s="16">
        <v>2177</v>
      </c>
      <c r="H28" s="16">
        <v>307</v>
      </c>
      <c r="I28" s="16">
        <v>182</v>
      </c>
      <c r="J28" s="16">
        <v>2666</v>
      </c>
      <c r="K28" s="17">
        <f t="shared" si="2"/>
        <v>9.6905987379685369E-3</v>
      </c>
      <c r="L28" s="16">
        <v>0</v>
      </c>
      <c r="M28" s="16">
        <f t="shared" si="3"/>
        <v>3759</v>
      </c>
      <c r="P28" s="27"/>
    </row>
    <row r="29" spans="2:16" x14ac:dyDescent="0.2">
      <c r="B29" s="16" t="s">
        <v>129</v>
      </c>
      <c r="C29" s="16">
        <v>49</v>
      </c>
      <c r="D29" s="16">
        <v>4</v>
      </c>
      <c r="E29" s="16">
        <f t="shared" si="0"/>
        <v>53</v>
      </c>
      <c r="F29" s="17">
        <f t="shared" si="1"/>
        <v>5.6161320744720306E-4</v>
      </c>
      <c r="G29" s="16">
        <v>86</v>
      </c>
      <c r="H29" s="16">
        <v>6</v>
      </c>
      <c r="I29" s="16">
        <v>2</v>
      </c>
      <c r="J29" s="16">
        <v>94</v>
      </c>
      <c r="K29" s="17">
        <f t="shared" si="2"/>
        <v>3.4167902526970832E-4</v>
      </c>
      <c r="L29" s="16">
        <v>0</v>
      </c>
      <c r="M29" s="16">
        <f t="shared" si="3"/>
        <v>147</v>
      </c>
      <c r="P29" s="27"/>
    </row>
    <row r="30" spans="2:16" x14ac:dyDescent="0.2">
      <c r="B30" s="16" t="s">
        <v>130</v>
      </c>
      <c r="C30" s="16">
        <v>1005</v>
      </c>
      <c r="D30" s="16">
        <v>375</v>
      </c>
      <c r="E30" s="16">
        <f t="shared" si="0"/>
        <v>1380</v>
      </c>
      <c r="F30" s="17">
        <f t="shared" si="1"/>
        <v>1.4623136344851703E-2</v>
      </c>
      <c r="G30" s="16">
        <v>2977</v>
      </c>
      <c r="H30" s="16">
        <v>601</v>
      </c>
      <c r="I30" s="16">
        <v>157</v>
      </c>
      <c r="J30" s="16">
        <v>3735</v>
      </c>
      <c r="K30" s="17">
        <f t="shared" si="2"/>
        <v>1.3576288929599582E-2</v>
      </c>
      <c r="L30" s="16">
        <v>0</v>
      </c>
      <c r="M30" s="16">
        <f t="shared" si="3"/>
        <v>5115</v>
      </c>
      <c r="P30" s="27"/>
    </row>
    <row r="31" spans="2:16" x14ac:dyDescent="0.2">
      <c r="B31" s="16" t="s">
        <v>131</v>
      </c>
      <c r="C31" s="16">
        <v>1162</v>
      </c>
      <c r="D31" s="16">
        <v>607</v>
      </c>
      <c r="E31" s="16">
        <f t="shared" si="0"/>
        <v>1769</v>
      </c>
      <c r="F31" s="17">
        <f t="shared" si="1"/>
        <v>1.8745165358001928E-2</v>
      </c>
      <c r="G31" s="16">
        <v>3582</v>
      </c>
      <c r="H31" s="16">
        <v>728</v>
      </c>
      <c r="I31" s="16">
        <v>224</v>
      </c>
      <c r="J31" s="16">
        <v>4534</v>
      </c>
      <c r="K31" s="17">
        <f t="shared" si="2"/>
        <v>1.64805606443921E-2</v>
      </c>
      <c r="L31" s="16">
        <v>0</v>
      </c>
      <c r="M31" s="16">
        <f t="shared" si="3"/>
        <v>6303</v>
      </c>
      <c r="P31" s="27"/>
    </row>
    <row r="32" spans="2:16" x14ac:dyDescent="0.2">
      <c r="B32" s="16" t="s">
        <v>132</v>
      </c>
      <c r="C32" s="16">
        <v>3116</v>
      </c>
      <c r="D32" s="16">
        <v>1512</v>
      </c>
      <c r="E32" s="16">
        <f t="shared" si="0"/>
        <v>4628</v>
      </c>
      <c r="F32" s="17">
        <f t="shared" si="1"/>
        <v>4.9040489133314262E-2</v>
      </c>
      <c r="G32" s="16">
        <v>11620</v>
      </c>
      <c r="H32" s="16">
        <v>2106</v>
      </c>
      <c r="I32" s="16">
        <v>787</v>
      </c>
      <c r="J32" s="16">
        <v>14513</v>
      </c>
      <c r="K32" s="17">
        <f t="shared" si="2"/>
        <v>5.2753060571694439E-2</v>
      </c>
      <c r="L32" s="16">
        <v>0</v>
      </c>
      <c r="M32" s="16">
        <f t="shared" si="3"/>
        <v>19141</v>
      </c>
      <c r="P32" s="27"/>
    </row>
    <row r="33" spans="2:16" x14ac:dyDescent="0.2">
      <c r="B33" s="16" t="s">
        <v>133</v>
      </c>
      <c r="C33" s="16">
        <v>1758</v>
      </c>
      <c r="D33" s="16">
        <v>1011</v>
      </c>
      <c r="E33" s="16">
        <f t="shared" si="0"/>
        <v>2769</v>
      </c>
      <c r="F33" s="17">
        <f t="shared" si="1"/>
        <v>2.9341640970213308E-2</v>
      </c>
      <c r="G33" s="16">
        <v>4465</v>
      </c>
      <c r="H33" s="16">
        <v>605</v>
      </c>
      <c r="I33" s="16">
        <v>355</v>
      </c>
      <c r="J33" s="16">
        <v>5425</v>
      </c>
      <c r="K33" s="17">
        <f t="shared" si="2"/>
        <v>1.9719241617959231E-2</v>
      </c>
      <c r="L33" s="16">
        <v>0</v>
      </c>
      <c r="M33" s="16">
        <f t="shared" si="3"/>
        <v>8194</v>
      </c>
      <c r="P33" s="27"/>
    </row>
    <row r="34" spans="2:16" x14ac:dyDescent="0.2">
      <c r="B34" s="16" t="s">
        <v>134</v>
      </c>
      <c r="C34" s="16">
        <v>830</v>
      </c>
      <c r="D34" s="16">
        <v>655</v>
      </c>
      <c r="E34" s="16">
        <f t="shared" si="0"/>
        <v>1485</v>
      </c>
      <c r="F34" s="17">
        <f t="shared" si="1"/>
        <v>1.5735766284133899E-2</v>
      </c>
      <c r="G34" s="16">
        <v>2517</v>
      </c>
      <c r="H34" s="16">
        <v>443</v>
      </c>
      <c r="I34" s="16">
        <v>188</v>
      </c>
      <c r="J34" s="16">
        <v>3148</v>
      </c>
      <c r="K34" s="17">
        <f t="shared" si="2"/>
        <v>1.1442612463287679E-2</v>
      </c>
      <c r="L34" s="16">
        <v>0</v>
      </c>
      <c r="M34" s="16">
        <f t="shared" si="3"/>
        <v>4633</v>
      </c>
      <c r="P34" s="27"/>
    </row>
    <row r="35" spans="2:16" x14ac:dyDescent="0.2">
      <c r="B35" s="16" t="s">
        <v>135</v>
      </c>
      <c r="C35" s="16">
        <v>924</v>
      </c>
      <c r="D35" s="16">
        <v>476</v>
      </c>
      <c r="E35" s="16">
        <f t="shared" si="0"/>
        <v>1400</v>
      </c>
      <c r="F35" s="17">
        <f t="shared" si="1"/>
        <v>1.483506585709593E-2</v>
      </c>
      <c r="G35" s="16">
        <v>2975</v>
      </c>
      <c r="H35" s="16">
        <v>507</v>
      </c>
      <c r="I35" s="16">
        <v>187</v>
      </c>
      <c r="J35" s="16">
        <v>3669</v>
      </c>
      <c r="K35" s="17">
        <f t="shared" si="2"/>
        <v>1.3336386635261275E-2</v>
      </c>
      <c r="L35" s="16">
        <v>0</v>
      </c>
      <c r="M35" s="16">
        <f t="shared" si="3"/>
        <v>5069</v>
      </c>
      <c r="P35" s="27"/>
    </row>
    <row r="36" spans="2:16" x14ac:dyDescent="0.2">
      <c r="B36" s="16" t="s">
        <v>136</v>
      </c>
      <c r="C36" s="16">
        <v>281</v>
      </c>
      <c r="D36" s="16">
        <v>109</v>
      </c>
      <c r="E36" s="16">
        <f t="shared" si="0"/>
        <v>390</v>
      </c>
      <c r="F36" s="17">
        <f t="shared" si="1"/>
        <v>4.1326254887624377E-3</v>
      </c>
      <c r="G36" s="16">
        <v>860</v>
      </c>
      <c r="H36" s="16">
        <v>109</v>
      </c>
      <c r="I36" s="16">
        <v>45</v>
      </c>
      <c r="J36" s="16">
        <v>1014</v>
      </c>
      <c r="K36" s="17">
        <f t="shared" si="2"/>
        <v>3.6857716130157901E-3</v>
      </c>
      <c r="L36" s="16">
        <v>0</v>
      </c>
      <c r="M36" s="16">
        <f t="shared" si="3"/>
        <v>1404</v>
      </c>
      <c r="P36" s="27"/>
    </row>
    <row r="37" spans="2:16" x14ac:dyDescent="0.2">
      <c r="B37" s="16" t="s">
        <v>137</v>
      </c>
      <c r="C37" s="16">
        <v>348</v>
      </c>
      <c r="D37" s="16">
        <v>292</v>
      </c>
      <c r="E37" s="16">
        <f t="shared" si="0"/>
        <v>640</v>
      </c>
      <c r="F37" s="17">
        <f t="shared" si="1"/>
        <v>6.7817443918152826E-3</v>
      </c>
      <c r="G37" s="16">
        <v>1263</v>
      </c>
      <c r="H37" s="16">
        <v>158</v>
      </c>
      <c r="I37" s="16">
        <v>143</v>
      </c>
      <c r="J37" s="16">
        <v>1564</v>
      </c>
      <c r="K37" s="17">
        <f t="shared" si="2"/>
        <v>5.684957399168339E-3</v>
      </c>
      <c r="L37" s="16">
        <v>0</v>
      </c>
      <c r="M37" s="16">
        <f t="shared" si="3"/>
        <v>2204</v>
      </c>
      <c r="P37" s="27"/>
    </row>
    <row r="38" spans="2:16" x14ac:dyDescent="0.2">
      <c r="B38" s="16" t="s">
        <v>138</v>
      </c>
      <c r="C38" s="16">
        <v>709</v>
      </c>
      <c r="D38" s="16">
        <v>204</v>
      </c>
      <c r="E38" s="16">
        <f t="shared" si="0"/>
        <v>913</v>
      </c>
      <c r="F38" s="17">
        <f t="shared" si="1"/>
        <v>9.6745822339489879E-3</v>
      </c>
      <c r="G38" s="16">
        <v>1937</v>
      </c>
      <c r="H38" s="16">
        <v>313</v>
      </c>
      <c r="I38" s="16">
        <v>74</v>
      </c>
      <c r="J38" s="16">
        <v>2324</v>
      </c>
      <c r="K38" s="17">
        <f t="shared" si="2"/>
        <v>8.447468667306406E-3</v>
      </c>
      <c r="L38" s="16">
        <v>0</v>
      </c>
      <c r="M38" s="16">
        <f t="shared" si="3"/>
        <v>3237</v>
      </c>
      <c r="P38" s="27"/>
    </row>
    <row r="39" spans="2:16" x14ac:dyDescent="0.2">
      <c r="B39" s="16" t="s">
        <v>139</v>
      </c>
      <c r="C39" s="16">
        <v>729</v>
      </c>
      <c r="D39" s="16">
        <v>255</v>
      </c>
      <c r="E39" s="16">
        <f t="shared" si="0"/>
        <v>984</v>
      </c>
      <c r="F39" s="17">
        <f t="shared" si="1"/>
        <v>1.0426932002415996E-2</v>
      </c>
      <c r="G39" s="16">
        <v>2181</v>
      </c>
      <c r="H39" s="16">
        <v>463</v>
      </c>
      <c r="I39" s="16">
        <v>125</v>
      </c>
      <c r="J39" s="16">
        <v>2769</v>
      </c>
      <c r="K39" s="17">
        <f t="shared" si="2"/>
        <v>1.0064991712466196E-2</v>
      </c>
      <c r="L39" s="16">
        <v>0</v>
      </c>
      <c r="M39" s="16">
        <f t="shared" si="3"/>
        <v>3753</v>
      </c>
      <c r="P39" s="27"/>
    </row>
    <row r="40" spans="2:16" x14ac:dyDescent="0.2">
      <c r="B40" s="16" t="s">
        <v>140</v>
      </c>
      <c r="C40" s="16">
        <v>400</v>
      </c>
      <c r="D40" s="16">
        <v>111</v>
      </c>
      <c r="E40" s="16">
        <f t="shared" si="0"/>
        <v>511</v>
      </c>
      <c r="F40" s="17">
        <f t="shared" si="1"/>
        <v>5.4147990378400146E-3</v>
      </c>
      <c r="G40" s="16">
        <v>1163</v>
      </c>
      <c r="H40" s="16">
        <v>266</v>
      </c>
      <c r="I40" s="16">
        <v>54</v>
      </c>
      <c r="J40" s="16">
        <v>1483</v>
      </c>
      <c r="K40" s="17">
        <f t="shared" si="2"/>
        <v>5.3905318561167813E-3</v>
      </c>
      <c r="L40" s="16">
        <v>0</v>
      </c>
      <c r="M40" s="16">
        <f t="shared" si="3"/>
        <v>1994</v>
      </c>
      <c r="P40" s="27"/>
    </row>
    <row r="41" spans="2:16" x14ac:dyDescent="0.2">
      <c r="B41" s="16" t="s">
        <v>141</v>
      </c>
      <c r="C41" s="16">
        <v>296</v>
      </c>
      <c r="D41" s="16">
        <v>198</v>
      </c>
      <c r="E41" s="16">
        <f t="shared" si="0"/>
        <v>494</v>
      </c>
      <c r="F41" s="17">
        <f t="shared" si="1"/>
        <v>5.2346589524324208E-3</v>
      </c>
      <c r="G41" s="16">
        <v>1408</v>
      </c>
      <c r="H41" s="16">
        <v>225</v>
      </c>
      <c r="I41" s="16">
        <v>92</v>
      </c>
      <c r="J41" s="16">
        <v>1725</v>
      </c>
      <c r="K41" s="17">
        <f t="shared" si="2"/>
        <v>6.2701736020239034E-3</v>
      </c>
      <c r="L41" s="16">
        <v>0</v>
      </c>
      <c r="M41" s="16">
        <f t="shared" si="3"/>
        <v>2219</v>
      </c>
      <c r="P41" s="27"/>
    </row>
    <row r="42" spans="2:16" x14ac:dyDescent="0.2">
      <c r="B42" s="16" t="s">
        <v>142</v>
      </c>
      <c r="C42" s="16">
        <v>575</v>
      </c>
      <c r="D42" s="16">
        <v>318</v>
      </c>
      <c r="E42" s="16">
        <f t="shared" si="0"/>
        <v>893</v>
      </c>
      <c r="F42" s="17">
        <f t="shared" si="1"/>
        <v>9.4626527217047604E-3</v>
      </c>
      <c r="G42" s="16">
        <v>1790</v>
      </c>
      <c r="H42" s="16">
        <v>247</v>
      </c>
      <c r="I42" s="16">
        <v>83</v>
      </c>
      <c r="J42" s="16">
        <v>2120</v>
      </c>
      <c r="K42" s="17">
        <f t="shared" si="2"/>
        <v>7.7059524848061877E-3</v>
      </c>
      <c r="L42" s="16">
        <v>0</v>
      </c>
      <c r="M42" s="16">
        <f t="shared" si="3"/>
        <v>3013</v>
      </c>
      <c r="P42" s="27"/>
    </row>
    <row r="43" spans="2:16" x14ac:dyDescent="0.2">
      <c r="B43" s="16" t="s">
        <v>143</v>
      </c>
      <c r="C43" s="16">
        <v>203</v>
      </c>
      <c r="D43" s="16">
        <v>129</v>
      </c>
      <c r="E43" s="16">
        <f t="shared" si="0"/>
        <v>332</v>
      </c>
      <c r="F43" s="17">
        <f t="shared" si="1"/>
        <v>3.5180299032541778E-3</v>
      </c>
      <c r="G43" s="16">
        <v>881</v>
      </c>
      <c r="H43" s="16">
        <v>175</v>
      </c>
      <c r="I43" s="16">
        <v>67</v>
      </c>
      <c r="J43" s="16">
        <v>1123</v>
      </c>
      <c r="K43" s="17">
        <f t="shared" si="2"/>
        <v>4.0819738869987496E-3</v>
      </c>
      <c r="L43" s="16">
        <v>0</v>
      </c>
      <c r="M43" s="16">
        <f t="shared" si="3"/>
        <v>1455</v>
      </c>
      <c r="P43" s="27"/>
    </row>
    <row r="44" spans="2:16" x14ac:dyDescent="0.2">
      <c r="B44" s="16" t="s">
        <v>144</v>
      </c>
      <c r="C44" s="16">
        <v>366</v>
      </c>
      <c r="D44" s="16">
        <v>231</v>
      </c>
      <c r="E44" s="16">
        <f t="shared" si="0"/>
        <v>597</v>
      </c>
      <c r="F44" s="17">
        <f t="shared" si="1"/>
        <v>6.326095940490193E-3</v>
      </c>
      <c r="G44" s="16">
        <v>1927</v>
      </c>
      <c r="H44" s="16">
        <v>328</v>
      </c>
      <c r="I44" s="16">
        <v>97</v>
      </c>
      <c r="J44" s="16">
        <v>2352</v>
      </c>
      <c r="K44" s="17">
        <f t="shared" si="2"/>
        <v>8.5492453982378078E-3</v>
      </c>
      <c r="L44" s="16">
        <v>0</v>
      </c>
      <c r="M44" s="16">
        <f t="shared" si="3"/>
        <v>2949</v>
      </c>
      <c r="P44" s="27"/>
    </row>
    <row r="45" spans="2:16" x14ac:dyDescent="0.2">
      <c r="B45" s="16" t="s">
        <v>145</v>
      </c>
      <c r="C45" s="16">
        <v>5295</v>
      </c>
      <c r="D45" s="16">
        <v>2445</v>
      </c>
      <c r="E45" s="16">
        <f t="shared" si="0"/>
        <v>7740</v>
      </c>
      <c r="F45" s="17">
        <f t="shared" si="1"/>
        <v>8.2016721238516069E-2</v>
      </c>
      <c r="G45" s="16">
        <v>18330</v>
      </c>
      <c r="H45" s="16">
        <v>3633</v>
      </c>
      <c r="I45" s="16">
        <v>1139</v>
      </c>
      <c r="J45" s="16">
        <v>23102</v>
      </c>
      <c r="K45" s="17">
        <f t="shared" si="2"/>
        <v>8.3973072784902153E-2</v>
      </c>
      <c r="L45" s="16">
        <v>0</v>
      </c>
      <c r="M45" s="16">
        <f t="shared" si="3"/>
        <v>30842</v>
      </c>
      <c r="P45" s="27"/>
    </row>
    <row r="46" spans="2:16" x14ac:dyDescent="0.2">
      <c r="B46" s="16" t="s">
        <v>146</v>
      </c>
      <c r="C46" s="16">
        <v>1687</v>
      </c>
      <c r="D46" s="16">
        <v>763</v>
      </c>
      <c r="E46" s="16">
        <f t="shared" si="0"/>
        <v>2450</v>
      </c>
      <c r="F46" s="17">
        <f t="shared" si="1"/>
        <v>2.5961365249917878E-2</v>
      </c>
      <c r="G46" s="16">
        <v>5936</v>
      </c>
      <c r="H46" s="16">
        <v>1036</v>
      </c>
      <c r="I46" s="16">
        <v>402</v>
      </c>
      <c r="J46" s="16">
        <v>7374</v>
      </c>
      <c r="K46" s="17">
        <f t="shared" si="2"/>
        <v>2.6803629067434356E-2</v>
      </c>
      <c r="L46" s="16">
        <v>0</v>
      </c>
      <c r="M46" s="16">
        <f t="shared" si="3"/>
        <v>9824</v>
      </c>
      <c r="P46" s="27"/>
    </row>
    <row r="47" spans="2:16" x14ac:dyDescent="0.2">
      <c r="B47" s="16" t="s">
        <v>147</v>
      </c>
      <c r="C47" s="16">
        <v>702</v>
      </c>
      <c r="D47" s="16">
        <v>361</v>
      </c>
      <c r="E47" s="16">
        <f t="shared" si="0"/>
        <v>1063</v>
      </c>
      <c r="F47" s="17">
        <f t="shared" si="1"/>
        <v>1.1264053575780695E-2</v>
      </c>
      <c r="G47" s="16">
        <v>2178</v>
      </c>
      <c r="H47" s="16">
        <v>350</v>
      </c>
      <c r="I47" s="16">
        <v>155</v>
      </c>
      <c r="J47" s="16">
        <v>2683</v>
      </c>
      <c r="K47" s="17">
        <f t="shared" si="2"/>
        <v>9.7523917531768881E-3</v>
      </c>
      <c r="L47" s="16">
        <v>0</v>
      </c>
      <c r="M47" s="16">
        <f t="shared" si="3"/>
        <v>3746</v>
      </c>
      <c r="P47" s="27"/>
    </row>
    <row r="48" spans="2:16" x14ac:dyDescent="0.2">
      <c r="B48" s="16" t="s">
        <v>148</v>
      </c>
      <c r="C48" s="16">
        <v>3565</v>
      </c>
      <c r="D48" s="16">
        <v>2088</v>
      </c>
      <c r="E48" s="16">
        <f t="shared" si="0"/>
        <v>5653</v>
      </c>
      <c r="F48" s="17">
        <f t="shared" si="1"/>
        <v>5.9901876635830922E-2</v>
      </c>
      <c r="G48" s="16">
        <v>12779</v>
      </c>
      <c r="H48" s="16">
        <v>2439</v>
      </c>
      <c r="I48" s="16">
        <v>851</v>
      </c>
      <c r="J48" s="16">
        <v>16069</v>
      </c>
      <c r="K48" s="17">
        <f t="shared" si="2"/>
        <v>5.8408938904882378E-2</v>
      </c>
      <c r="L48" s="16">
        <v>0</v>
      </c>
      <c r="M48" s="16">
        <f t="shared" si="3"/>
        <v>21722</v>
      </c>
      <c r="P48" s="27"/>
    </row>
    <row r="49" spans="2:16" x14ac:dyDescent="0.2">
      <c r="B49" s="18" t="s">
        <v>39</v>
      </c>
      <c r="C49" s="16">
        <f t="shared" ref="C49" si="4">SUM(C11:C48)</f>
        <v>62811</v>
      </c>
      <c r="D49" s="16">
        <f t="shared" ref="D49" si="5">SUM(D11:D48)</f>
        <v>31560</v>
      </c>
      <c r="E49" s="18">
        <f t="shared" ref="E49" si="6">C49+D49</f>
        <v>94371</v>
      </c>
      <c r="F49" s="19">
        <f t="shared" ref="F49" si="7">E49/$E$49</f>
        <v>1</v>
      </c>
      <c r="G49" s="16">
        <f t="shared" ref="G49:J49" si="8">SUM(G11:G48)</f>
        <v>217788</v>
      </c>
      <c r="H49" s="16">
        <f t="shared" si="8"/>
        <v>42685</v>
      </c>
      <c r="I49" s="16">
        <f t="shared" si="8"/>
        <v>14639</v>
      </c>
      <c r="J49" s="16">
        <f t="shared" si="8"/>
        <v>275112</v>
      </c>
      <c r="K49" s="17">
        <f t="shared" si="2"/>
        <v>1</v>
      </c>
      <c r="L49" s="16">
        <f t="shared" ref="L49" si="9">SUM(L11:L48)</f>
        <v>0</v>
      </c>
      <c r="M49" s="16">
        <f t="shared" si="3"/>
        <v>369483</v>
      </c>
      <c r="P49" s="27"/>
    </row>
    <row r="50" spans="2:16" ht="25.5" customHeight="1" x14ac:dyDescent="0.2">
      <c r="B50" s="28" t="s">
        <v>44</v>
      </c>
      <c r="C50" s="29">
        <f>+C49/M49</f>
        <v>0.16999699580224259</v>
      </c>
      <c r="D50" s="29">
        <f>+D49/M49</f>
        <v>8.541664975113876E-2</v>
      </c>
      <c r="E50" s="30">
        <f>+E49/M49</f>
        <v>0.25541364555338136</v>
      </c>
      <c r="F50" s="30"/>
      <c r="G50" s="29">
        <f>+G49/M49</f>
        <v>0.58943983891004459</v>
      </c>
      <c r="H50" s="29">
        <f>+H49/M49</f>
        <v>0.11552628943686177</v>
      </c>
      <c r="I50" s="29">
        <f>+I49/M49</f>
        <v>3.9620226099712302E-2</v>
      </c>
      <c r="J50" s="30">
        <f>+J49/M49</f>
        <v>0.74458635444661869</v>
      </c>
      <c r="K50" s="30"/>
      <c r="L50" s="30">
        <f>+L49/M49</f>
        <v>0</v>
      </c>
      <c r="M50" s="30">
        <f>J50+L50+E50</f>
        <v>1</v>
      </c>
    </row>
    <row r="51" spans="2:16" x14ac:dyDescent="0.2">
      <c r="B51" s="21"/>
      <c r="C51" s="34"/>
      <c r="D51" s="34"/>
      <c r="E51" s="34"/>
      <c r="F51" s="34"/>
      <c r="G51" s="34"/>
      <c r="H51" s="34"/>
      <c r="I51" s="34"/>
      <c r="J51" s="34"/>
      <c r="K51" s="34"/>
    </row>
    <row r="52" spans="2:16" ht="12.75" x14ac:dyDescent="0.2">
      <c r="B52" s="344" t="s">
        <v>586</v>
      </c>
      <c r="C52" s="344"/>
      <c r="D52" s="344"/>
      <c r="E52" s="344"/>
      <c r="F52" s="344"/>
      <c r="G52" s="344"/>
      <c r="H52" s="344"/>
      <c r="I52" s="344"/>
      <c r="J52" s="344"/>
      <c r="K52" s="344"/>
    </row>
    <row r="53" spans="2:16" ht="12.75" x14ac:dyDescent="0.2">
      <c r="B53" s="374" t="str">
        <f>'Solicitudes Regiones'!$B$6:$R$6</f>
        <v>Julio de 2008 a junio de 2022</v>
      </c>
      <c r="C53" s="374"/>
      <c r="D53" s="374"/>
      <c r="E53" s="374"/>
      <c r="F53" s="374"/>
      <c r="G53" s="374"/>
      <c r="H53" s="374"/>
      <c r="I53" s="374"/>
      <c r="J53" s="374"/>
      <c r="K53" s="374"/>
    </row>
    <row r="54" spans="2:16" x14ac:dyDescent="0.2">
      <c r="B54" s="21"/>
      <c r="C54" s="34"/>
      <c r="D54" s="34"/>
      <c r="E54" s="34"/>
      <c r="F54" s="34"/>
      <c r="G54" s="34"/>
      <c r="H54" s="34"/>
      <c r="I54" s="34"/>
      <c r="J54" s="34"/>
      <c r="K54" s="34"/>
    </row>
    <row r="55" spans="2:16" ht="15" customHeight="1" x14ac:dyDescent="0.2">
      <c r="B55" s="373" t="s">
        <v>596</v>
      </c>
      <c r="C55" s="373"/>
      <c r="D55" s="373"/>
      <c r="E55" s="373"/>
      <c r="F55" s="373"/>
      <c r="G55" s="373"/>
      <c r="H55" s="373"/>
      <c r="I55" s="373"/>
      <c r="J55" s="373"/>
      <c r="K55" s="373"/>
      <c r="L55" s="373"/>
      <c r="M55" s="373"/>
    </row>
    <row r="56" spans="2:16" ht="15" customHeight="1" x14ac:dyDescent="0.2">
      <c r="B56" s="373" t="s">
        <v>41</v>
      </c>
      <c r="C56" s="370" t="s">
        <v>544</v>
      </c>
      <c r="D56" s="371"/>
      <c r="E56" s="371"/>
      <c r="F56" s="371"/>
      <c r="G56" s="371"/>
      <c r="H56" s="371"/>
      <c r="I56" s="371"/>
      <c r="J56" s="371"/>
      <c r="K56" s="371"/>
      <c r="L56" s="372"/>
      <c r="M56" s="307"/>
    </row>
    <row r="57" spans="2:16" ht="48" x14ac:dyDescent="0.2">
      <c r="B57" s="373"/>
      <c r="C57" s="20" t="s">
        <v>540</v>
      </c>
      <c r="D57" s="20" t="s">
        <v>42</v>
      </c>
      <c r="E57" s="20" t="s">
        <v>553</v>
      </c>
      <c r="F57" s="20" t="s">
        <v>554</v>
      </c>
      <c r="G57" s="20" t="s">
        <v>542</v>
      </c>
      <c r="H57" s="20" t="s">
        <v>2</v>
      </c>
      <c r="I57" s="20" t="s">
        <v>43</v>
      </c>
      <c r="J57" s="20" t="s">
        <v>549</v>
      </c>
      <c r="K57" s="296" t="s">
        <v>550</v>
      </c>
      <c r="L57" s="296" t="s">
        <v>523</v>
      </c>
      <c r="M57" s="296" t="s">
        <v>641</v>
      </c>
    </row>
    <row r="58" spans="2:16" x14ac:dyDescent="0.2">
      <c r="B58" s="16" t="s">
        <v>29</v>
      </c>
      <c r="C58" s="16">
        <v>9611</v>
      </c>
      <c r="D58" s="16">
        <v>4146</v>
      </c>
      <c r="E58" s="16">
        <f>C58+D58</f>
        <v>13757</v>
      </c>
      <c r="F58" s="17">
        <f>E58/$E$96</f>
        <v>0.1864900769981564</v>
      </c>
      <c r="G58" s="16">
        <v>31174</v>
      </c>
      <c r="H58" s="16">
        <v>3753</v>
      </c>
      <c r="I58" s="16">
        <v>2390</v>
      </c>
      <c r="J58" s="16">
        <v>37317</v>
      </c>
      <c r="K58" s="17">
        <f>J58/$J$96</f>
        <v>0.17274549469269476</v>
      </c>
      <c r="L58" s="16">
        <v>0</v>
      </c>
      <c r="M58" s="16">
        <f>L58+J58+E58</f>
        <v>51074</v>
      </c>
    </row>
    <row r="59" spans="2:16" x14ac:dyDescent="0.2">
      <c r="B59" s="16" t="s">
        <v>112</v>
      </c>
      <c r="C59" s="16">
        <v>987</v>
      </c>
      <c r="D59" s="16">
        <v>355</v>
      </c>
      <c r="E59" s="16">
        <f t="shared" ref="E59:E95" si="10">C59+D59</f>
        <v>1342</v>
      </c>
      <c r="F59" s="17">
        <f t="shared" ref="F59:F95" si="11">E59/$E$96</f>
        <v>1.8192170046632688E-2</v>
      </c>
      <c r="G59" s="16">
        <v>2923</v>
      </c>
      <c r="H59" s="16">
        <v>399</v>
      </c>
      <c r="I59" s="16">
        <v>170</v>
      </c>
      <c r="J59" s="16">
        <v>3492</v>
      </c>
      <c r="K59" s="17">
        <f t="shared" ref="K59:K96" si="12">J59/$J$96</f>
        <v>1.6164945399332477E-2</v>
      </c>
      <c r="L59" s="16">
        <v>0</v>
      </c>
      <c r="M59" s="16">
        <f t="shared" ref="M59:M96" si="13">L59+J59+E59</f>
        <v>4834</v>
      </c>
    </row>
    <row r="60" spans="2:16" x14ac:dyDescent="0.2">
      <c r="B60" s="16" t="s">
        <v>113</v>
      </c>
      <c r="C60" s="16">
        <v>712</v>
      </c>
      <c r="D60" s="16">
        <v>165</v>
      </c>
      <c r="E60" s="16">
        <f t="shared" si="10"/>
        <v>877</v>
      </c>
      <c r="F60" s="17">
        <f t="shared" si="11"/>
        <v>1.1888623793514803E-2</v>
      </c>
      <c r="G60" s="16">
        <v>1921</v>
      </c>
      <c r="H60" s="16">
        <v>187</v>
      </c>
      <c r="I60" s="16">
        <v>94</v>
      </c>
      <c r="J60" s="16">
        <v>2202</v>
      </c>
      <c r="K60" s="17">
        <f t="shared" si="12"/>
        <v>1.0193359040472543E-2</v>
      </c>
      <c r="L60" s="16">
        <v>0</v>
      </c>
      <c r="M60" s="16">
        <f t="shared" si="13"/>
        <v>3079</v>
      </c>
    </row>
    <row r="61" spans="2:16" x14ac:dyDescent="0.2">
      <c r="B61" s="16" t="s">
        <v>114</v>
      </c>
      <c r="C61" s="16">
        <v>8732</v>
      </c>
      <c r="D61" s="16">
        <v>2918</v>
      </c>
      <c r="E61" s="16">
        <f t="shared" si="10"/>
        <v>11650</v>
      </c>
      <c r="F61" s="17">
        <f t="shared" si="11"/>
        <v>0.15792755666413621</v>
      </c>
      <c r="G61" s="16">
        <v>31410</v>
      </c>
      <c r="H61" s="16">
        <v>4154</v>
      </c>
      <c r="I61" s="16">
        <v>1826</v>
      </c>
      <c r="J61" s="16">
        <v>37390</v>
      </c>
      <c r="K61" s="17">
        <f t="shared" si="12"/>
        <v>0.17308342167269225</v>
      </c>
      <c r="L61" s="16">
        <v>0</v>
      </c>
      <c r="M61" s="16">
        <f t="shared" si="13"/>
        <v>49040</v>
      </c>
    </row>
    <row r="62" spans="2:16" x14ac:dyDescent="0.2">
      <c r="B62" s="16" t="s">
        <v>115</v>
      </c>
      <c r="C62" s="16">
        <v>115</v>
      </c>
      <c r="D62" s="16">
        <v>53</v>
      </c>
      <c r="E62" s="16">
        <f t="shared" si="10"/>
        <v>168</v>
      </c>
      <c r="F62" s="17">
        <f t="shared" si="11"/>
        <v>2.277410259190977E-3</v>
      </c>
      <c r="G62" s="16">
        <v>333</v>
      </c>
      <c r="H62" s="16">
        <v>29</v>
      </c>
      <c r="I62" s="16">
        <v>32</v>
      </c>
      <c r="J62" s="16">
        <v>394</v>
      </c>
      <c r="K62" s="17">
        <f t="shared" si="12"/>
        <v>1.8238798646440426E-3</v>
      </c>
      <c r="L62" s="16">
        <v>0</v>
      </c>
      <c r="M62" s="16">
        <f t="shared" si="13"/>
        <v>562</v>
      </c>
    </row>
    <row r="63" spans="2:16" x14ac:dyDescent="0.2">
      <c r="B63" s="16" t="s">
        <v>116</v>
      </c>
      <c r="C63" s="16">
        <v>1585</v>
      </c>
      <c r="D63" s="16">
        <v>504</v>
      </c>
      <c r="E63" s="16">
        <f t="shared" si="10"/>
        <v>2089</v>
      </c>
      <c r="F63" s="17">
        <f t="shared" si="11"/>
        <v>2.8318512091963996E-2</v>
      </c>
      <c r="G63" s="16">
        <v>6798</v>
      </c>
      <c r="H63" s="16">
        <v>817</v>
      </c>
      <c r="I63" s="16">
        <v>433</v>
      </c>
      <c r="J63" s="16">
        <v>8048</v>
      </c>
      <c r="K63" s="17">
        <f t="shared" si="12"/>
        <v>3.725529226054633E-2</v>
      </c>
      <c r="L63" s="16">
        <v>0</v>
      </c>
      <c r="M63" s="16">
        <f t="shared" si="13"/>
        <v>10137</v>
      </c>
    </row>
    <row r="64" spans="2:16" x14ac:dyDescent="0.2">
      <c r="B64" s="16" t="s">
        <v>117</v>
      </c>
      <c r="C64" s="16">
        <v>181</v>
      </c>
      <c r="D64" s="16">
        <v>70</v>
      </c>
      <c r="E64" s="16">
        <f t="shared" si="10"/>
        <v>251</v>
      </c>
      <c r="F64" s="17">
        <f t="shared" si="11"/>
        <v>3.4025593753389005E-3</v>
      </c>
      <c r="G64" s="16">
        <v>917</v>
      </c>
      <c r="H64" s="16">
        <v>73</v>
      </c>
      <c r="I64" s="16">
        <v>67</v>
      </c>
      <c r="J64" s="16">
        <v>1057</v>
      </c>
      <c r="K64" s="17">
        <f t="shared" si="12"/>
        <v>4.8929975048953118E-3</v>
      </c>
      <c r="L64" s="16">
        <v>0</v>
      </c>
      <c r="M64" s="16">
        <f t="shared" si="13"/>
        <v>1308</v>
      </c>
    </row>
    <row r="65" spans="2:13" x14ac:dyDescent="0.2">
      <c r="B65" s="16" t="s">
        <v>118</v>
      </c>
      <c r="C65" s="16">
        <v>410</v>
      </c>
      <c r="D65" s="16">
        <v>141</v>
      </c>
      <c r="E65" s="16">
        <f t="shared" si="10"/>
        <v>551</v>
      </c>
      <c r="F65" s="17">
        <f t="shared" si="11"/>
        <v>7.4693634096085022E-3</v>
      </c>
      <c r="G65" s="16">
        <v>1774</v>
      </c>
      <c r="H65" s="16">
        <v>156</v>
      </c>
      <c r="I65" s="16">
        <v>106</v>
      </c>
      <c r="J65" s="16">
        <v>2036</v>
      </c>
      <c r="K65" s="17">
        <f t="shared" si="12"/>
        <v>9.4249223462316515E-3</v>
      </c>
      <c r="L65" s="16">
        <v>0</v>
      </c>
      <c r="M65" s="16">
        <f t="shared" si="13"/>
        <v>2587</v>
      </c>
    </row>
    <row r="66" spans="2:13" x14ac:dyDescent="0.2">
      <c r="B66" s="16" t="s">
        <v>119</v>
      </c>
      <c r="C66" s="16">
        <v>212</v>
      </c>
      <c r="D66" s="16">
        <v>71</v>
      </c>
      <c r="E66" s="16">
        <f t="shared" si="10"/>
        <v>283</v>
      </c>
      <c r="F66" s="17">
        <f t="shared" si="11"/>
        <v>3.836351805660991E-3</v>
      </c>
      <c r="G66" s="16">
        <v>541</v>
      </c>
      <c r="H66" s="16">
        <v>61</v>
      </c>
      <c r="I66" s="16">
        <v>39</v>
      </c>
      <c r="J66" s="16">
        <v>641</v>
      </c>
      <c r="K66" s="17">
        <f t="shared" si="12"/>
        <v>2.9672766325807899E-3</v>
      </c>
      <c r="L66" s="16">
        <v>0</v>
      </c>
      <c r="M66" s="16">
        <f t="shared" si="13"/>
        <v>924</v>
      </c>
    </row>
    <row r="67" spans="2:13" x14ac:dyDescent="0.2">
      <c r="B67" s="16" t="s">
        <v>120</v>
      </c>
      <c r="C67" s="16">
        <v>1978</v>
      </c>
      <c r="D67" s="16">
        <v>709</v>
      </c>
      <c r="E67" s="16">
        <f t="shared" si="10"/>
        <v>2687</v>
      </c>
      <c r="F67" s="17">
        <f t="shared" si="11"/>
        <v>3.6425008133608071E-2</v>
      </c>
      <c r="G67" s="16">
        <v>6005</v>
      </c>
      <c r="H67" s="16">
        <v>630</v>
      </c>
      <c r="I67" s="16">
        <v>445</v>
      </c>
      <c r="J67" s="16">
        <v>7080</v>
      </c>
      <c r="K67" s="17">
        <f t="shared" si="12"/>
        <v>3.277428792304523E-2</v>
      </c>
      <c r="L67" s="16">
        <v>0</v>
      </c>
      <c r="M67" s="16">
        <f t="shared" si="13"/>
        <v>9767</v>
      </c>
    </row>
    <row r="68" spans="2:13" x14ac:dyDescent="0.2">
      <c r="B68" s="16" t="s">
        <v>121</v>
      </c>
      <c r="C68" s="16">
        <v>738</v>
      </c>
      <c r="D68" s="16">
        <v>279</v>
      </c>
      <c r="E68" s="16">
        <f t="shared" si="10"/>
        <v>1017</v>
      </c>
      <c r="F68" s="17">
        <f t="shared" si="11"/>
        <v>1.3786465676173951E-2</v>
      </c>
      <c r="G68" s="16">
        <v>1791</v>
      </c>
      <c r="H68" s="16">
        <v>122</v>
      </c>
      <c r="I68" s="16">
        <v>179</v>
      </c>
      <c r="J68" s="16">
        <v>2092</v>
      </c>
      <c r="K68" s="17">
        <f t="shared" si="12"/>
        <v>9.6841540021201447E-3</v>
      </c>
      <c r="L68" s="16">
        <v>0</v>
      </c>
      <c r="M68" s="16">
        <f t="shared" si="13"/>
        <v>3109</v>
      </c>
    </row>
    <row r="69" spans="2:13" x14ac:dyDescent="0.2">
      <c r="B69" s="16" t="s">
        <v>122</v>
      </c>
      <c r="C69" s="16">
        <v>419</v>
      </c>
      <c r="D69" s="16">
        <v>137</v>
      </c>
      <c r="E69" s="16">
        <f t="shared" si="10"/>
        <v>556</v>
      </c>
      <c r="F69" s="17">
        <f t="shared" si="11"/>
        <v>7.5371434768463294E-3</v>
      </c>
      <c r="G69" s="16">
        <v>1511</v>
      </c>
      <c r="H69" s="16">
        <v>149</v>
      </c>
      <c r="I69" s="16">
        <v>112</v>
      </c>
      <c r="J69" s="16">
        <v>1772</v>
      </c>
      <c r="K69" s="17">
        <f t="shared" si="12"/>
        <v>8.2028302541858975E-3</v>
      </c>
      <c r="L69" s="16">
        <v>0</v>
      </c>
      <c r="M69" s="16">
        <f t="shared" si="13"/>
        <v>2328</v>
      </c>
    </row>
    <row r="70" spans="2:13" x14ac:dyDescent="0.2">
      <c r="B70" s="16" t="s">
        <v>123</v>
      </c>
      <c r="C70" s="16">
        <v>3045</v>
      </c>
      <c r="D70" s="16">
        <v>1273</v>
      </c>
      <c r="E70" s="16">
        <f t="shared" si="10"/>
        <v>4318</v>
      </c>
      <c r="F70" s="17">
        <f t="shared" si="11"/>
        <v>5.8534866066587136E-2</v>
      </c>
      <c r="G70" s="16">
        <v>10222</v>
      </c>
      <c r="H70" s="16">
        <v>965</v>
      </c>
      <c r="I70" s="16">
        <v>816</v>
      </c>
      <c r="J70" s="16">
        <v>12003</v>
      </c>
      <c r="K70" s="17">
        <f t="shared" si="12"/>
        <v>5.5563527957671173E-2</v>
      </c>
      <c r="L70" s="16">
        <v>0</v>
      </c>
      <c r="M70" s="16">
        <f t="shared" si="13"/>
        <v>16321</v>
      </c>
    </row>
    <row r="71" spans="2:13" x14ac:dyDescent="0.2">
      <c r="B71" s="16" t="s">
        <v>124</v>
      </c>
      <c r="C71" s="16">
        <v>1079</v>
      </c>
      <c r="D71" s="16">
        <v>305</v>
      </c>
      <c r="E71" s="16">
        <f t="shared" si="10"/>
        <v>1384</v>
      </c>
      <c r="F71" s="17">
        <f t="shared" si="11"/>
        <v>1.876152261143043E-2</v>
      </c>
      <c r="G71" s="16">
        <v>2660</v>
      </c>
      <c r="H71" s="16">
        <v>261</v>
      </c>
      <c r="I71" s="16">
        <v>212</v>
      </c>
      <c r="J71" s="16">
        <v>3133</v>
      </c>
      <c r="K71" s="17">
        <f t="shared" si="12"/>
        <v>1.4503085319618744E-2</v>
      </c>
      <c r="L71" s="16">
        <v>0</v>
      </c>
      <c r="M71" s="16">
        <f t="shared" si="13"/>
        <v>4517</v>
      </c>
    </row>
    <row r="72" spans="2:13" x14ac:dyDescent="0.2">
      <c r="B72" s="16" t="s">
        <v>125</v>
      </c>
      <c r="C72" s="16">
        <v>705</v>
      </c>
      <c r="D72" s="16">
        <v>153</v>
      </c>
      <c r="E72" s="16">
        <f t="shared" si="10"/>
        <v>858</v>
      </c>
      <c r="F72" s="17">
        <f t="shared" si="11"/>
        <v>1.1631059538011062E-2</v>
      </c>
      <c r="G72" s="16">
        <v>2026</v>
      </c>
      <c r="H72" s="16">
        <v>293</v>
      </c>
      <c r="I72" s="16">
        <v>95</v>
      </c>
      <c r="J72" s="16">
        <v>2414</v>
      </c>
      <c r="K72" s="17">
        <f t="shared" si="12"/>
        <v>1.1174736023478982E-2</v>
      </c>
      <c r="L72" s="16">
        <v>0</v>
      </c>
      <c r="M72" s="16">
        <f t="shared" si="13"/>
        <v>3272</v>
      </c>
    </row>
    <row r="73" spans="2:13" x14ac:dyDescent="0.2">
      <c r="B73" s="16" t="s">
        <v>126</v>
      </c>
      <c r="C73" s="16">
        <v>1642</v>
      </c>
      <c r="D73" s="16">
        <v>649</v>
      </c>
      <c r="E73" s="16">
        <f t="shared" si="10"/>
        <v>2291</v>
      </c>
      <c r="F73" s="17">
        <f t="shared" si="11"/>
        <v>3.1056826808372195E-2</v>
      </c>
      <c r="G73" s="16">
        <v>8245</v>
      </c>
      <c r="H73" s="16">
        <v>982</v>
      </c>
      <c r="I73" s="16">
        <v>596</v>
      </c>
      <c r="J73" s="16">
        <v>9823</v>
      </c>
      <c r="K73" s="17">
        <f t="shared" si="12"/>
        <v>4.5472009924869113E-2</v>
      </c>
      <c r="L73" s="16">
        <v>0</v>
      </c>
      <c r="M73" s="16">
        <f t="shared" si="13"/>
        <v>12114</v>
      </c>
    </row>
    <row r="74" spans="2:13" x14ac:dyDescent="0.2">
      <c r="B74" s="16" t="s">
        <v>127</v>
      </c>
      <c r="C74" s="16">
        <v>739</v>
      </c>
      <c r="D74" s="16">
        <v>232</v>
      </c>
      <c r="E74" s="16">
        <f t="shared" si="10"/>
        <v>971</v>
      </c>
      <c r="F74" s="17">
        <f t="shared" si="11"/>
        <v>1.3162889057585945E-2</v>
      </c>
      <c r="G74" s="16">
        <v>2891</v>
      </c>
      <c r="H74" s="16">
        <v>289</v>
      </c>
      <c r="I74" s="16">
        <v>173</v>
      </c>
      <c r="J74" s="16">
        <v>3353</v>
      </c>
      <c r="K74" s="17">
        <f t="shared" si="12"/>
        <v>1.552149539632354E-2</v>
      </c>
      <c r="L74" s="16">
        <v>0</v>
      </c>
      <c r="M74" s="16">
        <f t="shared" si="13"/>
        <v>4324</v>
      </c>
    </row>
    <row r="75" spans="2:13" x14ac:dyDescent="0.2">
      <c r="B75" s="16" t="s">
        <v>128</v>
      </c>
      <c r="C75" s="16">
        <v>522</v>
      </c>
      <c r="D75" s="16">
        <v>267</v>
      </c>
      <c r="E75" s="16">
        <f t="shared" si="10"/>
        <v>789</v>
      </c>
      <c r="F75" s="17">
        <f t="shared" si="11"/>
        <v>1.0695694610129054E-2</v>
      </c>
      <c r="G75" s="16">
        <v>1977</v>
      </c>
      <c r="H75" s="16">
        <v>148</v>
      </c>
      <c r="I75" s="16">
        <v>138</v>
      </c>
      <c r="J75" s="16">
        <v>2263</v>
      </c>
      <c r="K75" s="17">
        <f t="shared" si="12"/>
        <v>1.0475736379922508E-2</v>
      </c>
      <c r="L75" s="16">
        <v>0</v>
      </c>
      <c r="M75" s="16">
        <f t="shared" si="13"/>
        <v>3052</v>
      </c>
    </row>
    <row r="76" spans="2:13" x14ac:dyDescent="0.2">
      <c r="B76" s="16" t="s">
        <v>129</v>
      </c>
      <c r="C76" s="16">
        <v>42</v>
      </c>
      <c r="D76" s="16">
        <v>3</v>
      </c>
      <c r="E76" s="16">
        <f t="shared" si="10"/>
        <v>45</v>
      </c>
      <c r="F76" s="17">
        <f t="shared" si="11"/>
        <v>6.1002060514044032E-4</v>
      </c>
      <c r="G76" s="16">
        <v>73</v>
      </c>
      <c r="H76" s="16">
        <v>4</v>
      </c>
      <c r="I76" s="16">
        <v>2</v>
      </c>
      <c r="J76" s="16">
        <v>79</v>
      </c>
      <c r="K76" s="17">
        <f t="shared" si="12"/>
        <v>3.657018002712674E-4</v>
      </c>
      <c r="L76" s="16">
        <v>0</v>
      </c>
      <c r="M76" s="16">
        <f t="shared" si="13"/>
        <v>124</v>
      </c>
    </row>
    <row r="77" spans="2:13" x14ac:dyDescent="0.2">
      <c r="B77" s="16" t="s">
        <v>130</v>
      </c>
      <c r="C77" s="16">
        <v>845</v>
      </c>
      <c r="D77" s="16">
        <v>233</v>
      </c>
      <c r="E77" s="16">
        <f t="shared" si="10"/>
        <v>1078</v>
      </c>
      <c r="F77" s="17">
        <f t="shared" si="11"/>
        <v>1.4613382496475437E-2</v>
      </c>
      <c r="G77" s="16">
        <v>2591</v>
      </c>
      <c r="H77" s="16">
        <v>262</v>
      </c>
      <c r="I77" s="16">
        <v>124</v>
      </c>
      <c r="J77" s="16">
        <v>2977</v>
      </c>
      <c r="K77" s="17">
        <f t="shared" si="12"/>
        <v>1.3780939992500799E-2</v>
      </c>
      <c r="L77" s="16">
        <v>0</v>
      </c>
      <c r="M77" s="16">
        <f t="shared" si="13"/>
        <v>4055</v>
      </c>
    </row>
    <row r="78" spans="2:13" x14ac:dyDescent="0.2">
      <c r="B78" s="16" t="s">
        <v>131</v>
      </c>
      <c r="C78" s="16">
        <v>1020</v>
      </c>
      <c r="D78" s="16">
        <v>375</v>
      </c>
      <c r="E78" s="16">
        <f t="shared" si="10"/>
        <v>1395</v>
      </c>
      <c r="F78" s="17">
        <f t="shared" si="11"/>
        <v>1.891063875935365E-2</v>
      </c>
      <c r="G78" s="16">
        <v>3012</v>
      </c>
      <c r="H78" s="16">
        <v>394</v>
      </c>
      <c r="I78" s="16">
        <v>196</v>
      </c>
      <c r="J78" s="16">
        <v>3602</v>
      </c>
      <c r="K78" s="17">
        <f t="shared" si="12"/>
        <v>1.6674150437684877E-2</v>
      </c>
      <c r="L78" s="16">
        <v>0</v>
      </c>
      <c r="M78" s="16">
        <f t="shared" si="13"/>
        <v>4997</v>
      </c>
    </row>
    <row r="79" spans="2:13" x14ac:dyDescent="0.2">
      <c r="B79" s="16" t="s">
        <v>132</v>
      </c>
      <c r="C79" s="16">
        <v>2724</v>
      </c>
      <c r="D79" s="16">
        <v>954</v>
      </c>
      <c r="E79" s="16">
        <f t="shared" si="10"/>
        <v>3678</v>
      </c>
      <c r="F79" s="17">
        <f t="shared" si="11"/>
        <v>4.9859017460145323E-2</v>
      </c>
      <c r="G79" s="16">
        <v>9949</v>
      </c>
      <c r="H79" s="16">
        <v>1076</v>
      </c>
      <c r="I79" s="16">
        <v>635</v>
      </c>
      <c r="J79" s="16">
        <v>11660</v>
      </c>
      <c r="K79" s="17">
        <f t="shared" si="12"/>
        <v>5.397573406535415E-2</v>
      </c>
      <c r="L79" s="16">
        <v>0</v>
      </c>
      <c r="M79" s="16">
        <f t="shared" si="13"/>
        <v>15338</v>
      </c>
    </row>
    <row r="80" spans="2:13" x14ac:dyDescent="0.2">
      <c r="B80" s="16" t="s">
        <v>133</v>
      </c>
      <c r="C80" s="16">
        <v>1560</v>
      </c>
      <c r="D80" s="16">
        <v>524</v>
      </c>
      <c r="E80" s="16">
        <f t="shared" si="10"/>
        <v>2084</v>
      </c>
      <c r="F80" s="17">
        <f t="shared" si="11"/>
        <v>2.825073202472617E-2</v>
      </c>
      <c r="G80" s="16">
        <v>3914</v>
      </c>
      <c r="H80" s="16">
        <v>299</v>
      </c>
      <c r="I80" s="16">
        <v>264</v>
      </c>
      <c r="J80" s="16">
        <v>4477</v>
      </c>
      <c r="K80" s="17">
        <f t="shared" si="12"/>
        <v>2.0724645060942584E-2</v>
      </c>
      <c r="L80" s="16">
        <v>0</v>
      </c>
      <c r="M80" s="16">
        <f t="shared" si="13"/>
        <v>6561</v>
      </c>
    </row>
    <row r="81" spans="2:13" x14ac:dyDescent="0.2">
      <c r="B81" s="16" t="s">
        <v>134</v>
      </c>
      <c r="C81" s="16">
        <v>704</v>
      </c>
      <c r="D81" s="16">
        <v>325</v>
      </c>
      <c r="E81" s="16">
        <f t="shared" si="10"/>
        <v>1029</v>
      </c>
      <c r="F81" s="17">
        <f t="shared" si="11"/>
        <v>1.3949137837544735E-2</v>
      </c>
      <c r="G81" s="16">
        <v>2216</v>
      </c>
      <c r="H81" s="16">
        <v>162</v>
      </c>
      <c r="I81" s="16">
        <v>128</v>
      </c>
      <c r="J81" s="16">
        <v>2506</v>
      </c>
      <c r="K81" s="17">
        <f t="shared" si="12"/>
        <v>1.1600616601010078E-2</v>
      </c>
      <c r="L81" s="16">
        <v>0</v>
      </c>
      <c r="M81" s="16">
        <f t="shared" si="13"/>
        <v>3535</v>
      </c>
    </row>
    <row r="82" spans="2:13" x14ac:dyDescent="0.2">
      <c r="B82" s="16" t="s">
        <v>135</v>
      </c>
      <c r="C82" s="16">
        <v>771</v>
      </c>
      <c r="D82" s="16">
        <v>280</v>
      </c>
      <c r="E82" s="16">
        <f t="shared" si="10"/>
        <v>1051</v>
      </c>
      <c r="F82" s="17">
        <f t="shared" si="11"/>
        <v>1.4247370133391172E-2</v>
      </c>
      <c r="G82" s="16">
        <v>2438</v>
      </c>
      <c r="H82" s="16">
        <v>194</v>
      </c>
      <c r="I82" s="16">
        <v>161</v>
      </c>
      <c r="J82" s="16">
        <v>2793</v>
      </c>
      <c r="K82" s="17">
        <f t="shared" si="12"/>
        <v>1.2929178837438606E-2</v>
      </c>
      <c r="L82" s="16">
        <v>0</v>
      </c>
      <c r="M82" s="16">
        <f t="shared" si="13"/>
        <v>3844</v>
      </c>
    </row>
    <row r="83" spans="2:13" x14ac:dyDescent="0.2">
      <c r="B83" s="16" t="s">
        <v>136</v>
      </c>
      <c r="C83" s="16">
        <v>246</v>
      </c>
      <c r="D83" s="16">
        <v>79</v>
      </c>
      <c r="E83" s="16">
        <f t="shared" si="10"/>
        <v>325</v>
      </c>
      <c r="F83" s="17">
        <f t="shared" si="11"/>
        <v>4.4057043704587356E-3</v>
      </c>
      <c r="G83" s="16">
        <v>713</v>
      </c>
      <c r="H83" s="16">
        <v>48</v>
      </c>
      <c r="I83" s="16">
        <v>34</v>
      </c>
      <c r="J83" s="16">
        <v>795</v>
      </c>
      <c r="K83" s="17">
        <f t="shared" si="12"/>
        <v>3.6801636862741466E-3</v>
      </c>
      <c r="L83" s="16">
        <v>0</v>
      </c>
      <c r="M83" s="16">
        <f t="shared" si="13"/>
        <v>1120</v>
      </c>
    </row>
    <row r="84" spans="2:13" x14ac:dyDescent="0.2">
      <c r="B84" s="16" t="s">
        <v>137</v>
      </c>
      <c r="C84" s="16">
        <v>308</v>
      </c>
      <c r="D84" s="16">
        <v>133</v>
      </c>
      <c r="E84" s="16">
        <f t="shared" si="10"/>
        <v>441</v>
      </c>
      <c r="F84" s="17">
        <f t="shared" si="11"/>
        <v>5.9782019303763149E-3</v>
      </c>
      <c r="G84" s="16">
        <v>1130</v>
      </c>
      <c r="H84" s="16">
        <v>83</v>
      </c>
      <c r="I84" s="16">
        <v>60</v>
      </c>
      <c r="J84" s="16">
        <v>1273</v>
      </c>
      <c r="K84" s="17">
        <f t="shared" si="12"/>
        <v>5.8928910347509295E-3</v>
      </c>
      <c r="L84" s="16">
        <v>0</v>
      </c>
      <c r="M84" s="16">
        <f t="shared" si="13"/>
        <v>1714</v>
      </c>
    </row>
    <row r="85" spans="2:13" x14ac:dyDescent="0.2">
      <c r="B85" s="16" t="s">
        <v>138</v>
      </c>
      <c r="C85" s="16">
        <v>586</v>
      </c>
      <c r="D85" s="16">
        <v>113</v>
      </c>
      <c r="E85" s="16">
        <f t="shared" si="10"/>
        <v>699</v>
      </c>
      <c r="F85" s="17">
        <f t="shared" si="11"/>
        <v>9.4756533998481725E-3</v>
      </c>
      <c r="G85" s="16">
        <v>1380</v>
      </c>
      <c r="H85" s="16">
        <v>161</v>
      </c>
      <c r="I85" s="16">
        <v>64</v>
      </c>
      <c r="J85" s="16">
        <v>1605</v>
      </c>
      <c r="K85" s="17">
        <f t="shared" si="12"/>
        <v>7.4297644232327112E-3</v>
      </c>
      <c r="L85" s="16">
        <v>0</v>
      </c>
      <c r="M85" s="16">
        <f t="shared" si="13"/>
        <v>2304</v>
      </c>
    </row>
    <row r="86" spans="2:13" x14ac:dyDescent="0.2">
      <c r="B86" s="16" t="s">
        <v>139</v>
      </c>
      <c r="C86" s="16">
        <v>597</v>
      </c>
      <c r="D86" s="16">
        <v>146</v>
      </c>
      <c r="E86" s="16">
        <f t="shared" si="10"/>
        <v>743</v>
      </c>
      <c r="F86" s="17">
        <f t="shared" si="11"/>
        <v>1.0072117991541047E-2</v>
      </c>
      <c r="G86" s="16">
        <v>1719</v>
      </c>
      <c r="H86" s="16">
        <v>238</v>
      </c>
      <c r="I86" s="16">
        <v>108</v>
      </c>
      <c r="J86" s="16">
        <v>2065</v>
      </c>
      <c r="K86" s="17">
        <f t="shared" si="12"/>
        <v>9.5591673108881923E-3</v>
      </c>
      <c r="L86" s="16">
        <v>0</v>
      </c>
      <c r="M86" s="16">
        <f t="shared" si="13"/>
        <v>2808</v>
      </c>
    </row>
    <row r="87" spans="2:13" x14ac:dyDescent="0.2">
      <c r="B87" s="16" t="s">
        <v>140</v>
      </c>
      <c r="C87" s="16">
        <v>315</v>
      </c>
      <c r="D87" s="16">
        <v>58</v>
      </c>
      <c r="E87" s="16">
        <f t="shared" si="10"/>
        <v>373</v>
      </c>
      <c r="F87" s="17">
        <f t="shared" si="11"/>
        <v>5.0563930159418721E-3</v>
      </c>
      <c r="G87" s="16">
        <v>889</v>
      </c>
      <c r="H87" s="16">
        <v>83</v>
      </c>
      <c r="I87" s="16">
        <v>43</v>
      </c>
      <c r="J87" s="16">
        <v>1015</v>
      </c>
      <c r="K87" s="17">
        <f t="shared" si="12"/>
        <v>4.6985737629789423E-3</v>
      </c>
      <c r="L87" s="16">
        <v>0</v>
      </c>
      <c r="M87" s="16">
        <f t="shared" si="13"/>
        <v>1388</v>
      </c>
    </row>
    <row r="88" spans="2:13" x14ac:dyDescent="0.2">
      <c r="B88" s="16" t="s">
        <v>141</v>
      </c>
      <c r="C88" s="16">
        <v>256</v>
      </c>
      <c r="D88" s="16">
        <v>92</v>
      </c>
      <c r="E88" s="16">
        <f t="shared" si="10"/>
        <v>348</v>
      </c>
      <c r="F88" s="17">
        <f t="shared" si="11"/>
        <v>4.7174926797527387E-3</v>
      </c>
      <c r="G88" s="16">
        <v>1239</v>
      </c>
      <c r="H88" s="16">
        <v>128</v>
      </c>
      <c r="I88" s="16">
        <v>78</v>
      </c>
      <c r="J88" s="16">
        <v>1445</v>
      </c>
      <c r="K88" s="17">
        <f t="shared" si="12"/>
        <v>6.6891025492655876E-3</v>
      </c>
      <c r="L88" s="16">
        <v>0</v>
      </c>
      <c r="M88" s="16">
        <f t="shared" si="13"/>
        <v>1793</v>
      </c>
    </row>
    <row r="89" spans="2:13" x14ac:dyDescent="0.2">
      <c r="B89" s="16" t="s">
        <v>142</v>
      </c>
      <c r="C89" s="16">
        <v>490</v>
      </c>
      <c r="D89" s="16">
        <v>156</v>
      </c>
      <c r="E89" s="16">
        <f t="shared" si="10"/>
        <v>646</v>
      </c>
      <c r="F89" s="17">
        <f t="shared" si="11"/>
        <v>8.7571846871272105E-3</v>
      </c>
      <c r="G89" s="16">
        <v>1629</v>
      </c>
      <c r="H89" s="16">
        <v>128</v>
      </c>
      <c r="I89" s="16">
        <v>71</v>
      </c>
      <c r="J89" s="16">
        <v>1828</v>
      </c>
      <c r="K89" s="17">
        <f t="shared" si="12"/>
        <v>8.4620619100743907E-3</v>
      </c>
      <c r="L89" s="16">
        <v>0</v>
      </c>
      <c r="M89" s="16">
        <f t="shared" si="13"/>
        <v>2474</v>
      </c>
    </row>
    <row r="90" spans="2:13" x14ac:dyDescent="0.2">
      <c r="B90" s="16" t="s">
        <v>143</v>
      </c>
      <c r="C90" s="16">
        <v>170</v>
      </c>
      <c r="D90" s="16">
        <v>66</v>
      </c>
      <c r="E90" s="16">
        <f t="shared" si="10"/>
        <v>236</v>
      </c>
      <c r="F90" s="17">
        <f t="shared" si="11"/>
        <v>3.1992191736254201E-3</v>
      </c>
      <c r="G90" s="16">
        <v>788</v>
      </c>
      <c r="H90" s="16">
        <v>81</v>
      </c>
      <c r="I90" s="16">
        <v>54</v>
      </c>
      <c r="J90" s="16">
        <v>923</v>
      </c>
      <c r="K90" s="17">
        <f t="shared" si="12"/>
        <v>4.2726931854478456E-3</v>
      </c>
      <c r="L90" s="16">
        <v>0</v>
      </c>
      <c r="M90" s="16">
        <f t="shared" si="13"/>
        <v>1159</v>
      </c>
    </row>
    <row r="91" spans="2:13" x14ac:dyDescent="0.2">
      <c r="B91" s="16" t="s">
        <v>144</v>
      </c>
      <c r="C91" s="16">
        <v>317</v>
      </c>
      <c r="D91" s="16">
        <v>120</v>
      </c>
      <c r="E91" s="16">
        <f t="shared" si="10"/>
        <v>437</v>
      </c>
      <c r="F91" s="17">
        <f t="shared" si="11"/>
        <v>5.9239778765860533E-3</v>
      </c>
      <c r="G91" s="16">
        <v>1710</v>
      </c>
      <c r="H91" s="16">
        <v>156</v>
      </c>
      <c r="I91" s="16">
        <v>81</v>
      </c>
      <c r="J91" s="16">
        <v>1947</v>
      </c>
      <c r="K91" s="17">
        <f t="shared" si="12"/>
        <v>9.012929178837439E-3</v>
      </c>
      <c r="L91" s="16">
        <v>0</v>
      </c>
      <c r="M91" s="16">
        <f t="shared" si="13"/>
        <v>2384</v>
      </c>
    </row>
    <row r="92" spans="2:13" x14ac:dyDescent="0.2">
      <c r="B92" s="16" t="s">
        <v>145</v>
      </c>
      <c r="C92" s="16">
        <v>4640</v>
      </c>
      <c r="D92" s="16">
        <v>1504</v>
      </c>
      <c r="E92" s="16">
        <f t="shared" si="10"/>
        <v>6144</v>
      </c>
      <c r="F92" s="17">
        <f t="shared" si="11"/>
        <v>8.3288146621841447E-2</v>
      </c>
      <c r="G92" s="16">
        <v>15060</v>
      </c>
      <c r="H92" s="16">
        <v>1991</v>
      </c>
      <c r="I92" s="16">
        <v>915</v>
      </c>
      <c r="J92" s="16">
        <v>17966</v>
      </c>
      <c r="K92" s="17">
        <f t="shared" si="12"/>
        <v>8.3167070173083418E-2</v>
      </c>
      <c r="L92" s="16">
        <v>0</v>
      </c>
      <c r="M92" s="16">
        <f t="shared" si="13"/>
        <v>24110</v>
      </c>
    </row>
    <row r="93" spans="2:13" x14ac:dyDescent="0.2">
      <c r="B93" s="16" t="s">
        <v>146</v>
      </c>
      <c r="C93" s="16">
        <v>1467</v>
      </c>
      <c r="D93" s="16">
        <v>538</v>
      </c>
      <c r="E93" s="16">
        <f t="shared" si="10"/>
        <v>2005</v>
      </c>
      <c r="F93" s="17">
        <f t="shared" si="11"/>
        <v>2.7179806962368505E-2</v>
      </c>
      <c r="G93" s="16">
        <v>5092</v>
      </c>
      <c r="H93" s="16">
        <v>543</v>
      </c>
      <c r="I93" s="16">
        <v>330</v>
      </c>
      <c r="J93" s="16">
        <v>5965</v>
      </c>
      <c r="K93" s="17">
        <f t="shared" si="12"/>
        <v>2.7612800488836835E-2</v>
      </c>
      <c r="L93" s="16">
        <v>0</v>
      </c>
      <c r="M93" s="16">
        <f t="shared" si="13"/>
        <v>7970</v>
      </c>
    </row>
    <row r="94" spans="2:13" x14ac:dyDescent="0.2">
      <c r="B94" s="16" t="s">
        <v>147</v>
      </c>
      <c r="C94" s="16">
        <v>641</v>
      </c>
      <c r="D94" s="16">
        <v>236</v>
      </c>
      <c r="E94" s="16">
        <f t="shared" si="10"/>
        <v>877</v>
      </c>
      <c r="F94" s="17">
        <f t="shared" si="11"/>
        <v>1.1888623793514803E-2</v>
      </c>
      <c r="G94" s="16">
        <v>1854</v>
      </c>
      <c r="H94" s="16">
        <v>185</v>
      </c>
      <c r="I94" s="16">
        <v>137</v>
      </c>
      <c r="J94" s="16">
        <v>2176</v>
      </c>
      <c r="K94" s="17">
        <f t="shared" si="12"/>
        <v>1.0073001485952885E-2</v>
      </c>
      <c r="L94" s="16">
        <v>0</v>
      </c>
      <c r="M94" s="16">
        <f t="shared" si="13"/>
        <v>3053</v>
      </c>
    </row>
    <row r="95" spans="2:13" x14ac:dyDescent="0.2">
      <c r="B95" s="16" t="s">
        <v>148</v>
      </c>
      <c r="C95" s="16">
        <v>3046</v>
      </c>
      <c r="D95" s="16">
        <v>1249</v>
      </c>
      <c r="E95" s="16">
        <f t="shared" si="10"/>
        <v>4295</v>
      </c>
      <c r="F95" s="17">
        <f t="shared" si="11"/>
        <v>5.8223077757293136E-2</v>
      </c>
      <c r="G95" s="16">
        <v>10382</v>
      </c>
      <c r="H95" s="16">
        <v>1314</v>
      </c>
      <c r="I95" s="16">
        <v>720</v>
      </c>
      <c r="J95" s="16">
        <v>12416</v>
      </c>
      <c r="K95" s="17">
        <f t="shared" si="12"/>
        <v>5.7475361419848811E-2</v>
      </c>
      <c r="L95" s="16">
        <v>0</v>
      </c>
      <c r="M95" s="16">
        <f t="shared" si="13"/>
        <v>16711</v>
      </c>
    </row>
    <row r="96" spans="2:13" x14ac:dyDescent="0.2">
      <c r="B96" s="18" t="s">
        <v>39</v>
      </c>
      <c r="C96" s="16">
        <f t="shared" ref="C96:D96" si="14">SUM(C58:C95)</f>
        <v>54157</v>
      </c>
      <c r="D96" s="16">
        <f t="shared" si="14"/>
        <v>19611</v>
      </c>
      <c r="E96" s="18">
        <f t="shared" ref="E96" si="15">C96+D96</f>
        <v>73768</v>
      </c>
      <c r="F96" s="19">
        <f t="shared" ref="F96" si="16">E96/$E$96</f>
        <v>1</v>
      </c>
      <c r="G96" s="16">
        <f t="shared" ref="G96:J96" si="17">SUM(G58:G95)</f>
        <v>182897</v>
      </c>
      <c r="H96" s="16">
        <f t="shared" si="17"/>
        <v>20998</v>
      </c>
      <c r="I96" s="16">
        <f t="shared" si="17"/>
        <v>12128</v>
      </c>
      <c r="J96" s="16">
        <f t="shared" si="17"/>
        <v>216023</v>
      </c>
      <c r="K96" s="17">
        <f t="shared" si="12"/>
        <v>1</v>
      </c>
      <c r="L96" s="16">
        <f t="shared" ref="L96" si="18">SUM(L58:L95)</f>
        <v>0</v>
      </c>
      <c r="M96" s="16">
        <f t="shared" si="13"/>
        <v>289791</v>
      </c>
    </row>
    <row r="97" spans="2:13" ht="24" x14ac:dyDescent="0.2">
      <c r="B97" s="28" t="s">
        <v>45</v>
      </c>
      <c r="C97" s="29">
        <f>+C96/M96</f>
        <v>0.18688296047841374</v>
      </c>
      <c r="D97" s="29">
        <f>+D96/M96</f>
        <v>6.7672909096555794E-2</v>
      </c>
      <c r="E97" s="30">
        <f>+E96/M96</f>
        <v>0.25455586957496956</v>
      </c>
      <c r="F97" s="30"/>
      <c r="G97" s="29">
        <f>+G96/M96</f>
        <v>0.63113416220655572</v>
      </c>
      <c r="H97" s="29">
        <f>+H96/M96</f>
        <v>7.2459117087832259E-2</v>
      </c>
      <c r="I97" s="29">
        <f>+I96/M96</f>
        <v>4.1850851130642429E-2</v>
      </c>
      <c r="J97" s="30">
        <f>+J96/M96</f>
        <v>0.74544413042503044</v>
      </c>
      <c r="K97" s="30"/>
      <c r="L97" s="30">
        <f>+L96/M96</f>
        <v>0</v>
      </c>
      <c r="M97" s="30">
        <f>J97+L97+E97</f>
        <v>1</v>
      </c>
    </row>
    <row r="98" spans="2:13" x14ac:dyDescent="0.2">
      <c r="B98" s="21" t="s">
        <v>78</v>
      </c>
    </row>
    <row r="99" spans="2:13" x14ac:dyDescent="0.2">
      <c r="B99" s="21" t="s">
        <v>79</v>
      </c>
    </row>
    <row r="141" spans="2:2" x14ac:dyDescent="0.2">
      <c r="B141" s="22" t="s">
        <v>56</v>
      </c>
    </row>
  </sheetData>
  <mergeCells count="10">
    <mergeCell ref="B6:K6"/>
    <mergeCell ref="B5:K5"/>
    <mergeCell ref="B53:K53"/>
    <mergeCell ref="B52:K52"/>
    <mergeCell ref="B8:M8"/>
    <mergeCell ref="B56:B57"/>
    <mergeCell ref="B9:B10"/>
    <mergeCell ref="C9:L9"/>
    <mergeCell ref="C56:L56"/>
    <mergeCell ref="B55:M55"/>
  </mergeCells>
  <hyperlinks>
    <hyperlink ref="M5" location="'Índice PGU y SPS'!A1" display="Volver Sistema de Pensiones Solidarias" xr:uid="{4002BB20-85A3-42FD-B179-2331FF295252}"/>
  </hyperlinks>
  <pageMargins left="0.74803149606299213" right="0.74803149606299213" top="0.98425196850393704" bottom="0.98425196850393704" header="0" footer="0"/>
  <pageSetup scale="75" fitToHeight="2" orientation="portrait" r:id="rId1"/>
  <headerFooter alignWithMargins="0"/>
  <rowBreaks count="1" manualBreakCount="1">
    <brk id="55" min="1" max="12"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24"/>
  <dimension ref="A1:Q89"/>
  <sheetViews>
    <sheetView showGridLines="0" zoomScale="90" zoomScaleNormal="90" workbookViewId="0">
      <selection activeCell="M35" sqref="M35"/>
    </sheetView>
  </sheetViews>
  <sheetFormatPr baseColWidth="10" defaultRowHeight="12" x14ac:dyDescent="0.2"/>
  <cols>
    <col min="1" max="1" width="6" style="22" customWidth="1"/>
    <col min="2" max="2" width="18.140625" style="22" customWidth="1"/>
    <col min="3" max="3" width="7.85546875" style="22" bestFit="1" customWidth="1"/>
    <col min="4" max="4" width="7.28515625" style="22" bestFit="1" customWidth="1"/>
    <col min="5" max="6" width="7.28515625" style="22" customWidth="1"/>
    <col min="7" max="8" width="7.28515625" style="22" bestFit="1" customWidth="1"/>
    <col min="9" max="11" width="7.28515625" style="22" customWidth="1"/>
    <col min="12" max="12" width="9.7109375" style="22" hidden="1" customWidth="1"/>
    <col min="13" max="14" width="11.42578125" style="22"/>
    <col min="15" max="15" width="12.42578125" style="22" bestFit="1" customWidth="1"/>
    <col min="16" max="251" width="11.42578125" style="22"/>
    <col min="252" max="252" width="18.140625" style="22" customWidth="1"/>
    <col min="253" max="253" width="7.85546875" style="22" bestFit="1" customWidth="1"/>
    <col min="254" max="254" width="7.28515625" style="22" bestFit="1" customWidth="1"/>
    <col min="255" max="256" width="7.28515625" style="22" customWidth="1"/>
    <col min="257" max="258" width="7.28515625" style="22" bestFit="1" customWidth="1"/>
    <col min="259" max="261" width="7.28515625" style="22" customWidth="1"/>
    <col min="262" max="267" width="0" style="22" hidden="1" customWidth="1"/>
    <col min="268" max="268" width="9.7109375" style="22" customWidth="1"/>
    <col min="269" max="270" width="11.42578125" style="22"/>
    <col min="271" max="271" width="12.42578125" style="22" bestFit="1" customWidth="1"/>
    <col min="272" max="507" width="11.42578125" style="22"/>
    <col min="508" max="508" width="18.140625" style="22" customWidth="1"/>
    <col min="509" max="509" width="7.85546875" style="22" bestFit="1" customWidth="1"/>
    <col min="510" max="510" width="7.28515625" style="22" bestFit="1" customWidth="1"/>
    <col min="511" max="512" width="7.28515625" style="22" customWidth="1"/>
    <col min="513" max="514" width="7.28515625" style="22" bestFit="1" customWidth="1"/>
    <col min="515" max="517" width="7.28515625" style="22" customWidth="1"/>
    <col min="518" max="523" width="0" style="22" hidden="1" customWidth="1"/>
    <col min="524" max="524" width="9.7109375" style="22" customWidth="1"/>
    <col min="525" max="526" width="11.42578125" style="22"/>
    <col min="527" max="527" width="12.42578125" style="22" bestFit="1" customWidth="1"/>
    <col min="528" max="763" width="11.42578125" style="22"/>
    <col min="764" max="764" width="18.140625" style="22" customWidth="1"/>
    <col min="765" max="765" width="7.85546875" style="22" bestFit="1" customWidth="1"/>
    <col min="766" max="766" width="7.28515625" style="22" bestFit="1" customWidth="1"/>
    <col min="767" max="768" width="7.28515625" style="22" customWidth="1"/>
    <col min="769" max="770" width="7.28515625" style="22" bestFit="1" customWidth="1"/>
    <col min="771" max="773" width="7.28515625" style="22" customWidth="1"/>
    <col min="774" max="779" width="0" style="22" hidden="1" customWidth="1"/>
    <col min="780" max="780" width="9.7109375" style="22" customWidth="1"/>
    <col min="781" max="782" width="11.42578125" style="22"/>
    <col min="783" max="783" width="12.42578125" style="22" bestFit="1" customWidth="1"/>
    <col min="784" max="1019" width="11.42578125" style="22"/>
    <col min="1020" max="1020" width="18.140625" style="22" customWidth="1"/>
    <col min="1021" max="1021" width="7.85546875" style="22" bestFit="1" customWidth="1"/>
    <col min="1022" max="1022" width="7.28515625" style="22" bestFit="1" customWidth="1"/>
    <col min="1023" max="1024" width="7.28515625" style="22" customWidth="1"/>
    <col min="1025" max="1026" width="7.28515625" style="22" bestFit="1" customWidth="1"/>
    <col min="1027" max="1029" width="7.28515625" style="22" customWidth="1"/>
    <col min="1030" max="1035" width="0" style="22" hidden="1" customWidth="1"/>
    <col min="1036" max="1036" width="9.7109375" style="22" customWidth="1"/>
    <col min="1037" max="1038" width="11.42578125" style="22"/>
    <col min="1039" max="1039" width="12.42578125" style="22" bestFit="1" customWidth="1"/>
    <col min="1040" max="1275" width="11.42578125" style="22"/>
    <col min="1276" max="1276" width="18.140625" style="22" customWidth="1"/>
    <col min="1277" max="1277" width="7.85546875" style="22" bestFit="1" customWidth="1"/>
    <col min="1278" max="1278" width="7.28515625" style="22" bestFit="1" customWidth="1"/>
    <col min="1279" max="1280" width="7.28515625" style="22" customWidth="1"/>
    <col min="1281" max="1282" width="7.28515625" style="22" bestFit="1" customWidth="1"/>
    <col min="1283" max="1285" width="7.28515625" style="22" customWidth="1"/>
    <col min="1286" max="1291" width="0" style="22" hidden="1" customWidth="1"/>
    <col min="1292" max="1292" width="9.7109375" style="22" customWidth="1"/>
    <col min="1293" max="1294" width="11.42578125" style="22"/>
    <col min="1295" max="1295" width="12.42578125" style="22" bestFit="1" customWidth="1"/>
    <col min="1296" max="1531" width="11.42578125" style="22"/>
    <col min="1532" max="1532" width="18.140625" style="22" customWidth="1"/>
    <col min="1533" max="1533" width="7.85546875" style="22" bestFit="1" customWidth="1"/>
    <col min="1534" max="1534" width="7.28515625" style="22" bestFit="1" customWidth="1"/>
    <col min="1535" max="1536" width="7.28515625" style="22" customWidth="1"/>
    <col min="1537" max="1538" width="7.28515625" style="22" bestFit="1" customWidth="1"/>
    <col min="1539" max="1541" width="7.28515625" style="22" customWidth="1"/>
    <col min="1542" max="1547" width="0" style="22" hidden="1" customWidth="1"/>
    <col min="1548" max="1548" width="9.7109375" style="22" customWidth="1"/>
    <col min="1549" max="1550" width="11.42578125" style="22"/>
    <col min="1551" max="1551" width="12.42578125" style="22" bestFit="1" customWidth="1"/>
    <col min="1552" max="1787" width="11.42578125" style="22"/>
    <col min="1788" max="1788" width="18.140625" style="22" customWidth="1"/>
    <col min="1789" max="1789" width="7.85546875" style="22" bestFit="1" customWidth="1"/>
    <col min="1790" max="1790" width="7.28515625" style="22" bestFit="1" customWidth="1"/>
    <col min="1791" max="1792" width="7.28515625" style="22" customWidth="1"/>
    <col min="1793" max="1794" width="7.28515625" style="22" bestFit="1" customWidth="1"/>
    <col min="1795" max="1797" width="7.28515625" style="22" customWidth="1"/>
    <col min="1798" max="1803" width="0" style="22" hidden="1" customWidth="1"/>
    <col min="1804" max="1804" width="9.7109375" style="22" customWidth="1"/>
    <col min="1805" max="1806" width="11.42578125" style="22"/>
    <col min="1807" max="1807" width="12.42578125" style="22" bestFit="1" customWidth="1"/>
    <col min="1808" max="2043" width="11.42578125" style="22"/>
    <col min="2044" max="2044" width="18.140625" style="22" customWidth="1"/>
    <col min="2045" max="2045" width="7.85546875" style="22" bestFit="1" customWidth="1"/>
    <col min="2046" max="2046" width="7.28515625" style="22" bestFit="1" customWidth="1"/>
    <col min="2047" max="2048" width="7.28515625" style="22" customWidth="1"/>
    <col min="2049" max="2050" width="7.28515625" style="22" bestFit="1" customWidth="1"/>
    <col min="2051" max="2053" width="7.28515625" style="22" customWidth="1"/>
    <col min="2054" max="2059" width="0" style="22" hidden="1" customWidth="1"/>
    <col min="2060" max="2060" width="9.7109375" style="22" customWidth="1"/>
    <col min="2061" max="2062" width="11.42578125" style="22"/>
    <col min="2063" max="2063" width="12.42578125" style="22" bestFit="1" customWidth="1"/>
    <col min="2064" max="2299" width="11.42578125" style="22"/>
    <col min="2300" max="2300" width="18.140625" style="22" customWidth="1"/>
    <col min="2301" max="2301" width="7.85546875" style="22" bestFit="1" customWidth="1"/>
    <col min="2302" max="2302" width="7.28515625" style="22" bestFit="1" customWidth="1"/>
    <col min="2303" max="2304" width="7.28515625" style="22" customWidth="1"/>
    <col min="2305" max="2306" width="7.28515625" style="22" bestFit="1" customWidth="1"/>
    <col min="2307" max="2309" width="7.28515625" style="22" customWidth="1"/>
    <col min="2310" max="2315" width="0" style="22" hidden="1" customWidth="1"/>
    <col min="2316" max="2316" width="9.7109375" style="22" customWidth="1"/>
    <col min="2317" max="2318" width="11.42578125" style="22"/>
    <col min="2319" max="2319" width="12.42578125" style="22" bestFit="1" customWidth="1"/>
    <col min="2320" max="2555" width="11.42578125" style="22"/>
    <col min="2556" max="2556" width="18.140625" style="22" customWidth="1"/>
    <col min="2557" max="2557" width="7.85546875" style="22" bestFit="1" customWidth="1"/>
    <col min="2558" max="2558" width="7.28515625" style="22" bestFit="1" customWidth="1"/>
    <col min="2559" max="2560" width="7.28515625" style="22" customWidth="1"/>
    <col min="2561" max="2562" width="7.28515625" style="22" bestFit="1" customWidth="1"/>
    <col min="2563" max="2565" width="7.28515625" style="22" customWidth="1"/>
    <col min="2566" max="2571" width="0" style="22" hidden="1" customWidth="1"/>
    <col min="2572" max="2572" width="9.7109375" style="22" customWidth="1"/>
    <col min="2573" max="2574" width="11.42578125" style="22"/>
    <col min="2575" max="2575" width="12.42578125" style="22" bestFit="1" customWidth="1"/>
    <col min="2576" max="2811" width="11.42578125" style="22"/>
    <col min="2812" max="2812" width="18.140625" style="22" customWidth="1"/>
    <col min="2813" max="2813" width="7.85546875" style="22" bestFit="1" customWidth="1"/>
    <col min="2814" max="2814" width="7.28515625" style="22" bestFit="1" customWidth="1"/>
    <col min="2815" max="2816" width="7.28515625" style="22" customWidth="1"/>
    <col min="2817" max="2818" width="7.28515625" style="22" bestFit="1" customWidth="1"/>
    <col min="2819" max="2821" width="7.28515625" style="22" customWidth="1"/>
    <col min="2822" max="2827" width="0" style="22" hidden="1" customWidth="1"/>
    <col min="2828" max="2828" width="9.7109375" style="22" customWidth="1"/>
    <col min="2829" max="2830" width="11.42578125" style="22"/>
    <col min="2831" max="2831" width="12.42578125" style="22" bestFit="1" customWidth="1"/>
    <col min="2832" max="3067" width="11.42578125" style="22"/>
    <col min="3068" max="3068" width="18.140625" style="22" customWidth="1"/>
    <col min="3069" max="3069" width="7.85546875" style="22" bestFit="1" customWidth="1"/>
    <col min="3070" max="3070" width="7.28515625" style="22" bestFit="1" customWidth="1"/>
    <col min="3071" max="3072" width="7.28515625" style="22" customWidth="1"/>
    <col min="3073" max="3074" width="7.28515625" style="22" bestFit="1" customWidth="1"/>
    <col min="3075" max="3077" width="7.28515625" style="22" customWidth="1"/>
    <col min="3078" max="3083" width="0" style="22" hidden="1" customWidth="1"/>
    <col min="3084" max="3084" width="9.7109375" style="22" customWidth="1"/>
    <col min="3085" max="3086" width="11.42578125" style="22"/>
    <col min="3087" max="3087" width="12.42578125" style="22" bestFit="1" customWidth="1"/>
    <col min="3088" max="3323" width="11.42578125" style="22"/>
    <col min="3324" max="3324" width="18.140625" style="22" customWidth="1"/>
    <col min="3325" max="3325" width="7.85546875" style="22" bestFit="1" customWidth="1"/>
    <col min="3326" max="3326" width="7.28515625" style="22" bestFit="1" customWidth="1"/>
    <col min="3327" max="3328" width="7.28515625" style="22" customWidth="1"/>
    <col min="3329" max="3330" width="7.28515625" style="22" bestFit="1" customWidth="1"/>
    <col min="3331" max="3333" width="7.28515625" style="22" customWidth="1"/>
    <col min="3334" max="3339" width="0" style="22" hidden="1" customWidth="1"/>
    <col min="3340" max="3340" width="9.7109375" style="22" customWidth="1"/>
    <col min="3341" max="3342" width="11.42578125" style="22"/>
    <col min="3343" max="3343" width="12.42578125" style="22" bestFit="1" customWidth="1"/>
    <col min="3344" max="3579" width="11.42578125" style="22"/>
    <col min="3580" max="3580" width="18.140625" style="22" customWidth="1"/>
    <col min="3581" max="3581" width="7.85546875" style="22" bestFit="1" customWidth="1"/>
    <col min="3582" max="3582" width="7.28515625" style="22" bestFit="1" customWidth="1"/>
    <col min="3583" max="3584" width="7.28515625" style="22" customWidth="1"/>
    <col min="3585" max="3586" width="7.28515625" style="22" bestFit="1" customWidth="1"/>
    <col min="3587" max="3589" width="7.28515625" style="22" customWidth="1"/>
    <col min="3590" max="3595" width="0" style="22" hidden="1" customWidth="1"/>
    <col min="3596" max="3596" width="9.7109375" style="22" customWidth="1"/>
    <col min="3597" max="3598" width="11.42578125" style="22"/>
    <col min="3599" max="3599" width="12.42578125" style="22" bestFit="1" customWidth="1"/>
    <col min="3600" max="3835" width="11.42578125" style="22"/>
    <col min="3836" max="3836" width="18.140625" style="22" customWidth="1"/>
    <col min="3837" max="3837" width="7.85546875" style="22" bestFit="1" customWidth="1"/>
    <col min="3838" max="3838" width="7.28515625" style="22" bestFit="1" customWidth="1"/>
    <col min="3839" max="3840" width="7.28515625" style="22" customWidth="1"/>
    <col min="3841" max="3842" width="7.28515625" style="22" bestFit="1" customWidth="1"/>
    <col min="3843" max="3845" width="7.28515625" style="22" customWidth="1"/>
    <col min="3846" max="3851" width="0" style="22" hidden="1" customWidth="1"/>
    <col min="3852" max="3852" width="9.7109375" style="22" customWidth="1"/>
    <col min="3853" max="3854" width="11.42578125" style="22"/>
    <col min="3855" max="3855" width="12.42578125" style="22" bestFit="1" customWidth="1"/>
    <col min="3856" max="4091" width="11.42578125" style="22"/>
    <col min="4092" max="4092" width="18.140625" style="22" customWidth="1"/>
    <col min="4093" max="4093" width="7.85546875" style="22" bestFit="1" customWidth="1"/>
    <col min="4094" max="4094" width="7.28515625" style="22" bestFit="1" customWidth="1"/>
    <col min="4095" max="4096" width="7.28515625" style="22" customWidth="1"/>
    <col min="4097" max="4098" width="7.28515625" style="22" bestFit="1" customWidth="1"/>
    <col min="4099" max="4101" width="7.28515625" style="22" customWidth="1"/>
    <col min="4102" max="4107" width="0" style="22" hidden="1" customWidth="1"/>
    <col min="4108" max="4108" width="9.7109375" style="22" customWidth="1"/>
    <col min="4109" max="4110" width="11.42578125" style="22"/>
    <col min="4111" max="4111" width="12.42578125" style="22" bestFit="1" customWidth="1"/>
    <col min="4112" max="4347" width="11.42578125" style="22"/>
    <col min="4348" max="4348" width="18.140625" style="22" customWidth="1"/>
    <col min="4349" max="4349" width="7.85546875" style="22" bestFit="1" customWidth="1"/>
    <col min="4350" max="4350" width="7.28515625" style="22" bestFit="1" customWidth="1"/>
    <col min="4351" max="4352" width="7.28515625" style="22" customWidth="1"/>
    <col min="4353" max="4354" width="7.28515625" style="22" bestFit="1" customWidth="1"/>
    <col min="4355" max="4357" width="7.28515625" style="22" customWidth="1"/>
    <col min="4358" max="4363" width="0" style="22" hidden="1" customWidth="1"/>
    <col min="4364" max="4364" width="9.7109375" style="22" customWidth="1"/>
    <col min="4365" max="4366" width="11.42578125" style="22"/>
    <col min="4367" max="4367" width="12.42578125" style="22" bestFit="1" customWidth="1"/>
    <col min="4368" max="4603" width="11.42578125" style="22"/>
    <col min="4604" max="4604" width="18.140625" style="22" customWidth="1"/>
    <col min="4605" max="4605" width="7.85546875" style="22" bestFit="1" customWidth="1"/>
    <col min="4606" max="4606" width="7.28515625" style="22" bestFit="1" customWidth="1"/>
    <col min="4607" max="4608" width="7.28515625" style="22" customWidth="1"/>
    <col min="4609" max="4610" width="7.28515625" style="22" bestFit="1" customWidth="1"/>
    <col min="4611" max="4613" width="7.28515625" style="22" customWidth="1"/>
    <col min="4614" max="4619" width="0" style="22" hidden="1" customWidth="1"/>
    <col min="4620" max="4620" width="9.7109375" style="22" customWidth="1"/>
    <col min="4621" max="4622" width="11.42578125" style="22"/>
    <col min="4623" max="4623" width="12.42578125" style="22" bestFit="1" customWidth="1"/>
    <col min="4624" max="4859" width="11.42578125" style="22"/>
    <col min="4860" max="4860" width="18.140625" style="22" customWidth="1"/>
    <col min="4861" max="4861" width="7.85546875" style="22" bestFit="1" customWidth="1"/>
    <col min="4862" max="4862" width="7.28515625" style="22" bestFit="1" customWidth="1"/>
    <col min="4863" max="4864" width="7.28515625" style="22" customWidth="1"/>
    <col min="4865" max="4866" width="7.28515625" style="22" bestFit="1" customWidth="1"/>
    <col min="4867" max="4869" width="7.28515625" style="22" customWidth="1"/>
    <col min="4870" max="4875" width="0" style="22" hidden="1" customWidth="1"/>
    <col min="4876" max="4876" width="9.7109375" style="22" customWidth="1"/>
    <col min="4877" max="4878" width="11.42578125" style="22"/>
    <col min="4879" max="4879" width="12.42578125" style="22" bestFit="1" customWidth="1"/>
    <col min="4880" max="5115" width="11.42578125" style="22"/>
    <col min="5116" max="5116" width="18.140625" style="22" customWidth="1"/>
    <col min="5117" max="5117" width="7.85546875" style="22" bestFit="1" customWidth="1"/>
    <col min="5118" max="5118" width="7.28515625" style="22" bestFit="1" customWidth="1"/>
    <col min="5119" max="5120" width="7.28515625" style="22" customWidth="1"/>
    <col min="5121" max="5122" width="7.28515625" style="22" bestFit="1" customWidth="1"/>
    <col min="5123" max="5125" width="7.28515625" style="22" customWidth="1"/>
    <col min="5126" max="5131" width="0" style="22" hidden="1" customWidth="1"/>
    <col min="5132" max="5132" width="9.7109375" style="22" customWidth="1"/>
    <col min="5133" max="5134" width="11.42578125" style="22"/>
    <col min="5135" max="5135" width="12.42578125" style="22" bestFit="1" customWidth="1"/>
    <col min="5136" max="5371" width="11.42578125" style="22"/>
    <col min="5372" max="5372" width="18.140625" style="22" customWidth="1"/>
    <col min="5373" max="5373" width="7.85546875" style="22" bestFit="1" customWidth="1"/>
    <col min="5374" max="5374" width="7.28515625" style="22" bestFit="1" customWidth="1"/>
    <col min="5375" max="5376" width="7.28515625" style="22" customWidth="1"/>
    <col min="5377" max="5378" width="7.28515625" style="22" bestFit="1" customWidth="1"/>
    <col min="5379" max="5381" width="7.28515625" style="22" customWidth="1"/>
    <col min="5382" max="5387" width="0" style="22" hidden="1" customWidth="1"/>
    <col min="5388" max="5388" width="9.7109375" style="22" customWidth="1"/>
    <col min="5389" max="5390" width="11.42578125" style="22"/>
    <col min="5391" max="5391" width="12.42578125" style="22" bestFit="1" customWidth="1"/>
    <col min="5392" max="5627" width="11.42578125" style="22"/>
    <col min="5628" max="5628" width="18.140625" style="22" customWidth="1"/>
    <col min="5629" max="5629" width="7.85546875" style="22" bestFit="1" customWidth="1"/>
    <col min="5630" max="5630" width="7.28515625" style="22" bestFit="1" customWidth="1"/>
    <col min="5631" max="5632" width="7.28515625" style="22" customWidth="1"/>
    <col min="5633" max="5634" width="7.28515625" style="22" bestFit="1" customWidth="1"/>
    <col min="5635" max="5637" width="7.28515625" style="22" customWidth="1"/>
    <col min="5638" max="5643" width="0" style="22" hidden="1" customWidth="1"/>
    <col min="5644" max="5644" width="9.7109375" style="22" customWidth="1"/>
    <col min="5645" max="5646" width="11.42578125" style="22"/>
    <col min="5647" max="5647" width="12.42578125" style="22" bestFit="1" customWidth="1"/>
    <col min="5648" max="5883" width="11.42578125" style="22"/>
    <col min="5884" max="5884" width="18.140625" style="22" customWidth="1"/>
    <col min="5885" max="5885" width="7.85546875" style="22" bestFit="1" customWidth="1"/>
    <col min="5886" max="5886" width="7.28515625" style="22" bestFit="1" customWidth="1"/>
    <col min="5887" max="5888" width="7.28515625" style="22" customWidth="1"/>
    <col min="5889" max="5890" width="7.28515625" style="22" bestFit="1" customWidth="1"/>
    <col min="5891" max="5893" width="7.28515625" style="22" customWidth="1"/>
    <col min="5894" max="5899" width="0" style="22" hidden="1" customWidth="1"/>
    <col min="5900" max="5900" width="9.7109375" style="22" customWidth="1"/>
    <col min="5901" max="5902" width="11.42578125" style="22"/>
    <col min="5903" max="5903" width="12.42578125" style="22" bestFit="1" customWidth="1"/>
    <col min="5904" max="6139" width="11.42578125" style="22"/>
    <col min="6140" max="6140" width="18.140625" style="22" customWidth="1"/>
    <col min="6141" max="6141" width="7.85546875" style="22" bestFit="1" customWidth="1"/>
    <col min="6142" max="6142" width="7.28515625" style="22" bestFit="1" customWidth="1"/>
    <col min="6143" max="6144" width="7.28515625" style="22" customWidth="1"/>
    <col min="6145" max="6146" width="7.28515625" style="22" bestFit="1" customWidth="1"/>
    <col min="6147" max="6149" width="7.28515625" style="22" customWidth="1"/>
    <col min="6150" max="6155" width="0" style="22" hidden="1" customWidth="1"/>
    <col min="6156" max="6156" width="9.7109375" style="22" customWidth="1"/>
    <col min="6157" max="6158" width="11.42578125" style="22"/>
    <col min="6159" max="6159" width="12.42578125" style="22" bestFit="1" customWidth="1"/>
    <col min="6160" max="6395" width="11.42578125" style="22"/>
    <col min="6396" max="6396" width="18.140625" style="22" customWidth="1"/>
    <col min="6397" max="6397" width="7.85546875" style="22" bestFit="1" customWidth="1"/>
    <col min="6398" max="6398" width="7.28515625" style="22" bestFit="1" customWidth="1"/>
    <col min="6399" max="6400" width="7.28515625" style="22" customWidth="1"/>
    <col min="6401" max="6402" width="7.28515625" style="22" bestFit="1" customWidth="1"/>
    <col min="6403" max="6405" width="7.28515625" style="22" customWidth="1"/>
    <col min="6406" max="6411" width="0" style="22" hidden="1" customWidth="1"/>
    <col min="6412" max="6412" width="9.7109375" style="22" customWidth="1"/>
    <col min="6413" max="6414" width="11.42578125" style="22"/>
    <col min="6415" max="6415" width="12.42578125" style="22" bestFit="1" customWidth="1"/>
    <col min="6416" max="6651" width="11.42578125" style="22"/>
    <col min="6652" max="6652" width="18.140625" style="22" customWidth="1"/>
    <col min="6653" max="6653" width="7.85546875" style="22" bestFit="1" customWidth="1"/>
    <col min="6654" max="6654" width="7.28515625" style="22" bestFit="1" customWidth="1"/>
    <col min="6655" max="6656" width="7.28515625" style="22" customWidth="1"/>
    <col min="6657" max="6658" width="7.28515625" style="22" bestFit="1" customWidth="1"/>
    <col min="6659" max="6661" width="7.28515625" style="22" customWidth="1"/>
    <col min="6662" max="6667" width="0" style="22" hidden="1" customWidth="1"/>
    <col min="6668" max="6668" width="9.7109375" style="22" customWidth="1"/>
    <col min="6669" max="6670" width="11.42578125" style="22"/>
    <col min="6671" max="6671" width="12.42578125" style="22" bestFit="1" customWidth="1"/>
    <col min="6672" max="6907" width="11.42578125" style="22"/>
    <col min="6908" max="6908" width="18.140625" style="22" customWidth="1"/>
    <col min="6909" max="6909" width="7.85546875" style="22" bestFit="1" customWidth="1"/>
    <col min="6910" max="6910" width="7.28515625" style="22" bestFit="1" customWidth="1"/>
    <col min="6911" max="6912" width="7.28515625" style="22" customWidth="1"/>
    <col min="6913" max="6914" width="7.28515625" style="22" bestFit="1" customWidth="1"/>
    <col min="6915" max="6917" width="7.28515625" style="22" customWidth="1"/>
    <col min="6918" max="6923" width="0" style="22" hidden="1" customWidth="1"/>
    <col min="6924" max="6924" width="9.7109375" style="22" customWidth="1"/>
    <col min="6925" max="6926" width="11.42578125" style="22"/>
    <col min="6927" max="6927" width="12.42578125" style="22" bestFit="1" customWidth="1"/>
    <col min="6928" max="7163" width="11.42578125" style="22"/>
    <col min="7164" max="7164" width="18.140625" style="22" customWidth="1"/>
    <col min="7165" max="7165" width="7.85546875" style="22" bestFit="1" customWidth="1"/>
    <col min="7166" max="7166" width="7.28515625" style="22" bestFit="1" customWidth="1"/>
    <col min="7167" max="7168" width="7.28515625" style="22" customWidth="1"/>
    <col min="7169" max="7170" width="7.28515625" style="22" bestFit="1" customWidth="1"/>
    <col min="7171" max="7173" width="7.28515625" style="22" customWidth="1"/>
    <col min="7174" max="7179" width="0" style="22" hidden="1" customWidth="1"/>
    <col min="7180" max="7180" width="9.7109375" style="22" customWidth="1"/>
    <col min="7181" max="7182" width="11.42578125" style="22"/>
    <col min="7183" max="7183" width="12.42578125" style="22" bestFit="1" customWidth="1"/>
    <col min="7184" max="7419" width="11.42578125" style="22"/>
    <col min="7420" max="7420" width="18.140625" style="22" customWidth="1"/>
    <col min="7421" max="7421" width="7.85546875" style="22" bestFit="1" customWidth="1"/>
    <col min="7422" max="7422" width="7.28515625" style="22" bestFit="1" customWidth="1"/>
    <col min="7423" max="7424" width="7.28515625" style="22" customWidth="1"/>
    <col min="7425" max="7426" width="7.28515625" style="22" bestFit="1" customWidth="1"/>
    <col min="7427" max="7429" width="7.28515625" style="22" customWidth="1"/>
    <col min="7430" max="7435" width="0" style="22" hidden="1" customWidth="1"/>
    <col min="7436" max="7436" width="9.7109375" style="22" customWidth="1"/>
    <col min="7437" max="7438" width="11.42578125" style="22"/>
    <col min="7439" max="7439" width="12.42578125" style="22" bestFit="1" customWidth="1"/>
    <col min="7440" max="7675" width="11.42578125" style="22"/>
    <col min="7676" max="7676" width="18.140625" style="22" customWidth="1"/>
    <col min="7677" max="7677" width="7.85546875" style="22" bestFit="1" customWidth="1"/>
    <col min="7678" max="7678" width="7.28515625" style="22" bestFit="1" customWidth="1"/>
    <col min="7679" max="7680" width="7.28515625" style="22" customWidth="1"/>
    <col min="7681" max="7682" width="7.28515625" style="22" bestFit="1" customWidth="1"/>
    <col min="7683" max="7685" width="7.28515625" style="22" customWidth="1"/>
    <col min="7686" max="7691" width="0" style="22" hidden="1" customWidth="1"/>
    <col min="7692" max="7692" width="9.7109375" style="22" customWidth="1"/>
    <col min="7693" max="7694" width="11.42578125" style="22"/>
    <col min="7695" max="7695" width="12.42578125" style="22" bestFit="1" customWidth="1"/>
    <col min="7696" max="7931" width="11.42578125" style="22"/>
    <col min="7932" max="7932" width="18.140625" style="22" customWidth="1"/>
    <col min="7933" max="7933" width="7.85546875" style="22" bestFit="1" customWidth="1"/>
    <col min="7934" max="7934" width="7.28515625" style="22" bestFit="1" customWidth="1"/>
    <col min="7935" max="7936" width="7.28515625" style="22" customWidth="1"/>
    <col min="7937" max="7938" width="7.28515625" style="22" bestFit="1" customWidth="1"/>
    <col min="7939" max="7941" width="7.28515625" style="22" customWidth="1"/>
    <col min="7942" max="7947" width="0" style="22" hidden="1" customWidth="1"/>
    <col min="7948" max="7948" width="9.7109375" style="22" customWidth="1"/>
    <col min="7949" max="7950" width="11.42578125" style="22"/>
    <col min="7951" max="7951" width="12.42578125" style="22" bestFit="1" customWidth="1"/>
    <col min="7952" max="8187" width="11.42578125" style="22"/>
    <col min="8188" max="8188" width="18.140625" style="22" customWidth="1"/>
    <col min="8189" max="8189" width="7.85546875" style="22" bestFit="1" customWidth="1"/>
    <col min="8190" max="8190" width="7.28515625" style="22" bestFit="1" customWidth="1"/>
    <col min="8191" max="8192" width="7.28515625" style="22" customWidth="1"/>
    <col min="8193" max="8194" width="7.28515625" style="22" bestFit="1" customWidth="1"/>
    <col min="8195" max="8197" width="7.28515625" style="22" customWidth="1"/>
    <col min="8198" max="8203" width="0" style="22" hidden="1" customWidth="1"/>
    <col min="8204" max="8204" width="9.7109375" style="22" customWidth="1"/>
    <col min="8205" max="8206" width="11.42578125" style="22"/>
    <col min="8207" max="8207" width="12.42578125" style="22" bestFit="1" customWidth="1"/>
    <col min="8208" max="8443" width="11.42578125" style="22"/>
    <col min="8444" max="8444" width="18.140625" style="22" customWidth="1"/>
    <col min="8445" max="8445" width="7.85546875" style="22" bestFit="1" customWidth="1"/>
    <col min="8446" max="8446" width="7.28515625" style="22" bestFit="1" customWidth="1"/>
    <col min="8447" max="8448" width="7.28515625" style="22" customWidth="1"/>
    <col min="8449" max="8450" width="7.28515625" style="22" bestFit="1" customWidth="1"/>
    <col min="8451" max="8453" width="7.28515625" style="22" customWidth="1"/>
    <col min="8454" max="8459" width="0" style="22" hidden="1" customWidth="1"/>
    <col min="8460" max="8460" width="9.7109375" style="22" customWidth="1"/>
    <col min="8461" max="8462" width="11.42578125" style="22"/>
    <col min="8463" max="8463" width="12.42578125" style="22" bestFit="1" customWidth="1"/>
    <col min="8464" max="8699" width="11.42578125" style="22"/>
    <col min="8700" max="8700" width="18.140625" style="22" customWidth="1"/>
    <col min="8701" max="8701" width="7.85546875" style="22" bestFit="1" customWidth="1"/>
    <col min="8702" max="8702" width="7.28515625" style="22" bestFit="1" customWidth="1"/>
    <col min="8703" max="8704" width="7.28515625" style="22" customWidth="1"/>
    <col min="8705" max="8706" width="7.28515625" style="22" bestFit="1" customWidth="1"/>
    <col min="8707" max="8709" width="7.28515625" style="22" customWidth="1"/>
    <col min="8710" max="8715" width="0" style="22" hidden="1" customWidth="1"/>
    <col min="8716" max="8716" width="9.7109375" style="22" customWidth="1"/>
    <col min="8717" max="8718" width="11.42578125" style="22"/>
    <col min="8719" max="8719" width="12.42578125" style="22" bestFit="1" customWidth="1"/>
    <col min="8720" max="8955" width="11.42578125" style="22"/>
    <col min="8956" max="8956" width="18.140625" style="22" customWidth="1"/>
    <col min="8957" max="8957" width="7.85546875" style="22" bestFit="1" customWidth="1"/>
    <col min="8958" max="8958" width="7.28515625" style="22" bestFit="1" customWidth="1"/>
    <col min="8959" max="8960" width="7.28515625" style="22" customWidth="1"/>
    <col min="8961" max="8962" width="7.28515625" style="22" bestFit="1" customWidth="1"/>
    <col min="8963" max="8965" width="7.28515625" style="22" customWidth="1"/>
    <col min="8966" max="8971" width="0" style="22" hidden="1" customWidth="1"/>
    <col min="8972" max="8972" width="9.7109375" style="22" customWidth="1"/>
    <col min="8973" max="8974" width="11.42578125" style="22"/>
    <col min="8975" max="8975" width="12.42578125" style="22" bestFit="1" customWidth="1"/>
    <col min="8976" max="9211" width="11.42578125" style="22"/>
    <col min="9212" max="9212" width="18.140625" style="22" customWidth="1"/>
    <col min="9213" max="9213" width="7.85546875" style="22" bestFit="1" customWidth="1"/>
    <col min="9214" max="9214" width="7.28515625" style="22" bestFit="1" customWidth="1"/>
    <col min="9215" max="9216" width="7.28515625" style="22" customWidth="1"/>
    <col min="9217" max="9218" width="7.28515625" style="22" bestFit="1" customWidth="1"/>
    <col min="9219" max="9221" width="7.28515625" style="22" customWidth="1"/>
    <col min="9222" max="9227" width="0" style="22" hidden="1" customWidth="1"/>
    <col min="9228" max="9228" width="9.7109375" style="22" customWidth="1"/>
    <col min="9229" max="9230" width="11.42578125" style="22"/>
    <col min="9231" max="9231" width="12.42578125" style="22" bestFit="1" customWidth="1"/>
    <col min="9232" max="9467" width="11.42578125" style="22"/>
    <col min="9468" max="9468" width="18.140625" style="22" customWidth="1"/>
    <col min="9469" max="9469" width="7.85546875" style="22" bestFit="1" customWidth="1"/>
    <col min="9470" max="9470" width="7.28515625" style="22" bestFit="1" customWidth="1"/>
    <col min="9471" max="9472" width="7.28515625" style="22" customWidth="1"/>
    <col min="9473" max="9474" width="7.28515625" style="22" bestFit="1" customWidth="1"/>
    <col min="9475" max="9477" width="7.28515625" style="22" customWidth="1"/>
    <col min="9478" max="9483" width="0" style="22" hidden="1" customWidth="1"/>
    <col min="9484" max="9484" width="9.7109375" style="22" customWidth="1"/>
    <col min="9485" max="9486" width="11.42578125" style="22"/>
    <col min="9487" max="9487" width="12.42578125" style="22" bestFit="1" customWidth="1"/>
    <col min="9488" max="9723" width="11.42578125" style="22"/>
    <col min="9724" max="9724" width="18.140625" style="22" customWidth="1"/>
    <col min="9725" max="9725" width="7.85546875" style="22" bestFit="1" customWidth="1"/>
    <col min="9726" max="9726" width="7.28515625" style="22" bestFit="1" customWidth="1"/>
    <col min="9727" max="9728" width="7.28515625" style="22" customWidth="1"/>
    <col min="9729" max="9730" width="7.28515625" style="22" bestFit="1" customWidth="1"/>
    <col min="9731" max="9733" width="7.28515625" style="22" customWidth="1"/>
    <col min="9734" max="9739" width="0" style="22" hidden="1" customWidth="1"/>
    <col min="9740" max="9740" width="9.7109375" style="22" customWidth="1"/>
    <col min="9741" max="9742" width="11.42578125" style="22"/>
    <col min="9743" max="9743" width="12.42578125" style="22" bestFit="1" customWidth="1"/>
    <col min="9744" max="9979" width="11.42578125" style="22"/>
    <col min="9980" max="9980" width="18.140625" style="22" customWidth="1"/>
    <col min="9981" max="9981" width="7.85546875" style="22" bestFit="1" customWidth="1"/>
    <col min="9982" max="9982" width="7.28515625" style="22" bestFit="1" customWidth="1"/>
    <col min="9983" max="9984" width="7.28515625" style="22" customWidth="1"/>
    <col min="9985" max="9986" width="7.28515625" style="22" bestFit="1" customWidth="1"/>
    <col min="9987" max="9989" width="7.28515625" style="22" customWidth="1"/>
    <col min="9990" max="9995" width="0" style="22" hidden="1" customWidth="1"/>
    <col min="9996" max="9996" width="9.7109375" style="22" customWidth="1"/>
    <col min="9997" max="9998" width="11.42578125" style="22"/>
    <col min="9999" max="9999" width="12.42578125" style="22" bestFit="1" customWidth="1"/>
    <col min="10000" max="10235" width="11.42578125" style="22"/>
    <col min="10236" max="10236" width="18.140625" style="22" customWidth="1"/>
    <col min="10237" max="10237" width="7.85546875" style="22" bestFit="1" customWidth="1"/>
    <col min="10238" max="10238" width="7.28515625" style="22" bestFit="1" customWidth="1"/>
    <col min="10239" max="10240" width="7.28515625" style="22" customWidth="1"/>
    <col min="10241" max="10242" width="7.28515625" style="22" bestFit="1" customWidth="1"/>
    <col min="10243" max="10245" width="7.28515625" style="22" customWidth="1"/>
    <col min="10246" max="10251" width="0" style="22" hidden="1" customWidth="1"/>
    <col min="10252" max="10252" width="9.7109375" style="22" customWidth="1"/>
    <col min="10253" max="10254" width="11.42578125" style="22"/>
    <col min="10255" max="10255" width="12.42578125" style="22" bestFit="1" customWidth="1"/>
    <col min="10256" max="10491" width="11.42578125" style="22"/>
    <col min="10492" max="10492" width="18.140625" style="22" customWidth="1"/>
    <col min="10493" max="10493" width="7.85546875" style="22" bestFit="1" customWidth="1"/>
    <col min="10494" max="10494" width="7.28515625" style="22" bestFit="1" customWidth="1"/>
    <col min="10495" max="10496" width="7.28515625" style="22" customWidth="1"/>
    <col min="10497" max="10498" width="7.28515625" style="22" bestFit="1" customWidth="1"/>
    <col min="10499" max="10501" width="7.28515625" style="22" customWidth="1"/>
    <col min="10502" max="10507" width="0" style="22" hidden="1" customWidth="1"/>
    <col min="10508" max="10508" width="9.7109375" style="22" customWidth="1"/>
    <col min="10509" max="10510" width="11.42578125" style="22"/>
    <col min="10511" max="10511" width="12.42578125" style="22" bestFit="1" customWidth="1"/>
    <col min="10512" max="10747" width="11.42578125" style="22"/>
    <col min="10748" max="10748" width="18.140625" style="22" customWidth="1"/>
    <col min="10749" max="10749" width="7.85546875" style="22" bestFit="1" customWidth="1"/>
    <col min="10750" max="10750" width="7.28515625" style="22" bestFit="1" customWidth="1"/>
    <col min="10751" max="10752" width="7.28515625" style="22" customWidth="1"/>
    <col min="10753" max="10754" width="7.28515625" style="22" bestFit="1" customWidth="1"/>
    <col min="10755" max="10757" width="7.28515625" style="22" customWidth="1"/>
    <col min="10758" max="10763" width="0" style="22" hidden="1" customWidth="1"/>
    <col min="10764" max="10764" width="9.7109375" style="22" customWidth="1"/>
    <col min="10765" max="10766" width="11.42578125" style="22"/>
    <col min="10767" max="10767" width="12.42578125" style="22" bestFit="1" customWidth="1"/>
    <col min="10768" max="11003" width="11.42578125" style="22"/>
    <col min="11004" max="11004" width="18.140625" style="22" customWidth="1"/>
    <col min="11005" max="11005" width="7.85546875" style="22" bestFit="1" customWidth="1"/>
    <col min="11006" max="11006" width="7.28515625" style="22" bestFit="1" customWidth="1"/>
    <col min="11007" max="11008" width="7.28515625" style="22" customWidth="1"/>
    <col min="11009" max="11010" width="7.28515625" style="22" bestFit="1" customWidth="1"/>
    <col min="11011" max="11013" width="7.28515625" style="22" customWidth="1"/>
    <col min="11014" max="11019" width="0" style="22" hidden="1" customWidth="1"/>
    <col min="11020" max="11020" width="9.7109375" style="22" customWidth="1"/>
    <col min="11021" max="11022" width="11.42578125" style="22"/>
    <col min="11023" max="11023" width="12.42578125" style="22" bestFit="1" customWidth="1"/>
    <col min="11024" max="11259" width="11.42578125" style="22"/>
    <col min="11260" max="11260" width="18.140625" style="22" customWidth="1"/>
    <col min="11261" max="11261" width="7.85546875" style="22" bestFit="1" customWidth="1"/>
    <col min="11262" max="11262" width="7.28515625" style="22" bestFit="1" customWidth="1"/>
    <col min="11263" max="11264" width="7.28515625" style="22" customWidth="1"/>
    <col min="11265" max="11266" width="7.28515625" style="22" bestFit="1" customWidth="1"/>
    <col min="11267" max="11269" width="7.28515625" style="22" customWidth="1"/>
    <col min="11270" max="11275" width="0" style="22" hidden="1" customWidth="1"/>
    <col min="11276" max="11276" width="9.7109375" style="22" customWidth="1"/>
    <col min="11277" max="11278" width="11.42578125" style="22"/>
    <col min="11279" max="11279" width="12.42578125" style="22" bestFit="1" customWidth="1"/>
    <col min="11280" max="11515" width="11.42578125" style="22"/>
    <col min="11516" max="11516" width="18.140625" style="22" customWidth="1"/>
    <col min="11517" max="11517" width="7.85546875" style="22" bestFit="1" customWidth="1"/>
    <col min="11518" max="11518" width="7.28515625" style="22" bestFit="1" customWidth="1"/>
    <col min="11519" max="11520" width="7.28515625" style="22" customWidth="1"/>
    <col min="11521" max="11522" width="7.28515625" style="22" bestFit="1" customWidth="1"/>
    <col min="11523" max="11525" width="7.28515625" style="22" customWidth="1"/>
    <col min="11526" max="11531" width="0" style="22" hidden="1" customWidth="1"/>
    <col min="11532" max="11532" width="9.7109375" style="22" customWidth="1"/>
    <col min="11533" max="11534" width="11.42578125" style="22"/>
    <col min="11535" max="11535" width="12.42578125" style="22" bestFit="1" customWidth="1"/>
    <col min="11536" max="11771" width="11.42578125" style="22"/>
    <col min="11772" max="11772" width="18.140625" style="22" customWidth="1"/>
    <col min="11773" max="11773" width="7.85546875" style="22" bestFit="1" customWidth="1"/>
    <col min="11774" max="11774" width="7.28515625" style="22" bestFit="1" customWidth="1"/>
    <col min="11775" max="11776" width="7.28515625" style="22" customWidth="1"/>
    <col min="11777" max="11778" width="7.28515625" style="22" bestFit="1" customWidth="1"/>
    <col min="11779" max="11781" width="7.28515625" style="22" customWidth="1"/>
    <col min="11782" max="11787" width="0" style="22" hidden="1" customWidth="1"/>
    <col min="11788" max="11788" width="9.7109375" style="22" customWidth="1"/>
    <col min="11789" max="11790" width="11.42578125" style="22"/>
    <col min="11791" max="11791" width="12.42578125" style="22" bestFit="1" customWidth="1"/>
    <col min="11792" max="12027" width="11.42578125" style="22"/>
    <col min="12028" max="12028" width="18.140625" style="22" customWidth="1"/>
    <col min="12029" max="12029" width="7.85546875" style="22" bestFit="1" customWidth="1"/>
    <col min="12030" max="12030" width="7.28515625" style="22" bestFit="1" customWidth="1"/>
    <col min="12031" max="12032" width="7.28515625" style="22" customWidth="1"/>
    <col min="12033" max="12034" width="7.28515625" style="22" bestFit="1" customWidth="1"/>
    <col min="12035" max="12037" width="7.28515625" style="22" customWidth="1"/>
    <col min="12038" max="12043" width="0" style="22" hidden="1" customWidth="1"/>
    <col min="12044" max="12044" width="9.7109375" style="22" customWidth="1"/>
    <col min="12045" max="12046" width="11.42578125" style="22"/>
    <col min="12047" max="12047" width="12.42578125" style="22" bestFit="1" customWidth="1"/>
    <col min="12048" max="12283" width="11.42578125" style="22"/>
    <col min="12284" max="12284" width="18.140625" style="22" customWidth="1"/>
    <col min="12285" max="12285" width="7.85546875" style="22" bestFit="1" customWidth="1"/>
    <col min="12286" max="12286" width="7.28515625" style="22" bestFit="1" customWidth="1"/>
    <col min="12287" max="12288" width="7.28515625" style="22" customWidth="1"/>
    <col min="12289" max="12290" width="7.28515625" style="22" bestFit="1" customWidth="1"/>
    <col min="12291" max="12293" width="7.28515625" style="22" customWidth="1"/>
    <col min="12294" max="12299" width="0" style="22" hidden="1" customWidth="1"/>
    <col min="12300" max="12300" width="9.7109375" style="22" customWidth="1"/>
    <col min="12301" max="12302" width="11.42578125" style="22"/>
    <col min="12303" max="12303" width="12.42578125" style="22" bestFit="1" customWidth="1"/>
    <col min="12304" max="12539" width="11.42578125" style="22"/>
    <col min="12540" max="12540" width="18.140625" style="22" customWidth="1"/>
    <col min="12541" max="12541" width="7.85546875" style="22" bestFit="1" customWidth="1"/>
    <col min="12542" max="12542" width="7.28515625" style="22" bestFit="1" customWidth="1"/>
    <col min="12543" max="12544" width="7.28515625" style="22" customWidth="1"/>
    <col min="12545" max="12546" width="7.28515625" style="22" bestFit="1" customWidth="1"/>
    <col min="12547" max="12549" width="7.28515625" style="22" customWidth="1"/>
    <col min="12550" max="12555" width="0" style="22" hidden="1" customWidth="1"/>
    <col min="12556" max="12556" width="9.7109375" style="22" customWidth="1"/>
    <col min="12557" max="12558" width="11.42578125" style="22"/>
    <col min="12559" max="12559" width="12.42578125" style="22" bestFit="1" customWidth="1"/>
    <col min="12560" max="12795" width="11.42578125" style="22"/>
    <col min="12796" max="12796" width="18.140625" style="22" customWidth="1"/>
    <col min="12797" max="12797" width="7.85546875" style="22" bestFit="1" customWidth="1"/>
    <col min="12798" max="12798" width="7.28515625" style="22" bestFit="1" customWidth="1"/>
    <col min="12799" max="12800" width="7.28515625" style="22" customWidth="1"/>
    <col min="12801" max="12802" width="7.28515625" style="22" bestFit="1" customWidth="1"/>
    <col min="12803" max="12805" width="7.28515625" style="22" customWidth="1"/>
    <col min="12806" max="12811" width="0" style="22" hidden="1" customWidth="1"/>
    <col min="12812" max="12812" width="9.7109375" style="22" customWidth="1"/>
    <col min="12813" max="12814" width="11.42578125" style="22"/>
    <col min="12815" max="12815" width="12.42578125" style="22" bestFit="1" customWidth="1"/>
    <col min="12816" max="13051" width="11.42578125" style="22"/>
    <col min="13052" max="13052" width="18.140625" style="22" customWidth="1"/>
    <col min="13053" max="13053" width="7.85546875" style="22" bestFit="1" customWidth="1"/>
    <col min="13054" max="13054" width="7.28515625" style="22" bestFit="1" customWidth="1"/>
    <col min="13055" max="13056" width="7.28515625" style="22" customWidth="1"/>
    <col min="13057" max="13058" width="7.28515625" style="22" bestFit="1" customWidth="1"/>
    <col min="13059" max="13061" width="7.28515625" style="22" customWidth="1"/>
    <col min="13062" max="13067" width="0" style="22" hidden="1" customWidth="1"/>
    <col min="13068" max="13068" width="9.7109375" style="22" customWidth="1"/>
    <col min="13069" max="13070" width="11.42578125" style="22"/>
    <col min="13071" max="13071" width="12.42578125" style="22" bestFit="1" customWidth="1"/>
    <col min="13072" max="13307" width="11.42578125" style="22"/>
    <col min="13308" max="13308" width="18.140625" style="22" customWidth="1"/>
    <col min="13309" max="13309" width="7.85546875" style="22" bestFit="1" customWidth="1"/>
    <col min="13310" max="13310" width="7.28515625" style="22" bestFit="1" customWidth="1"/>
    <col min="13311" max="13312" width="7.28515625" style="22" customWidth="1"/>
    <col min="13313" max="13314" width="7.28515625" style="22" bestFit="1" customWidth="1"/>
    <col min="13315" max="13317" width="7.28515625" style="22" customWidth="1"/>
    <col min="13318" max="13323" width="0" style="22" hidden="1" customWidth="1"/>
    <col min="13324" max="13324" width="9.7109375" style="22" customWidth="1"/>
    <col min="13325" max="13326" width="11.42578125" style="22"/>
    <col min="13327" max="13327" width="12.42578125" style="22" bestFit="1" customWidth="1"/>
    <col min="13328" max="13563" width="11.42578125" style="22"/>
    <col min="13564" max="13564" width="18.140625" style="22" customWidth="1"/>
    <col min="13565" max="13565" width="7.85546875" style="22" bestFit="1" customWidth="1"/>
    <col min="13566" max="13566" width="7.28515625" style="22" bestFit="1" customWidth="1"/>
    <col min="13567" max="13568" width="7.28515625" style="22" customWidth="1"/>
    <col min="13569" max="13570" width="7.28515625" style="22" bestFit="1" customWidth="1"/>
    <col min="13571" max="13573" width="7.28515625" style="22" customWidth="1"/>
    <col min="13574" max="13579" width="0" style="22" hidden="1" customWidth="1"/>
    <col min="13580" max="13580" width="9.7109375" style="22" customWidth="1"/>
    <col min="13581" max="13582" width="11.42578125" style="22"/>
    <col min="13583" max="13583" width="12.42578125" style="22" bestFit="1" customWidth="1"/>
    <col min="13584" max="13819" width="11.42578125" style="22"/>
    <col min="13820" max="13820" width="18.140625" style="22" customWidth="1"/>
    <col min="13821" max="13821" width="7.85546875" style="22" bestFit="1" customWidth="1"/>
    <col min="13822" max="13822" width="7.28515625" style="22" bestFit="1" customWidth="1"/>
    <col min="13823" max="13824" width="7.28515625" style="22" customWidth="1"/>
    <col min="13825" max="13826" width="7.28515625" style="22" bestFit="1" customWidth="1"/>
    <col min="13827" max="13829" width="7.28515625" style="22" customWidth="1"/>
    <col min="13830" max="13835" width="0" style="22" hidden="1" customWidth="1"/>
    <col min="13836" max="13836" width="9.7109375" style="22" customWidth="1"/>
    <col min="13837" max="13838" width="11.42578125" style="22"/>
    <col min="13839" max="13839" width="12.42578125" style="22" bestFit="1" customWidth="1"/>
    <col min="13840" max="14075" width="11.42578125" style="22"/>
    <col min="14076" max="14076" width="18.140625" style="22" customWidth="1"/>
    <col min="14077" max="14077" width="7.85546875" style="22" bestFit="1" customWidth="1"/>
    <col min="14078" max="14078" width="7.28515625" style="22" bestFit="1" customWidth="1"/>
    <col min="14079" max="14080" width="7.28515625" style="22" customWidth="1"/>
    <col min="14081" max="14082" width="7.28515625" style="22" bestFit="1" customWidth="1"/>
    <col min="14083" max="14085" width="7.28515625" style="22" customWidth="1"/>
    <col min="14086" max="14091" width="0" style="22" hidden="1" customWidth="1"/>
    <col min="14092" max="14092" width="9.7109375" style="22" customWidth="1"/>
    <col min="14093" max="14094" width="11.42578125" style="22"/>
    <col min="14095" max="14095" width="12.42578125" style="22" bestFit="1" customWidth="1"/>
    <col min="14096" max="14331" width="11.42578125" style="22"/>
    <col min="14332" max="14332" width="18.140625" style="22" customWidth="1"/>
    <col min="14333" max="14333" width="7.85546875" style="22" bestFit="1" customWidth="1"/>
    <col min="14334" max="14334" width="7.28515625" style="22" bestFit="1" customWidth="1"/>
    <col min="14335" max="14336" width="7.28515625" style="22" customWidth="1"/>
    <col min="14337" max="14338" width="7.28515625" style="22" bestFit="1" customWidth="1"/>
    <col min="14339" max="14341" width="7.28515625" style="22" customWidth="1"/>
    <col min="14342" max="14347" width="0" style="22" hidden="1" customWidth="1"/>
    <col min="14348" max="14348" width="9.7109375" style="22" customWidth="1"/>
    <col min="14349" max="14350" width="11.42578125" style="22"/>
    <col min="14351" max="14351" width="12.42578125" style="22" bestFit="1" customWidth="1"/>
    <col min="14352" max="14587" width="11.42578125" style="22"/>
    <col min="14588" max="14588" width="18.140625" style="22" customWidth="1"/>
    <col min="14589" max="14589" width="7.85546875" style="22" bestFit="1" customWidth="1"/>
    <col min="14590" max="14590" width="7.28515625" style="22" bestFit="1" customWidth="1"/>
    <col min="14591" max="14592" width="7.28515625" style="22" customWidth="1"/>
    <col min="14593" max="14594" width="7.28515625" style="22" bestFit="1" customWidth="1"/>
    <col min="14595" max="14597" width="7.28515625" style="22" customWidth="1"/>
    <col min="14598" max="14603" width="0" style="22" hidden="1" customWidth="1"/>
    <col min="14604" max="14604" width="9.7109375" style="22" customWidth="1"/>
    <col min="14605" max="14606" width="11.42578125" style="22"/>
    <col min="14607" max="14607" width="12.42578125" style="22" bestFit="1" customWidth="1"/>
    <col min="14608" max="14843" width="11.42578125" style="22"/>
    <col min="14844" max="14844" width="18.140625" style="22" customWidth="1"/>
    <col min="14845" max="14845" width="7.85546875" style="22" bestFit="1" customWidth="1"/>
    <col min="14846" max="14846" width="7.28515625" style="22" bestFit="1" customWidth="1"/>
    <col min="14847" max="14848" width="7.28515625" style="22" customWidth="1"/>
    <col min="14849" max="14850" width="7.28515625" style="22" bestFit="1" customWidth="1"/>
    <col min="14851" max="14853" width="7.28515625" style="22" customWidth="1"/>
    <col min="14854" max="14859" width="0" style="22" hidden="1" customWidth="1"/>
    <col min="14860" max="14860" width="9.7109375" style="22" customWidth="1"/>
    <col min="14861" max="14862" width="11.42578125" style="22"/>
    <col min="14863" max="14863" width="12.42578125" style="22" bestFit="1" customWidth="1"/>
    <col min="14864" max="15099" width="11.42578125" style="22"/>
    <col min="15100" max="15100" width="18.140625" style="22" customWidth="1"/>
    <col min="15101" max="15101" width="7.85546875" style="22" bestFit="1" customWidth="1"/>
    <col min="15102" max="15102" width="7.28515625" style="22" bestFit="1" customWidth="1"/>
    <col min="15103" max="15104" width="7.28515625" style="22" customWidth="1"/>
    <col min="15105" max="15106" width="7.28515625" style="22" bestFit="1" customWidth="1"/>
    <col min="15107" max="15109" width="7.28515625" style="22" customWidth="1"/>
    <col min="15110" max="15115" width="0" style="22" hidden="1" customWidth="1"/>
    <col min="15116" max="15116" width="9.7109375" style="22" customWidth="1"/>
    <col min="15117" max="15118" width="11.42578125" style="22"/>
    <col min="15119" max="15119" width="12.42578125" style="22" bestFit="1" customWidth="1"/>
    <col min="15120" max="15355" width="11.42578125" style="22"/>
    <col min="15356" max="15356" width="18.140625" style="22" customWidth="1"/>
    <col min="15357" max="15357" width="7.85546875" style="22" bestFit="1" customWidth="1"/>
    <col min="15358" max="15358" width="7.28515625" style="22" bestFit="1" customWidth="1"/>
    <col min="15359" max="15360" width="7.28515625" style="22" customWidth="1"/>
    <col min="15361" max="15362" width="7.28515625" style="22" bestFit="1" customWidth="1"/>
    <col min="15363" max="15365" width="7.28515625" style="22" customWidth="1"/>
    <col min="15366" max="15371" width="0" style="22" hidden="1" customWidth="1"/>
    <col min="15372" max="15372" width="9.7109375" style="22" customWidth="1"/>
    <col min="15373" max="15374" width="11.42578125" style="22"/>
    <col min="15375" max="15375" width="12.42578125" style="22" bestFit="1" customWidth="1"/>
    <col min="15376" max="15611" width="11.42578125" style="22"/>
    <col min="15612" max="15612" width="18.140625" style="22" customWidth="1"/>
    <col min="15613" max="15613" width="7.85546875" style="22" bestFit="1" customWidth="1"/>
    <col min="15614" max="15614" width="7.28515625" style="22" bestFit="1" customWidth="1"/>
    <col min="15615" max="15616" width="7.28515625" style="22" customWidth="1"/>
    <col min="15617" max="15618" width="7.28515625" style="22" bestFit="1" customWidth="1"/>
    <col min="15619" max="15621" width="7.28515625" style="22" customWidth="1"/>
    <col min="15622" max="15627" width="0" style="22" hidden="1" customWidth="1"/>
    <col min="15628" max="15628" width="9.7109375" style="22" customWidth="1"/>
    <col min="15629" max="15630" width="11.42578125" style="22"/>
    <col min="15631" max="15631" width="12.42578125" style="22" bestFit="1" customWidth="1"/>
    <col min="15632" max="15867" width="11.42578125" style="22"/>
    <col min="15868" max="15868" width="18.140625" style="22" customWidth="1"/>
    <col min="15869" max="15869" width="7.85546875" style="22" bestFit="1" customWidth="1"/>
    <col min="15870" max="15870" width="7.28515625" style="22" bestFit="1" customWidth="1"/>
    <col min="15871" max="15872" width="7.28515625" style="22" customWidth="1"/>
    <col min="15873" max="15874" width="7.28515625" style="22" bestFit="1" customWidth="1"/>
    <col min="15875" max="15877" width="7.28515625" style="22" customWidth="1"/>
    <col min="15878" max="15883" width="0" style="22" hidden="1" customWidth="1"/>
    <col min="15884" max="15884" width="9.7109375" style="22" customWidth="1"/>
    <col min="15885" max="15886" width="11.42578125" style="22"/>
    <col min="15887" max="15887" width="12.42578125" style="22" bestFit="1" customWidth="1"/>
    <col min="15888" max="16123" width="11.42578125" style="22"/>
    <col min="16124" max="16124" width="18.140625" style="22" customWidth="1"/>
    <col min="16125" max="16125" width="7.85546875" style="22" bestFit="1" customWidth="1"/>
    <col min="16126" max="16126" width="7.28515625" style="22" bestFit="1" customWidth="1"/>
    <col min="16127" max="16128" width="7.28515625" style="22" customWidth="1"/>
    <col min="16129" max="16130" width="7.28515625" style="22" bestFit="1" customWidth="1"/>
    <col min="16131" max="16133" width="7.28515625" style="22" customWidth="1"/>
    <col min="16134" max="16139" width="0" style="22" hidden="1" customWidth="1"/>
    <col min="16140" max="16140" width="9.7109375" style="22" customWidth="1"/>
    <col min="16141" max="16142" width="11.42578125" style="22"/>
    <col min="16143" max="16143" width="12.42578125" style="22" bestFit="1" customWidth="1"/>
    <col min="16144" max="16384" width="11.42578125" style="22"/>
  </cols>
  <sheetData>
    <row r="1" spans="1:17" s="23" customFormat="1" x14ac:dyDescent="0.2">
      <c r="B1" s="21"/>
      <c r="C1" s="21"/>
      <c r="D1" s="21"/>
      <c r="E1" s="21"/>
      <c r="F1" s="21"/>
      <c r="G1" s="21"/>
      <c r="H1" s="21"/>
      <c r="I1" s="21"/>
      <c r="J1" s="21"/>
      <c r="K1" s="21"/>
      <c r="L1" s="21"/>
    </row>
    <row r="2" spans="1:17" s="23" customFormat="1" x14ac:dyDescent="0.2">
      <c r="A2" s="40" t="s">
        <v>58</v>
      </c>
      <c r="B2" s="21"/>
      <c r="C2" s="21"/>
      <c r="D2" s="21"/>
      <c r="E2" s="21"/>
      <c r="F2" s="21"/>
      <c r="G2" s="21"/>
      <c r="H2" s="21"/>
      <c r="I2" s="21"/>
      <c r="K2" s="21"/>
      <c r="L2" s="21"/>
    </row>
    <row r="3" spans="1:17" s="23" customFormat="1" ht="15" x14ac:dyDescent="0.25">
      <c r="A3" s="40" t="s">
        <v>59</v>
      </c>
      <c r="B3" s="21"/>
      <c r="C3" s="21"/>
      <c r="D3" s="21"/>
      <c r="E3" s="21"/>
      <c r="F3" s="21"/>
      <c r="G3" s="21"/>
      <c r="H3" s="21"/>
      <c r="I3" s="21"/>
      <c r="J3" s="88"/>
      <c r="K3" s="21"/>
      <c r="L3" s="21"/>
    </row>
    <row r="4" spans="1:17" s="23" customFormat="1" x14ac:dyDescent="0.2">
      <c r="B4" s="21"/>
      <c r="C4" s="21"/>
      <c r="D4" s="21"/>
      <c r="E4" s="21"/>
      <c r="F4" s="21"/>
      <c r="G4" s="21"/>
      <c r="H4" s="21"/>
      <c r="I4" s="21"/>
      <c r="J4" s="21"/>
      <c r="K4" s="21"/>
      <c r="L4" s="21"/>
    </row>
    <row r="5" spans="1:17" s="23" customFormat="1" ht="12.75" x14ac:dyDescent="0.2">
      <c r="B5" s="344" t="s">
        <v>583</v>
      </c>
      <c r="C5" s="344"/>
      <c r="D5" s="344"/>
      <c r="E5" s="344"/>
      <c r="F5" s="344"/>
      <c r="G5" s="344"/>
      <c r="H5" s="344"/>
      <c r="I5" s="344"/>
      <c r="J5" s="344"/>
      <c r="K5" s="344"/>
      <c r="M5" s="110" t="s">
        <v>509</v>
      </c>
      <c r="O5" s="89"/>
    </row>
    <row r="6" spans="1:17" s="23" customFormat="1" ht="12.75" x14ac:dyDescent="0.2">
      <c r="B6" s="374" t="str">
        <f>'Solicitudes Regiones'!$B$6:$R$6</f>
        <v>Julio de 2008 a junio de 2022</v>
      </c>
      <c r="C6" s="374"/>
      <c r="D6" s="374"/>
      <c r="E6" s="374"/>
      <c r="F6" s="374"/>
      <c r="G6" s="374"/>
      <c r="H6" s="374"/>
      <c r="I6" s="374"/>
      <c r="J6" s="374"/>
      <c r="K6" s="374"/>
      <c r="L6" s="48"/>
    </row>
    <row r="7" spans="1:17" s="26" customFormat="1" x14ac:dyDescent="0.2">
      <c r="B7" s="24"/>
      <c r="C7" s="25"/>
      <c r="D7" s="25"/>
      <c r="E7" s="25"/>
      <c r="F7" s="25"/>
      <c r="G7" s="25"/>
      <c r="H7" s="25"/>
      <c r="I7" s="25"/>
      <c r="J7" s="25"/>
      <c r="K7" s="25"/>
      <c r="L7" s="25"/>
    </row>
    <row r="8" spans="1:17" ht="15" customHeight="1" x14ac:dyDescent="0.2">
      <c r="B8" s="373" t="s">
        <v>595</v>
      </c>
      <c r="C8" s="373"/>
      <c r="D8" s="373"/>
      <c r="E8" s="373"/>
      <c r="F8" s="373"/>
      <c r="G8" s="373"/>
      <c r="H8" s="373"/>
      <c r="I8" s="373"/>
      <c r="J8" s="373"/>
      <c r="K8" s="373"/>
      <c r="L8" s="373"/>
      <c r="M8" s="373"/>
    </row>
    <row r="9" spans="1:17" ht="20.25" customHeight="1" x14ac:dyDescent="0.2">
      <c r="B9" s="373" t="s">
        <v>41</v>
      </c>
      <c r="C9" s="370" t="s">
        <v>544</v>
      </c>
      <c r="D9" s="371"/>
      <c r="E9" s="371"/>
      <c r="F9" s="371"/>
      <c r="G9" s="371"/>
      <c r="H9" s="371"/>
      <c r="I9" s="371"/>
      <c r="J9" s="371"/>
      <c r="K9" s="371"/>
      <c r="L9" s="372"/>
      <c r="M9" s="307"/>
    </row>
    <row r="10" spans="1:17" ht="60" x14ac:dyDescent="0.2">
      <c r="B10" s="373"/>
      <c r="C10" s="20" t="s">
        <v>540</v>
      </c>
      <c r="D10" s="20" t="s">
        <v>42</v>
      </c>
      <c r="E10" s="20" t="s">
        <v>553</v>
      </c>
      <c r="F10" s="20" t="s">
        <v>554</v>
      </c>
      <c r="G10" s="20" t="s">
        <v>542</v>
      </c>
      <c r="H10" s="20" t="s">
        <v>2</v>
      </c>
      <c r="I10" s="20" t="s">
        <v>43</v>
      </c>
      <c r="J10" s="20" t="s">
        <v>549</v>
      </c>
      <c r="K10" s="296" t="s">
        <v>550</v>
      </c>
      <c r="L10" s="296" t="s">
        <v>523</v>
      </c>
      <c r="M10" s="296" t="s">
        <v>641</v>
      </c>
    </row>
    <row r="11" spans="1:17" x14ac:dyDescent="0.2">
      <c r="B11" s="18" t="s">
        <v>149</v>
      </c>
      <c r="C11" s="16">
        <v>6852</v>
      </c>
      <c r="D11" s="16">
        <v>3930</v>
      </c>
      <c r="E11" s="16">
        <f>C11+D11</f>
        <v>10782</v>
      </c>
      <c r="F11" s="17">
        <f>E11/$E$44</f>
        <v>0.22294824341928413</v>
      </c>
      <c r="G11" s="16">
        <v>25074</v>
      </c>
      <c r="H11" s="16">
        <v>4763</v>
      </c>
      <c r="I11" s="16">
        <v>2409</v>
      </c>
      <c r="J11" s="16">
        <v>32246</v>
      </c>
      <c r="K11" s="17">
        <f>J11/$J$44</f>
        <v>0.24927334570191714</v>
      </c>
      <c r="L11" s="16">
        <v>0</v>
      </c>
      <c r="M11" s="239">
        <f>L11+J11+E11</f>
        <v>43028</v>
      </c>
      <c r="Q11" s="27"/>
    </row>
    <row r="12" spans="1:17" x14ac:dyDescent="0.2">
      <c r="B12" s="18" t="s">
        <v>150</v>
      </c>
      <c r="C12" s="16">
        <v>674</v>
      </c>
      <c r="D12" s="16">
        <v>388</v>
      </c>
      <c r="E12" s="16">
        <f t="shared" ref="E12:E43" si="0">C12+D12</f>
        <v>1062</v>
      </c>
      <c r="F12" s="17">
        <f t="shared" ref="F12:F43" si="1">E12/$E$44</f>
        <v>2.1959843675689088E-2</v>
      </c>
      <c r="G12" s="16">
        <v>2361</v>
      </c>
      <c r="H12" s="16">
        <v>337</v>
      </c>
      <c r="I12" s="16">
        <v>183</v>
      </c>
      <c r="J12" s="16">
        <v>2881</v>
      </c>
      <c r="K12" s="17">
        <f t="shared" ref="K12:K44" si="2">J12/$J$44</f>
        <v>2.2271181199752629E-2</v>
      </c>
      <c r="L12" s="16">
        <v>0</v>
      </c>
      <c r="M12" s="239">
        <f t="shared" ref="M12:M44" si="3">L12+J12+E12</f>
        <v>3943</v>
      </c>
      <c r="Q12" s="27"/>
    </row>
    <row r="13" spans="1:17" x14ac:dyDescent="0.2">
      <c r="B13" s="18" t="s">
        <v>151</v>
      </c>
      <c r="C13" s="16">
        <v>856</v>
      </c>
      <c r="D13" s="16">
        <v>436</v>
      </c>
      <c r="E13" s="16">
        <f t="shared" si="0"/>
        <v>1292</v>
      </c>
      <c r="F13" s="17">
        <f t="shared" si="1"/>
        <v>2.6715742023531358E-2</v>
      </c>
      <c r="G13" s="16">
        <v>3180</v>
      </c>
      <c r="H13" s="16">
        <v>577</v>
      </c>
      <c r="I13" s="16">
        <v>267</v>
      </c>
      <c r="J13" s="16">
        <v>4024</v>
      </c>
      <c r="K13" s="17">
        <f t="shared" si="2"/>
        <v>3.1106988249845393E-2</v>
      </c>
      <c r="L13" s="16">
        <v>0</v>
      </c>
      <c r="M13" s="239">
        <f t="shared" si="3"/>
        <v>5316</v>
      </c>
      <c r="Q13" s="27"/>
    </row>
    <row r="14" spans="1:17" x14ac:dyDescent="0.2">
      <c r="B14" s="18" t="s">
        <v>152</v>
      </c>
      <c r="C14" s="16">
        <v>893</v>
      </c>
      <c r="D14" s="16">
        <v>527</v>
      </c>
      <c r="E14" s="16">
        <f t="shared" si="0"/>
        <v>1420</v>
      </c>
      <c r="F14" s="17">
        <f t="shared" si="1"/>
        <v>2.9362502843200099E-2</v>
      </c>
      <c r="G14" s="16">
        <v>2513</v>
      </c>
      <c r="H14" s="16">
        <v>371</v>
      </c>
      <c r="I14" s="16">
        <v>181</v>
      </c>
      <c r="J14" s="16">
        <v>3065</v>
      </c>
      <c r="K14" s="17">
        <f t="shared" si="2"/>
        <v>2.3693568336425479E-2</v>
      </c>
      <c r="L14" s="16">
        <v>0</v>
      </c>
      <c r="M14" s="239">
        <f t="shared" si="3"/>
        <v>4485</v>
      </c>
      <c r="Q14" s="27"/>
    </row>
    <row r="15" spans="1:17" x14ac:dyDescent="0.2">
      <c r="B15" s="18" t="s">
        <v>153</v>
      </c>
      <c r="C15" s="16">
        <v>582</v>
      </c>
      <c r="D15" s="16">
        <v>414</v>
      </c>
      <c r="E15" s="16">
        <f t="shared" si="0"/>
        <v>996</v>
      </c>
      <c r="F15" s="17">
        <f t="shared" si="1"/>
        <v>2.0595107628047393E-2</v>
      </c>
      <c r="G15" s="16">
        <v>2655</v>
      </c>
      <c r="H15" s="16">
        <v>536</v>
      </c>
      <c r="I15" s="16">
        <v>218</v>
      </c>
      <c r="J15" s="16">
        <v>3409</v>
      </c>
      <c r="K15" s="17">
        <f t="shared" si="2"/>
        <v>2.6352813852813853E-2</v>
      </c>
      <c r="L15" s="16">
        <v>0</v>
      </c>
      <c r="M15" s="239">
        <f t="shared" si="3"/>
        <v>4405</v>
      </c>
      <c r="Q15" s="27"/>
    </row>
    <row r="16" spans="1:17" x14ac:dyDescent="0.2">
      <c r="B16" s="18" t="s">
        <v>154</v>
      </c>
      <c r="C16" s="16">
        <v>289</v>
      </c>
      <c r="D16" s="16">
        <v>190</v>
      </c>
      <c r="E16" s="16">
        <f t="shared" si="0"/>
        <v>479</v>
      </c>
      <c r="F16" s="17">
        <f t="shared" si="1"/>
        <v>9.9046752548541186E-3</v>
      </c>
      <c r="G16" s="16">
        <v>768</v>
      </c>
      <c r="H16" s="16">
        <v>99</v>
      </c>
      <c r="I16" s="16">
        <v>48</v>
      </c>
      <c r="J16" s="16">
        <v>915</v>
      </c>
      <c r="K16" s="17">
        <f t="shared" si="2"/>
        <v>7.0732838589981448E-3</v>
      </c>
      <c r="L16" s="16">
        <v>0</v>
      </c>
      <c r="M16" s="239">
        <f t="shared" si="3"/>
        <v>1394</v>
      </c>
      <c r="Q16" s="27"/>
    </row>
    <row r="17" spans="2:17" x14ac:dyDescent="0.2">
      <c r="B17" s="18" t="s">
        <v>155</v>
      </c>
      <c r="C17" s="16">
        <v>329</v>
      </c>
      <c r="D17" s="16">
        <v>242</v>
      </c>
      <c r="E17" s="16">
        <f t="shared" si="0"/>
        <v>571</v>
      </c>
      <c r="F17" s="17">
        <f t="shared" si="1"/>
        <v>1.1807034593991026E-2</v>
      </c>
      <c r="G17" s="16">
        <v>897</v>
      </c>
      <c r="H17" s="16">
        <v>89</v>
      </c>
      <c r="I17" s="16">
        <v>65</v>
      </c>
      <c r="J17" s="16">
        <v>1051</v>
      </c>
      <c r="K17" s="17">
        <f t="shared" si="2"/>
        <v>8.124613481756339E-3</v>
      </c>
      <c r="L17" s="16">
        <v>0</v>
      </c>
      <c r="M17" s="239">
        <f t="shared" si="3"/>
        <v>1622</v>
      </c>
      <c r="Q17" s="27"/>
    </row>
    <row r="18" spans="2:17" x14ac:dyDescent="0.2">
      <c r="B18" s="18" t="s">
        <v>156</v>
      </c>
      <c r="C18" s="16">
        <v>720</v>
      </c>
      <c r="D18" s="16">
        <v>498</v>
      </c>
      <c r="E18" s="16">
        <f t="shared" si="0"/>
        <v>1218</v>
      </c>
      <c r="F18" s="17">
        <f t="shared" si="1"/>
        <v>2.5185583424660367E-2</v>
      </c>
      <c r="G18" s="16">
        <v>2118</v>
      </c>
      <c r="H18" s="16">
        <v>294</v>
      </c>
      <c r="I18" s="16">
        <v>156</v>
      </c>
      <c r="J18" s="16">
        <v>2568</v>
      </c>
      <c r="K18" s="17">
        <f t="shared" si="2"/>
        <v>1.9851576994434138E-2</v>
      </c>
      <c r="L18" s="16">
        <v>0</v>
      </c>
      <c r="M18" s="239">
        <f t="shared" si="3"/>
        <v>3786</v>
      </c>
      <c r="Q18" s="27"/>
    </row>
    <row r="19" spans="2:17" x14ac:dyDescent="0.2">
      <c r="B19" s="18" t="s">
        <v>157</v>
      </c>
      <c r="C19" s="16">
        <v>525</v>
      </c>
      <c r="D19" s="16">
        <v>278</v>
      </c>
      <c r="E19" s="16">
        <f t="shared" si="0"/>
        <v>803</v>
      </c>
      <c r="F19" s="17">
        <f t="shared" si="1"/>
        <v>1.6604288579640619E-2</v>
      </c>
      <c r="G19" s="16">
        <v>1610</v>
      </c>
      <c r="H19" s="16">
        <v>215</v>
      </c>
      <c r="I19" s="16">
        <v>136</v>
      </c>
      <c r="J19" s="16">
        <v>1961</v>
      </c>
      <c r="K19" s="17">
        <f t="shared" si="2"/>
        <v>1.5159245516388373E-2</v>
      </c>
      <c r="L19" s="16">
        <v>0</v>
      </c>
      <c r="M19" s="239">
        <f t="shared" si="3"/>
        <v>2764</v>
      </c>
      <c r="Q19" s="27"/>
    </row>
    <row r="20" spans="2:17" x14ac:dyDescent="0.2">
      <c r="B20" s="18" t="s">
        <v>158</v>
      </c>
      <c r="C20" s="16">
        <v>269</v>
      </c>
      <c r="D20" s="16">
        <v>237</v>
      </c>
      <c r="E20" s="16">
        <f t="shared" si="0"/>
        <v>506</v>
      </c>
      <c r="F20" s="17">
        <f t="shared" si="1"/>
        <v>1.0462976365252993E-2</v>
      </c>
      <c r="G20" s="16">
        <v>1109</v>
      </c>
      <c r="H20" s="16">
        <v>129</v>
      </c>
      <c r="I20" s="16">
        <v>96</v>
      </c>
      <c r="J20" s="16">
        <v>1334</v>
      </c>
      <c r="K20" s="17">
        <f t="shared" si="2"/>
        <v>1.031230674087817E-2</v>
      </c>
      <c r="L20" s="16">
        <v>0</v>
      </c>
      <c r="M20" s="239">
        <f t="shared" si="3"/>
        <v>1840</v>
      </c>
      <c r="Q20" s="27"/>
    </row>
    <row r="21" spans="2:17" x14ac:dyDescent="0.2">
      <c r="B21" s="18" t="s">
        <v>159</v>
      </c>
      <c r="C21" s="16">
        <v>1402</v>
      </c>
      <c r="D21" s="16">
        <v>901</v>
      </c>
      <c r="E21" s="16">
        <f t="shared" si="0"/>
        <v>2303</v>
      </c>
      <c r="F21" s="17">
        <f t="shared" si="1"/>
        <v>4.7621016935133681E-2</v>
      </c>
      <c r="G21" s="16">
        <v>5070</v>
      </c>
      <c r="H21" s="16">
        <v>761</v>
      </c>
      <c r="I21" s="16">
        <v>437</v>
      </c>
      <c r="J21" s="16">
        <v>6268</v>
      </c>
      <c r="K21" s="17">
        <f t="shared" si="2"/>
        <v>4.8453927025355593E-2</v>
      </c>
      <c r="L21" s="16">
        <v>0</v>
      </c>
      <c r="M21" s="239">
        <f t="shared" si="3"/>
        <v>8571</v>
      </c>
      <c r="Q21" s="27"/>
    </row>
    <row r="22" spans="2:17" x14ac:dyDescent="0.2">
      <c r="B22" s="18" t="s">
        <v>160</v>
      </c>
      <c r="C22" s="16">
        <v>327</v>
      </c>
      <c r="D22" s="16">
        <v>270</v>
      </c>
      <c r="E22" s="16">
        <f t="shared" si="0"/>
        <v>597</v>
      </c>
      <c r="F22" s="17">
        <f t="shared" si="1"/>
        <v>1.2344657885486238E-2</v>
      </c>
      <c r="G22" s="16">
        <v>1394</v>
      </c>
      <c r="H22" s="16">
        <v>193</v>
      </c>
      <c r="I22" s="16">
        <v>139</v>
      </c>
      <c r="J22" s="16">
        <v>1726</v>
      </c>
      <c r="K22" s="17">
        <f t="shared" si="2"/>
        <v>1.3342609771181201E-2</v>
      </c>
      <c r="L22" s="16">
        <v>0</v>
      </c>
      <c r="M22" s="239">
        <f t="shared" si="3"/>
        <v>2323</v>
      </c>
      <c r="Q22" s="27"/>
    </row>
    <row r="23" spans="2:17" x14ac:dyDescent="0.2">
      <c r="B23" s="18" t="s">
        <v>161</v>
      </c>
      <c r="C23" s="16">
        <v>1031</v>
      </c>
      <c r="D23" s="16">
        <v>608</v>
      </c>
      <c r="E23" s="16">
        <f t="shared" si="0"/>
        <v>1639</v>
      </c>
      <c r="F23" s="17">
        <f t="shared" si="1"/>
        <v>3.3890945183102088E-2</v>
      </c>
      <c r="G23" s="16">
        <v>2911</v>
      </c>
      <c r="H23" s="16">
        <v>419</v>
      </c>
      <c r="I23" s="16">
        <v>180</v>
      </c>
      <c r="J23" s="16">
        <v>3510</v>
      </c>
      <c r="K23" s="17">
        <f t="shared" si="2"/>
        <v>2.7133580705009278E-2</v>
      </c>
      <c r="L23" s="16">
        <v>0</v>
      </c>
      <c r="M23" s="239">
        <f t="shared" si="3"/>
        <v>5149</v>
      </c>
      <c r="Q23" s="27"/>
    </row>
    <row r="24" spans="2:17" x14ac:dyDescent="0.2">
      <c r="B24" s="18" t="s">
        <v>162</v>
      </c>
      <c r="C24" s="16">
        <v>737</v>
      </c>
      <c r="D24" s="16">
        <v>569</v>
      </c>
      <c r="E24" s="16">
        <f t="shared" si="0"/>
        <v>1306</v>
      </c>
      <c r="F24" s="17">
        <f t="shared" si="1"/>
        <v>2.7005231488182627E-2</v>
      </c>
      <c r="G24" s="16">
        <v>2861</v>
      </c>
      <c r="H24" s="16">
        <v>533</v>
      </c>
      <c r="I24" s="16">
        <v>245</v>
      </c>
      <c r="J24" s="16">
        <v>3639</v>
      </c>
      <c r="K24" s="17">
        <f t="shared" si="2"/>
        <v>2.8130797773654917E-2</v>
      </c>
      <c r="L24" s="16">
        <v>0</v>
      </c>
      <c r="M24" s="239">
        <f t="shared" si="3"/>
        <v>4945</v>
      </c>
      <c r="Q24" s="27"/>
    </row>
    <row r="25" spans="2:17" x14ac:dyDescent="0.2">
      <c r="B25" s="18" t="s">
        <v>163</v>
      </c>
      <c r="C25" s="16">
        <v>539</v>
      </c>
      <c r="D25" s="16">
        <v>308</v>
      </c>
      <c r="E25" s="16">
        <f t="shared" si="0"/>
        <v>847</v>
      </c>
      <c r="F25" s="17">
        <f t="shared" si="1"/>
        <v>1.751411261140175E-2</v>
      </c>
      <c r="G25" s="16">
        <v>1907</v>
      </c>
      <c r="H25" s="16">
        <v>291</v>
      </c>
      <c r="I25" s="16">
        <v>112</v>
      </c>
      <c r="J25" s="16">
        <v>2310</v>
      </c>
      <c r="K25" s="17">
        <f t="shared" si="2"/>
        <v>1.7857142857142856E-2</v>
      </c>
      <c r="L25" s="16">
        <v>0</v>
      </c>
      <c r="M25" s="239">
        <f t="shared" si="3"/>
        <v>3157</v>
      </c>
      <c r="Q25" s="27"/>
    </row>
    <row r="26" spans="2:17" x14ac:dyDescent="0.2">
      <c r="B26" s="18" t="s">
        <v>164</v>
      </c>
      <c r="C26" s="16">
        <v>536</v>
      </c>
      <c r="D26" s="16">
        <v>354</v>
      </c>
      <c r="E26" s="16">
        <f t="shared" si="0"/>
        <v>890</v>
      </c>
      <c r="F26" s="17">
        <f t="shared" si="1"/>
        <v>1.8403258824259219E-2</v>
      </c>
      <c r="G26" s="16">
        <v>1526</v>
      </c>
      <c r="H26" s="16">
        <v>225</v>
      </c>
      <c r="I26" s="16">
        <v>123</v>
      </c>
      <c r="J26" s="16">
        <v>1874</v>
      </c>
      <c r="K26" s="17">
        <f t="shared" si="2"/>
        <v>1.4486703772418058E-2</v>
      </c>
      <c r="L26" s="16">
        <v>0</v>
      </c>
      <c r="M26" s="239">
        <f t="shared" si="3"/>
        <v>2764</v>
      </c>
      <c r="Q26" s="27"/>
    </row>
    <row r="27" spans="2:17" x14ac:dyDescent="0.2">
      <c r="B27" s="18" t="s">
        <v>165</v>
      </c>
      <c r="C27" s="16">
        <v>1861</v>
      </c>
      <c r="D27" s="16">
        <v>1219</v>
      </c>
      <c r="E27" s="16">
        <f t="shared" si="0"/>
        <v>3080</v>
      </c>
      <c r="F27" s="17">
        <f t="shared" si="1"/>
        <v>6.3687682223279085E-2</v>
      </c>
      <c r="G27" s="16">
        <v>7000</v>
      </c>
      <c r="H27" s="16">
        <v>1226</v>
      </c>
      <c r="I27" s="16">
        <v>626</v>
      </c>
      <c r="J27" s="16">
        <v>8852</v>
      </c>
      <c r="K27" s="17">
        <f t="shared" si="2"/>
        <v>6.842918985776128E-2</v>
      </c>
      <c r="L27" s="16">
        <v>0</v>
      </c>
      <c r="M27" s="239">
        <f t="shared" si="3"/>
        <v>11932</v>
      </c>
      <c r="Q27" s="27"/>
    </row>
    <row r="28" spans="2:17" x14ac:dyDescent="0.2">
      <c r="B28" s="18" t="s">
        <v>166</v>
      </c>
      <c r="C28" s="16">
        <v>330</v>
      </c>
      <c r="D28" s="16">
        <v>186</v>
      </c>
      <c r="E28" s="16">
        <f t="shared" si="0"/>
        <v>516</v>
      </c>
      <c r="F28" s="17">
        <f t="shared" si="1"/>
        <v>1.0669754554289614E-2</v>
      </c>
      <c r="G28" s="16">
        <v>1099</v>
      </c>
      <c r="H28" s="16">
        <v>135</v>
      </c>
      <c r="I28" s="16">
        <v>39</v>
      </c>
      <c r="J28" s="16">
        <v>1273</v>
      </c>
      <c r="K28" s="17">
        <f t="shared" si="2"/>
        <v>9.8407544836116266E-3</v>
      </c>
      <c r="L28" s="16">
        <v>0</v>
      </c>
      <c r="M28" s="239">
        <f t="shared" si="3"/>
        <v>1789</v>
      </c>
      <c r="Q28" s="27"/>
    </row>
    <row r="29" spans="2:17" x14ac:dyDescent="0.2">
      <c r="B29" s="18" t="s">
        <v>167</v>
      </c>
      <c r="C29" s="16">
        <v>460</v>
      </c>
      <c r="D29" s="16">
        <v>238</v>
      </c>
      <c r="E29" s="16">
        <f t="shared" si="0"/>
        <v>698</v>
      </c>
      <c r="F29" s="17">
        <f t="shared" si="1"/>
        <v>1.4433117594756106E-2</v>
      </c>
      <c r="G29" s="16">
        <v>792</v>
      </c>
      <c r="H29" s="16">
        <v>100</v>
      </c>
      <c r="I29" s="16">
        <v>50</v>
      </c>
      <c r="J29" s="16">
        <v>942</v>
      </c>
      <c r="K29" s="17">
        <f t="shared" si="2"/>
        <v>7.2820037105751391E-3</v>
      </c>
      <c r="L29" s="16">
        <v>0</v>
      </c>
      <c r="M29" s="239">
        <f t="shared" si="3"/>
        <v>1640</v>
      </c>
      <c r="Q29" s="27"/>
    </row>
    <row r="30" spans="2:17" x14ac:dyDescent="0.2">
      <c r="B30" s="18" t="s">
        <v>168</v>
      </c>
      <c r="C30" s="16">
        <v>1329</v>
      </c>
      <c r="D30" s="16">
        <v>979</v>
      </c>
      <c r="E30" s="16">
        <f t="shared" si="0"/>
        <v>2308</v>
      </c>
      <c r="F30" s="17">
        <f t="shared" si="1"/>
        <v>4.7724406029651993E-2</v>
      </c>
      <c r="G30" s="16">
        <v>4217</v>
      </c>
      <c r="H30" s="16">
        <v>585</v>
      </c>
      <c r="I30" s="16">
        <v>314</v>
      </c>
      <c r="J30" s="16">
        <v>5116</v>
      </c>
      <c r="K30" s="17">
        <f t="shared" si="2"/>
        <v>3.9548546691403834E-2</v>
      </c>
      <c r="L30" s="16">
        <v>0</v>
      </c>
      <c r="M30" s="239">
        <f t="shared" si="3"/>
        <v>7424</v>
      </c>
      <c r="Q30" s="27"/>
    </row>
    <row r="31" spans="2:17" x14ac:dyDescent="0.2">
      <c r="B31" s="18" t="s">
        <v>169</v>
      </c>
      <c r="C31" s="16">
        <v>339</v>
      </c>
      <c r="D31" s="16">
        <v>237</v>
      </c>
      <c r="E31" s="16">
        <f t="shared" si="0"/>
        <v>576</v>
      </c>
      <c r="F31" s="17">
        <f t="shared" si="1"/>
        <v>1.1910423688509336E-2</v>
      </c>
      <c r="G31" s="16">
        <v>856</v>
      </c>
      <c r="H31" s="16">
        <v>134</v>
      </c>
      <c r="I31" s="16">
        <v>75</v>
      </c>
      <c r="J31" s="16">
        <v>1065</v>
      </c>
      <c r="K31" s="17">
        <f t="shared" si="2"/>
        <v>8.2328385899814466E-3</v>
      </c>
      <c r="L31" s="16">
        <v>0</v>
      </c>
      <c r="M31" s="239">
        <f t="shared" si="3"/>
        <v>1641</v>
      </c>
      <c r="Q31" s="27"/>
    </row>
    <row r="32" spans="2:17" x14ac:dyDescent="0.2">
      <c r="B32" s="18" t="s">
        <v>170</v>
      </c>
      <c r="C32" s="16">
        <v>648</v>
      </c>
      <c r="D32" s="16">
        <v>395</v>
      </c>
      <c r="E32" s="16">
        <f t="shared" si="0"/>
        <v>1043</v>
      </c>
      <c r="F32" s="17">
        <f t="shared" si="1"/>
        <v>2.156696511651951E-2</v>
      </c>
      <c r="G32" s="16">
        <v>2234</v>
      </c>
      <c r="H32" s="16">
        <v>391</v>
      </c>
      <c r="I32" s="16">
        <v>159</v>
      </c>
      <c r="J32" s="16">
        <v>2784</v>
      </c>
      <c r="K32" s="17">
        <f t="shared" si="2"/>
        <v>2.1521335807050092E-2</v>
      </c>
      <c r="L32" s="16">
        <v>0</v>
      </c>
      <c r="M32" s="239">
        <f t="shared" si="3"/>
        <v>3827</v>
      </c>
      <c r="Q32" s="27"/>
    </row>
    <row r="33" spans="2:17" x14ac:dyDescent="0.2">
      <c r="B33" s="18" t="s">
        <v>171</v>
      </c>
      <c r="C33" s="16">
        <v>959</v>
      </c>
      <c r="D33" s="16">
        <v>645</v>
      </c>
      <c r="E33" s="16">
        <f t="shared" si="0"/>
        <v>1604</v>
      </c>
      <c r="F33" s="17">
        <f t="shared" si="1"/>
        <v>3.3167221521473916E-2</v>
      </c>
      <c r="G33" s="16">
        <v>3405</v>
      </c>
      <c r="H33" s="16">
        <v>516</v>
      </c>
      <c r="I33" s="16">
        <v>282</v>
      </c>
      <c r="J33" s="16">
        <v>4203</v>
      </c>
      <c r="K33" s="17">
        <f t="shared" si="2"/>
        <v>3.2490723562152136E-2</v>
      </c>
      <c r="L33" s="16">
        <v>0</v>
      </c>
      <c r="M33" s="239">
        <f t="shared" si="3"/>
        <v>5807</v>
      </c>
      <c r="Q33" s="27"/>
    </row>
    <row r="34" spans="2:17" x14ac:dyDescent="0.2">
      <c r="B34" s="18" t="s">
        <v>172</v>
      </c>
      <c r="C34" s="16">
        <v>377</v>
      </c>
      <c r="D34" s="16">
        <v>199</v>
      </c>
      <c r="E34" s="16">
        <f t="shared" si="0"/>
        <v>576</v>
      </c>
      <c r="F34" s="17">
        <f t="shared" si="1"/>
        <v>1.1910423688509336E-2</v>
      </c>
      <c r="G34" s="16">
        <v>1427</v>
      </c>
      <c r="H34" s="16">
        <v>223</v>
      </c>
      <c r="I34" s="16">
        <v>106</v>
      </c>
      <c r="J34" s="16">
        <v>1756</v>
      </c>
      <c r="K34" s="17">
        <f t="shared" si="2"/>
        <v>1.357452071737786E-2</v>
      </c>
      <c r="L34" s="16">
        <v>0</v>
      </c>
      <c r="M34" s="239">
        <f t="shared" si="3"/>
        <v>2332</v>
      </c>
      <c r="Q34" s="27"/>
    </row>
    <row r="35" spans="2:17" x14ac:dyDescent="0.2">
      <c r="B35" s="18" t="s">
        <v>173</v>
      </c>
      <c r="C35" s="16">
        <v>597</v>
      </c>
      <c r="D35" s="16">
        <v>356</v>
      </c>
      <c r="E35" s="16">
        <f t="shared" si="0"/>
        <v>953</v>
      </c>
      <c r="F35" s="17">
        <f t="shared" si="1"/>
        <v>1.9705961415189925E-2</v>
      </c>
      <c r="G35" s="16">
        <v>1667</v>
      </c>
      <c r="H35" s="16">
        <v>216</v>
      </c>
      <c r="I35" s="16">
        <v>141</v>
      </c>
      <c r="J35" s="16">
        <v>2024</v>
      </c>
      <c r="K35" s="17">
        <f t="shared" si="2"/>
        <v>1.5646258503401362E-2</v>
      </c>
      <c r="L35" s="16">
        <v>0</v>
      </c>
      <c r="M35" s="239">
        <f t="shared" si="3"/>
        <v>2977</v>
      </c>
      <c r="Q35" s="27"/>
    </row>
    <row r="36" spans="2:17" x14ac:dyDescent="0.2">
      <c r="B36" s="18" t="s">
        <v>174</v>
      </c>
      <c r="C36" s="16">
        <v>2098</v>
      </c>
      <c r="D36" s="16">
        <v>1205</v>
      </c>
      <c r="E36" s="16">
        <f t="shared" si="0"/>
        <v>3303</v>
      </c>
      <c r="F36" s="17">
        <f t="shared" si="1"/>
        <v>6.829883583879573E-2</v>
      </c>
      <c r="G36" s="16">
        <v>8851</v>
      </c>
      <c r="H36" s="16">
        <v>1564</v>
      </c>
      <c r="I36" s="16">
        <v>689</v>
      </c>
      <c r="J36" s="16">
        <v>11104</v>
      </c>
      <c r="K36" s="17">
        <f t="shared" si="2"/>
        <v>8.5837971552257267E-2</v>
      </c>
      <c r="L36" s="16">
        <v>0</v>
      </c>
      <c r="M36" s="239">
        <f t="shared" si="3"/>
        <v>14407</v>
      </c>
      <c r="Q36" s="27"/>
    </row>
    <row r="37" spans="2:17" x14ac:dyDescent="0.2">
      <c r="B37" s="18" t="s">
        <v>175</v>
      </c>
      <c r="C37" s="16">
        <v>486</v>
      </c>
      <c r="D37" s="16">
        <v>360</v>
      </c>
      <c r="E37" s="16">
        <f t="shared" si="0"/>
        <v>846</v>
      </c>
      <c r="F37" s="17">
        <f t="shared" si="1"/>
        <v>1.7493434792498087E-2</v>
      </c>
      <c r="G37" s="16">
        <v>2175</v>
      </c>
      <c r="H37" s="16">
        <v>351</v>
      </c>
      <c r="I37" s="16">
        <v>193</v>
      </c>
      <c r="J37" s="16">
        <v>2719</v>
      </c>
      <c r="K37" s="17">
        <f t="shared" si="2"/>
        <v>2.1018862090290663E-2</v>
      </c>
      <c r="L37" s="16">
        <v>0</v>
      </c>
      <c r="M37" s="239">
        <f t="shared" si="3"/>
        <v>3565</v>
      </c>
      <c r="Q37" s="27"/>
    </row>
    <row r="38" spans="2:17" x14ac:dyDescent="0.2">
      <c r="B38" s="18" t="s">
        <v>176</v>
      </c>
      <c r="C38" s="16">
        <v>419</v>
      </c>
      <c r="D38" s="16">
        <v>345</v>
      </c>
      <c r="E38" s="16">
        <f t="shared" si="0"/>
        <v>764</v>
      </c>
      <c r="F38" s="17">
        <f t="shared" si="1"/>
        <v>1.5797853642397799E-2</v>
      </c>
      <c r="G38" s="16">
        <v>1476</v>
      </c>
      <c r="H38" s="16">
        <v>222</v>
      </c>
      <c r="I38" s="16">
        <v>79</v>
      </c>
      <c r="J38" s="16">
        <v>1777</v>
      </c>
      <c r="K38" s="17">
        <f t="shared" si="2"/>
        <v>1.3736858379715522E-2</v>
      </c>
      <c r="L38" s="16">
        <v>0</v>
      </c>
      <c r="M38" s="239">
        <f t="shared" si="3"/>
        <v>2541</v>
      </c>
      <c r="Q38" s="27"/>
    </row>
    <row r="39" spans="2:17" x14ac:dyDescent="0.2">
      <c r="B39" s="18" t="s">
        <v>177</v>
      </c>
      <c r="C39" s="16">
        <v>372</v>
      </c>
      <c r="D39" s="16">
        <v>241</v>
      </c>
      <c r="E39" s="16">
        <f t="shared" si="0"/>
        <v>613</v>
      </c>
      <c r="F39" s="17">
        <f t="shared" si="1"/>
        <v>1.2675502987944832E-2</v>
      </c>
      <c r="G39" s="16">
        <v>1034</v>
      </c>
      <c r="H39" s="16">
        <v>120</v>
      </c>
      <c r="I39" s="16">
        <v>60</v>
      </c>
      <c r="J39" s="16">
        <v>1214</v>
      </c>
      <c r="K39" s="17">
        <f t="shared" si="2"/>
        <v>9.3846629560915273E-3</v>
      </c>
      <c r="L39" s="16">
        <v>0</v>
      </c>
      <c r="M39" s="239">
        <f t="shared" si="3"/>
        <v>1827</v>
      </c>
      <c r="Q39" s="27"/>
    </row>
    <row r="40" spans="2:17" x14ac:dyDescent="0.2">
      <c r="B40" s="18" t="s">
        <v>178</v>
      </c>
      <c r="C40" s="16">
        <v>211</v>
      </c>
      <c r="D40" s="16">
        <v>117</v>
      </c>
      <c r="E40" s="16">
        <f t="shared" si="0"/>
        <v>328</v>
      </c>
      <c r="F40" s="17">
        <f t="shared" si="1"/>
        <v>6.78232460040115E-3</v>
      </c>
      <c r="G40" s="16">
        <v>597</v>
      </c>
      <c r="H40" s="16">
        <v>81</v>
      </c>
      <c r="I40" s="16">
        <v>34</v>
      </c>
      <c r="J40" s="16">
        <v>712</v>
      </c>
      <c r="K40" s="17">
        <f t="shared" si="2"/>
        <v>5.5040197897340756E-3</v>
      </c>
      <c r="L40" s="16">
        <v>0</v>
      </c>
      <c r="M40" s="239">
        <f t="shared" si="3"/>
        <v>1040</v>
      </c>
      <c r="Q40" s="27"/>
    </row>
    <row r="41" spans="2:17" x14ac:dyDescent="0.2">
      <c r="B41" s="18" t="s">
        <v>179</v>
      </c>
      <c r="C41" s="16">
        <v>2033</v>
      </c>
      <c r="D41" s="16">
        <v>1071</v>
      </c>
      <c r="E41" s="16">
        <f t="shared" si="0"/>
        <v>3104</v>
      </c>
      <c r="F41" s="17">
        <f t="shared" si="1"/>
        <v>6.4183949876966975E-2</v>
      </c>
      <c r="G41" s="16">
        <v>6619</v>
      </c>
      <c r="H41" s="16">
        <v>886</v>
      </c>
      <c r="I41" s="16">
        <v>438</v>
      </c>
      <c r="J41" s="16">
        <v>7943</v>
      </c>
      <c r="K41" s="17">
        <f t="shared" si="2"/>
        <v>6.1402288188002474E-2</v>
      </c>
      <c r="L41" s="16">
        <v>0</v>
      </c>
      <c r="M41" s="239">
        <f t="shared" si="3"/>
        <v>11047</v>
      </c>
      <c r="Q41" s="27"/>
    </row>
    <row r="42" spans="2:17" x14ac:dyDescent="0.2">
      <c r="B42" s="18" t="s">
        <v>180</v>
      </c>
      <c r="C42" s="16">
        <v>635</v>
      </c>
      <c r="D42" s="16">
        <v>419</v>
      </c>
      <c r="E42" s="16">
        <f t="shared" si="0"/>
        <v>1054</v>
      </c>
      <c r="F42" s="17">
        <f t="shared" si="1"/>
        <v>2.1794421124459791E-2</v>
      </c>
      <c r="G42" s="16">
        <v>2064</v>
      </c>
      <c r="H42" s="16">
        <v>328</v>
      </c>
      <c r="I42" s="16">
        <v>144</v>
      </c>
      <c r="J42" s="16">
        <v>2536</v>
      </c>
      <c r="K42" s="17">
        <f t="shared" si="2"/>
        <v>1.9604205318491032E-2</v>
      </c>
      <c r="L42" s="16">
        <v>0</v>
      </c>
      <c r="M42" s="239">
        <f t="shared" si="3"/>
        <v>3590</v>
      </c>
      <c r="Q42" s="27"/>
    </row>
    <row r="43" spans="2:17" x14ac:dyDescent="0.2">
      <c r="B43" s="18" t="s">
        <v>181</v>
      </c>
      <c r="C43" s="16">
        <v>170</v>
      </c>
      <c r="D43" s="16">
        <v>114</v>
      </c>
      <c r="E43" s="16">
        <f t="shared" si="0"/>
        <v>284</v>
      </c>
      <c r="F43" s="17">
        <f t="shared" si="1"/>
        <v>5.8725005686400197E-3</v>
      </c>
      <c r="G43" s="16">
        <v>479</v>
      </c>
      <c r="H43" s="16">
        <v>63</v>
      </c>
      <c r="I43" s="16">
        <v>17</v>
      </c>
      <c r="J43" s="16">
        <v>559</v>
      </c>
      <c r="K43" s="17">
        <f t="shared" si="2"/>
        <v>4.321273964131107E-3</v>
      </c>
      <c r="L43" s="16">
        <v>0</v>
      </c>
      <c r="M43" s="239">
        <f t="shared" si="3"/>
        <v>843</v>
      </c>
      <c r="Q43" s="27"/>
    </row>
    <row r="44" spans="2:17" x14ac:dyDescent="0.2">
      <c r="B44" s="18" t="s">
        <v>39</v>
      </c>
      <c r="C44" s="16">
        <f>SUM(C11:C43)</f>
        <v>29885</v>
      </c>
      <c r="D44" s="16">
        <f t="shared" ref="D44" si="4">SUM(D11:D43)</f>
        <v>18476</v>
      </c>
      <c r="E44" s="18">
        <f t="shared" ref="E44" si="5">C44+D44</f>
        <v>48361</v>
      </c>
      <c r="F44" s="17">
        <f t="shared" ref="F44" si="6">E44/$E$44</f>
        <v>1</v>
      </c>
      <c r="G44" s="16">
        <f t="shared" ref="G44:I44" si="7">SUM(G11:G43)</f>
        <v>103946</v>
      </c>
      <c r="H44" s="16">
        <f t="shared" si="7"/>
        <v>16973</v>
      </c>
      <c r="I44" s="16">
        <f t="shared" si="7"/>
        <v>8441</v>
      </c>
      <c r="J44" s="16">
        <f>SUM(J11:J43)</f>
        <v>129360</v>
      </c>
      <c r="K44" s="17">
        <f t="shared" si="2"/>
        <v>1</v>
      </c>
      <c r="L44" s="16">
        <f>SUM(L11:L43)</f>
        <v>0</v>
      </c>
      <c r="M44" s="239">
        <f t="shared" si="3"/>
        <v>177721</v>
      </c>
      <c r="Q44" s="27"/>
    </row>
    <row r="45" spans="2:17" ht="25.5" customHeight="1" x14ac:dyDescent="0.2">
      <c r="B45" s="28" t="s">
        <v>44</v>
      </c>
      <c r="C45" s="29">
        <f>+C44/M44</f>
        <v>0.16815683008760923</v>
      </c>
      <c r="D45" s="29">
        <f>+D44/M44</f>
        <v>0.10396070244934476</v>
      </c>
      <c r="E45" s="30">
        <f>+E44/M44</f>
        <v>0.27211753253695398</v>
      </c>
      <c r="F45" s="30"/>
      <c r="G45" s="29">
        <f>+G44/M44</f>
        <v>0.58488304702314298</v>
      </c>
      <c r="H45" s="29">
        <f>+H44/M44</f>
        <v>9.5503626470704081E-2</v>
      </c>
      <c r="I45" s="29">
        <f>+I44/M44</f>
        <v>4.749579396919891E-2</v>
      </c>
      <c r="J45" s="30">
        <f>+J44/M44</f>
        <v>0.72788246746304597</v>
      </c>
      <c r="K45" s="30"/>
      <c r="L45" s="30">
        <f>+L44/M44</f>
        <v>0</v>
      </c>
      <c r="M45" s="30">
        <f>J45+L45+E45</f>
        <v>1</v>
      </c>
    </row>
    <row r="46" spans="2:17" x14ac:dyDescent="0.2">
      <c r="B46" s="21"/>
      <c r="C46" s="34"/>
      <c r="D46" s="34"/>
      <c r="E46" s="34"/>
      <c r="F46" s="34"/>
      <c r="G46" s="34"/>
      <c r="H46" s="34"/>
      <c r="I46" s="34"/>
      <c r="J46" s="34"/>
      <c r="K46" s="34"/>
    </row>
    <row r="47" spans="2:17" ht="12.75" x14ac:dyDescent="0.2">
      <c r="B47" s="344" t="s">
        <v>584</v>
      </c>
      <c r="C47" s="344"/>
      <c r="D47" s="344"/>
      <c r="E47" s="344"/>
      <c r="F47" s="344"/>
      <c r="G47" s="344"/>
      <c r="H47" s="344"/>
      <c r="I47" s="344"/>
      <c r="J47" s="344"/>
      <c r="K47" s="344"/>
    </row>
    <row r="48" spans="2:17" ht="12.75" x14ac:dyDescent="0.2">
      <c r="B48" s="374" t="str">
        <f>'Solicitudes Regiones'!$B$6:$R$6</f>
        <v>Julio de 2008 a junio de 2022</v>
      </c>
      <c r="C48" s="374"/>
      <c r="D48" s="374"/>
      <c r="E48" s="374"/>
      <c r="F48" s="374"/>
      <c r="G48" s="374"/>
      <c r="H48" s="374"/>
      <c r="I48" s="374"/>
      <c r="J48" s="374"/>
      <c r="K48" s="374"/>
    </row>
    <row r="49" spans="2:13" x14ac:dyDescent="0.2">
      <c r="B49" s="21"/>
      <c r="C49" s="34"/>
      <c r="D49" s="34"/>
      <c r="E49" s="34"/>
      <c r="F49" s="34"/>
      <c r="G49" s="34"/>
      <c r="H49" s="34"/>
      <c r="I49" s="34"/>
      <c r="J49" s="34"/>
      <c r="K49" s="34"/>
    </row>
    <row r="50" spans="2:13" ht="15" customHeight="1" x14ac:dyDescent="0.2">
      <c r="B50" s="373" t="s">
        <v>596</v>
      </c>
      <c r="C50" s="373"/>
      <c r="D50" s="373"/>
      <c r="E50" s="373"/>
      <c r="F50" s="373"/>
      <c r="G50" s="373"/>
      <c r="H50" s="373"/>
      <c r="I50" s="373"/>
      <c r="J50" s="373"/>
      <c r="K50" s="373"/>
      <c r="L50" s="373"/>
      <c r="M50" s="373"/>
    </row>
    <row r="51" spans="2:13" ht="15" customHeight="1" x14ac:dyDescent="0.2">
      <c r="B51" s="376" t="s">
        <v>41</v>
      </c>
      <c r="C51" s="370" t="s">
        <v>544</v>
      </c>
      <c r="D51" s="371"/>
      <c r="E51" s="371"/>
      <c r="F51" s="371"/>
      <c r="G51" s="371"/>
      <c r="H51" s="371"/>
      <c r="I51" s="371"/>
      <c r="J51" s="371"/>
      <c r="K51" s="371"/>
      <c r="L51" s="372"/>
      <c r="M51" s="307"/>
    </row>
    <row r="52" spans="2:13" ht="60" x14ac:dyDescent="0.2">
      <c r="B52" s="373"/>
      <c r="C52" s="20" t="s">
        <v>540</v>
      </c>
      <c r="D52" s="20" t="s">
        <v>42</v>
      </c>
      <c r="E52" s="20" t="s">
        <v>553</v>
      </c>
      <c r="F52" s="20" t="s">
        <v>554</v>
      </c>
      <c r="G52" s="20" t="s">
        <v>542</v>
      </c>
      <c r="H52" s="20" t="s">
        <v>2</v>
      </c>
      <c r="I52" s="20" t="s">
        <v>43</v>
      </c>
      <c r="J52" s="20" t="s">
        <v>549</v>
      </c>
      <c r="K52" s="296" t="s">
        <v>550</v>
      </c>
      <c r="L52" s="296" t="s">
        <v>523</v>
      </c>
      <c r="M52" s="296" t="s">
        <v>641</v>
      </c>
    </row>
    <row r="53" spans="2:13" x14ac:dyDescent="0.2">
      <c r="B53" s="18" t="s">
        <v>149</v>
      </c>
      <c r="C53" s="16">
        <v>5610</v>
      </c>
      <c r="D53" s="16">
        <v>2364</v>
      </c>
      <c r="E53" s="16">
        <f>C53+D53</f>
        <v>7974</v>
      </c>
      <c r="F53" s="17">
        <f>E53/$E$86</f>
        <v>0.22704364909882976</v>
      </c>
      <c r="G53" s="16">
        <v>19734</v>
      </c>
      <c r="H53" s="16">
        <v>2310</v>
      </c>
      <c r="I53" s="16">
        <v>2042</v>
      </c>
      <c r="J53" s="16">
        <v>24086</v>
      </c>
      <c r="K53" s="17">
        <f>J53/$J$86</f>
        <v>0.2301884628617302</v>
      </c>
      <c r="L53" s="16">
        <v>0</v>
      </c>
      <c r="M53" s="239">
        <f t="shared" ref="M53:M86" si="8">L53+J53+E53</f>
        <v>32060</v>
      </c>
    </row>
    <row r="54" spans="2:13" x14ac:dyDescent="0.2">
      <c r="B54" s="18" t="s">
        <v>150</v>
      </c>
      <c r="C54" s="16">
        <v>594</v>
      </c>
      <c r="D54" s="16">
        <v>207</v>
      </c>
      <c r="E54" s="16">
        <f t="shared" ref="E54:E85" si="9">C54+D54</f>
        <v>801</v>
      </c>
      <c r="F54" s="17">
        <f t="shared" ref="F54:F85" si="10">E54/$E$86</f>
        <v>2.2806867685999828E-2</v>
      </c>
      <c r="G54" s="16">
        <v>2159</v>
      </c>
      <c r="H54" s="16">
        <v>188</v>
      </c>
      <c r="I54" s="16">
        <v>146</v>
      </c>
      <c r="J54" s="16">
        <v>2493</v>
      </c>
      <c r="K54" s="17">
        <f t="shared" ref="K54:K86" si="11">J54/$J$86</f>
        <v>2.3825452043273826E-2</v>
      </c>
      <c r="L54" s="16">
        <v>0</v>
      </c>
      <c r="M54" s="239">
        <f t="shared" si="8"/>
        <v>3294</v>
      </c>
    </row>
    <row r="55" spans="2:13" x14ac:dyDescent="0.2">
      <c r="B55" s="18" t="s">
        <v>151</v>
      </c>
      <c r="C55" s="16">
        <v>724</v>
      </c>
      <c r="D55" s="16">
        <v>278</v>
      </c>
      <c r="E55" s="16">
        <f t="shared" si="9"/>
        <v>1002</v>
      </c>
      <c r="F55" s="17">
        <f t="shared" si="10"/>
        <v>2.8529939352524132E-2</v>
      </c>
      <c r="G55" s="16">
        <v>2748</v>
      </c>
      <c r="H55" s="16">
        <v>317</v>
      </c>
      <c r="I55" s="16">
        <v>222</v>
      </c>
      <c r="J55" s="16">
        <v>3287</v>
      </c>
      <c r="K55" s="17">
        <f t="shared" si="11"/>
        <v>3.1413662601781411E-2</v>
      </c>
      <c r="L55" s="16">
        <v>0</v>
      </c>
      <c r="M55" s="239">
        <f t="shared" si="8"/>
        <v>4289</v>
      </c>
    </row>
    <row r="56" spans="2:13" x14ac:dyDescent="0.2">
      <c r="B56" s="18" t="s">
        <v>152</v>
      </c>
      <c r="C56" s="16">
        <v>793</v>
      </c>
      <c r="D56" s="16">
        <v>249</v>
      </c>
      <c r="E56" s="16">
        <f t="shared" si="9"/>
        <v>1042</v>
      </c>
      <c r="F56" s="17">
        <f t="shared" si="10"/>
        <v>2.9668859087155833E-2</v>
      </c>
      <c r="G56" s="16">
        <v>2270</v>
      </c>
      <c r="H56" s="16">
        <v>196</v>
      </c>
      <c r="I56" s="16">
        <v>155</v>
      </c>
      <c r="J56" s="16">
        <v>2621</v>
      </c>
      <c r="K56" s="17">
        <f t="shared" si="11"/>
        <v>2.5048740395275049E-2</v>
      </c>
      <c r="L56" s="16">
        <v>0</v>
      </c>
      <c r="M56" s="239">
        <f t="shared" si="8"/>
        <v>3663</v>
      </c>
    </row>
    <row r="57" spans="2:13" x14ac:dyDescent="0.2">
      <c r="B57" s="18" t="s">
        <v>153</v>
      </c>
      <c r="C57" s="16">
        <v>488</v>
      </c>
      <c r="D57" s="16">
        <v>227</v>
      </c>
      <c r="E57" s="16">
        <f t="shared" si="9"/>
        <v>715</v>
      </c>
      <c r="F57" s="17">
        <f t="shared" si="10"/>
        <v>2.0358190256541672E-2</v>
      </c>
      <c r="G57" s="16">
        <v>2313</v>
      </c>
      <c r="H57" s="16">
        <v>244</v>
      </c>
      <c r="I57" s="16">
        <v>169</v>
      </c>
      <c r="J57" s="16">
        <v>2726</v>
      </c>
      <c r="K57" s="17">
        <f t="shared" si="11"/>
        <v>2.6052219121526051E-2</v>
      </c>
      <c r="L57" s="16">
        <v>0</v>
      </c>
      <c r="M57" s="239">
        <f t="shared" si="8"/>
        <v>3441</v>
      </c>
    </row>
    <row r="58" spans="2:13" x14ac:dyDescent="0.2">
      <c r="B58" s="18" t="s">
        <v>154</v>
      </c>
      <c r="C58" s="16">
        <v>252</v>
      </c>
      <c r="D58" s="16">
        <v>73</v>
      </c>
      <c r="E58" s="16">
        <f t="shared" si="9"/>
        <v>325</v>
      </c>
      <c r="F58" s="17">
        <f t="shared" si="10"/>
        <v>9.2537228438825773E-3</v>
      </c>
      <c r="G58" s="16">
        <v>666</v>
      </c>
      <c r="H58" s="16">
        <v>59</v>
      </c>
      <c r="I58" s="16">
        <v>33</v>
      </c>
      <c r="J58" s="16">
        <v>758</v>
      </c>
      <c r="K58" s="17">
        <f t="shared" si="11"/>
        <v>7.2441607095072441E-3</v>
      </c>
      <c r="L58" s="16">
        <v>0</v>
      </c>
      <c r="M58" s="239">
        <f t="shared" si="8"/>
        <v>1083</v>
      </c>
    </row>
    <row r="59" spans="2:13" x14ac:dyDescent="0.2">
      <c r="B59" s="18" t="s">
        <v>155</v>
      </c>
      <c r="C59" s="16">
        <v>307</v>
      </c>
      <c r="D59" s="16">
        <v>108</v>
      </c>
      <c r="E59" s="16">
        <f t="shared" si="9"/>
        <v>415</v>
      </c>
      <c r="F59" s="17">
        <f t="shared" si="10"/>
        <v>1.1816292246803906E-2</v>
      </c>
      <c r="G59" s="16">
        <v>824</v>
      </c>
      <c r="H59" s="16">
        <v>55</v>
      </c>
      <c r="I59" s="16">
        <v>57</v>
      </c>
      <c r="J59" s="16">
        <v>936</v>
      </c>
      <c r="K59" s="17">
        <f t="shared" si="11"/>
        <v>8.945296074008945E-3</v>
      </c>
      <c r="L59" s="16">
        <v>0</v>
      </c>
      <c r="M59" s="239">
        <f t="shared" si="8"/>
        <v>1351</v>
      </c>
    </row>
    <row r="60" spans="2:13" x14ac:dyDescent="0.2">
      <c r="B60" s="18" t="s">
        <v>156</v>
      </c>
      <c r="C60" s="16">
        <v>630</v>
      </c>
      <c r="D60" s="16">
        <v>206</v>
      </c>
      <c r="E60" s="16">
        <f t="shared" si="9"/>
        <v>836</v>
      </c>
      <c r="F60" s="17">
        <f t="shared" si="10"/>
        <v>2.380342245380257E-2</v>
      </c>
      <c r="G60" s="16">
        <v>1884</v>
      </c>
      <c r="H60" s="16">
        <v>143</v>
      </c>
      <c r="I60" s="16">
        <v>135</v>
      </c>
      <c r="J60" s="16">
        <v>2162</v>
      </c>
      <c r="K60" s="17">
        <f t="shared" si="11"/>
        <v>2.0662104820520662E-2</v>
      </c>
      <c r="L60" s="16">
        <v>0</v>
      </c>
      <c r="M60" s="239">
        <f t="shared" si="8"/>
        <v>2998</v>
      </c>
    </row>
    <row r="61" spans="2:13" x14ac:dyDescent="0.2">
      <c r="B61" s="18" t="s">
        <v>157</v>
      </c>
      <c r="C61" s="16">
        <v>414</v>
      </c>
      <c r="D61" s="16">
        <v>130</v>
      </c>
      <c r="E61" s="16">
        <f t="shared" si="9"/>
        <v>544</v>
      </c>
      <c r="F61" s="17">
        <f t="shared" si="10"/>
        <v>1.5489308390991144E-2</v>
      </c>
      <c r="G61" s="16">
        <v>1415</v>
      </c>
      <c r="H61" s="16">
        <v>89</v>
      </c>
      <c r="I61" s="16">
        <v>112</v>
      </c>
      <c r="J61" s="16">
        <v>1616</v>
      </c>
      <c r="K61" s="17">
        <f t="shared" si="11"/>
        <v>1.5444015444015444E-2</v>
      </c>
      <c r="L61" s="16">
        <v>0</v>
      </c>
      <c r="M61" s="239">
        <f t="shared" si="8"/>
        <v>2160</v>
      </c>
    </row>
    <row r="62" spans="2:13" x14ac:dyDescent="0.2">
      <c r="B62" s="18" t="s">
        <v>158</v>
      </c>
      <c r="C62" s="16">
        <v>245</v>
      </c>
      <c r="D62" s="16">
        <v>104</v>
      </c>
      <c r="E62" s="16">
        <f t="shared" si="9"/>
        <v>349</v>
      </c>
      <c r="F62" s="17">
        <f t="shared" si="10"/>
        <v>9.9370746846615989E-3</v>
      </c>
      <c r="G62" s="16">
        <v>1006</v>
      </c>
      <c r="H62" s="16">
        <v>64</v>
      </c>
      <c r="I62" s="16">
        <v>77</v>
      </c>
      <c r="J62" s="16">
        <v>1147</v>
      </c>
      <c r="K62" s="17">
        <f t="shared" si="11"/>
        <v>1.0961810466760962E-2</v>
      </c>
      <c r="L62" s="16">
        <v>0</v>
      </c>
      <c r="M62" s="239">
        <f t="shared" si="8"/>
        <v>1496</v>
      </c>
    </row>
    <row r="63" spans="2:13" x14ac:dyDescent="0.2">
      <c r="B63" s="18" t="s">
        <v>159</v>
      </c>
      <c r="C63" s="16">
        <v>1223</v>
      </c>
      <c r="D63" s="16">
        <v>425</v>
      </c>
      <c r="E63" s="16">
        <f t="shared" si="9"/>
        <v>1648</v>
      </c>
      <c r="F63" s="17">
        <f t="shared" si="10"/>
        <v>4.6923493066826118E-2</v>
      </c>
      <c r="G63" s="16">
        <v>4474</v>
      </c>
      <c r="H63" s="16">
        <v>387</v>
      </c>
      <c r="I63" s="16">
        <v>363</v>
      </c>
      <c r="J63" s="16">
        <v>5224</v>
      </c>
      <c r="K63" s="17">
        <f t="shared" si="11"/>
        <v>4.9925455866049927E-2</v>
      </c>
      <c r="L63" s="16">
        <v>0</v>
      </c>
      <c r="M63" s="239">
        <f t="shared" si="8"/>
        <v>6872</v>
      </c>
    </row>
    <row r="64" spans="2:13" x14ac:dyDescent="0.2">
      <c r="B64" s="18" t="s">
        <v>160</v>
      </c>
      <c r="C64" s="16">
        <v>281</v>
      </c>
      <c r="D64" s="16">
        <v>132</v>
      </c>
      <c r="E64" s="16">
        <f t="shared" si="9"/>
        <v>413</v>
      </c>
      <c r="F64" s="17">
        <f t="shared" si="10"/>
        <v>1.1759346260072322E-2</v>
      </c>
      <c r="G64" s="16">
        <v>1236</v>
      </c>
      <c r="H64" s="16">
        <v>122</v>
      </c>
      <c r="I64" s="16">
        <v>113</v>
      </c>
      <c r="J64" s="16">
        <v>1471</v>
      </c>
      <c r="K64" s="17">
        <f t="shared" si="11"/>
        <v>1.4058259107764058E-2</v>
      </c>
      <c r="L64" s="16">
        <v>0</v>
      </c>
      <c r="M64" s="239">
        <f t="shared" si="8"/>
        <v>1884</v>
      </c>
    </row>
    <row r="65" spans="2:13" x14ac:dyDescent="0.2">
      <c r="B65" s="18" t="s">
        <v>161</v>
      </c>
      <c r="C65" s="16">
        <v>894</v>
      </c>
      <c r="D65" s="16">
        <v>277</v>
      </c>
      <c r="E65" s="16">
        <f t="shared" si="9"/>
        <v>1171</v>
      </c>
      <c r="F65" s="17">
        <f t="shared" si="10"/>
        <v>3.334187523134307E-2</v>
      </c>
      <c r="G65" s="16">
        <v>2664</v>
      </c>
      <c r="H65" s="16">
        <v>246</v>
      </c>
      <c r="I65" s="16">
        <v>149</v>
      </c>
      <c r="J65" s="16">
        <v>3059</v>
      </c>
      <c r="K65" s="17">
        <f t="shared" si="11"/>
        <v>2.9234680224779236E-2</v>
      </c>
      <c r="L65" s="16">
        <v>0</v>
      </c>
      <c r="M65" s="239">
        <f t="shared" si="8"/>
        <v>4230</v>
      </c>
    </row>
    <row r="66" spans="2:13" x14ac:dyDescent="0.2">
      <c r="B66" s="18" t="s">
        <v>162</v>
      </c>
      <c r="C66" s="16">
        <v>629</v>
      </c>
      <c r="D66" s="16">
        <v>289</v>
      </c>
      <c r="E66" s="16">
        <f t="shared" si="9"/>
        <v>918</v>
      </c>
      <c r="F66" s="17">
        <f t="shared" si="10"/>
        <v>2.6138207909797557E-2</v>
      </c>
      <c r="G66" s="16">
        <v>2486</v>
      </c>
      <c r="H66" s="16">
        <v>235</v>
      </c>
      <c r="I66" s="16">
        <v>199</v>
      </c>
      <c r="J66" s="16">
        <v>2920</v>
      </c>
      <c r="K66" s="17">
        <f t="shared" si="11"/>
        <v>2.7906265530027907E-2</v>
      </c>
      <c r="L66" s="16">
        <v>0</v>
      </c>
      <c r="M66" s="239">
        <f t="shared" si="8"/>
        <v>3838</v>
      </c>
    </row>
    <row r="67" spans="2:13" x14ac:dyDescent="0.2">
      <c r="B67" s="18" t="s">
        <v>163</v>
      </c>
      <c r="C67" s="16">
        <v>498</v>
      </c>
      <c r="D67" s="16">
        <v>154</v>
      </c>
      <c r="E67" s="16">
        <f t="shared" si="9"/>
        <v>652</v>
      </c>
      <c r="F67" s="17">
        <f t="shared" si="10"/>
        <v>1.8564391674496739E-2</v>
      </c>
      <c r="G67" s="16">
        <v>1752</v>
      </c>
      <c r="H67" s="16">
        <v>181</v>
      </c>
      <c r="I67" s="16">
        <v>92</v>
      </c>
      <c r="J67" s="16">
        <v>2025</v>
      </c>
      <c r="K67" s="17">
        <f t="shared" si="11"/>
        <v>1.9352804006269354E-2</v>
      </c>
      <c r="L67" s="16">
        <v>0</v>
      </c>
      <c r="M67" s="239">
        <f t="shared" si="8"/>
        <v>2677</v>
      </c>
    </row>
    <row r="68" spans="2:13" x14ac:dyDescent="0.2">
      <c r="B68" s="18" t="s">
        <v>164</v>
      </c>
      <c r="C68" s="16">
        <v>458</v>
      </c>
      <c r="D68" s="16">
        <v>183</v>
      </c>
      <c r="E68" s="16">
        <f t="shared" si="9"/>
        <v>641</v>
      </c>
      <c r="F68" s="17">
        <f t="shared" si="10"/>
        <v>1.8251188747473023E-2</v>
      </c>
      <c r="G68" s="16">
        <v>1386</v>
      </c>
      <c r="H68" s="16">
        <v>115</v>
      </c>
      <c r="I68" s="16">
        <v>106</v>
      </c>
      <c r="J68" s="16">
        <v>1607</v>
      </c>
      <c r="K68" s="17">
        <f t="shared" si="11"/>
        <v>1.5358002981765357E-2</v>
      </c>
      <c r="L68" s="16">
        <v>0</v>
      </c>
      <c r="M68" s="239">
        <f t="shared" si="8"/>
        <v>2248</v>
      </c>
    </row>
    <row r="69" spans="2:13" x14ac:dyDescent="0.2">
      <c r="B69" s="18" t="s">
        <v>165</v>
      </c>
      <c r="C69" s="16">
        <v>1572</v>
      </c>
      <c r="D69" s="16">
        <v>663</v>
      </c>
      <c r="E69" s="16">
        <f t="shared" si="9"/>
        <v>2235</v>
      </c>
      <c r="F69" s="17">
        <f t="shared" si="10"/>
        <v>6.3637140172546333E-2</v>
      </c>
      <c r="G69" s="16">
        <v>6121</v>
      </c>
      <c r="H69" s="16">
        <v>606</v>
      </c>
      <c r="I69" s="16">
        <v>486</v>
      </c>
      <c r="J69" s="16">
        <v>7213</v>
      </c>
      <c r="K69" s="17">
        <f t="shared" si="11"/>
        <v>6.893421002331894E-2</v>
      </c>
      <c r="L69" s="16">
        <v>0</v>
      </c>
      <c r="M69" s="239">
        <f t="shared" si="8"/>
        <v>9448</v>
      </c>
    </row>
    <row r="70" spans="2:13" x14ac:dyDescent="0.2">
      <c r="B70" s="18" t="s">
        <v>166</v>
      </c>
      <c r="C70" s="16">
        <v>294</v>
      </c>
      <c r="D70" s="16">
        <v>83</v>
      </c>
      <c r="E70" s="16">
        <f t="shared" si="9"/>
        <v>377</v>
      </c>
      <c r="F70" s="17">
        <f t="shared" si="10"/>
        <v>1.0734318498903789E-2</v>
      </c>
      <c r="G70" s="16">
        <v>1004</v>
      </c>
      <c r="H70" s="16">
        <v>77</v>
      </c>
      <c r="I70" s="16">
        <v>32</v>
      </c>
      <c r="J70" s="16">
        <v>1113</v>
      </c>
      <c r="K70" s="17">
        <f t="shared" si="11"/>
        <v>1.0636874498260637E-2</v>
      </c>
      <c r="L70" s="16">
        <v>0</v>
      </c>
      <c r="M70" s="239">
        <f t="shared" si="8"/>
        <v>1490</v>
      </c>
    </row>
    <row r="71" spans="2:13" x14ac:dyDescent="0.2">
      <c r="B71" s="18" t="s">
        <v>167</v>
      </c>
      <c r="C71" s="16">
        <v>410</v>
      </c>
      <c r="D71" s="16">
        <v>100</v>
      </c>
      <c r="E71" s="16">
        <f t="shared" si="9"/>
        <v>510</v>
      </c>
      <c r="F71" s="17">
        <f t="shared" si="10"/>
        <v>1.4521226616554198E-2</v>
      </c>
      <c r="G71" s="16">
        <v>697</v>
      </c>
      <c r="H71" s="16">
        <v>42</v>
      </c>
      <c r="I71" s="16">
        <v>41</v>
      </c>
      <c r="J71" s="16">
        <v>780</v>
      </c>
      <c r="K71" s="17">
        <f t="shared" si="11"/>
        <v>7.4544133950074547E-3</v>
      </c>
      <c r="L71" s="16">
        <v>0</v>
      </c>
      <c r="M71" s="239">
        <f t="shared" si="8"/>
        <v>1290</v>
      </c>
    </row>
    <row r="72" spans="2:13" x14ac:dyDescent="0.2">
      <c r="B72" s="18" t="s">
        <v>168</v>
      </c>
      <c r="C72" s="16">
        <v>1103</v>
      </c>
      <c r="D72" s="16">
        <v>447</v>
      </c>
      <c r="E72" s="16">
        <f t="shared" si="9"/>
        <v>1550</v>
      </c>
      <c r="F72" s="17">
        <f t="shared" si="10"/>
        <v>4.4133139716978444E-2</v>
      </c>
      <c r="G72" s="16">
        <v>3725</v>
      </c>
      <c r="H72" s="16">
        <v>256</v>
      </c>
      <c r="I72" s="16">
        <v>264</v>
      </c>
      <c r="J72" s="16">
        <v>4245</v>
      </c>
      <c r="K72" s="17">
        <f t="shared" si="11"/>
        <v>4.0569211361290568E-2</v>
      </c>
      <c r="L72" s="16">
        <v>0</v>
      </c>
      <c r="M72" s="239">
        <f t="shared" si="8"/>
        <v>5795</v>
      </c>
    </row>
    <row r="73" spans="2:13" x14ac:dyDescent="0.2">
      <c r="B73" s="18" t="s">
        <v>169</v>
      </c>
      <c r="C73" s="16">
        <v>300</v>
      </c>
      <c r="D73" s="16">
        <v>116</v>
      </c>
      <c r="E73" s="16">
        <f t="shared" si="9"/>
        <v>416</v>
      </c>
      <c r="F73" s="17">
        <f t="shared" si="10"/>
        <v>1.1844765240169699E-2</v>
      </c>
      <c r="G73" s="16">
        <v>762</v>
      </c>
      <c r="H73" s="16">
        <v>77</v>
      </c>
      <c r="I73" s="16">
        <v>65</v>
      </c>
      <c r="J73" s="16">
        <v>904</v>
      </c>
      <c r="K73" s="17">
        <f t="shared" si="11"/>
        <v>8.6394739860086393E-3</v>
      </c>
      <c r="L73" s="16">
        <v>0</v>
      </c>
      <c r="M73" s="239">
        <f t="shared" si="8"/>
        <v>1320</v>
      </c>
    </row>
    <row r="74" spans="2:13" x14ac:dyDescent="0.2">
      <c r="B74" s="18" t="s">
        <v>170</v>
      </c>
      <c r="C74" s="16">
        <v>552</v>
      </c>
      <c r="D74" s="16">
        <v>192</v>
      </c>
      <c r="E74" s="16">
        <f t="shared" si="9"/>
        <v>744</v>
      </c>
      <c r="F74" s="17">
        <f t="shared" si="10"/>
        <v>2.1183907064149653E-2</v>
      </c>
      <c r="G74" s="16">
        <v>1978</v>
      </c>
      <c r="H74" s="16">
        <v>224</v>
      </c>
      <c r="I74" s="16">
        <v>134</v>
      </c>
      <c r="J74" s="16">
        <v>2336</v>
      </c>
      <c r="K74" s="17">
        <f t="shared" si="11"/>
        <v>2.2325012424022326E-2</v>
      </c>
      <c r="L74" s="16">
        <v>0</v>
      </c>
      <c r="M74" s="239">
        <f t="shared" si="8"/>
        <v>3080</v>
      </c>
    </row>
    <row r="75" spans="2:13" x14ac:dyDescent="0.2">
      <c r="B75" s="18" t="s">
        <v>171</v>
      </c>
      <c r="C75" s="16">
        <v>804</v>
      </c>
      <c r="D75" s="16">
        <v>287</v>
      </c>
      <c r="E75" s="16">
        <f t="shared" si="9"/>
        <v>1091</v>
      </c>
      <c r="F75" s="17">
        <f t="shared" si="10"/>
        <v>3.1064035762079667E-2</v>
      </c>
      <c r="G75" s="16">
        <v>2660</v>
      </c>
      <c r="H75" s="16">
        <v>323</v>
      </c>
      <c r="I75" s="16">
        <v>223</v>
      </c>
      <c r="J75" s="16">
        <v>3206</v>
      </c>
      <c r="K75" s="17">
        <f t="shared" si="11"/>
        <v>3.063955044153064E-2</v>
      </c>
      <c r="L75" s="16">
        <v>0</v>
      </c>
      <c r="M75" s="239">
        <f t="shared" si="8"/>
        <v>4297</v>
      </c>
    </row>
    <row r="76" spans="2:13" x14ac:dyDescent="0.2">
      <c r="B76" s="18" t="s">
        <v>172</v>
      </c>
      <c r="C76" s="16">
        <v>306</v>
      </c>
      <c r="D76" s="16">
        <v>108</v>
      </c>
      <c r="E76" s="16">
        <f t="shared" si="9"/>
        <v>414</v>
      </c>
      <c r="F76" s="17">
        <f t="shared" si="10"/>
        <v>1.1787819253438114E-2</v>
      </c>
      <c r="G76" s="16">
        <v>1248</v>
      </c>
      <c r="H76" s="16">
        <v>101</v>
      </c>
      <c r="I76" s="16">
        <v>84</v>
      </c>
      <c r="J76" s="16">
        <v>1433</v>
      </c>
      <c r="K76" s="17">
        <f t="shared" si="11"/>
        <v>1.3695095378263696E-2</v>
      </c>
      <c r="L76" s="16">
        <v>0</v>
      </c>
      <c r="M76" s="239">
        <f t="shared" si="8"/>
        <v>1847</v>
      </c>
    </row>
    <row r="77" spans="2:13" x14ac:dyDescent="0.2">
      <c r="B77" s="18" t="s">
        <v>173</v>
      </c>
      <c r="C77" s="16">
        <v>524</v>
      </c>
      <c r="D77" s="16">
        <v>197</v>
      </c>
      <c r="E77" s="16">
        <f t="shared" si="9"/>
        <v>721</v>
      </c>
      <c r="F77" s="17">
        <f t="shared" si="10"/>
        <v>2.0529028216736425E-2</v>
      </c>
      <c r="G77" s="16">
        <v>1490</v>
      </c>
      <c r="H77" s="16">
        <v>108</v>
      </c>
      <c r="I77" s="16">
        <v>115</v>
      </c>
      <c r="J77" s="16">
        <v>1713</v>
      </c>
      <c r="K77" s="17">
        <f t="shared" si="11"/>
        <v>1.6371038648266372E-2</v>
      </c>
      <c r="L77" s="16">
        <v>0</v>
      </c>
      <c r="M77" s="239">
        <f t="shared" si="8"/>
        <v>2434</v>
      </c>
    </row>
    <row r="78" spans="2:13" x14ac:dyDescent="0.2">
      <c r="B78" s="18" t="s">
        <v>174</v>
      </c>
      <c r="C78" s="16">
        <v>1862</v>
      </c>
      <c r="D78" s="16">
        <v>675</v>
      </c>
      <c r="E78" s="16">
        <f t="shared" si="9"/>
        <v>2537</v>
      </c>
      <c r="F78" s="17">
        <f t="shared" si="10"/>
        <v>7.2235984169015693E-2</v>
      </c>
      <c r="G78" s="16">
        <v>7551</v>
      </c>
      <c r="H78" s="16">
        <v>780</v>
      </c>
      <c r="I78" s="16">
        <v>592</v>
      </c>
      <c r="J78" s="16">
        <v>8923</v>
      </c>
      <c r="K78" s="17">
        <f t="shared" si="11"/>
        <v>8.5276577850835283E-2</v>
      </c>
      <c r="L78" s="16">
        <v>0</v>
      </c>
      <c r="M78" s="239">
        <f t="shared" si="8"/>
        <v>11460</v>
      </c>
    </row>
    <row r="79" spans="2:13" x14ac:dyDescent="0.2">
      <c r="B79" s="18" t="s">
        <v>175</v>
      </c>
      <c r="C79" s="16">
        <v>420</v>
      </c>
      <c r="D79" s="16">
        <v>192</v>
      </c>
      <c r="E79" s="16">
        <f t="shared" si="9"/>
        <v>612</v>
      </c>
      <c r="F79" s="17">
        <f t="shared" si="10"/>
        <v>1.7425471939865038E-2</v>
      </c>
      <c r="G79" s="16">
        <v>1939</v>
      </c>
      <c r="H79" s="16">
        <v>180</v>
      </c>
      <c r="I79" s="16">
        <v>166</v>
      </c>
      <c r="J79" s="16">
        <v>2285</v>
      </c>
      <c r="K79" s="17">
        <f t="shared" si="11"/>
        <v>2.1837608471271839E-2</v>
      </c>
      <c r="L79" s="16">
        <v>0</v>
      </c>
      <c r="M79" s="239">
        <f t="shared" si="8"/>
        <v>2897</v>
      </c>
    </row>
    <row r="80" spans="2:13" x14ac:dyDescent="0.2">
      <c r="B80" s="18" t="s">
        <v>176</v>
      </c>
      <c r="C80" s="16">
        <v>375</v>
      </c>
      <c r="D80" s="16">
        <v>138</v>
      </c>
      <c r="E80" s="16">
        <f t="shared" si="9"/>
        <v>513</v>
      </c>
      <c r="F80" s="17">
        <f t="shared" si="10"/>
        <v>1.4606645596651577E-2</v>
      </c>
      <c r="G80" s="16">
        <v>1342</v>
      </c>
      <c r="H80" s="16">
        <v>104</v>
      </c>
      <c r="I80" s="16">
        <v>61</v>
      </c>
      <c r="J80" s="16">
        <v>1507</v>
      </c>
      <c r="K80" s="17">
        <f t="shared" si="11"/>
        <v>1.4402308956764403E-2</v>
      </c>
      <c r="L80" s="16">
        <v>0</v>
      </c>
      <c r="M80" s="239">
        <f t="shared" si="8"/>
        <v>2020</v>
      </c>
    </row>
    <row r="81" spans="2:13" x14ac:dyDescent="0.2">
      <c r="B81" s="18" t="s">
        <v>177</v>
      </c>
      <c r="C81" s="16">
        <v>330</v>
      </c>
      <c r="D81" s="16">
        <v>110</v>
      </c>
      <c r="E81" s="16">
        <f t="shared" si="9"/>
        <v>440</v>
      </c>
      <c r="F81" s="17">
        <f t="shared" si="10"/>
        <v>1.252811708094872E-2</v>
      </c>
      <c r="G81" s="16">
        <v>930</v>
      </c>
      <c r="H81" s="16">
        <v>64</v>
      </c>
      <c r="I81" s="16">
        <v>50</v>
      </c>
      <c r="J81" s="16">
        <v>1044</v>
      </c>
      <c r="K81" s="17">
        <f t="shared" si="11"/>
        <v>9.9774456210099775E-3</v>
      </c>
      <c r="L81" s="16">
        <v>0</v>
      </c>
      <c r="M81" s="239">
        <f t="shared" si="8"/>
        <v>1484</v>
      </c>
    </row>
    <row r="82" spans="2:13" x14ac:dyDescent="0.2">
      <c r="B82" s="18" t="s">
        <v>178</v>
      </c>
      <c r="C82" s="16">
        <v>186</v>
      </c>
      <c r="D82" s="16">
        <v>44</v>
      </c>
      <c r="E82" s="16">
        <f t="shared" si="9"/>
        <v>230</v>
      </c>
      <c r="F82" s="17">
        <f t="shared" si="10"/>
        <v>6.5487884741322853E-3</v>
      </c>
      <c r="G82" s="16">
        <v>535</v>
      </c>
      <c r="H82" s="16">
        <v>37</v>
      </c>
      <c r="I82" s="16">
        <v>27</v>
      </c>
      <c r="J82" s="16">
        <v>599</v>
      </c>
      <c r="K82" s="17">
        <f t="shared" si="11"/>
        <v>5.7246072097557246E-3</v>
      </c>
      <c r="L82" s="16">
        <v>0</v>
      </c>
      <c r="M82" s="239">
        <f t="shared" si="8"/>
        <v>829</v>
      </c>
    </row>
    <row r="83" spans="2:13" x14ac:dyDescent="0.2">
      <c r="B83" s="18" t="s">
        <v>179</v>
      </c>
      <c r="C83" s="16">
        <v>1798</v>
      </c>
      <c r="D83" s="16">
        <v>548</v>
      </c>
      <c r="E83" s="16">
        <f t="shared" si="9"/>
        <v>2346</v>
      </c>
      <c r="F83" s="17">
        <f t="shared" si="10"/>
        <v>6.6797642436149315E-2</v>
      </c>
      <c r="G83" s="16">
        <v>5775</v>
      </c>
      <c r="H83" s="16">
        <v>470</v>
      </c>
      <c r="I83" s="16">
        <v>362</v>
      </c>
      <c r="J83" s="16">
        <v>6607</v>
      </c>
      <c r="K83" s="17">
        <f t="shared" si="11"/>
        <v>6.3142704231813146E-2</v>
      </c>
      <c r="L83" s="16">
        <v>0</v>
      </c>
      <c r="M83" s="239">
        <f t="shared" si="8"/>
        <v>8953</v>
      </c>
    </row>
    <row r="84" spans="2:13" x14ac:dyDescent="0.2">
      <c r="B84" s="18" t="s">
        <v>180</v>
      </c>
      <c r="C84" s="16">
        <v>564</v>
      </c>
      <c r="D84" s="16">
        <v>176</v>
      </c>
      <c r="E84" s="16">
        <f t="shared" si="9"/>
        <v>740</v>
      </c>
      <c r="F84" s="17">
        <f t="shared" si="10"/>
        <v>2.1070015090686484E-2</v>
      </c>
      <c r="G84" s="16">
        <v>1772</v>
      </c>
      <c r="H84" s="16">
        <v>212</v>
      </c>
      <c r="I84" s="16">
        <v>130</v>
      </c>
      <c r="J84" s="16">
        <v>2114</v>
      </c>
      <c r="K84" s="17">
        <f t="shared" si="11"/>
        <v>2.0203371688520204E-2</v>
      </c>
      <c r="L84" s="16">
        <v>0</v>
      </c>
      <c r="M84" s="239">
        <f t="shared" si="8"/>
        <v>2854</v>
      </c>
    </row>
    <row r="85" spans="2:13" x14ac:dyDescent="0.2">
      <c r="B85" s="18" t="s">
        <v>181</v>
      </c>
      <c r="C85" s="16">
        <v>154</v>
      </c>
      <c r="D85" s="16">
        <v>45</v>
      </c>
      <c r="E85" s="16">
        <f t="shared" si="9"/>
        <v>199</v>
      </c>
      <c r="F85" s="17">
        <f t="shared" si="10"/>
        <v>5.6661256797927162E-3</v>
      </c>
      <c r="G85" s="16">
        <v>427</v>
      </c>
      <c r="H85" s="16">
        <v>34</v>
      </c>
      <c r="I85" s="16">
        <v>15</v>
      </c>
      <c r="J85" s="16">
        <v>476</v>
      </c>
      <c r="K85" s="17">
        <f t="shared" si="11"/>
        <v>4.5491035590045489E-3</v>
      </c>
      <c r="L85" s="16">
        <v>0</v>
      </c>
      <c r="M85" s="239">
        <f t="shared" si="8"/>
        <v>675</v>
      </c>
    </row>
    <row r="86" spans="2:13" x14ac:dyDescent="0.2">
      <c r="B86" s="18" t="s">
        <v>39</v>
      </c>
      <c r="C86" s="16">
        <f t="shared" ref="C86:D86" si="12">SUM(C53:C85)</f>
        <v>25594</v>
      </c>
      <c r="D86" s="16">
        <f t="shared" si="12"/>
        <v>9527</v>
      </c>
      <c r="E86" s="18">
        <f t="shared" ref="E86" si="13">C86+D86</f>
        <v>35121</v>
      </c>
      <c r="F86" s="17">
        <f t="shared" ref="F86" si="14">E86/$E$86</f>
        <v>1</v>
      </c>
      <c r="G86" s="16">
        <f t="shared" ref="G86:J86" si="15">SUM(G53:G85)</f>
        <v>88973</v>
      </c>
      <c r="H86" s="16">
        <f t="shared" si="15"/>
        <v>8646</v>
      </c>
      <c r="I86" s="16">
        <f t="shared" si="15"/>
        <v>7017</v>
      </c>
      <c r="J86" s="16">
        <f t="shared" si="15"/>
        <v>104636</v>
      </c>
      <c r="K86" s="17">
        <f t="shared" si="11"/>
        <v>1</v>
      </c>
      <c r="L86" s="16">
        <f t="shared" ref="L86" si="16">SUM(L53:L85)</f>
        <v>0</v>
      </c>
      <c r="M86" s="239">
        <f t="shared" si="8"/>
        <v>139757</v>
      </c>
    </row>
    <row r="87" spans="2:13" ht="24" x14ac:dyDescent="0.2">
      <c r="B87" s="28" t="s">
        <v>45</v>
      </c>
      <c r="C87" s="29">
        <f>+C86/M86</f>
        <v>0.18313215080461087</v>
      </c>
      <c r="D87" s="29">
        <f>+D86/M86</f>
        <v>6.8168320728120957E-2</v>
      </c>
      <c r="E87" s="30">
        <f>+E86/M86</f>
        <v>0.25130047153273183</v>
      </c>
      <c r="F87" s="30"/>
      <c r="G87" s="29">
        <f>+G86/M86</f>
        <v>0.63662643016092213</v>
      </c>
      <c r="H87" s="29">
        <f>+H86/M86</f>
        <v>6.1864521991742812E-2</v>
      </c>
      <c r="I87" s="29">
        <f>+I86/M86</f>
        <v>5.0208576314603202E-2</v>
      </c>
      <c r="J87" s="30">
        <f>+J86/M86</f>
        <v>0.74869952846726817</v>
      </c>
      <c r="K87" s="30"/>
      <c r="L87" s="30">
        <f>+L86/M86</f>
        <v>0</v>
      </c>
      <c r="M87" s="30">
        <f>J87+L87+E87</f>
        <v>1</v>
      </c>
    </row>
    <row r="88" spans="2:13" x14ac:dyDescent="0.2">
      <c r="B88" s="21" t="s">
        <v>78</v>
      </c>
    </row>
    <row r="89" spans="2:13" x14ac:dyDescent="0.2">
      <c r="B89" s="21" t="s">
        <v>79</v>
      </c>
    </row>
  </sheetData>
  <mergeCells count="10">
    <mergeCell ref="B6:K6"/>
    <mergeCell ref="B5:K5"/>
    <mergeCell ref="B47:K47"/>
    <mergeCell ref="B48:K48"/>
    <mergeCell ref="B8:M8"/>
    <mergeCell ref="B51:B52"/>
    <mergeCell ref="B9:B10"/>
    <mergeCell ref="C9:L9"/>
    <mergeCell ref="C51:L51"/>
    <mergeCell ref="B50:M50"/>
  </mergeCells>
  <hyperlinks>
    <hyperlink ref="M5" location="'Índice PGU y SPS'!A1" display="Volver Sistema de Pensiones Solidarias" xr:uid="{A19DA93C-6411-4DA2-B218-D0395A1B7204}"/>
  </hyperlinks>
  <pageMargins left="0.74803149606299213" right="0.74803149606299213" top="0.98425196850393704" bottom="0.98425196850393704" header="0" footer="0"/>
  <pageSetup scale="83" fitToHeight="2" orientation="portrait" r:id="rId1"/>
  <headerFooter alignWithMargins="0"/>
  <rowBreaks count="1" manualBreakCount="1">
    <brk id="50" min="1" max="12"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25"/>
  <dimension ref="A1:P83"/>
  <sheetViews>
    <sheetView showGridLines="0" zoomScale="90" zoomScaleNormal="90" workbookViewId="0">
      <selection activeCell="M35" sqref="M35"/>
    </sheetView>
  </sheetViews>
  <sheetFormatPr baseColWidth="10" defaultRowHeight="12" x14ac:dyDescent="0.2"/>
  <cols>
    <col min="1" max="1" width="6" style="22" customWidth="1"/>
    <col min="2" max="2" width="18.140625" style="22" customWidth="1"/>
    <col min="3" max="3" width="10.85546875" style="22" customWidth="1"/>
    <col min="4" max="4" width="7.28515625" style="22" bestFit="1" customWidth="1"/>
    <col min="5" max="5" width="15.140625" style="22" customWidth="1"/>
    <col min="6" max="6" width="14.7109375" style="22" customWidth="1"/>
    <col min="7" max="7" width="11.85546875" style="22" customWidth="1"/>
    <col min="8" max="8" width="7.85546875" style="22" bestFit="1" customWidth="1"/>
    <col min="9" max="9" width="7.28515625" style="22" customWidth="1"/>
    <col min="10" max="11" width="14.140625" style="22" customWidth="1"/>
    <col min="12" max="12" width="9.7109375" style="22" hidden="1" customWidth="1"/>
    <col min="13" max="251" width="11.42578125" style="22"/>
    <col min="252" max="252" width="18.140625" style="22" customWidth="1"/>
    <col min="253" max="253" width="7.85546875" style="22" bestFit="1" customWidth="1"/>
    <col min="254" max="254" width="7.28515625" style="22" bestFit="1" customWidth="1"/>
    <col min="255" max="256" width="7.28515625" style="22" customWidth="1"/>
    <col min="257" max="258" width="7.28515625" style="22" bestFit="1" customWidth="1"/>
    <col min="259" max="261" width="7.28515625" style="22" customWidth="1"/>
    <col min="262" max="267" width="0" style="22" hidden="1" customWidth="1"/>
    <col min="268" max="268" width="9.7109375" style="22" customWidth="1"/>
    <col min="269" max="507" width="11.42578125" style="22"/>
    <col min="508" max="508" width="18.140625" style="22" customWidth="1"/>
    <col min="509" max="509" width="7.85546875" style="22" bestFit="1" customWidth="1"/>
    <col min="510" max="510" width="7.28515625" style="22" bestFit="1" customWidth="1"/>
    <col min="511" max="512" width="7.28515625" style="22" customWidth="1"/>
    <col min="513" max="514" width="7.28515625" style="22" bestFit="1" customWidth="1"/>
    <col min="515" max="517" width="7.28515625" style="22" customWidth="1"/>
    <col min="518" max="523" width="0" style="22" hidden="1" customWidth="1"/>
    <col min="524" max="524" width="9.7109375" style="22" customWidth="1"/>
    <col min="525" max="763" width="11.42578125" style="22"/>
    <col min="764" max="764" width="18.140625" style="22" customWidth="1"/>
    <col min="765" max="765" width="7.85546875" style="22" bestFit="1" customWidth="1"/>
    <col min="766" max="766" width="7.28515625" style="22" bestFit="1" customWidth="1"/>
    <col min="767" max="768" width="7.28515625" style="22" customWidth="1"/>
    <col min="769" max="770" width="7.28515625" style="22" bestFit="1" customWidth="1"/>
    <col min="771" max="773" width="7.28515625" style="22" customWidth="1"/>
    <col min="774" max="779" width="0" style="22" hidden="1" customWidth="1"/>
    <col min="780" max="780" width="9.7109375" style="22" customWidth="1"/>
    <col min="781" max="1019" width="11.42578125" style="22"/>
    <col min="1020" max="1020" width="18.140625" style="22" customWidth="1"/>
    <col min="1021" max="1021" width="7.85546875" style="22" bestFit="1" customWidth="1"/>
    <col min="1022" max="1022" width="7.28515625" style="22" bestFit="1" customWidth="1"/>
    <col min="1023" max="1024" width="7.28515625" style="22" customWidth="1"/>
    <col min="1025" max="1026" width="7.28515625" style="22" bestFit="1" customWidth="1"/>
    <col min="1027" max="1029" width="7.28515625" style="22" customWidth="1"/>
    <col min="1030" max="1035" width="0" style="22" hidden="1" customWidth="1"/>
    <col min="1036" max="1036" width="9.7109375" style="22" customWidth="1"/>
    <col min="1037" max="1275" width="11.42578125" style="22"/>
    <col min="1276" max="1276" width="18.140625" style="22" customWidth="1"/>
    <col min="1277" max="1277" width="7.85546875" style="22" bestFit="1" customWidth="1"/>
    <col min="1278" max="1278" width="7.28515625" style="22" bestFit="1" customWidth="1"/>
    <col min="1279" max="1280" width="7.28515625" style="22" customWidth="1"/>
    <col min="1281" max="1282" width="7.28515625" style="22" bestFit="1" customWidth="1"/>
    <col min="1283" max="1285" width="7.28515625" style="22" customWidth="1"/>
    <col min="1286" max="1291" width="0" style="22" hidden="1" customWidth="1"/>
    <col min="1292" max="1292" width="9.7109375" style="22" customWidth="1"/>
    <col min="1293" max="1531" width="11.42578125" style="22"/>
    <col min="1532" max="1532" width="18.140625" style="22" customWidth="1"/>
    <col min="1533" max="1533" width="7.85546875" style="22" bestFit="1" customWidth="1"/>
    <col min="1534" max="1534" width="7.28515625" style="22" bestFit="1" customWidth="1"/>
    <col min="1535" max="1536" width="7.28515625" style="22" customWidth="1"/>
    <col min="1537" max="1538" width="7.28515625" style="22" bestFit="1" customWidth="1"/>
    <col min="1539" max="1541" width="7.28515625" style="22" customWidth="1"/>
    <col min="1542" max="1547" width="0" style="22" hidden="1" customWidth="1"/>
    <col min="1548" max="1548" width="9.7109375" style="22" customWidth="1"/>
    <col min="1549" max="1787" width="11.42578125" style="22"/>
    <col min="1788" max="1788" width="18.140625" style="22" customWidth="1"/>
    <col min="1789" max="1789" width="7.85546875" style="22" bestFit="1" customWidth="1"/>
    <col min="1790" max="1790" width="7.28515625" style="22" bestFit="1" customWidth="1"/>
    <col min="1791" max="1792" width="7.28515625" style="22" customWidth="1"/>
    <col min="1793" max="1794" width="7.28515625" style="22" bestFit="1" customWidth="1"/>
    <col min="1795" max="1797" width="7.28515625" style="22" customWidth="1"/>
    <col min="1798" max="1803" width="0" style="22" hidden="1" customWidth="1"/>
    <col min="1804" max="1804" width="9.7109375" style="22" customWidth="1"/>
    <col min="1805" max="2043" width="11.42578125" style="22"/>
    <col min="2044" max="2044" width="18.140625" style="22" customWidth="1"/>
    <col min="2045" max="2045" width="7.85546875" style="22" bestFit="1" customWidth="1"/>
    <col min="2046" max="2046" width="7.28515625" style="22" bestFit="1" customWidth="1"/>
    <col min="2047" max="2048" width="7.28515625" style="22" customWidth="1"/>
    <col min="2049" max="2050" width="7.28515625" style="22" bestFit="1" customWidth="1"/>
    <col min="2051" max="2053" width="7.28515625" style="22" customWidth="1"/>
    <col min="2054" max="2059" width="0" style="22" hidden="1" customWidth="1"/>
    <col min="2060" max="2060" width="9.7109375" style="22" customWidth="1"/>
    <col min="2061" max="2299" width="11.42578125" style="22"/>
    <col min="2300" max="2300" width="18.140625" style="22" customWidth="1"/>
    <col min="2301" max="2301" width="7.85546875" style="22" bestFit="1" customWidth="1"/>
    <col min="2302" max="2302" width="7.28515625" style="22" bestFit="1" customWidth="1"/>
    <col min="2303" max="2304" width="7.28515625" style="22" customWidth="1"/>
    <col min="2305" max="2306" width="7.28515625" style="22" bestFit="1" customWidth="1"/>
    <col min="2307" max="2309" width="7.28515625" style="22" customWidth="1"/>
    <col min="2310" max="2315" width="0" style="22" hidden="1" customWidth="1"/>
    <col min="2316" max="2316" width="9.7109375" style="22" customWidth="1"/>
    <col min="2317" max="2555" width="11.42578125" style="22"/>
    <col min="2556" max="2556" width="18.140625" style="22" customWidth="1"/>
    <col min="2557" max="2557" width="7.85546875" style="22" bestFit="1" customWidth="1"/>
    <col min="2558" max="2558" width="7.28515625" style="22" bestFit="1" customWidth="1"/>
    <col min="2559" max="2560" width="7.28515625" style="22" customWidth="1"/>
    <col min="2561" max="2562" width="7.28515625" style="22" bestFit="1" customWidth="1"/>
    <col min="2563" max="2565" width="7.28515625" style="22" customWidth="1"/>
    <col min="2566" max="2571" width="0" style="22" hidden="1" customWidth="1"/>
    <col min="2572" max="2572" width="9.7109375" style="22" customWidth="1"/>
    <col min="2573" max="2811" width="11.42578125" style="22"/>
    <col min="2812" max="2812" width="18.140625" style="22" customWidth="1"/>
    <col min="2813" max="2813" width="7.85546875" style="22" bestFit="1" customWidth="1"/>
    <col min="2814" max="2814" width="7.28515625" style="22" bestFit="1" customWidth="1"/>
    <col min="2815" max="2816" width="7.28515625" style="22" customWidth="1"/>
    <col min="2817" max="2818" width="7.28515625" style="22" bestFit="1" customWidth="1"/>
    <col min="2819" max="2821" width="7.28515625" style="22" customWidth="1"/>
    <col min="2822" max="2827" width="0" style="22" hidden="1" customWidth="1"/>
    <col min="2828" max="2828" width="9.7109375" style="22" customWidth="1"/>
    <col min="2829" max="3067" width="11.42578125" style="22"/>
    <col min="3068" max="3068" width="18.140625" style="22" customWidth="1"/>
    <col min="3069" max="3069" width="7.85546875" style="22" bestFit="1" customWidth="1"/>
    <col min="3070" max="3070" width="7.28515625" style="22" bestFit="1" customWidth="1"/>
    <col min="3071" max="3072" width="7.28515625" style="22" customWidth="1"/>
    <col min="3073" max="3074" width="7.28515625" style="22" bestFit="1" customWidth="1"/>
    <col min="3075" max="3077" width="7.28515625" style="22" customWidth="1"/>
    <col min="3078" max="3083" width="0" style="22" hidden="1" customWidth="1"/>
    <col min="3084" max="3084" width="9.7109375" style="22" customWidth="1"/>
    <col min="3085" max="3323" width="11.42578125" style="22"/>
    <col min="3324" max="3324" width="18.140625" style="22" customWidth="1"/>
    <col min="3325" max="3325" width="7.85546875" style="22" bestFit="1" customWidth="1"/>
    <col min="3326" max="3326" width="7.28515625" style="22" bestFit="1" customWidth="1"/>
    <col min="3327" max="3328" width="7.28515625" style="22" customWidth="1"/>
    <col min="3329" max="3330" width="7.28515625" style="22" bestFit="1" customWidth="1"/>
    <col min="3331" max="3333" width="7.28515625" style="22" customWidth="1"/>
    <col min="3334" max="3339" width="0" style="22" hidden="1" customWidth="1"/>
    <col min="3340" max="3340" width="9.7109375" style="22" customWidth="1"/>
    <col min="3341" max="3579" width="11.42578125" style="22"/>
    <col min="3580" max="3580" width="18.140625" style="22" customWidth="1"/>
    <col min="3581" max="3581" width="7.85546875" style="22" bestFit="1" customWidth="1"/>
    <col min="3582" max="3582" width="7.28515625" style="22" bestFit="1" customWidth="1"/>
    <col min="3583" max="3584" width="7.28515625" style="22" customWidth="1"/>
    <col min="3585" max="3586" width="7.28515625" style="22" bestFit="1" customWidth="1"/>
    <col min="3587" max="3589" width="7.28515625" style="22" customWidth="1"/>
    <col min="3590" max="3595" width="0" style="22" hidden="1" customWidth="1"/>
    <col min="3596" max="3596" width="9.7109375" style="22" customWidth="1"/>
    <col min="3597" max="3835" width="11.42578125" style="22"/>
    <col min="3836" max="3836" width="18.140625" style="22" customWidth="1"/>
    <col min="3837" max="3837" width="7.85546875" style="22" bestFit="1" customWidth="1"/>
    <col min="3838" max="3838" width="7.28515625" style="22" bestFit="1" customWidth="1"/>
    <col min="3839" max="3840" width="7.28515625" style="22" customWidth="1"/>
    <col min="3841" max="3842" width="7.28515625" style="22" bestFit="1" customWidth="1"/>
    <col min="3843" max="3845" width="7.28515625" style="22" customWidth="1"/>
    <col min="3846" max="3851" width="0" style="22" hidden="1" customWidth="1"/>
    <col min="3852" max="3852" width="9.7109375" style="22" customWidth="1"/>
    <col min="3853" max="4091" width="11.42578125" style="22"/>
    <col min="4092" max="4092" width="18.140625" style="22" customWidth="1"/>
    <col min="4093" max="4093" width="7.85546875" style="22" bestFit="1" customWidth="1"/>
    <col min="4094" max="4094" width="7.28515625" style="22" bestFit="1" customWidth="1"/>
    <col min="4095" max="4096" width="7.28515625" style="22" customWidth="1"/>
    <col min="4097" max="4098" width="7.28515625" style="22" bestFit="1" customWidth="1"/>
    <col min="4099" max="4101" width="7.28515625" style="22" customWidth="1"/>
    <col min="4102" max="4107" width="0" style="22" hidden="1" customWidth="1"/>
    <col min="4108" max="4108" width="9.7109375" style="22" customWidth="1"/>
    <col min="4109" max="4347" width="11.42578125" style="22"/>
    <col min="4348" max="4348" width="18.140625" style="22" customWidth="1"/>
    <col min="4349" max="4349" width="7.85546875" style="22" bestFit="1" customWidth="1"/>
    <col min="4350" max="4350" width="7.28515625" style="22" bestFit="1" customWidth="1"/>
    <col min="4351" max="4352" width="7.28515625" style="22" customWidth="1"/>
    <col min="4353" max="4354" width="7.28515625" style="22" bestFit="1" customWidth="1"/>
    <col min="4355" max="4357" width="7.28515625" style="22" customWidth="1"/>
    <col min="4358" max="4363" width="0" style="22" hidden="1" customWidth="1"/>
    <col min="4364" max="4364" width="9.7109375" style="22" customWidth="1"/>
    <col min="4365" max="4603" width="11.42578125" style="22"/>
    <col min="4604" max="4604" width="18.140625" style="22" customWidth="1"/>
    <col min="4605" max="4605" width="7.85546875" style="22" bestFit="1" customWidth="1"/>
    <col min="4606" max="4606" width="7.28515625" style="22" bestFit="1" customWidth="1"/>
    <col min="4607" max="4608" width="7.28515625" style="22" customWidth="1"/>
    <col min="4609" max="4610" width="7.28515625" style="22" bestFit="1" customWidth="1"/>
    <col min="4611" max="4613" width="7.28515625" style="22" customWidth="1"/>
    <col min="4614" max="4619" width="0" style="22" hidden="1" customWidth="1"/>
    <col min="4620" max="4620" width="9.7109375" style="22" customWidth="1"/>
    <col min="4621" max="4859" width="11.42578125" style="22"/>
    <col min="4860" max="4860" width="18.140625" style="22" customWidth="1"/>
    <col min="4861" max="4861" width="7.85546875" style="22" bestFit="1" customWidth="1"/>
    <col min="4862" max="4862" width="7.28515625" style="22" bestFit="1" customWidth="1"/>
    <col min="4863" max="4864" width="7.28515625" style="22" customWidth="1"/>
    <col min="4865" max="4866" width="7.28515625" style="22" bestFit="1" customWidth="1"/>
    <col min="4867" max="4869" width="7.28515625" style="22" customWidth="1"/>
    <col min="4870" max="4875" width="0" style="22" hidden="1" customWidth="1"/>
    <col min="4876" max="4876" width="9.7109375" style="22" customWidth="1"/>
    <col min="4877" max="5115" width="11.42578125" style="22"/>
    <col min="5116" max="5116" width="18.140625" style="22" customWidth="1"/>
    <col min="5117" max="5117" width="7.85546875" style="22" bestFit="1" customWidth="1"/>
    <col min="5118" max="5118" width="7.28515625" style="22" bestFit="1" customWidth="1"/>
    <col min="5119" max="5120" width="7.28515625" style="22" customWidth="1"/>
    <col min="5121" max="5122" width="7.28515625" style="22" bestFit="1" customWidth="1"/>
    <col min="5123" max="5125" width="7.28515625" style="22" customWidth="1"/>
    <col min="5126" max="5131" width="0" style="22" hidden="1" customWidth="1"/>
    <col min="5132" max="5132" width="9.7109375" style="22" customWidth="1"/>
    <col min="5133" max="5371" width="11.42578125" style="22"/>
    <col min="5372" max="5372" width="18.140625" style="22" customWidth="1"/>
    <col min="5373" max="5373" width="7.85546875" style="22" bestFit="1" customWidth="1"/>
    <col min="5374" max="5374" width="7.28515625" style="22" bestFit="1" customWidth="1"/>
    <col min="5375" max="5376" width="7.28515625" style="22" customWidth="1"/>
    <col min="5377" max="5378" width="7.28515625" style="22" bestFit="1" customWidth="1"/>
    <col min="5379" max="5381" width="7.28515625" style="22" customWidth="1"/>
    <col min="5382" max="5387" width="0" style="22" hidden="1" customWidth="1"/>
    <col min="5388" max="5388" width="9.7109375" style="22" customWidth="1"/>
    <col min="5389" max="5627" width="11.42578125" style="22"/>
    <col min="5628" max="5628" width="18.140625" style="22" customWidth="1"/>
    <col min="5629" max="5629" width="7.85546875" style="22" bestFit="1" customWidth="1"/>
    <col min="5630" max="5630" width="7.28515625" style="22" bestFit="1" customWidth="1"/>
    <col min="5631" max="5632" width="7.28515625" style="22" customWidth="1"/>
    <col min="5633" max="5634" width="7.28515625" style="22" bestFit="1" customWidth="1"/>
    <col min="5635" max="5637" width="7.28515625" style="22" customWidth="1"/>
    <col min="5638" max="5643" width="0" style="22" hidden="1" customWidth="1"/>
    <col min="5644" max="5644" width="9.7109375" style="22" customWidth="1"/>
    <col min="5645" max="5883" width="11.42578125" style="22"/>
    <col min="5884" max="5884" width="18.140625" style="22" customWidth="1"/>
    <col min="5885" max="5885" width="7.85546875" style="22" bestFit="1" customWidth="1"/>
    <col min="5886" max="5886" width="7.28515625" style="22" bestFit="1" customWidth="1"/>
    <col min="5887" max="5888" width="7.28515625" style="22" customWidth="1"/>
    <col min="5889" max="5890" width="7.28515625" style="22" bestFit="1" customWidth="1"/>
    <col min="5891" max="5893" width="7.28515625" style="22" customWidth="1"/>
    <col min="5894" max="5899" width="0" style="22" hidden="1" customWidth="1"/>
    <col min="5900" max="5900" width="9.7109375" style="22" customWidth="1"/>
    <col min="5901" max="6139" width="11.42578125" style="22"/>
    <col min="6140" max="6140" width="18.140625" style="22" customWidth="1"/>
    <col min="6141" max="6141" width="7.85546875" style="22" bestFit="1" customWidth="1"/>
    <col min="6142" max="6142" width="7.28515625" style="22" bestFit="1" customWidth="1"/>
    <col min="6143" max="6144" width="7.28515625" style="22" customWidth="1"/>
    <col min="6145" max="6146" width="7.28515625" style="22" bestFit="1" customWidth="1"/>
    <col min="6147" max="6149" width="7.28515625" style="22" customWidth="1"/>
    <col min="6150" max="6155" width="0" style="22" hidden="1" customWidth="1"/>
    <col min="6156" max="6156" width="9.7109375" style="22" customWidth="1"/>
    <col min="6157" max="6395" width="11.42578125" style="22"/>
    <col min="6396" max="6396" width="18.140625" style="22" customWidth="1"/>
    <col min="6397" max="6397" width="7.85546875" style="22" bestFit="1" customWidth="1"/>
    <col min="6398" max="6398" width="7.28515625" style="22" bestFit="1" customWidth="1"/>
    <col min="6399" max="6400" width="7.28515625" style="22" customWidth="1"/>
    <col min="6401" max="6402" width="7.28515625" style="22" bestFit="1" customWidth="1"/>
    <col min="6403" max="6405" width="7.28515625" style="22" customWidth="1"/>
    <col min="6406" max="6411" width="0" style="22" hidden="1" customWidth="1"/>
    <col min="6412" max="6412" width="9.7109375" style="22" customWidth="1"/>
    <col min="6413" max="6651" width="11.42578125" style="22"/>
    <col min="6652" max="6652" width="18.140625" style="22" customWidth="1"/>
    <col min="6653" max="6653" width="7.85546875" style="22" bestFit="1" customWidth="1"/>
    <col min="6654" max="6654" width="7.28515625" style="22" bestFit="1" customWidth="1"/>
    <col min="6655" max="6656" width="7.28515625" style="22" customWidth="1"/>
    <col min="6657" max="6658" width="7.28515625" style="22" bestFit="1" customWidth="1"/>
    <col min="6659" max="6661" width="7.28515625" style="22" customWidth="1"/>
    <col min="6662" max="6667" width="0" style="22" hidden="1" customWidth="1"/>
    <col min="6668" max="6668" width="9.7109375" style="22" customWidth="1"/>
    <col min="6669" max="6907" width="11.42578125" style="22"/>
    <col min="6908" max="6908" width="18.140625" style="22" customWidth="1"/>
    <col min="6909" max="6909" width="7.85546875" style="22" bestFit="1" customWidth="1"/>
    <col min="6910" max="6910" width="7.28515625" style="22" bestFit="1" customWidth="1"/>
    <col min="6911" max="6912" width="7.28515625" style="22" customWidth="1"/>
    <col min="6913" max="6914" width="7.28515625" style="22" bestFit="1" customWidth="1"/>
    <col min="6915" max="6917" width="7.28515625" style="22" customWidth="1"/>
    <col min="6918" max="6923" width="0" style="22" hidden="1" customWidth="1"/>
    <col min="6924" max="6924" width="9.7109375" style="22" customWidth="1"/>
    <col min="6925" max="7163" width="11.42578125" style="22"/>
    <col min="7164" max="7164" width="18.140625" style="22" customWidth="1"/>
    <col min="7165" max="7165" width="7.85546875" style="22" bestFit="1" customWidth="1"/>
    <col min="7166" max="7166" width="7.28515625" style="22" bestFit="1" customWidth="1"/>
    <col min="7167" max="7168" width="7.28515625" style="22" customWidth="1"/>
    <col min="7169" max="7170" width="7.28515625" style="22" bestFit="1" customWidth="1"/>
    <col min="7171" max="7173" width="7.28515625" style="22" customWidth="1"/>
    <col min="7174" max="7179" width="0" style="22" hidden="1" customWidth="1"/>
    <col min="7180" max="7180" width="9.7109375" style="22" customWidth="1"/>
    <col min="7181" max="7419" width="11.42578125" style="22"/>
    <col min="7420" max="7420" width="18.140625" style="22" customWidth="1"/>
    <col min="7421" max="7421" width="7.85546875" style="22" bestFit="1" customWidth="1"/>
    <col min="7422" max="7422" width="7.28515625" style="22" bestFit="1" customWidth="1"/>
    <col min="7423" max="7424" width="7.28515625" style="22" customWidth="1"/>
    <col min="7425" max="7426" width="7.28515625" style="22" bestFit="1" customWidth="1"/>
    <col min="7427" max="7429" width="7.28515625" style="22" customWidth="1"/>
    <col min="7430" max="7435" width="0" style="22" hidden="1" customWidth="1"/>
    <col min="7436" max="7436" width="9.7109375" style="22" customWidth="1"/>
    <col min="7437" max="7675" width="11.42578125" style="22"/>
    <col min="7676" max="7676" width="18.140625" style="22" customWidth="1"/>
    <col min="7677" max="7677" width="7.85546875" style="22" bestFit="1" customWidth="1"/>
    <col min="7678" max="7678" width="7.28515625" style="22" bestFit="1" customWidth="1"/>
    <col min="7679" max="7680" width="7.28515625" style="22" customWidth="1"/>
    <col min="7681" max="7682" width="7.28515625" style="22" bestFit="1" customWidth="1"/>
    <col min="7683" max="7685" width="7.28515625" style="22" customWidth="1"/>
    <col min="7686" max="7691" width="0" style="22" hidden="1" customWidth="1"/>
    <col min="7692" max="7692" width="9.7109375" style="22" customWidth="1"/>
    <col min="7693" max="7931" width="11.42578125" style="22"/>
    <col min="7932" max="7932" width="18.140625" style="22" customWidth="1"/>
    <col min="7933" max="7933" width="7.85546875" style="22" bestFit="1" customWidth="1"/>
    <col min="7934" max="7934" width="7.28515625" style="22" bestFit="1" customWidth="1"/>
    <col min="7935" max="7936" width="7.28515625" style="22" customWidth="1"/>
    <col min="7937" max="7938" width="7.28515625" style="22" bestFit="1" customWidth="1"/>
    <col min="7939" max="7941" width="7.28515625" style="22" customWidth="1"/>
    <col min="7942" max="7947" width="0" style="22" hidden="1" customWidth="1"/>
    <col min="7948" max="7948" width="9.7109375" style="22" customWidth="1"/>
    <col min="7949" max="8187" width="11.42578125" style="22"/>
    <col min="8188" max="8188" width="18.140625" style="22" customWidth="1"/>
    <col min="8189" max="8189" width="7.85546875" style="22" bestFit="1" customWidth="1"/>
    <col min="8190" max="8190" width="7.28515625" style="22" bestFit="1" customWidth="1"/>
    <col min="8191" max="8192" width="7.28515625" style="22" customWidth="1"/>
    <col min="8193" max="8194" width="7.28515625" style="22" bestFit="1" customWidth="1"/>
    <col min="8195" max="8197" width="7.28515625" style="22" customWidth="1"/>
    <col min="8198" max="8203" width="0" style="22" hidden="1" customWidth="1"/>
    <col min="8204" max="8204" width="9.7109375" style="22" customWidth="1"/>
    <col min="8205" max="8443" width="11.42578125" style="22"/>
    <col min="8444" max="8444" width="18.140625" style="22" customWidth="1"/>
    <col min="8445" max="8445" width="7.85546875" style="22" bestFit="1" customWidth="1"/>
    <col min="8446" max="8446" width="7.28515625" style="22" bestFit="1" customWidth="1"/>
    <col min="8447" max="8448" width="7.28515625" style="22" customWidth="1"/>
    <col min="8449" max="8450" width="7.28515625" style="22" bestFit="1" customWidth="1"/>
    <col min="8451" max="8453" width="7.28515625" style="22" customWidth="1"/>
    <col min="8454" max="8459" width="0" style="22" hidden="1" customWidth="1"/>
    <col min="8460" max="8460" width="9.7109375" style="22" customWidth="1"/>
    <col min="8461" max="8699" width="11.42578125" style="22"/>
    <col min="8700" max="8700" width="18.140625" style="22" customWidth="1"/>
    <col min="8701" max="8701" width="7.85546875" style="22" bestFit="1" customWidth="1"/>
    <col min="8702" max="8702" width="7.28515625" style="22" bestFit="1" customWidth="1"/>
    <col min="8703" max="8704" width="7.28515625" style="22" customWidth="1"/>
    <col min="8705" max="8706" width="7.28515625" style="22" bestFit="1" customWidth="1"/>
    <col min="8707" max="8709" width="7.28515625" style="22" customWidth="1"/>
    <col min="8710" max="8715" width="0" style="22" hidden="1" customWidth="1"/>
    <col min="8716" max="8716" width="9.7109375" style="22" customWidth="1"/>
    <col min="8717" max="8955" width="11.42578125" style="22"/>
    <col min="8956" max="8956" width="18.140625" style="22" customWidth="1"/>
    <col min="8957" max="8957" width="7.85546875" style="22" bestFit="1" customWidth="1"/>
    <col min="8958" max="8958" width="7.28515625" style="22" bestFit="1" customWidth="1"/>
    <col min="8959" max="8960" width="7.28515625" style="22" customWidth="1"/>
    <col min="8961" max="8962" width="7.28515625" style="22" bestFit="1" customWidth="1"/>
    <col min="8963" max="8965" width="7.28515625" style="22" customWidth="1"/>
    <col min="8966" max="8971" width="0" style="22" hidden="1" customWidth="1"/>
    <col min="8972" max="8972" width="9.7109375" style="22" customWidth="1"/>
    <col min="8973" max="9211" width="11.42578125" style="22"/>
    <col min="9212" max="9212" width="18.140625" style="22" customWidth="1"/>
    <col min="9213" max="9213" width="7.85546875" style="22" bestFit="1" customWidth="1"/>
    <col min="9214" max="9214" width="7.28515625" style="22" bestFit="1" customWidth="1"/>
    <col min="9215" max="9216" width="7.28515625" style="22" customWidth="1"/>
    <col min="9217" max="9218" width="7.28515625" style="22" bestFit="1" customWidth="1"/>
    <col min="9219" max="9221" width="7.28515625" style="22" customWidth="1"/>
    <col min="9222" max="9227" width="0" style="22" hidden="1" customWidth="1"/>
    <col min="9228" max="9228" width="9.7109375" style="22" customWidth="1"/>
    <col min="9229" max="9467" width="11.42578125" style="22"/>
    <col min="9468" max="9468" width="18.140625" style="22" customWidth="1"/>
    <col min="9469" max="9469" width="7.85546875" style="22" bestFit="1" customWidth="1"/>
    <col min="9470" max="9470" width="7.28515625" style="22" bestFit="1" customWidth="1"/>
    <col min="9471" max="9472" width="7.28515625" style="22" customWidth="1"/>
    <col min="9473" max="9474" width="7.28515625" style="22" bestFit="1" customWidth="1"/>
    <col min="9475" max="9477" width="7.28515625" style="22" customWidth="1"/>
    <col min="9478" max="9483" width="0" style="22" hidden="1" customWidth="1"/>
    <col min="9484" max="9484" width="9.7109375" style="22" customWidth="1"/>
    <col min="9485" max="9723" width="11.42578125" style="22"/>
    <col min="9724" max="9724" width="18.140625" style="22" customWidth="1"/>
    <col min="9725" max="9725" width="7.85546875" style="22" bestFit="1" customWidth="1"/>
    <col min="9726" max="9726" width="7.28515625" style="22" bestFit="1" customWidth="1"/>
    <col min="9727" max="9728" width="7.28515625" style="22" customWidth="1"/>
    <col min="9729" max="9730" width="7.28515625" style="22" bestFit="1" customWidth="1"/>
    <col min="9731" max="9733" width="7.28515625" style="22" customWidth="1"/>
    <col min="9734" max="9739" width="0" style="22" hidden="1" customWidth="1"/>
    <col min="9740" max="9740" width="9.7109375" style="22" customWidth="1"/>
    <col min="9741" max="9979" width="11.42578125" style="22"/>
    <col min="9980" max="9980" width="18.140625" style="22" customWidth="1"/>
    <col min="9981" max="9981" width="7.85546875" style="22" bestFit="1" customWidth="1"/>
    <col min="9982" max="9982" width="7.28515625" style="22" bestFit="1" customWidth="1"/>
    <col min="9983" max="9984" width="7.28515625" style="22" customWidth="1"/>
    <col min="9985" max="9986" width="7.28515625" style="22" bestFit="1" customWidth="1"/>
    <col min="9987" max="9989" width="7.28515625" style="22" customWidth="1"/>
    <col min="9990" max="9995" width="0" style="22" hidden="1" customWidth="1"/>
    <col min="9996" max="9996" width="9.7109375" style="22" customWidth="1"/>
    <col min="9997" max="10235" width="11.42578125" style="22"/>
    <col min="10236" max="10236" width="18.140625" style="22" customWidth="1"/>
    <col min="10237" max="10237" width="7.85546875" style="22" bestFit="1" customWidth="1"/>
    <col min="10238" max="10238" width="7.28515625" style="22" bestFit="1" customWidth="1"/>
    <col min="10239" max="10240" width="7.28515625" style="22" customWidth="1"/>
    <col min="10241" max="10242" width="7.28515625" style="22" bestFit="1" customWidth="1"/>
    <col min="10243" max="10245" width="7.28515625" style="22" customWidth="1"/>
    <col min="10246" max="10251" width="0" style="22" hidden="1" customWidth="1"/>
    <col min="10252" max="10252" width="9.7109375" style="22" customWidth="1"/>
    <col min="10253" max="10491" width="11.42578125" style="22"/>
    <col min="10492" max="10492" width="18.140625" style="22" customWidth="1"/>
    <col min="10493" max="10493" width="7.85546875" style="22" bestFit="1" customWidth="1"/>
    <col min="10494" max="10494" width="7.28515625" style="22" bestFit="1" customWidth="1"/>
    <col min="10495" max="10496" width="7.28515625" style="22" customWidth="1"/>
    <col min="10497" max="10498" width="7.28515625" style="22" bestFit="1" customWidth="1"/>
    <col min="10499" max="10501" width="7.28515625" style="22" customWidth="1"/>
    <col min="10502" max="10507" width="0" style="22" hidden="1" customWidth="1"/>
    <col min="10508" max="10508" width="9.7109375" style="22" customWidth="1"/>
    <col min="10509" max="10747" width="11.42578125" style="22"/>
    <col min="10748" max="10748" width="18.140625" style="22" customWidth="1"/>
    <col min="10749" max="10749" width="7.85546875" style="22" bestFit="1" customWidth="1"/>
    <col min="10750" max="10750" width="7.28515625" style="22" bestFit="1" customWidth="1"/>
    <col min="10751" max="10752" width="7.28515625" style="22" customWidth="1"/>
    <col min="10753" max="10754" width="7.28515625" style="22" bestFit="1" customWidth="1"/>
    <col min="10755" max="10757" width="7.28515625" style="22" customWidth="1"/>
    <col min="10758" max="10763" width="0" style="22" hidden="1" customWidth="1"/>
    <col min="10764" max="10764" width="9.7109375" style="22" customWidth="1"/>
    <col min="10765" max="11003" width="11.42578125" style="22"/>
    <col min="11004" max="11004" width="18.140625" style="22" customWidth="1"/>
    <col min="11005" max="11005" width="7.85546875" style="22" bestFit="1" customWidth="1"/>
    <col min="11006" max="11006" width="7.28515625" style="22" bestFit="1" customWidth="1"/>
    <col min="11007" max="11008" width="7.28515625" style="22" customWidth="1"/>
    <col min="11009" max="11010" width="7.28515625" style="22" bestFit="1" customWidth="1"/>
    <col min="11011" max="11013" width="7.28515625" style="22" customWidth="1"/>
    <col min="11014" max="11019" width="0" style="22" hidden="1" customWidth="1"/>
    <col min="11020" max="11020" width="9.7109375" style="22" customWidth="1"/>
    <col min="11021" max="11259" width="11.42578125" style="22"/>
    <col min="11260" max="11260" width="18.140625" style="22" customWidth="1"/>
    <col min="11261" max="11261" width="7.85546875" style="22" bestFit="1" customWidth="1"/>
    <col min="11262" max="11262" width="7.28515625" style="22" bestFit="1" customWidth="1"/>
    <col min="11263" max="11264" width="7.28515625" style="22" customWidth="1"/>
    <col min="11265" max="11266" width="7.28515625" style="22" bestFit="1" customWidth="1"/>
    <col min="11267" max="11269" width="7.28515625" style="22" customWidth="1"/>
    <col min="11270" max="11275" width="0" style="22" hidden="1" customWidth="1"/>
    <col min="11276" max="11276" width="9.7109375" style="22" customWidth="1"/>
    <col min="11277" max="11515" width="11.42578125" style="22"/>
    <col min="11516" max="11516" width="18.140625" style="22" customWidth="1"/>
    <col min="11517" max="11517" width="7.85546875" style="22" bestFit="1" customWidth="1"/>
    <col min="11518" max="11518" width="7.28515625" style="22" bestFit="1" customWidth="1"/>
    <col min="11519" max="11520" width="7.28515625" style="22" customWidth="1"/>
    <col min="11521" max="11522" width="7.28515625" style="22" bestFit="1" customWidth="1"/>
    <col min="11523" max="11525" width="7.28515625" style="22" customWidth="1"/>
    <col min="11526" max="11531" width="0" style="22" hidden="1" customWidth="1"/>
    <col min="11532" max="11532" width="9.7109375" style="22" customWidth="1"/>
    <col min="11533" max="11771" width="11.42578125" style="22"/>
    <col min="11772" max="11772" width="18.140625" style="22" customWidth="1"/>
    <col min="11773" max="11773" width="7.85546875" style="22" bestFit="1" customWidth="1"/>
    <col min="11774" max="11774" width="7.28515625" style="22" bestFit="1" customWidth="1"/>
    <col min="11775" max="11776" width="7.28515625" style="22" customWidth="1"/>
    <col min="11777" max="11778" width="7.28515625" style="22" bestFit="1" customWidth="1"/>
    <col min="11779" max="11781" width="7.28515625" style="22" customWidth="1"/>
    <col min="11782" max="11787" width="0" style="22" hidden="1" customWidth="1"/>
    <col min="11788" max="11788" width="9.7109375" style="22" customWidth="1"/>
    <col min="11789" max="12027" width="11.42578125" style="22"/>
    <col min="12028" max="12028" width="18.140625" style="22" customWidth="1"/>
    <col min="12029" max="12029" width="7.85546875" style="22" bestFit="1" customWidth="1"/>
    <col min="12030" max="12030" width="7.28515625" style="22" bestFit="1" customWidth="1"/>
    <col min="12031" max="12032" width="7.28515625" style="22" customWidth="1"/>
    <col min="12033" max="12034" width="7.28515625" style="22" bestFit="1" customWidth="1"/>
    <col min="12035" max="12037" width="7.28515625" style="22" customWidth="1"/>
    <col min="12038" max="12043" width="0" style="22" hidden="1" customWidth="1"/>
    <col min="12044" max="12044" width="9.7109375" style="22" customWidth="1"/>
    <col min="12045" max="12283" width="11.42578125" style="22"/>
    <col min="12284" max="12284" width="18.140625" style="22" customWidth="1"/>
    <col min="12285" max="12285" width="7.85546875" style="22" bestFit="1" customWidth="1"/>
    <col min="12286" max="12286" width="7.28515625" style="22" bestFit="1" customWidth="1"/>
    <col min="12287" max="12288" width="7.28515625" style="22" customWidth="1"/>
    <col min="12289" max="12290" width="7.28515625" style="22" bestFit="1" customWidth="1"/>
    <col min="12291" max="12293" width="7.28515625" style="22" customWidth="1"/>
    <col min="12294" max="12299" width="0" style="22" hidden="1" customWidth="1"/>
    <col min="12300" max="12300" width="9.7109375" style="22" customWidth="1"/>
    <col min="12301" max="12539" width="11.42578125" style="22"/>
    <col min="12540" max="12540" width="18.140625" style="22" customWidth="1"/>
    <col min="12541" max="12541" width="7.85546875" style="22" bestFit="1" customWidth="1"/>
    <col min="12542" max="12542" width="7.28515625" style="22" bestFit="1" customWidth="1"/>
    <col min="12543" max="12544" width="7.28515625" style="22" customWidth="1"/>
    <col min="12545" max="12546" width="7.28515625" style="22" bestFit="1" customWidth="1"/>
    <col min="12547" max="12549" width="7.28515625" style="22" customWidth="1"/>
    <col min="12550" max="12555" width="0" style="22" hidden="1" customWidth="1"/>
    <col min="12556" max="12556" width="9.7109375" style="22" customWidth="1"/>
    <col min="12557" max="12795" width="11.42578125" style="22"/>
    <col min="12796" max="12796" width="18.140625" style="22" customWidth="1"/>
    <col min="12797" max="12797" width="7.85546875" style="22" bestFit="1" customWidth="1"/>
    <col min="12798" max="12798" width="7.28515625" style="22" bestFit="1" customWidth="1"/>
    <col min="12799" max="12800" width="7.28515625" style="22" customWidth="1"/>
    <col min="12801" max="12802" width="7.28515625" style="22" bestFit="1" customWidth="1"/>
    <col min="12803" max="12805" width="7.28515625" style="22" customWidth="1"/>
    <col min="12806" max="12811" width="0" style="22" hidden="1" customWidth="1"/>
    <col min="12812" max="12812" width="9.7109375" style="22" customWidth="1"/>
    <col min="12813" max="13051" width="11.42578125" style="22"/>
    <col min="13052" max="13052" width="18.140625" style="22" customWidth="1"/>
    <col min="13053" max="13053" width="7.85546875" style="22" bestFit="1" customWidth="1"/>
    <col min="13054" max="13054" width="7.28515625" style="22" bestFit="1" customWidth="1"/>
    <col min="13055" max="13056" width="7.28515625" style="22" customWidth="1"/>
    <col min="13057" max="13058" width="7.28515625" style="22" bestFit="1" customWidth="1"/>
    <col min="13059" max="13061" width="7.28515625" style="22" customWidth="1"/>
    <col min="13062" max="13067" width="0" style="22" hidden="1" customWidth="1"/>
    <col min="13068" max="13068" width="9.7109375" style="22" customWidth="1"/>
    <col min="13069" max="13307" width="11.42578125" style="22"/>
    <col min="13308" max="13308" width="18.140625" style="22" customWidth="1"/>
    <col min="13309" max="13309" width="7.85546875" style="22" bestFit="1" customWidth="1"/>
    <col min="13310" max="13310" width="7.28515625" style="22" bestFit="1" customWidth="1"/>
    <col min="13311" max="13312" width="7.28515625" style="22" customWidth="1"/>
    <col min="13313" max="13314" width="7.28515625" style="22" bestFit="1" customWidth="1"/>
    <col min="13315" max="13317" width="7.28515625" style="22" customWidth="1"/>
    <col min="13318" max="13323" width="0" style="22" hidden="1" customWidth="1"/>
    <col min="13324" max="13324" width="9.7109375" style="22" customWidth="1"/>
    <col min="13325" max="13563" width="11.42578125" style="22"/>
    <col min="13564" max="13564" width="18.140625" style="22" customWidth="1"/>
    <col min="13565" max="13565" width="7.85546875" style="22" bestFit="1" customWidth="1"/>
    <col min="13566" max="13566" width="7.28515625" style="22" bestFit="1" customWidth="1"/>
    <col min="13567" max="13568" width="7.28515625" style="22" customWidth="1"/>
    <col min="13569" max="13570" width="7.28515625" style="22" bestFit="1" customWidth="1"/>
    <col min="13571" max="13573" width="7.28515625" style="22" customWidth="1"/>
    <col min="13574" max="13579" width="0" style="22" hidden="1" customWidth="1"/>
    <col min="13580" max="13580" width="9.7109375" style="22" customWidth="1"/>
    <col min="13581" max="13819" width="11.42578125" style="22"/>
    <col min="13820" max="13820" width="18.140625" style="22" customWidth="1"/>
    <col min="13821" max="13821" width="7.85546875" style="22" bestFit="1" customWidth="1"/>
    <col min="13822" max="13822" width="7.28515625" style="22" bestFit="1" customWidth="1"/>
    <col min="13823" max="13824" width="7.28515625" style="22" customWidth="1"/>
    <col min="13825" max="13826" width="7.28515625" style="22" bestFit="1" customWidth="1"/>
    <col min="13827" max="13829" width="7.28515625" style="22" customWidth="1"/>
    <col min="13830" max="13835" width="0" style="22" hidden="1" customWidth="1"/>
    <col min="13836" max="13836" width="9.7109375" style="22" customWidth="1"/>
    <col min="13837" max="14075" width="11.42578125" style="22"/>
    <col min="14076" max="14076" width="18.140625" style="22" customWidth="1"/>
    <col min="14077" max="14077" width="7.85546875" style="22" bestFit="1" customWidth="1"/>
    <col min="14078" max="14078" width="7.28515625" style="22" bestFit="1" customWidth="1"/>
    <col min="14079" max="14080" width="7.28515625" style="22" customWidth="1"/>
    <col min="14081" max="14082" width="7.28515625" style="22" bestFit="1" customWidth="1"/>
    <col min="14083" max="14085" width="7.28515625" style="22" customWidth="1"/>
    <col min="14086" max="14091" width="0" style="22" hidden="1" customWidth="1"/>
    <col min="14092" max="14092" width="9.7109375" style="22" customWidth="1"/>
    <col min="14093" max="14331" width="11.42578125" style="22"/>
    <col min="14332" max="14332" width="18.140625" style="22" customWidth="1"/>
    <col min="14333" max="14333" width="7.85546875" style="22" bestFit="1" customWidth="1"/>
    <col min="14334" max="14334" width="7.28515625" style="22" bestFit="1" customWidth="1"/>
    <col min="14335" max="14336" width="7.28515625" style="22" customWidth="1"/>
    <col min="14337" max="14338" width="7.28515625" style="22" bestFit="1" customWidth="1"/>
    <col min="14339" max="14341" width="7.28515625" style="22" customWidth="1"/>
    <col min="14342" max="14347" width="0" style="22" hidden="1" customWidth="1"/>
    <col min="14348" max="14348" width="9.7109375" style="22" customWidth="1"/>
    <col min="14349" max="14587" width="11.42578125" style="22"/>
    <col min="14588" max="14588" width="18.140625" style="22" customWidth="1"/>
    <col min="14589" max="14589" width="7.85546875" style="22" bestFit="1" customWidth="1"/>
    <col min="14590" max="14590" width="7.28515625" style="22" bestFit="1" customWidth="1"/>
    <col min="14591" max="14592" width="7.28515625" style="22" customWidth="1"/>
    <col min="14593" max="14594" width="7.28515625" style="22" bestFit="1" customWidth="1"/>
    <col min="14595" max="14597" width="7.28515625" style="22" customWidth="1"/>
    <col min="14598" max="14603" width="0" style="22" hidden="1" customWidth="1"/>
    <col min="14604" max="14604" width="9.7109375" style="22" customWidth="1"/>
    <col min="14605" max="14843" width="11.42578125" style="22"/>
    <col min="14844" max="14844" width="18.140625" style="22" customWidth="1"/>
    <col min="14845" max="14845" width="7.85546875" style="22" bestFit="1" customWidth="1"/>
    <col min="14846" max="14846" width="7.28515625" style="22" bestFit="1" customWidth="1"/>
    <col min="14847" max="14848" width="7.28515625" style="22" customWidth="1"/>
    <col min="14849" max="14850" width="7.28515625" style="22" bestFit="1" customWidth="1"/>
    <col min="14851" max="14853" width="7.28515625" style="22" customWidth="1"/>
    <col min="14854" max="14859" width="0" style="22" hidden="1" customWidth="1"/>
    <col min="14860" max="14860" width="9.7109375" style="22" customWidth="1"/>
    <col min="14861" max="15099" width="11.42578125" style="22"/>
    <col min="15100" max="15100" width="18.140625" style="22" customWidth="1"/>
    <col min="15101" max="15101" width="7.85546875" style="22" bestFit="1" customWidth="1"/>
    <col min="15102" max="15102" width="7.28515625" style="22" bestFit="1" customWidth="1"/>
    <col min="15103" max="15104" width="7.28515625" style="22" customWidth="1"/>
    <col min="15105" max="15106" width="7.28515625" style="22" bestFit="1" customWidth="1"/>
    <col min="15107" max="15109" width="7.28515625" style="22" customWidth="1"/>
    <col min="15110" max="15115" width="0" style="22" hidden="1" customWidth="1"/>
    <col min="15116" max="15116" width="9.7109375" style="22" customWidth="1"/>
    <col min="15117" max="15355" width="11.42578125" style="22"/>
    <col min="15356" max="15356" width="18.140625" style="22" customWidth="1"/>
    <col min="15357" max="15357" width="7.85546875" style="22" bestFit="1" customWidth="1"/>
    <col min="15358" max="15358" width="7.28515625" style="22" bestFit="1" customWidth="1"/>
    <col min="15359" max="15360" width="7.28515625" style="22" customWidth="1"/>
    <col min="15361" max="15362" width="7.28515625" style="22" bestFit="1" customWidth="1"/>
    <col min="15363" max="15365" width="7.28515625" style="22" customWidth="1"/>
    <col min="15366" max="15371" width="0" style="22" hidden="1" customWidth="1"/>
    <col min="15372" max="15372" width="9.7109375" style="22" customWidth="1"/>
    <col min="15373" max="15611" width="11.42578125" style="22"/>
    <col min="15612" max="15612" width="18.140625" style="22" customWidth="1"/>
    <col min="15613" max="15613" width="7.85546875" style="22" bestFit="1" customWidth="1"/>
    <col min="15614" max="15614" width="7.28515625" style="22" bestFit="1" customWidth="1"/>
    <col min="15615" max="15616" width="7.28515625" style="22" customWidth="1"/>
    <col min="15617" max="15618" width="7.28515625" style="22" bestFit="1" customWidth="1"/>
    <col min="15619" max="15621" width="7.28515625" style="22" customWidth="1"/>
    <col min="15622" max="15627" width="0" style="22" hidden="1" customWidth="1"/>
    <col min="15628" max="15628" width="9.7109375" style="22" customWidth="1"/>
    <col min="15629" max="15867" width="11.42578125" style="22"/>
    <col min="15868" max="15868" width="18.140625" style="22" customWidth="1"/>
    <col min="15869" max="15869" width="7.85546875" style="22" bestFit="1" customWidth="1"/>
    <col min="15870" max="15870" width="7.28515625" style="22" bestFit="1" customWidth="1"/>
    <col min="15871" max="15872" width="7.28515625" style="22" customWidth="1"/>
    <col min="15873" max="15874" width="7.28515625" style="22" bestFit="1" customWidth="1"/>
    <col min="15875" max="15877" width="7.28515625" style="22" customWidth="1"/>
    <col min="15878" max="15883" width="0" style="22" hidden="1" customWidth="1"/>
    <col min="15884" max="15884" width="9.7109375" style="22" customWidth="1"/>
    <col min="15885" max="16123" width="11.42578125" style="22"/>
    <col min="16124" max="16124" width="18.140625" style="22" customWidth="1"/>
    <col min="16125" max="16125" width="7.85546875" style="22" bestFit="1" customWidth="1"/>
    <col min="16126" max="16126" width="7.28515625" style="22" bestFit="1" customWidth="1"/>
    <col min="16127" max="16128" width="7.28515625" style="22" customWidth="1"/>
    <col min="16129" max="16130" width="7.28515625" style="22" bestFit="1" customWidth="1"/>
    <col min="16131" max="16133" width="7.28515625" style="22" customWidth="1"/>
    <col min="16134" max="16139" width="0" style="22" hidden="1" customWidth="1"/>
    <col min="16140" max="16140" width="9.7109375" style="22" customWidth="1"/>
    <col min="16141" max="16384" width="11.42578125" style="22"/>
  </cols>
  <sheetData>
    <row r="1" spans="1:16" s="23" customFormat="1" x14ac:dyDescent="0.2"/>
    <row r="2" spans="1:16" s="23" customFormat="1" x14ac:dyDescent="0.2">
      <c r="A2" s="40" t="s">
        <v>58</v>
      </c>
    </row>
    <row r="3" spans="1:16" s="23" customFormat="1" ht="15" x14ac:dyDescent="0.25">
      <c r="A3" s="40" t="s">
        <v>59</v>
      </c>
      <c r="J3" s="88"/>
    </row>
    <row r="4" spans="1:16" s="23" customFormat="1" x14ac:dyDescent="0.2"/>
    <row r="5" spans="1:16" s="23" customFormat="1" ht="12.75" x14ac:dyDescent="0.2">
      <c r="B5" s="344" t="s">
        <v>581</v>
      </c>
      <c r="C5" s="344"/>
      <c r="D5" s="344"/>
      <c r="E5" s="344"/>
      <c r="F5" s="344"/>
      <c r="G5" s="344"/>
      <c r="H5" s="344"/>
      <c r="I5" s="344"/>
      <c r="J5" s="344"/>
      <c r="K5" s="344"/>
      <c r="M5" s="110" t="s">
        <v>509</v>
      </c>
      <c r="O5" s="89"/>
    </row>
    <row r="6" spans="1:16" s="23" customFormat="1" ht="12.75" x14ac:dyDescent="0.2">
      <c r="B6" s="374" t="str">
        <f>'Solicitudes Regiones'!$B$6:$R$6</f>
        <v>Julio de 2008 a junio de 2022</v>
      </c>
      <c r="C6" s="374"/>
      <c r="D6" s="374"/>
      <c r="E6" s="374"/>
      <c r="F6" s="374"/>
      <c r="G6" s="374"/>
      <c r="H6" s="374"/>
      <c r="I6" s="374"/>
      <c r="J6" s="374"/>
      <c r="K6" s="374"/>
      <c r="L6" s="48"/>
    </row>
    <row r="7" spans="1:16" s="26" customFormat="1" x14ac:dyDescent="0.2">
      <c r="B7" s="24"/>
      <c r="C7" s="25"/>
      <c r="D7" s="25"/>
      <c r="E7" s="25"/>
      <c r="F7" s="25"/>
      <c r="G7" s="25"/>
      <c r="H7" s="25"/>
      <c r="I7" s="25"/>
      <c r="J7" s="25"/>
      <c r="K7" s="25"/>
      <c r="L7" s="25"/>
    </row>
    <row r="8" spans="1:16" ht="15" customHeight="1" x14ac:dyDescent="0.2">
      <c r="B8" s="373" t="s">
        <v>595</v>
      </c>
      <c r="C8" s="373"/>
      <c r="D8" s="373"/>
      <c r="E8" s="373"/>
      <c r="F8" s="373"/>
      <c r="G8" s="373"/>
      <c r="H8" s="373"/>
      <c r="I8" s="373"/>
      <c r="J8" s="373"/>
      <c r="K8" s="373"/>
      <c r="L8" s="373"/>
      <c r="M8" s="373"/>
    </row>
    <row r="9" spans="1:16" ht="20.25" customHeight="1" x14ac:dyDescent="0.2">
      <c r="B9" s="373" t="s">
        <v>41</v>
      </c>
      <c r="C9" s="370" t="s">
        <v>544</v>
      </c>
      <c r="D9" s="371"/>
      <c r="E9" s="371"/>
      <c r="F9" s="371"/>
      <c r="G9" s="371"/>
      <c r="H9" s="371"/>
      <c r="I9" s="371"/>
      <c r="J9" s="371"/>
      <c r="K9" s="371"/>
      <c r="L9" s="372"/>
      <c r="M9" s="307"/>
    </row>
    <row r="10" spans="1:16" ht="36" x14ac:dyDescent="0.2">
      <c r="B10" s="373"/>
      <c r="C10" s="20" t="s">
        <v>540</v>
      </c>
      <c r="D10" s="20" t="s">
        <v>42</v>
      </c>
      <c r="E10" s="20" t="s">
        <v>553</v>
      </c>
      <c r="F10" s="20" t="s">
        <v>554</v>
      </c>
      <c r="G10" s="20" t="s">
        <v>542</v>
      </c>
      <c r="H10" s="20" t="s">
        <v>2</v>
      </c>
      <c r="I10" s="20" t="s">
        <v>43</v>
      </c>
      <c r="J10" s="20" t="s">
        <v>549</v>
      </c>
      <c r="K10" s="296" t="s">
        <v>550</v>
      </c>
      <c r="L10" s="296" t="s">
        <v>523</v>
      </c>
      <c r="M10" s="296" t="s">
        <v>641</v>
      </c>
    </row>
    <row r="11" spans="1:16" x14ac:dyDescent="0.2">
      <c r="B11" s="16" t="s">
        <v>182</v>
      </c>
      <c r="C11" s="16">
        <v>719</v>
      </c>
      <c r="D11" s="16">
        <v>604</v>
      </c>
      <c r="E11" s="16">
        <f>C11+D11</f>
        <v>1323</v>
      </c>
      <c r="F11" s="17">
        <f>E11/$E$41</f>
        <v>2.0527540729247479E-2</v>
      </c>
      <c r="G11" s="16">
        <v>1418</v>
      </c>
      <c r="H11" s="16">
        <v>175</v>
      </c>
      <c r="I11" s="16">
        <v>121</v>
      </c>
      <c r="J11" s="16">
        <v>1714</v>
      </c>
      <c r="K11" s="17">
        <f>J11/$J$41</f>
        <v>1.1638329078168287E-2</v>
      </c>
      <c r="L11" s="16">
        <v>0</v>
      </c>
      <c r="M11" s="16">
        <f>L11+J11+E11</f>
        <v>3037</v>
      </c>
      <c r="P11" s="27"/>
    </row>
    <row r="12" spans="1:16" x14ac:dyDescent="0.2">
      <c r="B12" s="16" t="s">
        <v>183</v>
      </c>
      <c r="C12" s="16">
        <v>442</v>
      </c>
      <c r="D12" s="16">
        <v>194</v>
      </c>
      <c r="E12" s="16">
        <f t="shared" ref="E12:E40" si="0">C12+D12</f>
        <v>636</v>
      </c>
      <c r="F12" s="17">
        <f t="shared" ref="F12:F40" si="1">E12/$E$41</f>
        <v>9.8681148176881298E-3</v>
      </c>
      <c r="G12" s="16">
        <v>1021</v>
      </c>
      <c r="H12" s="16">
        <v>145</v>
      </c>
      <c r="I12" s="16">
        <v>71</v>
      </c>
      <c r="J12" s="16">
        <v>1237</v>
      </c>
      <c r="K12" s="17">
        <f t="shared" ref="K12:K41" si="2">J12/$J$41</f>
        <v>8.3994241946873816E-3</v>
      </c>
      <c r="L12" s="16">
        <v>0</v>
      </c>
      <c r="M12" s="16">
        <f t="shared" ref="M12:M41" si="3">L12+J12+E12</f>
        <v>1873</v>
      </c>
      <c r="P12" s="27"/>
    </row>
    <row r="13" spans="1:16" x14ac:dyDescent="0.2">
      <c r="B13" s="16" t="s">
        <v>184</v>
      </c>
      <c r="C13" s="16">
        <v>415</v>
      </c>
      <c r="D13" s="16">
        <v>283</v>
      </c>
      <c r="E13" s="16">
        <f t="shared" si="0"/>
        <v>698</v>
      </c>
      <c r="F13" s="17">
        <f t="shared" si="1"/>
        <v>1.083010085337471E-2</v>
      </c>
      <c r="G13" s="16">
        <v>1004</v>
      </c>
      <c r="H13" s="16">
        <v>126</v>
      </c>
      <c r="I13" s="16">
        <v>68</v>
      </c>
      <c r="J13" s="16">
        <v>1198</v>
      </c>
      <c r="K13" s="17">
        <f t="shared" si="2"/>
        <v>8.1346080721386282E-3</v>
      </c>
      <c r="L13" s="16">
        <v>0</v>
      </c>
      <c r="M13" s="16">
        <f t="shared" si="3"/>
        <v>1896</v>
      </c>
      <c r="P13" s="27"/>
    </row>
    <row r="14" spans="1:16" x14ac:dyDescent="0.2">
      <c r="B14" s="16" t="s">
        <v>185</v>
      </c>
      <c r="C14" s="16">
        <v>449</v>
      </c>
      <c r="D14" s="16">
        <v>293</v>
      </c>
      <c r="E14" s="16">
        <f t="shared" si="0"/>
        <v>742</v>
      </c>
      <c r="F14" s="17">
        <f t="shared" si="1"/>
        <v>1.1512800620636152E-2</v>
      </c>
      <c r="G14" s="16">
        <v>742</v>
      </c>
      <c r="H14" s="16">
        <v>97</v>
      </c>
      <c r="I14" s="16">
        <v>58</v>
      </c>
      <c r="J14" s="16">
        <v>897</v>
      </c>
      <c r="K14" s="17">
        <f t="shared" si="2"/>
        <v>6.0907708186213267E-3</v>
      </c>
      <c r="L14" s="16">
        <v>0</v>
      </c>
      <c r="M14" s="16">
        <f t="shared" si="3"/>
        <v>1639</v>
      </c>
      <c r="P14" s="27"/>
    </row>
    <row r="15" spans="1:16" x14ac:dyDescent="0.2">
      <c r="B15" s="16" t="s">
        <v>186</v>
      </c>
      <c r="C15" s="16">
        <v>339</v>
      </c>
      <c r="D15" s="16">
        <v>196</v>
      </c>
      <c r="E15" s="16">
        <f t="shared" si="0"/>
        <v>535</v>
      </c>
      <c r="F15" s="17">
        <f t="shared" si="1"/>
        <v>8.3010085337470903E-3</v>
      </c>
      <c r="G15" s="16">
        <v>808</v>
      </c>
      <c r="H15" s="16">
        <v>78</v>
      </c>
      <c r="I15" s="16">
        <v>62</v>
      </c>
      <c r="J15" s="16">
        <v>948</v>
      </c>
      <c r="K15" s="17">
        <f t="shared" si="2"/>
        <v>6.437068825031235E-3</v>
      </c>
      <c r="L15" s="313">
        <v>0</v>
      </c>
      <c r="M15" s="16">
        <f t="shared" si="3"/>
        <v>1483</v>
      </c>
      <c r="P15" s="27"/>
    </row>
    <row r="16" spans="1:16" x14ac:dyDescent="0.2">
      <c r="B16" s="16" t="s">
        <v>187</v>
      </c>
      <c r="C16" s="16">
        <v>439</v>
      </c>
      <c r="D16" s="16">
        <v>241</v>
      </c>
      <c r="E16" s="16">
        <f t="shared" si="0"/>
        <v>680</v>
      </c>
      <c r="F16" s="17">
        <f t="shared" si="1"/>
        <v>1.0550814584949574E-2</v>
      </c>
      <c r="G16" s="16">
        <v>1668</v>
      </c>
      <c r="H16" s="16">
        <v>167</v>
      </c>
      <c r="I16" s="16">
        <v>105</v>
      </c>
      <c r="J16" s="16">
        <v>1940</v>
      </c>
      <c r="K16" s="17">
        <f t="shared" si="2"/>
        <v>1.3172904557553371E-2</v>
      </c>
      <c r="L16" s="16">
        <v>0</v>
      </c>
      <c r="M16" s="16">
        <f t="shared" si="3"/>
        <v>2620</v>
      </c>
      <c r="P16" s="27"/>
    </row>
    <row r="17" spans="2:16" x14ac:dyDescent="0.2">
      <c r="B17" s="16" t="s">
        <v>188</v>
      </c>
      <c r="C17" s="16">
        <v>1626</v>
      </c>
      <c r="D17" s="16">
        <v>960</v>
      </c>
      <c r="E17" s="16">
        <f t="shared" si="0"/>
        <v>2586</v>
      </c>
      <c r="F17" s="17">
        <f t="shared" si="1"/>
        <v>4.0124127230411172E-2</v>
      </c>
      <c r="G17" s="16">
        <v>3485</v>
      </c>
      <c r="H17" s="16">
        <v>421</v>
      </c>
      <c r="I17" s="313">
        <v>269</v>
      </c>
      <c r="J17" s="16">
        <v>4175</v>
      </c>
      <c r="K17" s="17">
        <f t="shared" si="2"/>
        <v>2.8348905426693466E-2</v>
      </c>
      <c r="L17" s="16">
        <v>0</v>
      </c>
      <c r="M17" s="16">
        <f t="shared" si="3"/>
        <v>6761</v>
      </c>
      <c r="P17" s="27"/>
    </row>
    <row r="18" spans="2:16" x14ac:dyDescent="0.2">
      <c r="B18" s="16" t="s">
        <v>189</v>
      </c>
      <c r="C18" s="16">
        <v>838</v>
      </c>
      <c r="D18" s="16">
        <v>480</v>
      </c>
      <c r="E18" s="16">
        <f t="shared" si="0"/>
        <v>1318</v>
      </c>
      <c r="F18" s="17">
        <f t="shared" si="1"/>
        <v>2.0449961210240498E-2</v>
      </c>
      <c r="G18" s="16">
        <v>1988</v>
      </c>
      <c r="H18" s="16">
        <v>188</v>
      </c>
      <c r="I18" s="16">
        <v>154</v>
      </c>
      <c r="J18" s="16">
        <v>2330</v>
      </c>
      <c r="K18" s="17">
        <f t="shared" si="2"/>
        <v>1.5821065783040905E-2</v>
      </c>
      <c r="L18" s="16">
        <v>0</v>
      </c>
      <c r="M18" s="16">
        <f t="shared" si="3"/>
        <v>3648</v>
      </c>
      <c r="P18" s="27"/>
    </row>
    <row r="19" spans="2:16" x14ac:dyDescent="0.2">
      <c r="B19" s="16" t="s">
        <v>190</v>
      </c>
      <c r="C19" s="16">
        <v>206</v>
      </c>
      <c r="D19" s="16">
        <v>224</v>
      </c>
      <c r="E19" s="16">
        <f t="shared" si="0"/>
        <v>430</v>
      </c>
      <c r="F19" s="17">
        <f t="shared" si="1"/>
        <v>6.6718386346004653E-3</v>
      </c>
      <c r="G19" s="16">
        <v>359</v>
      </c>
      <c r="H19" s="16">
        <v>28</v>
      </c>
      <c r="I19" s="16">
        <v>40</v>
      </c>
      <c r="J19" s="16">
        <v>427</v>
      </c>
      <c r="K19" s="17">
        <f t="shared" si="2"/>
        <v>2.8993970340594273E-3</v>
      </c>
      <c r="L19" s="16">
        <v>0</v>
      </c>
      <c r="M19" s="16">
        <f t="shared" si="3"/>
        <v>857</v>
      </c>
      <c r="P19" s="27"/>
    </row>
    <row r="20" spans="2:16" x14ac:dyDescent="0.2">
      <c r="B20" s="16" t="s">
        <v>191</v>
      </c>
      <c r="C20" s="16">
        <v>1884</v>
      </c>
      <c r="D20" s="16">
        <v>1063</v>
      </c>
      <c r="E20" s="16">
        <f t="shared" si="0"/>
        <v>2947</v>
      </c>
      <c r="F20" s="17">
        <f t="shared" si="1"/>
        <v>4.5725368502715281E-2</v>
      </c>
      <c r="G20" s="16">
        <v>4480</v>
      </c>
      <c r="H20" s="16">
        <v>528</v>
      </c>
      <c r="I20" s="16">
        <v>401</v>
      </c>
      <c r="J20" s="16">
        <v>5409</v>
      </c>
      <c r="K20" s="17">
        <f t="shared" si="2"/>
        <v>3.6727959150415559E-2</v>
      </c>
      <c r="L20" s="16">
        <v>0</v>
      </c>
      <c r="M20" s="16">
        <f t="shared" si="3"/>
        <v>8356</v>
      </c>
      <c r="P20" s="27"/>
    </row>
    <row r="21" spans="2:16" x14ac:dyDescent="0.2">
      <c r="B21" s="16" t="s">
        <v>192</v>
      </c>
      <c r="C21" s="16">
        <v>2278</v>
      </c>
      <c r="D21" s="16">
        <v>1289</v>
      </c>
      <c r="E21" s="16">
        <f t="shared" si="0"/>
        <v>3567</v>
      </c>
      <c r="F21" s="17">
        <f t="shared" si="1"/>
        <v>5.5345228859581069E-2</v>
      </c>
      <c r="G21" s="16">
        <v>6424</v>
      </c>
      <c r="H21" s="16">
        <v>879</v>
      </c>
      <c r="I21" s="16">
        <v>435</v>
      </c>
      <c r="J21" s="16">
        <v>7738</v>
      </c>
      <c r="K21" s="17">
        <f t="shared" si="2"/>
        <v>5.2542234776468029E-2</v>
      </c>
      <c r="L21" s="16">
        <v>0</v>
      </c>
      <c r="M21" s="16">
        <f t="shared" si="3"/>
        <v>11305</v>
      </c>
      <c r="P21" s="27"/>
    </row>
    <row r="22" spans="2:16" x14ac:dyDescent="0.2">
      <c r="B22" s="16" t="s">
        <v>193</v>
      </c>
      <c r="C22" s="16">
        <v>1323</v>
      </c>
      <c r="D22" s="16">
        <v>663</v>
      </c>
      <c r="E22" s="16">
        <f t="shared" si="0"/>
        <v>1986</v>
      </c>
      <c r="F22" s="17">
        <f t="shared" si="1"/>
        <v>3.0814584949573311E-2</v>
      </c>
      <c r="G22" s="16">
        <v>5587</v>
      </c>
      <c r="H22" s="16">
        <v>741</v>
      </c>
      <c r="I22" s="16">
        <v>340</v>
      </c>
      <c r="J22" s="16">
        <v>6668</v>
      </c>
      <c r="K22" s="17">
        <f t="shared" si="2"/>
        <v>4.5276766798848386E-2</v>
      </c>
      <c r="L22" s="16">
        <v>0</v>
      </c>
      <c r="M22" s="16">
        <f t="shared" si="3"/>
        <v>8654</v>
      </c>
      <c r="P22" s="27"/>
    </row>
    <row r="23" spans="2:16" x14ac:dyDescent="0.2">
      <c r="B23" s="16" t="s">
        <v>194</v>
      </c>
      <c r="C23" s="16">
        <v>388</v>
      </c>
      <c r="D23" s="16">
        <v>199</v>
      </c>
      <c r="E23" s="16">
        <f t="shared" si="0"/>
        <v>587</v>
      </c>
      <c r="F23" s="17">
        <f t="shared" si="1"/>
        <v>9.107835531419705E-3</v>
      </c>
      <c r="G23" s="16">
        <v>1270</v>
      </c>
      <c r="H23" s="16">
        <v>97</v>
      </c>
      <c r="I23" s="16">
        <v>81</v>
      </c>
      <c r="J23" s="16">
        <v>1448</v>
      </c>
      <c r="K23" s="17">
        <f t="shared" si="2"/>
        <v>9.8321473192460214E-3</v>
      </c>
      <c r="L23" s="16">
        <v>0</v>
      </c>
      <c r="M23" s="16">
        <f t="shared" si="3"/>
        <v>2035</v>
      </c>
      <c r="P23" s="27"/>
    </row>
    <row r="24" spans="2:16" x14ac:dyDescent="0.2">
      <c r="B24" s="16" t="s">
        <v>195</v>
      </c>
      <c r="C24" s="16">
        <v>1121</v>
      </c>
      <c r="D24" s="16">
        <v>720</v>
      </c>
      <c r="E24" s="16">
        <f t="shared" si="0"/>
        <v>1841</v>
      </c>
      <c r="F24" s="17">
        <f t="shared" si="1"/>
        <v>2.8564778898370832E-2</v>
      </c>
      <c r="G24" s="16">
        <v>3489</v>
      </c>
      <c r="H24" s="16">
        <v>360</v>
      </c>
      <c r="I24" s="16">
        <v>225</v>
      </c>
      <c r="J24" s="16">
        <v>4074</v>
      </c>
      <c r="K24" s="17">
        <f t="shared" si="2"/>
        <v>2.766309957086208E-2</v>
      </c>
      <c r="L24" s="16">
        <v>0</v>
      </c>
      <c r="M24" s="16">
        <f t="shared" si="3"/>
        <v>5915</v>
      </c>
      <c r="P24" s="27"/>
    </row>
    <row r="25" spans="2:16" x14ac:dyDescent="0.2">
      <c r="B25" s="16" t="s">
        <v>196</v>
      </c>
      <c r="C25" s="16">
        <v>260</v>
      </c>
      <c r="D25" s="16">
        <v>143</v>
      </c>
      <c r="E25" s="16">
        <f t="shared" si="0"/>
        <v>403</v>
      </c>
      <c r="F25" s="17">
        <f t="shared" si="1"/>
        <v>6.2529092319627616E-3</v>
      </c>
      <c r="G25" s="16">
        <v>478</v>
      </c>
      <c r="H25" s="16">
        <v>34</v>
      </c>
      <c r="I25" s="16">
        <v>35</v>
      </c>
      <c r="J25" s="16">
        <v>547</v>
      </c>
      <c r="K25" s="17">
        <f t="shared" si="2"/>
        <v>3.7142158726709762E-3</v>
      </c>
      <c r="L25" s="16">
        <v>0</v>
      </c>
      <c r="M25" s="16">
        <f t="shared" si="3"/>
        <v>950</v>
      </c>
      <c r="P25" s="27"/>
    </row>
    <row r="26" spans="2:16" x14ac:dyDescent="0.2">
      <c r="B26" s="16" t="s">
        <v>197</v>
      </c>
      <c r="C26" s="16">
        <v>3796</v>
      </c>
      <c r="D26" s="16">
        <v>1669</v>
      </c>
      <c r="E26" s="16">
        <f t="shared" si="0"/>
        <v>5465</v>
      </c>
      <c r="F26" s="17">
        <f t="shared" si="1"/>
        <v>8.4794414274631497E-2</v>
      </c>
      <c r="G26" s="16">
        <v>11116</v>
      </c>
      <c r="H26" s="16">
        <v>1847</v>
      </c>
      <c r="I26" s="16">
        <v>795</v>
      </c>
      <c r="J26" s="16">
        <v>13758</v>
      </c>
      <c r="K26" s="17">
        <f t="shared" si="2"/>
        <v>9.3418979846814063E-2</v>
      </c>
      <c r="L26" s="16">
        <v>0</v>
      </c>
      <c r="M26" s="16">
        <f t="shared" si="3"/>
        <v>19223</v>
      </c>
      <c r="P26" s="27"/>
    </row>
    <row r="27" spans="2:16" x14ac:dyDescent="0.2">
      <c r="B27" s="16" t="s">
        <v>198</v>
      </c>
      <c r="C27" s="16">
        <v>1048</v>
      </c>
      <c r="D27" s="16">
        <v>744</v>
      </c>
      <c r="E27" s="16">
        <f t="shared" si="0"/>
        <v>1792</v>
      </c>
      <c r="F27" s="17">
        <f t="shared" si="1"/>
        <v>2.7804499612102403E-2</v>
      </c>
      <c r="G27" s="16">
        <v>2462</v>
      </c>
      <c r="H27" s="16">
        <v>259</v>
      </c>
      <c r="I27" s="16">
        <v>186</v>
      </c>
      <c r="J27" s="16">
        <v>2907</v>
      </c>
      <c r="K27" s="17">
        <f t="shared" si="2"/>
        <v>1.9738986365364766E-2</v>
      </c>
      <c r="L27" s="16">
        <v>0</v>
      </c>
      <c r="M27" s="16">
        <f t="shared" si="3"/>
        <v>4699</v>
      </c>
      <c r="P27" s="27"/>
    </row>
    <row r="28" spans="2:16" x14ac:dyDescent="0.2">
      <c r="B28" s="16" t="s">
        <v>199</v>
      </c>
      <c r="C28" s="16">
        <v>747</v>
      </c>
      <c r="D28" s="16">
        <v>443</v>
      </c>
      <c r="E28" s="16">
        <f t="shared" si="0"/>
        <v>1190</v>
      </c>
      <c r="F28" s="17">
        <f t="shared" si="1"/>
        <v>1.8463925523661752E-2</v>
      </c>
      <c r="G28" s="16">
        <v>2073</v>
      </c>
      <c r="H28" s="16">
        <v>306</v>
      </c>
      <c r="I28" s="16">
        <v>130</v>
      </c>
      <c r="J28" s="16">
        <v>2509</v>
      </c>
      <c r="K28" s="17">
        <f t="shared" si="2"/>
        <v>1.7036503883969798E-2</v>
      </c>
      <c r="L28" s="16">
        <v>0</v>
      </c>
      <c r="M28" s="16">
        <f t="shared" si="3"/>
        <v>3699</v>
      </c>
      <c r="P28" s="27"/>
    </row>
    <row r="29" spans="2:16" x14ac:dyDescent="0.2">
      <c r="B29" s="16" t="s">
        <v>200</v>
      </c>
      <c r="C29" s="16">
        <v>7922</v>
      </c>
      <c r="D29" s="16">
        <v>4428</v>
      </c>
      <c r="E29" s="16">
        <f t="shared" si="0"/>
        <v>12350</v>
      </c>
      <c r="F29" s="17">
        <f t="shared" si="1"/>
        <v>0.19162141194724594</v>
      </c>
      <c r="G29" s="16">
        <v>24891</v>
      </c>
      <c r="H29" s="16">
        <v>4731</v>
      </c>
      <c r="I29" s="16">
        <v>2006</v>
      </c>
      <c r="J29" s="16">
        <v>31628</v>
      </c>
      <c r="K29" s="17">
        <f t="shared" si="2"/>
        <v>0.21475908523005052</v>
      </c>
      <c r="L29" s="16">
        <v>0</v>
      </c>
      <c r="M29" s="16">
        <f t="shared" si="3"/>
        <v>43978</v>
      </c>
      <c r="P29" s="27"/>
    </row>
    <row r="30" spans="2:16" x14ac:dyDescent="0.2">
      <c r="B30" s="16" t="s">
        <v>31</v>
      </c>
      <c r="C30" s="16">
        <v>1067</v>
      </c>
      <c r="D30" s="16">
        <v>1069</v>
      </c>
      <c r="E30" s="16">
        <f t="shared" si="0"/>
        <v>2136</v>
      </c>
      <c r="F30" s="17">
        <f t="shared" si="1"/>
        <v>3.3141970519782779E-2</v>
      </c>
      <c r="G30" s="16">
        <v>2892</v>
      </c>
      <c r="H30" s="16">
        <v>395</v>
      </c>
      <c r="I30" s="16">
        <v>337</v>
      </c>
      <c r="J30" s="16">
        <v>3624</v>
      </c>
      <c r="K30" s="17">
        <f t="shared" si="2"/>
        <v>2.460752892606877E-2</v>
      </c>
      <c r="L30" s="16">
        <v>0</v>
      </c>
      <c r="M30" s="16">
        <f t="shared" si="3"/>
        <v>5760</v>
      </c>
      <c r="P30" s="27"/>
    </row>
    <row r="31" spans="2:16" x14ac:dyDescent="0.2">
      <c r="B31" s="16" t="s">
        <v>201</v>
      </c>
      <c r="C31" s="16">
        <v>351</v>
      </c>
      <c r="D31" s="16">
        <v>270</v>
      </c>
      <c r="E31" s="16">
        <f t="shared" si="0"/>
        <v>621</v>
      </c>
      <c r="F31" s="17">
        <f t="shared" si="1"/>
        <v>9.6353762606671833E-3</v>
      </c>
      <c r="G31" s="16">
        <v>1009</v>
      </c>
      <c r="H31" s="16">
        <v>72</v>
      </c>
      <c r="I31" s="16">
        <v>75</v>
      </c>
      <c r="J31" s="16">
        <v>1156</v>
      </c>
      <c r="K31" s="17">
        <f t="shared" si="2"/>
        <v>7.8494214786245867E-3</v>
      </c>
      <c r="L31" s="16">
        <v>0</v>
      </c>
      <c r="M31" s="16">
        <f t="shared" si="3"/>
        <v>1777</v>
      </c>
      <c r="P31" s="27"/>
    </row>
    <row r="32" spans="2:16" x14ac:dyDescent="0.2">
      <c r="B32" s="16" t="s">
        <v>202</v>
      </c>
      <c r="C32" s="16">
        <v>622</v>
      </c>
      <c r="D32" s="16">
        <v>401</v>
      </c>
      <c r="E32" s="16">
        <f t="shared" si="0"/>
        <v>1023</v>
      </c>
      <c r="F32" s="17">
        <f t="shared" si="1"/>
        <v>1.587276958882855E-2</v>
      </c>
      <c r="G32" s="16">
        <v>1650</v>
      </c>
      <c r="H32" s="16">
        <v>197</v>
      </c>
      <c r="I32" s="16">
        <v>110</v>
      </c>
      <c r="J32" s="16">
        <v>1957</v>
      </c>
      <c r="K32" s="17">
        <f t="shared" si="2"/>
        <v>1.3288337226356674E-2</v>
      </c>
      <c r="L32" s="16">
        <v>0</v>
      </c>
      <c r="M32" s="16">
        <f t="shared" si="3"/>
        <v>2980</v>
      </c>
      <c r="P32" s="27"/>
    </row>
    <row r="33" spans="2:16" x14ac:dyDescent="0.2">
      <c r="B33" s="16" t="s">
        <v>203</v>
      </c>
      <c r="C33" s="16">
        <v>4147</v>
      </c>
      <c r="D33" s="16">
        <v>1853</v>
      </c>
      <c r="E33" s="16">
        <f t="shared" si="0"/>
        <v>6000</v>
      </c>
      <c r="F33" s="17">
        <f t="shared" si="1"/>
        <v>9.3095422808378583E-2</v>
      </c>
      <c r="G33" s="16">
        <v>17002</v>
      </c>
      <c r="H33" s="16">
        <v>2815</v>
      </c>
      <c r="I33" s="16">
        <v>1247</v>
      </c>
      <c r="J33" s="16">
        <v>21064</v>
      </c>
      <c r="K33" s="17">
        <f t="shared" si="2"/>
        <v>0.14302786680428051</v>
      </c>
      <c r="L33" s="16">
        <v>0</v>
      </c>
      <c r="M33" s="16">
        <f t="shared" si="3"/>
        <v>27064</v>
      </c>
      <c r="P33" s="27"/>
    </row>
    <row r="34" spans="2:16" x14ac:dyDescent="0.2">
      <c r="B34" s="16" t="s">
        <v>204</v>
      </c>
      <c r="C34" s="16">
        <v>679</v>
      </c>
      <c r="D34" s="16">
        <v>407</v>
      </c>
      <c r="E34" s="16">
        <f t="shared" si="0"/>
        <v>1086</v>
      </c>
      <c r="F34" s="17">
        <f t="shared" si="1"/>
        <v>1.6850271528316526E-2</v>
      </c>
      <c r="G34" s="16">
        <v>2170</v>
      </c>
      <c r="H34" s="16">
        <v>254</v>
      </c>
      <c r="I34" s="16">
        <v>145</v>
      </c>
      <c r="J34" s="16">
        <v>2569</v>
      </c>
      <c r="K34" s="17">
        <f t="shared" si="2"/>
        <v>1.7443913303275573E-2</v>
      </c>
      <c r="L34" s="16">
        <v>0</v>
      </c>
      <c r="M34" s="16">
        <f t="shared" si="3"/>
        <v>3655</v>
      </c>
      <c r="P34" s="27"/>
    </row>
    <row r="35" spans="2:16" x14ac:dyDescent="0.2">
      <c r="B35" s="16" t="s">
        <v>205</v>
      </c>
      <c r="C35" s="16">
        <v>582</v>
      </c>
      <c r="D35" s="16">
        <v>421</v>
      </c>
      <c r="E35" s="16">
        <f t="shared" si="0"/>
        <v>1003</v>
      </c>
      <c r="F35" s="17">
        <f t="shared" si="1"/>
        <v>1.5562451512800621E-2</v>
      </c>
      <c r="G35" s="16">
        <v>1429</v>
      </c>
      <c r="H35" s="16">
        <v>154</v>
      </c>
      <c r="I35" s="16">
        <v>95</v>
      </c>
      <c r="J35" s="16">
        <v>1678</v>
      </c>
      <c r="K35" s="17">
        <f t="shared" si="2"/>
        <v>1.1393883426584824E-2</v>
      </c>
      <c r="L35" s="16">
        <v>0</v>
      </c>
      <c r="M35" s="16">
        <f t="shared" si="3"/>
        <v>2681</v>
      </c>
      <c r="P35" s="27"/>
    </row>
    <row r="36" spans="2:16" x14ac:dyDescent="0.2">
      <c r="B36" s="16" t="s">
        <v>206</v>
      </c>
      <c r="C36" s="16">
        <v>509</v>
      </c>
      <c r="D36" s="16">
        <v>421</v>
      </c>
      <c r="E36" s="16">
        <f t="shared" si="0"/>
        <v>930</v>
      </c>
      <c r="F36" s="17">
        <f t="shared" si="1"/>
        <v>1.4429790535298682E-2</v>
      </c>
      <c r="G36" s="16">
        <v>1055</v>
      </c>
      <c r="H36" s="16">
        <v>101</v>
      </c>
      <c r="I36" s="16">
        <v>109</v>
      </c>
      <c r="J36" s="16">
        <v>1265</v>
      </c>
      <c r="K36" s="17">
        <f t="shared" si="2"/>
        <v>8.5895485903634099E-3</v>
      </c>
      <c r="L36" s="16">
        <v>0</v>
      </c>
      <c r="M36" s="16">
        <f t="shared" si="3"/>
        <v>2195</v>
      </c>
      <c r="P36" s="27"/>
    </row>
    <row r="37" spans="2:16" x14ac:dyDescent="0.2">
      <c r="B37" s="16" t="s">
        <v>207</v>
      </c>
      <c r="C37" s="16">
        <v>1747</v>
      </c>
      <c r="D37" s="16">
        <v>1462</v>
      </c>
      <c r="E37" s="16">
        <f t="shared" si="0"/>
        <v>3209</v>
      </c>
      <c r="F37" s="17">
        <f t="shared" si="1"/>
        <v>4.9790535298681146E-2</v>
      </c>
      <c r="G37" s="16">
        <v>4901</v>
      </c>
      <c r="H37" s="16">
        <v>761</v>
      </c>
      <c r="I37" s="16">
        <v>384</v>
      </c>
      <c r="J37" s="16">
        <v>6046</v>
      </c>
      <c r="K37" s="17">
        <f t="shared" si="2"/>
        <v>4.1053289152045196E-2</v>
      </c>
      <c r="L37" s="16">
        <v>0</v>
      </c>
      <c r="M37" s="16">
        <f t="shared" si="3"/>
        <v>9255</v>
      </c>
      <c r="P37" s="27"/>
    </row>
    <row r="38" spans="2:16" x14ac:dyDescent="0.2">
      <c r="B38" s="16" t="s">
        <v>208</v>
      </c>
      <c r="C38" s="16">
        <v>1830</v>
      </c>
      <c r="D38" s="16">
        <v>849</v>
      </c>
      <c r="E38" s="16">
        <f t="shared" si="0"/>
        <v>2679</v>
      </c>
      <c r="F38" s="17">
        <f t="shared" si="1"/>
        <v>4.1567106283941037E-2</v>
      </c>
      <c r="G38" s="16">
        <v>5637</v>
      </c>
      <c r="H38" s="16">
        <v>794</v>
      </c>
      <c r="I38" s="16">
        <v>329</v>
      </c>
      <c r="J38" s="16">
        <v>6760</v>
      </c>
      <c r="K38" s="17">
        <f t="shared" si="2"/>
        <v>4.590146124178391E-2</v>
      </c>
      <c r="L38" s="16">
        <v>0</v>
      </c>
      <c r="M38" s="16">
        <f t="shared" si="3"/>
        <v>9439</v>
      </c>
      <c r="P38" s="27"/>
    </row>
    <row r="39" spans="2:16" x14ac:dyDescent="0.2">
      <c r="B39" s="16" t="s">
        <v>209</v>
      </c>
      <c r="C39" s="16">
        <v>829</v>
      </c>
      <c r="D39" s="16">
        <v>670</v>
      </c>
      <c r="E39" s="16">
        <f t="shared" si="0"/>
        <v>1499</v>
      </c>
      <c r="F39" s="17">
        <f t="shared" si="1"/>
        <v>2.325833979829325E-2</v>
      </c>
      <c r="G39" s="16">
        <v>2395</v>
      </c>
      <c r="H39" s="16">
        <v>254</v>
      </c>
      <c r="I39" s="16">
        <v>209</v>
      </c>
      <c r="J39" s="16">
        <v>2858</v>
      </c>
      <c r="K39" s="17">
        <f t="shared" si="2"/>
        <v>1.9406268672931718E-2</v>
      </c>
      <c r="L39" s="16">
        <v>0</v>
      </c>
      <c r="M39" s="16">
        <f t="shared" si="3"/>
        <v>4357</v>
      </c>
      <c r="P39" s="27"/>
    </row>
    <row r="40" spans="2:16" x14ac:dyDescent="0.2">
      <c r="B40" s="16" t="s">
        <v>210</v>
      </c>
      <c r="C40" s="16">
        <v>2007</v>
      </c>
      <c r="D40" s="16">
        <v>1181</v>
      </c>
      <c r="E40" s="16">
        <f t="shared" si="0"/>
        <v>3188</v>
      </c>
      <c r="F40" s="17">
        <f t="shared" si="1"/>
        <v>4.946470131885182E-2</v>
      </c>
      <c r="G40" s="16">
        <v>5529</v>
      </c>
      <c r="H40" s="16">
        <v>750</v>
      </c>
      <c r="I40" s="16">
        <v>464</v>
      </c>
      <c r="J40" s="16">
        <v>6743</v>
      </c>
      <c r="K40" s="17">
        <f t="shared" si="2"/>
        <v>4.5786028572980607E-2</v>
      </c>
      <c r="L40" s="16">
        <v>0</v>
      </c>
      <c r="M40" s="16">
        <f t="shared" si="3"/>
        <v>9931</v>
      </c>
      <c r="P40" s="27"/>
    </row>
    <row r="41" spans="2:16" x14ac:dyDescent="0.2">
      <c r="B41" s="18" t="s">
        <v>39</v>
      </c>
      <c r="C41" s="16">
        <f t="shared" ref="C41:D41" si="4">SUM(C11:C40)</f>
        <v>40610</v>
      </c>
      <c r="D41" s="16">
        <f t="shared" si="4"/>
        <v>23840</v>
      </c>
      <c r="E41" s="18">
        <f t="shared" ref="E41" si="5">C41+D41</f>
        <v>64450</v>
      </c>
      <c r="F41" s="17">
        <f t="shared" ref="F41" si="6">E41/$E$41</f>
        <v>1</v>
      </c>
      <c r="G41" s="16">
        <f t="shared" ref="G41:J41" si="7">SUM(G11:G40)</f>
        <v>120432</v>
      </c>
      <c r="H41" s="16">
        <f t="shared" si="7"/>
        <v>17754</v>
      </c>
      <c r="I41" s="16">
        <f t="shared" si="7"/>
        <v>9086</v>
      </c>
      <c r="J41" s="16">
        <f t="shared" si="7"/>
        <v>147272</v>
      </c>
      <c r="K41" s="17">
        <f t="shared" si="2"/>
        <v>1</v>
      </c>
      <c r="L41" s="16">
        <f t="shared" ref="L41" si="8">SUM(L11:L40)</f>
        <v>0</v>
      </c>
      <c r="M41" s="16">
        <f t="shared" si="3"/>
        <v>211722</v>
      </c>
      <c r="P41" s="27"/>
    </row>
    <row r="42" spans="2:16" ht="25.5" customHeight="1" x14ac:dyDescent="0.2">
      <c r="B42" s="28" t="s">
        <v>44</v>
      </c>
      <c r="C42" s="29">
        <f>+C41/M41</f>
        <v>0.19180812574980399</v>
      </c>
      <c r="D42" s="29">
        <f>+D41/M41</f>
        <v>0.11260048554236216</v>
      </c>
      <c r="E42" s="30">
        <f>+E41/M41</f>
        <v>0.30440861129216612</v>
      </c>
      <c r="F42" s="30"/>
      <c r="G42" s="29">
        <f>+G41/M41</f>
        <v>0.56882137897809393</v>
      </c>
      <c r="H42" s="29">
        <f>+H41/M41</f>
        <v>8.3855244140901744E-2</v>
      </c>
      <c r="I42" s="29">
        <f>+I41/M41</f>
        <v>4.2914765588838194E-2</v>
      </c>
      <c r="J42" s="30">
        <f>+J41/M41</f>
        <v>0.69559138870783388</v>
      </c>
      <c r="K42" s="30"/>
      <c r="L42" s="30">
        <f>+L41/M41</f>
        <v>0</v>
      </c>
      <c r="M42" s="30">
        <f>J42+L42+E42</f>
        <v>1</v>
      </c>
    </row>
    <row r="43" spans="2:16" x14ac:dyDescent="0.2">
      <c r="B43" s="21"/>
      <c r="C43" s="34"/>
      <c r="D43" s="34"/>
      <c r="E43" s="34"/>
      <c r="F43" s="34"/>
      <c r="G43" s="34"/>
      <c r="H43" s="34"/>
      <c r="I43" s="34"/>
      <c r="J43" s="34"/>
      <c r="K43" s="34"/>
    </row>
    <row r="44" spans="2:16" ht="12.75" x14ac:dyDescent="0.2">
      <c r="B44" s="344" t="s">
        <v>582</v>
      </c>
      <c r="C44" s="344"/>
      <c r="D44" s="344"/>
      <c r="E44" s="344"/>
      <c r="F44" s="344"/>
      <c r="G44" s="344"/>
      <c r="H44" s="344"/>
      <c r="I44" s="344"/>
      <c r="J44" s="344"/>
      <c r="K44" s="344"/>
    </row>
    <row r="45" spans="2:16" ht="12.75" x14ac:dyDescent="0.2">
      <c r="B45" s="374" t="str">
        <f>'Solicitudes Regiones'!$B$6:$R$6</f>
        <v>Julio de 2008 a junio de 2022</v>
      </c>
      <c r="C45" s="374"/>
      <c r="D45" s="374"/>
      <c r="E45" s="374"/>
      <c r="F45" s="374"/>
      <c r="G45" s="374"/>
      <c r="H45" s="374"/>
      <c r="I45" s="374"/>
      <c r="J45" s="374"/>
      <c r="K45" s="374"/>
    </row>
    <row r="47" spans="2:16" ht="15" customHeight="1" x14ac:dyDescent="0.2">
      <c r="B47" s="373" t="s">
        <v>596</v>
      </c>
      <c r="C47" s="373"/>
      <c r="D47" s="373"/>
      <c r="E47" s="373"/>
      <c r="F47" s="373"/>
      <c r="G47" s="373"/>
      <c r="H47" s="373"/>
      <c r="I47" s="373"/>
      <c r="J47" s="373"/>
      <c r="K47" s="373"/>
      <c r="L47" s="373"/>
      <c r="M47" s="373"/>
    </row>
    <row r="48" spans="2:16" ht="21" customHeight="1" x14ac:dyDescent="0.2">
      <c r="B48" s="373" t="s">
        <v>41</v>
      </c>
      <c r="C48" s="370" t="s">
        <v>544</v>
      </c>
      <c r="D48" s="371"/>
      <c r="E48" s="371"/>
      <c r="F48" s="371"/>
      <c r="G48" s="371"/>
      <c r="H48" s="371"/>
      <c r="I48" s="371"/>
      <c r="J48" s="371"/>
      <c r="K48" s="371"/>
      <c r="L48" s="372"/>
      <c r="M48" s="307"/>
    </row>
    <row r="49" spans="2:13" ht="36" x14ac:dyDescent="0.2">
      <c r="B49" s="373"/>
      <c r="C49" s="20" t="s">
        <v>540</v>
      </c>
      <c r="D49" s="20" t="s">
        <v>42</v>
      </c>
      <c r="E49" s="20" t="s">
        <v>553</v>
      </c>
      <c r="F49" s="20" t="s">
        <v>554</v>
      </c>
      <c r="G49" s="20" t="s">
        <v>542</v>
      </c>
      <c r="H49" s="20" t="s">
        <v>2</v>
      </c>
      <c r="I49" s="20" t="s">
        <v>43</v>
      </c>
      <c r="J49" s="20" t="s">
        <v>549</v>
      </c>
      <c r="K49" s="296" t="s">
        <v>550</v>
      </c>
      <c r="L49" s="296" t="s">
        <v>523</v>
      </c>
      <c r="M49" s="296" t="s">
        <v>641</v>
      </c>
    </row>
    <row r="50" spans="2:13" x14ac:dyDescent="0.2">
      <c r="B50" s="16" t="s">
        <v>182</v>
      </c>
      <c r="C50" s="16">
        <v>682</v>
      </c>
      <c r="D50" s="16">
        <v>234</v>
      </c>
      <c r="E50" s="16">
        <f t="shared" ref="E50:E79" si="9">C50+D50</f>
        <v>916</v>
      </c>
      <c r="F50" s="17">
        <f>E50/$E$80</f>
        <v>1.8643274377709483E-2</v>
      </c>
      <c r="G50" s="16">
        <v>1275</v>
      </c>
      <c r="H50" s="16">
        <v>84</v>
      </c>
      <c r="I50" s="16">
        <v>89</v>
      </c>
      <c r="J50" s="16">
        <v>1448</v>
      </c>
      <c r="K50" s="17">
        <f>J50/$J$80</f>
        <v>1.1767956699120653E-2</v>
      </c>
      <c r="L50" s="16">
        <v>0</v>
      </c>
      <c r="M50" s="16">
        <f t="shared" ref="M50:M80" si="10">L50+J50+E50</f>
        <v>2364</v>
      </c>
    </row>
    <row r="51" spans="2:13" x14ac:dyDescent="0.2">
      <c r="B51" s="16" t="s">
        <v>183</v>
      </c>
      <c r="C51" s="16">
        <v>393</v>
      </c>
      <c r="D51" s="16">
        <v>104</v>
      </c>
      <c r="E51" s="16">
        <f t="shared" si="9"/>
        <v>497</v>
      </c>
      <c r="F51" s="17">
        <f t="shared" ref="F51:F79" si="11">E51/$E$80</f>
        <v>1.0115401054281237E-2</v>
      </c>
      <c r="G51" s="16">
        <v>916</v>
      </c>
      <c r="H51" s="16">
        <v>66</v>
      </c>
      <c r="I51" s="16">
        <v>58</v>
      </c>
      <c r="J51" s="16">
        <v>1040</v>
      </c>
      <c r="K51" s="17">
        <f t="shared" ref="K51:K80" si="12">J51/$J$80</f>
        <v>8.4521235960535093E-3</v>
      </c>
      <c r="L51" s="16">
        <v>0</v>
      </c>
      <c r="M51" s="16">
        <f t="shared" si="10"/>
        <v>1537</v>
      </c>
    </row>
    <row r="52" spans="2:13" x14ac:dyDescent="0.2">
      <c r="B52" s="16" t="s">
        <v>184</v>
      </c>
      <c r="C52" s="16">
        <v>357</v>
      </c>
      <c r="D52" s="16">
        <v>120</v>
      </c>
      <c r="E52" s="16">
        <f t="shared" si="9"/>
        <v>477</v>
      </c>
      <c r="F52" s="17">
        <f t="shared" si="11"/>
        <v>9.708342661754828E-3</v>
      </c>
      <c r="G52" s="16">
        <v>887</v>
      </c>
      <c r="H52" s="16">
        <v>58</v>
      </c>
      <c r="I52" s="16">
        <v>55</v>
      </c>
      <c r="J52" s="16">
        <v>1000</v>
      </c>
      <c r="K52" s="17">
        <f t="shared" si="12"/>
        <v>8.1270419192822196E-3</v>
      </c>
      <c r="L52" s="16">
        <v>0</v>
      </c>
      <c r="M52" s="16">
        <f t="shared" si="10"/>
        <v>1477</v>
      </c>
    </row>
    <row r="53" spans="2:13" x14ac:dyDescent="0.2">
      <c r="B53" s="16" t="s">
        <v>185</v>
      </c>
      <c r="C53" s="16">
        <v>411</v>
      </c>
      <c r="D53" s="16">
        <v>136</v>
      </c>
      <c r="E53" s="16">
        <f t="shared" si="9"/>
        <v>547</v>
      </c>
      <c r="F53" s="17">
        <f t="shared" si="11"/>
        <v>1.1133047035597256E-2</v>
      </c>
      <c r="G53" s="16">
        <v>609</v>
      </c>
      <c r="H53" s="16">
        <v>51</v>
      </c>
      <c r="I53" s="16">
        <v>41</v>
      </c>
      <c r="J53" s="16">
        <v>701</v>
      </c>
      <c r="K53" s="17">
        <f t="shared" si="12"/>
        <v>5.6970563854168363E-3</v>
      </c>
      <c r="L53" s="16">
        <v>0</v>
      </c>
      <c r="M53" s="16">
        <f t="shared" si="10"/>
        <v>1248</v>
      </c>
    </row>
    <row r="54" spans="2:13" x14ac:dyDescent="0.2">
      <c r="B54" s="16" t="s">
        <v>186</v>
      </c>
      <c r="C54" s="16">
        <v>309</v>
      </c>
      <c r="D54" s="16">
        <v>109</v>
      </c>
      <c r="E54" s="16">
        <f t="shared" si="9"/>
        <v>418</v>
      </c>
      <c r="F54" s="17">
        <f t="shared" si="11"/>
        <v>8.5075204038019252E-3</v>
      </c>
      <c r="G54" s="16">
        <v>727</v>
      </c>
      <c r="H54" s="16">
        <v>40</v>
      </c>
      <c r="I54" s="16">
        <v>58</v>
      </c>
      <c r="J54" s="16">
        <v>825</v>
      </c>
      <c r="K54" s="17">
        <f t="shared" si="12"/>
        <v>6.7048095834078315E-3</v>
      </c>
      <c r="L54" s="16">
        <v>0</v>
      </c>
      <c r="M54" s="16">
        <f t="shared" si="10"/>
        <v>1243</v>
      </c>
    </row>
    <row r="55" spans="2:13" x14ac:dyDescent="0.2">
      <c r="B55" s="16" t="s">
        <v>187</v>
      </c>
      <c r="C55" s="16">
        <v>382</v>
      </c>
      <c r="D55" s="16">
        <v>132</v>
      </c>
      <c r="E55" s="16">
        <f t="shared" si="9"/>
        <v>514</v>
      </c>
      <c r="F55" s="17">
        <f t="shared" si="11"/>
        <v>1.0461400687928684E-2</v>
      </c>
      <c r="G55" s="16">
        <v>1502</v>
      </c>
      <c r="H55" s="16">
        <v>86</v>
      </c>
      <c r="I55" s="16">
        <v>89</v>
      </c>
      <c r="J55" s="16">
        <v>1677</v>
      </c>
      <c r="K55" s="17">
        <f t="shared" si="12"/>
        <v>1.3629049298636283E-2</v>
      </c>
      <c r="L55" s="16">
        <v>0</v>
      </c>
      <c r="M55" s="16">
        <f t="shared" si="10"/>
        <v>2191</v>
      </c>
    </row>
    <row r="56" spans="2:13" x14ac:dyDescent="0.2">
      <c r="B56" s="16" t="s">
        <v>188</v>
      </c>
      <c r="C56" s="16">
        <v>1398</v>
      </c>
      <c r="D56" s="16">
        <v>485</v>
      </c>
      <c r="E56" s="16">
        <f t="shared" si="9"/>
        <v>1883</v>
      </c>
      <c r="F56" s="17">
        <f t="shared" si="11"/>
        <v>3.8324547656361306E-2</v>
      </c>
      <c r="G56" s="16">
        <v>3143</v>
      </c>
      <c r="H56" s="16">
        <v>135</v>
      </c>
      <c r="I56" s="16">
        <v>237</v>
      </c>
      <c r="J56" s="16">
        <v>3515</v>
      </c>
      <c r="K56" s="17">
        <f t="shared" si="12"/>
        <v>2.8566552346277002E-2</v>
      </c>
      <c r="L56" s="16">
        <v>0</v>
      </c>
      <c r="M56" s="16">
        <f t="shared" si="10"/>
        <v>5398</v>
      </c>
    </row>
    <row r="57" spans="2:13" x14ac:dyDescent="0.2">
      <c r="B57" s="16" t="s">
        <v>189</v>
      </c>
      <c r="C57" s="16">
        <v>735</v>
      </c>
      <c r="D57" s="16">
        <v>255</v>
      </c>
      <c r="E57" s="16">
        <f t="shared" si="9"/>
        <v>990</v>
      </c>
      <c r="F57" s="17">
        <f t="shared" si="11"/>
        <v>2.0149390430057191E-2</v>
      </c>
      <c r="G57" s="16">
        <v>1804</v>
      </c>
      <c r="H57" s="16">
        <v>89</v>
      </c>
      <c r="I57" s="16">
        <v>128</v>
      </c>
      <c r="J57" s="16">
        <v>2021</v>
      </c>
      <c r="K57" s="17">
        <f t="shared" si="12"/>
        <v>1.6424751718869365E-2</v>
      </c>
      <c r="L57" s="16">
        <v>0</v>
      </c>
      <c r="M57" s="16">
        <f t="shared" si="10"/>
        <v>3011</v>
      </c>
    </row>
    <row r="58" spans="2:13" x14ac:dyDescent="0.2">
      <c r="B58" s="16" t="s">
        <v>190</v>
      </c>
      <c r="C58" s="16">
        <v>202</v>
      </c>
      <c r="D58" s="16">
        <v>88</v>
      </c>
      <c r="E58" s="16">
        <f t="shared" si="9"/>
        <v>290</v>
      </c>
      <c r="F58" s="17">
        <f t="shared" si="11"/>
        <v>5.9023466916329152E-3</v>
      </c>
      <c r="G58" s="16">
        <v>332</v>
      </c>
      <c r="H58" s="16">
        <v>15</v>
      </c>
      <c r="I58" s="16">
        <v>31</v>
      </c>
      <c r="J58" s="16">
        <v>378</v>
      </c>
      <c r="K58" s="17">
        <f t="shared" si="12"/>
        <v>3.0720218454886789E-3</v>
      </c>
      <c r="L58" s="16">
        <v>0</v>
      </c>
      <c r="M58" s="16">
        <f t="shared" si="10"/>
        <v>668</v>
      </c>
    </row>
    <row r="59" spans="2:13" x14ac:dyDescent="0.2">
      <c r="B59" s="16" t="s">
        <v>191</v>
      </c>
      <c r="C59" s="16">
        <v>1683</v>
      </c>
      <c r="D59" s="16">
        <v>560</v>
      </c>
      <c r="E59" s="16">
        <f t="shared" si="9"/>
        <v>2243</v>
      </c>
      <c r="F59" s="17">
        <f t="shared" si="11"/>
        <v>4.5651598721836648E-2</v>
      </c>
      <c r="G59" s="16">
        <v>4076</v>
      </c>
      <c r="H59" s="16">
        <v>291</v>
      </c>
      <c r="I59" s="16">
        <v>303</v>
      </c>
      <c r="J59" s="16">
        <v>4670</v>
      </c>
      <c r="K59" s="17">
        <f t="shared" si="12"/>
        <v>3.7953285763047968E-2</v>
      </c>
      <c r="L59" s="16">
        <v>0</v>
      </c>
      <c r="M59" s="16">
        <f t="shared" si="10"/>
        <v>6913</v>
      </c>
    </row>
    <row r="60" spans="2:13" x14ac:dyDescent="0.2">
      <c r="B60" s="16" t="s">
        <v>192</v>
      </c>
      <c r="C60" s="16">
        <v>2068</v>
      </c>
      <c r="D60" s="16">
        <v>668</v>
      </c>
      <c r="E60" s="16">
        <f t="shared" si="9"/>
        <v>2736</v>
      </c>
      <c r="F60" s="17">
        <f t="shared" si="11"/>
        <v>5.56855880976126E-2</v>
      </c>
      <c r="G60" s="16">
        <v>5601</v>
      </c>
      <c r="H60" s="16">
        <v>441</v>
      </c>
      <c r="I60" s="16">
        <v>359</v>
      </c>
      <c r="J60" s="16">
        <v>6401</v>
      </c>
      <c r="K60" s="17">
        <f t="shared" si="12"/>
        <v>5.2021195325325488E-2</v>
      </c>
      <c r="L60" s="16">
        <v>0</v>
      </c>
      <c r="M60" s="16">
        <f t="shared" si="10"/>
        <v>9137</v>
      </c>
    </row>
    <row r="61" spans="2:13" x14ac:dyDescent="0.2">
      <c r="B61" s="16" t="s">
        <v>193</v>
      </c>
      <c r="C61" s="16">
        <v>1204</v>
      </c>
      <c r="D61" s="16">
        <v>438</v>
      </c>
      <c r="E61" s="16">
        <f t="shared" si="9"/>
        <v>1642</v>
      </c>
      <c r="F61" s="17">
        <f t="shared" si="11"/>
        <v>3.3419494026418091E-2</v>
      </c>
      <c r="G61" s="16">
        <v>4920</v>
      </c>
      <c r="H61" s="16">
        <v>465</v>
      </c>
      <c r="I61" s="16">
        <v>291</v>
      </c>
      <c r="J61" s="16">
        <v>5676</v>
      </c>
      <c r="K61" s="17">
        <f t="shared" si="12"/>
        <v>4.6129089933845881E-2</v>
      </c>
      <c r="L61" s="16">
        <v>0</v>
      </c>
      <c r="M61" s="16">
        <f t="shared" si="10"/>
        <v>7318</v>
      </c>
    </row>
    <row r="62" spans="2:13" x14ac:dyDescent="0.2">
      <c r="B62" s="16" t="s">
        <v>194</v>
      </c>
      <c r="C62" s="16">
        <v>358</v>
      </c>
      <c r="D62" s="16">
        <v>104</v>
      </c>
      <c r="E62" s="16">
        <f t="shared" si="9"/>
        <v>462</v>
      </c>
      <c r="F62" s="17">
        <f t="shared" si="11"/>
        <v>9.403048867360023E-3</v>
      </c>
      <c r="G62" s="16">
        <v>1165</v>
      </c>
      <c r="H62" s="16">
        <v>58</v>
      </c>
      <c r="I62" s="16">
        <v>71</v>
      </c>
      <c r="J62" s="16">
        <v>1294</v>
      </c>
      <c r="K62" s="17">
        <f t="shared" si="12"/>
        <v>1.0516392243551193E-2</v>
      </c>
      <c r="L62" s="16">
        <v>0</v>
      </c>
      <c r="M62" s="16">
        <f t="shared" si="10"/>
        <v>1756</v>
      </c>
    </row>
    <row r="63" spans="2:13" x14ac:dyDescent="0.2">
      <c r="B63" s="16" t="s">
        <v>195</v>
      </c>
      <c r="C63" s="16">
        <v>1024</v>
      </c>
      <c r="D63" s="16">
        <v>371</v>
      </c>
      <c r="E63" s="16">
        <f t="shared" si="9"/>
        <v>1395</v>
      </c>
      <c r="F63" s="17">
        <f t="shared" si="11"/>
        <v>2.8392322878716951E-2</v>
      </c>
      <c r="G63" s="16">
        <v>3218</v>
      </c>
      <c r="H63" s="16">
        <v>180</v>
      </c>
      <c r="I63" s="16">
        <v>188</v>
      </c>
      <c r="J63" s="16">
        <v>3586</v>
      </c>
      <c r="K63" s="17">
        <f t="shared" si="12"/>
        <v>2.9143572322546038E-2</v>
      </c>
      <c r="L63" s="16">
        <v>0</v>
      </c>
      <c r="M63" s="16">
        <f t="shared" si="10"/>
        <v>4981</v>
      </c>
    </row>
    <row r="64" spans="2:13" x14ac:dyDescent="0.2">
      <c r="B64" s="16" t="s">
        <v>196</v>
      </c>
      <c r="C64" s="16">
        <v>237</v>
      </c>
      <c r="D64" s="16">
        <v>66</v>
      </c>
      <c r="E64" s="16">
        <f t="shared" si="9"/>
        <v>303</v>
      </c>
      <c r="F64" s="17">
        <f t="shared" si="11"/>
        <v>6.1669346467750795E-3</v>
      </c>
      <c r="G64" s="16">
        <v>433</v>
      </c>
      <c r="H64" s="16">
        <v>28</v>
      </c>
      <c r="I64" s="16">
        <v>27</v>
      </c>
      <c r="J64" s="16">
        <v>488</v>
      </c>
      <c r="K64" s="17">
        <f t="shared" si="12"/>
        <v>3.9659964566097234E-3</v>
      </c>
      <c r="L64" s="16">
        <v>0</v>
      </c>
      <c r="M64" s="16">
        <f t="shared" si="10"/>
        <v>791</v>
      </c>
    </row>
    <row r="65" spans="2:13" x14ac:dyDescent="0.2">
      <c r="B65" s="16" t="s">
        <v>197</v>
      </c>
      <c r="C65" s="16">
        <v>3309</v>
      </c>
      <c r="D65" s="16">
        <v>1015</v>
      </c>
      <c r="E65" s="16">
        <f t="shared" si="9"/>
        <v>4324</v>
      </c>
      <c r="F65" s="17">
        <f t="shared" si="11"/>
        <v>8.8006024464209395E-2</v>
      </c>
      <c r="G65" s="16">
        <v>9626</v>
      </c>
      <c r="H65" s="16">
        <v>954</v>
      </c>
      <c r="I65" s="16">
        <v>644</v>
      </c>
      <c r="J65" s="16">
        <v>11224</v>
      </c>
      <c r="K65" s="17">
        <f t="shared" si="12"/>
        <v>9.121791850202364E-2</v>
      </c>
      <c r="L65" s="16">
        <v>0</v>
      </c>
      <c r="M65" s="16">
        <f t="shared" si="10"/>
        <v>15548</v>
      </c>
    </row>
    <row r="66" spans="2:13" x14ac:dyDescent="0.2">
      <c r="B66" s="16" t="s">
        <v>198</v>
      </c>
      <c r="C66" s="16">
        <v>902</v>
      </c>
      <c r="D66" s="16">
        <v>323</v>
      </c>
      <c r="E66" s="16">
        <f t="shared" si="9"/>
        <v>1225</v>
      </c>
      <c r="F66" s="17">
        <f t="shared" si="11"/>
        <v>2.4932326542242485E-2</v>
      </c>
      <c r="G66" s="16">
        <v>2214</v>
      </c>
      <c r="H66" s="16">
        <v>138</v>
      </c>
      <c r="I66" s="16">
        <v>146</v>
      </c>
      <c r="J66" s="16">
        <v>2498</v>
      </c>
      <c r="K66" s="17">
        <f t="shared" si="12"/>
        <v>2.0301350714366985E-2</v>
      </c>
      <c r="L66" s="16">
        <v>0</v>
      </c>
      <c r="M66" s="16">
        <f t="shared" si="10"/>
        <v>3723</v>
      </c>
    </row>
    <row r="67" spans="2:13" x14ac:dyDescent="0.2">
      <c r="B67" s="16" t="s">
        <v>199</v>
      </c>
      <c r="C67" s="16">
        <v>629</v>
      </c>
      <c r="D67" s="16">
        <v>214</v>
      </c>
      <c r="E67" s="16">
        <f t="shared" si="9"/>
        <v>843</v>
      </c>
      <c r="F67" s="17">
        <f t="shared" si="11"/>
        <v>1.7157511244988093E-2</v>
      </c>
      <c r="G67" s="16">
        <v>1878</v>
      </c>
      <c r="H67" s="16">
        <v>164</v>
      </c>
      <c r="I67" s="16">
        <v>106</v>
      </c>
      <c r="J67" s="16">
        <v>2148</v>
      </c>
      <c r="K67" s="17">
        <f t="shared" si="12"/>
        <v>1.7456886042618209E-2</v>
      </c>
      <c r="L67" s="16">
        <v>0</v>
      </c>
      <c r="M67" s="16">
        <f t="shared" si="10"/>
        <v>2991</v>
      </c>
    </row>
    <row r="68" spans="2:13" x14ac:dyDescent="0.2">
      <c r="B68" s="16" t="s">
        <v>200</v>
      </c>
      <c r="C68" s="16">
        <v>7006</v>
      </c>
      <c r="D68" s="16">
        <v>2646</v>
      </c>
      <c r="E68" s="16">
        <f t="shared" si="9"/>
        <v>9652</v>
      </c>
      <c r="F68" s="17">
        <f t="shared" si="11"/>
        <v>0.19644638023324446</v>
      </c>
      <c r="G68" s="16">
        <v>21207</v>
      </c>
      <c r="H68" s="16">
        <v>2644</v>
      </c>
      <c r="I68" s="16">
        <v>1674</v>
      </c>
      <c r="J68" s="16">
        <v>25525</v>
      </c>
      <c r="K68" s="17">
        <f t="shared" si="12"/>
        <v>0.20744274498967866</v>
      </c>
      <c r="L68" s="16">
        <v>0</v>
      </c>
      <c r="M68" s="16">
        <f t="shared" si="10"/>
        <v>35177</v>
      </c>
    </row>
    <row r="69" spans="2:13" x14ac:dyDescent="0.2">
      <c r="B69" s="16" t="s">
        <v>31</v>
      </c>
      <c r="C69" s="16">
        <v>973</v>
      </c>
      <c r="D69" s="16">
        <v>522</v>
      </c>
      <c r="E69" s="16">
        <f t="shared" si="9"/>
        <v>1495</v>
      </c>
      <c r="F69" s="17">
        <f t="shared" si="11"/>
        <v>3.0427614841348993E-2</v>
      </c>
      <c r="G69" s="16">
        <v>2561</v>
      </c>
      <c r="H69" s="16">
        <v>263</v>
      </c>
      <c r="I69" s="16">
        <v>272</v>
      </c>
      <c r="J69" s="16">
        <v>3096</v>
      </c>
      <c r="K69" s="17">
        <f t="shared" si="12"/>
        <v>2.5161321782097752E-2</v>
      </c>
      <c r="L69" s="16">
        <v>0</v>
      </c>
      <c r="M69" s="16">
        <f t="shared" si="10"/>
        <v>4591</v>
      </c>
    </row>
    <row r="70" spans="2:13" x14ac:dyDescent="0.2">
      <c r="B70" s="16" t="s">
        <v>201</v>
      </c>
      <c r="C70" s="16">
        <v>330</v>
      </c>
      <c r="D70" s="16">
        <v>141</v>
      </c>
      <c r="E70" s="16">
        <f t="shared" si="9"/>
        <v>471</v>
      </c>
      <c r="F70" s="17">
        <f t="shared" si="11"/>
        <v>9.5862251439969067E-3</v>
      </c>
      <c r="G70" s="16">
        <v>954</v>
      </c>
      <c r="H70" s="16">
        <v>43</v>
      </c>
      <c r="I70" s="16">
        <v>61</v>
      </c>
      <c r="J70" s="16">
        <v>1058</v>
      </c>
      <c r="K70" s="17">
        <f t="shared" si="12"/>
        <v>8.5984103506005875E-3</v>
      </c>
      <c r="L70" s="16">
        <v>0</v>
      </c>
      <c r="M70" s="16">
        <f t="shared" si="10"/>
        <v>1529</v>
      </c>
    </row>
    <row r="71" spans="2:13" x14ac:dyDescent="0.2">
      <c r="B71" s="16" t="s">
        <v>202</v>
      </c>
      <c r="C71" s="16">
        <v>539</v>
      </c>
      <c r="D71" s="16">
        <v>189</v>
      </c>
      <c r="E71" s="16">
        <f t="shared" si="9"/>
        <v>728</v>
      </c>
      <c r="F71" s="17">
        <f t="shared" si="11"/>
        <v>1.4816925487961248E-2</v>
      </c>
      <c r="G71" s="16">
        <v>1495</v>
      </c>
      <c r="H71" s="16">
        <v>98</v>
      </c>
      <c r="I71" s="16">
        <v>91</v>
      </c>
      <c r="J71" s="16">
        <v>1684</v>
      </c>
      <c r="K71" s="17">
        <f t="shared" si="12"/>
        <v>1.3685938592071258E-2</v>
      </c>
      <c r="L71" s="16">
        <v>0</v>
      </c>
      <c r="M71" s="16">
        <f t="shared" si="10"/>
        <v>2412</v>
      </c>
    </row>
    <row r="72" spans="2:13" x14ac:dyDescent="0.2">
      <c r="B72" s="16" t="s">
        <v>203</v>
      </c>
      <c r="C72" s="16">
        <v>3759</v>
      </c>
      <c r="D72" s="16">
        <v>1273</v>
      </c>
      <c r="E72" s="16">
        <f t="shared" si="9"/>
        <v>5032</v>
      </c>
      <c r="F72" s="17">
        <f t="shared" si="11"/>
        <v>0.10241589155964423</v>
      </c>
      <c r="G72" s="16">
        <v>14774</v>
      </c>
      <c r="H72" s="16">
        <v>1615</v>
      </c>
      <c r="I72" s="16">
        <v>1089</v>
      </c>
      <c r="J72" s="16">
        <v>17478</v>
      </c>
      <c r="K72" s="17">
        <f t="shared" si="12"/>
        <v>0.14204443866521463</v>
      </c>
      <c r="L72" s="16">
        <v>0</v>
      </c>
      <c r="M72" s="16">
        <f t="shared" si="10"/>
        <v>22510</v>
      </c>
    </row>
    <row r="73" spans="2:13" x14ac:dyDescent="0.2">
      <c r="B73" s="16" t="s">
        <v>204</v>
      </c>
      <c r="C73" s="16">
        <v>642</v>
      </c>
      <c r="D73" s="16">
        <v>220</v>
      </c>
      <c r="E73" s="16">
        <f t="shared" si="9"/>
        <v>862</v>
      </c>
      <c r="F73" s="17">
        <f t="shared" si="11"/>
        <v>1.7544216717888181E-2</v>
      </c>
      <c r="G73" s="16">
        <v>2011</v>
      </c>
      <c r="H73" s="16">
        <v>139</v>
      </c>
      <c r="I73" s="16">
        <v>122</v>
      </c>
      <c r="J73" s="16">
        <v>2272</v>
      </c>
      <c r="K73" s="17">
        <f t="shared" si="12"/>
        <v>1.8464639240609204E-2</v>
      </c>
      <c r="L73" s="16">
        <v>0</v>
      </c>
      <c r="M73" s="16">
        <f t="shared" si="10"/>
        <v>3134</v>
      </c>
    </row>
    <row r="74" spans="2:13" x14ac:dyDescent="0.2">
      <c r="B74" s="16" t="s">
        <v>205</v>
      </c>
      <c r="C74" s="16">
        <v>542</v>
      </c>
      <c r="D74" s="16">
        <v>158</v>
      </c>
      <c r="E74" s="16">
        <f t="shared" si="9"/>
        <v>700</v>
      </c>
      <c r="F74" s="17">
        <f t="shared" si="11"/>
        <v>1.4247043738424277E-2</v>
      </c>
      <c r="G74" s="16">
        <v>1319</v>
      </c>
      <c r="H74" s="16">
        <v>94</v>
      </c>
      <c r="I74" s="16">
        <v>82</v>
      </c>
      <c r="J74" s="16">
        <v>1495</v>
      </c>
      <c r="K74" s="17">
        <f t="shared" si="12"/>
        <v>1.2149927669326918E-2</v>
      </c>
      <c r="L74" s="16">
        <v>0</v>
      </c>
      <c r="M74" s="16">
        <f t="shared" si="10"/>
        <v>2195</v>
      </c>
    </row>
    <row r="75" spans="2:13" x14ac:dyDescent="0.2">
      <c r="B75" s="16" t="s">
        <v>206</v>
      </c>
      <c r="C75" s="16">
        <v>461</v>
      </c>
      <c r="D75" s="16">
        <v>193</v>
      </c>
      <c r="E75" s="16">
        <f t="shared" si="9"/>
        <v>654</v>
      </c>
      <c r="F75" s="17">
        <f t="shared" si="11"/>
        <v>1.3310809435613538E-2</v>
      </c>
      <c r="G75" s="16">
        <v>965</v>
      </c>
      <c r="H75" s="16">
        <v>58</v>
      </c>
      <c r="I75" s="16">
        <v>82</v>
      </c>
      <c r="J75" s="16">
        <v>1105</v>
      </c>
      <c r="K75" s="17">
        <f t="shared" si="12"/>
        <v>8.9803813208068524E-3</v>
      </c>
      <c r="L75" s="16">
        <v>0</v>
      </c>
      <c r="M75" s="16">
        <f t="shared" si="10"/>
        <v>1759</v>
      </c>
    </row>
    <row r="76" spans="2:13" x14ac:dyDescent="0.2">
      <c r="B76" s="16" t="s">
        <v>207</v>
      </c>
      <c r="C76" s="16">
        <v>1544</v>
      </c>
      <c r="D76" s="16">
        <v>748</v>
      </c>
      <c r="E76" s="16">
        <f t="shared" si="9"/>
        <v>2292</v>
      </c>
      <c r="F76" s="17">
        <f t="shared" si="11"/>
        <v>4.6648891783526346E-2</v>
      </c>
      <c r="G76" s="16">
        <v>4320</v>
      </c>
      <c r="H76" s="16">
        <v>366</v>
      </c>
      <c r="I76" s="16">
        <v>321</v>
      </c>
      <c r="J76" s="16">
        <v>5007</v>
      </c>
      <c r="K76" s="17">
        <f t="shared" si="12"/>
        <v>4.0692098889846075E-2</v>
      </c>
      <c r="L76" s="16">
        <v>0</v>
      </c>
      <c r="M76" s="16">
        <f t="shared" si="10"/>
        <v>7299</v>
      </c>
    </row>
    <row r="77" spans="2:13" x14ac:dyDescent="0.2">
      <c r="B77" s="16" t="s">
        <v>208</v>
      </c>
      <c r="C77" s="16">
        <v>1638</v>
      </c>
      <c r="D77" s="16">
        <v>499</v>
      </c>
      <c r="E77" s="16">
        <f t="shared" si="9"/>
        <v>2137</v>
      </c>
      <c r="F77" s="17">
        <f t="shared" si="11"/>
        <v>4.3494189241446685E-2</v>
      </c>
      <c r="G77" s="16">
        <v>5031</v>
      </c>
      <c r="H77" s="16">
        <v>423</v>
      </c>
      <c r="I77" s="16">
        <v>263</v>
      </c>
      <c r="J77" s="16">
        <v>5717</v>
      </c>
      <c r="K77" s="17">
        <f t="shared" si="12"/>
        <v>4.6462298652536448E-2</v>
      </c>
      <c r="L77" s="16">
        <v>0</v>
      </c>
      <c r="M77" s="16">
        <f t="shared" si="10"/>
        <v>7854</v>
      </c>
    </row>
    <row r="78" spans="2:13" x14ac:dyDescent="0.2">
      <c r="B78" s="16" t="s">
        <v>209</v>
      </c>
      <c r="C78" s="16">
        <v>739</v>
      </c>
      <c r="D78" s="16">
        <v>298</v>
      </c>
      <c r="E78" s="16">
        <f t="shared" si="9"/>
        <v>1037</v>
      </c>
      <c r="F78" s="17">
        <f t="shared" si="11"/>
        <v>2.1105977652494251E-2</v>
      </c>
      <c r="G78" s="16">
        <v>2185</v>
      </c>
      <c r="H78" s="16">
        <v>119</v>
      </c>
      <c r="I78" s="16">
        <v>138</v>
      </c>
      <c r="J78" s="16">
        <v>2442</v>
      </c>
      <c r="K78" s="17">
        <f t="shared" si="12"/>
        <v>1.984623636688718E-2</v>
      </c>
      <c r="L78" s="16">
        <v>0</v>
      </c>
      <c r="M78" s="16">
        <f t="shared" si="10"/>
        <v>3479</v>
      </c>
    </row>
    <row r="79" spans="2:13" x14ac:dyDescent="0.2">
      <c r="B79" s="16" t="s">
        <v>210</v>
      </c>
      <c r="C79" s="16">
        <v>1774</v>
      </c>
      <c r="D79" s="16">
        <v>594</v>
      </c>
      <c r="E79" s="16">
        <f t="shared" si="9"/>
        <v>2368</v>
      </c>
      <c r="F79" s="17">
        <f t="shared" si="11"/>
        <v>4.8195713675126699E-2</v>
      </c>
      <c r="G79" s="16">
        <v>4804</v>
      </c>
      <c r="H79" s="16">
        <v>391</v>
      </c>
      <c r="I79" s="16">
        <v>382</v>
      </c>
      <c r="J79" s="16">
        <v>5577</v>
      </c>
      <c r="K79" s="17">
        <f t="shared" si="12"/>
        <v>4.5324512783836937E-2</v>
      </c>
      <c r="L79" s="16">
        <v>0</v>
      </c>
      <c r="M79" s="16">
        <f t="shared" si="10"/>
        <v>7945</v>
      </c>
    </row>
    <row r="80" spans="2:13" x14ac:dyDescent="0.2">
      <c r="B80" s="18" t="s">
        <v>39</v>
      </c>
      <c r="C80" s="16">
        <f t="shared" ref="C80:D80" si="13">SUM(C50:C79)</f>
        <v>36230</v>
      </c>
      <c r="D80" s="16">
        <f t="shared" si="13"/>
        <v>12903</v>
      </c>
      <c r="E80" s="18">
        <f>C80+D80</f>
        <v>49133</v>
      </c>
      <c r="F80" s="39">
        <f t="shared" ref="F80" si="14">E80/$E$80</f>
        <v>1</v>
      </c>
      <c r="G80" s="16">
        <f t="shared" ref="G80:J80" si="15">SUM(G50:G79)</f>
        <v>105952</v>
      </c>
      <c r="H80" s="16">
        <f t="shared" si="15"/>
        <v>9596</v>
      </c>
      <c r="I80" s="16">
        <f t="shared" si="15"/>
        <v>7498</v>
      </c>
      <c r="J80" s="16">
        <f t="shared" si="15"/>
        <v>123046</v>
      </c>
      <c r="K80" s="17">
        <f t="shared" si="12"/>
        <v>1</v>
      </c>
      <c r="L80" s="16">
        <f t="shared" ref="L80" si="16">SUM(L50:L79)</f>
        <v>0</v>
      </c>
      <c r="M80" s="16">
        <f t="shared" si="10"/>
        <v>172179</v>
      </c>
    </row>
    <row r="81" spans="2:13" ht="24" x14ac:dyDescent="0.2">
      <c r="B81" s="28" t="s">
        <v>45</v>
      </c>
      <c r="C81" s="29">
        <f>+C80/M80</f>
        <v>0.21042055070595136</v>
      </c>
      <c r="D81" s="29">
        <f>+D80/M80</f>
        <v>7.4939452546477797E-2</v>
      </c>
      <c r="E81" s="30">
        <f>+E80/M80</f>
        <v>0.28536000325242916</v>
      </c>
      <c r="F81" s="30"/>
      <c r="G81" s="29">
        <f>+G80/M80</f>
        <v>0.61535959669878437</v>
      </c>
      <c r="H81" s="29">
        <f>+H80/M80</f>
        <v>5.5732696786483835E-2</v>
      </c>
      <c r="I81" s="29">
        <f>+I80/M80</f>
        <v>4.3547703262302603E-2</v>
      </c>
      <c r="J81" s="30">
        <f>+J80/M80</f>
        <v>0.71463999674757084</v>
      </c>
      <c r="K81" s="30"/>
      <c r="L81" s="30">
        <f>+L80/M80</f>
        <v>0</v>
      </c>
      <c r="M81" s="30">
        <f>J81+L81+E81</f>
        <v>1</v>
      </c>
    </row>
    <row r="82" spans="2:13" x14ac:dyDescent="0.2">
      <c r="B82" s="21" t="s">
        <v>78</v>
      </c>
    </row>
    <row r="83" spans="2:13" x14ac:dyDescent="0.2">
      <c r="B83" s="21" t="s">
        <v>79</v>
      </c>
    </row>
  </sheetData>
  <mergeCells count="10">
    <mergeCell ref="B6:K6"/>
    <mergeCell ref="B5:K5"/>
    <mergeCell ref="B44:K44"/>
    <mergeCell ref="B45:K45"/>
    <mergeCell ref="B8:M8"/>
    <mergeCell ref="B48:B49"/>
    <mergeCell ref="B9:B10"/>
    <mergeCell ref="C9:L9"/>
    <mergeCell ref="C48:L48"/>
    <mergeCell ref="B47:M47"/>
  </mergeCells>
  <hyperlinks>
    <hyperlink ref="M5" location="'Índice PGU y SPS'!A1" display="Volver Sistema de Pensiones Solidarias" xr:uid="{FC288CE1-E367-4E96-8F18-59AFF47C59F9}"/>
  </hyperlinks>
  <pageMargins left="0.74803149606299213" right="0.74803149606299213" top="0.98425196850393704" bottom="0.98425196850393704" header="0" footer="0"/>
  <pageSetup scale="83" fitToHeight="2" orientation="portrait" r:id="rId1"/>
  <headerFooter alignWithMargins="0"/>
  <rowBreaks count="1" manualBreakCount="1">
    <brk id="47" min="1" max="12"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65"/>
  <sheetViews>
    <sheetView showGridLines="0" zoomScaleNormal="100" workbookViewId="0">
      <selection activeCell="M35" sqref="M35"/>
    </sheetView>
  </sheetViews>
  <sheetFormatPr baseColWidth="10" defaultRowHeight="12" x14ac:dyDescent="0.2"/>
  <cols>
    <col min="1" max="1" width="6" style="22" customWidth="1"/>
    <col min="2" max="2" width="18.140625" style="22" customWidth="1"/>
    <col min="3" max="3" width="7.85546875" style="22" bestFit="1" customWidth="1"/>
    <col min="4" max="4" width="7.28515625" style="22" bestFit="1" customWidth="1"/>
    <col min="5" max="6" width="7.28515625" style="22" customWidth="1"/>
    <col min="7" max="8" width="7.28515625" style="22" bestFit="1" customWidth="1"/>
    <col min="9" max="11" width="7.28515625" style="22" customWidth="1"/>
    <col min="12" max="12" width="9.7109375" style="22" hidden="1" customWidth="1"/>
    <col min="13" max="251" width="11.42578125" style="22"/>
    <col min="252" max="252" width="18.140625" style="22" customWidth="1"/>
    <col min="253" max="253" width="7.85546875" style="22" bestFit="1" customWidth="1"/>
    <col min="254" max="254" width="7.28515625" style="22" bestFit="1" customWidth="1"/>
    <col min="255" max="256" width="7.28515625" style="22" customWidth="1"/>
    <col min="257" max="258" width="7.28515625" style="22" bestFit="1" customWidth="1"/>
    <col min="259" max="261" width="7.28515625" style="22" customWidth="1"/>
    <col min="262" max="267" width="0" style="22" hidden="1" customWidth="1"/>
    <col min="268" max="268" width="9.7109375" style="22" customWidth="1"/>
    <col min="269" max="507" width="11.42578125" style="22"/>
    <col min="508" max="508" width="18.140625" style="22" customWidth="1"/>
    <col min="509" max="509" width="7.85546875" style="22" bestFit="1" customWidth="1"/>
    <col min="510" max="510" width="7.28515625" style="22" bestFit="1" customWidth="1"/>
    <col min="511" max="512" width="7.28515625" style="22" customWidth="1"/>
    <col min="513" max="514" width="7.28515625" style="22" bestFit="1" customWidth="1"/>
    <col min="515" max="517" width="7.28515625" style="22" customWidth="1"/>
    <col min="518" max="523" width="0" style="22" hidden="1" customWidth="1"/>
    <col min="524" max="524" width="9.7109375" style="22" customWidth="1"/>
    <col min="525" max="763" width="11.42578125" style="22"/>
    <col min="764" max="764" width="18.140625" style="22" customWidth="1"/>
    <col min="765" max="765" width="7.85546875" style="22" bestFit="1" customWidth="1"/>
    <col min="766" max="766" width="7.28515625" style="22" bestFit="1" customWidth="1"/>
    <col min="767" max="768" width="7.28515625" style="22" customWidth="1"/>
    <col min="769" max="770" width="7.28515625" style="22" bestFit="1" customWidth="1"/>
    <col min="771" max="773" width="7.28515625" style="22" customWidth="1"/>
    <col min="774" max="779" width="0" style="22" hidden="1" customWidth="1"/>
    <col min="780" max="780" width="9.7109375" style="22" customWidth="1"/>
    <col min="781" max="1019" width="11.42578125" style="22"/>
    <col min="1020" max="1020" width="18.140625" style="22" customWidth="1"/>
    <col min="1021" max="1021" width="7.85546875" style="22" bestFit="1" customWidth="1"/>
    <col min="1022" max="1022" width="7.28515625" style="22" bestFit="1" customWidth="1"/>
    <col min="1023" max="1024" width="7.28515625" style="22" customWidth="1"/>
    <col min="1025" max="1026" width="7.28515625" style="22" bestFit="1" customWidth="1"/>
    <col min="1027" max="1029" width="7.28515625" style="22" customWidth="1"/>
    <col min="1030" max="1035" width="0" style="22" hidden="1" customWidth="1"/>
    <col min="1036" max="1036" width="9.7109375" style="22" customWidth="1"/>
    <col min="1037" max="1275" width="11.42578125" style="22"/>
    <col min="1276" max="1276" width="18.140625" style="22" customWidth="1"/>
    <col min="1277" max="1277" width="7.85546875" style="22" bestFit="1" customWidth="1"/>
    <col min="1278" max="1278" width="7.28515625" style="22" bestFit="1" customWidth="1"/>
    <col min="1279" max="1280" width="7.28515625" style="22" customWidth="1"/>
    <col min="1281" max="1282" width="7.28515625" style="22" bestFit="1" customWidth="1"/>
    <col min="1283" max="1285" width="7.28515625" style="22" customWidth="1"/>
    <col min="1286" max="1291" width="0" style="22" hidden="1" customWidth="1"/>
    <col min="1292" max="1292" width="9.7109375" style="22" customWidth="1"/>
    <col min="1293" max="1531" width="11.42578125" style="22"/>
    <col min="1532" max="1532" width="18.140625" style="22" customWidth="1"/>
    <col min="1533" max="1533" width="7.85546875" style="22" bestFit="1" customWidth="1"/>
    <col min="1534" max="1534" width="7.28515625" style="22" bestFit="1" customWidth="1"/>
    <col min="1535" max="1536" width="7.28515625" style="22" customWidth="1"/>
    <col min="1537" max="1538" width="7.28515625" style="22" bestFit="1" customWidth="1"/>
    <col min="1539" max="1541" width="7.28515625" style="22" customWidth="1"/>
    <col min="1542" max="1547" width="0" style="22" hidden="1" customWidth="1"/>
    <col min="1548" max="1548" width="9.7109375" style="22" customWidth="1"/>
    <col min="1549" max="1787" width="11.42578125" style="22"/>
    <col min="1788" max="1788" width="18.140625" style="22" customWidth="1"/>
    <col min="1789" max="1789" width="7.85546875" style="22" bestFit="1" customWidth="1"/>
    <col min="1790" max="1790" width="7.28515625" style="22" bestFit="1" customWidth="1"/>
    <col min="1791" max="1792" width="7.28515625" style="22" customWidth="1"/>
    <col min="1793" max="1794" width="7.28515625" style="22" bestFit="1" customWidth="1"/>
    <col min="1795" max="1797" width="7.28515625" style="22" customWidth="1"/>
    <col min="1798" max="1803" width="0" style="22" hidden="1" customWidth="1"/>
    <col min="1804" max="1804" width="9.7109375" style="22" customWidth="1"/>
    <col min="1805" max="2043" width="11.42578125" style="22"/>
    <col min="2044" max="2044" width="18.140625" style="22" customWidth="1"/>
    <col min="2045" max="2045" width="7.85546875" style="22" bestFit="1" customWidth="1"/>
    <col min="2046" max="2046" width="7.28515625" style="22" bestFit="1" customWidth="1"/>
    <col min="2047" max="2048" width="7.28515625" style="22" customWidth="1"/>
    <col min="2049" max="2050" width="7.28515625" style="22" bestFit="1" customWidth="1"/>
    <col min="2051" max="2053" width="7.28515625" style="22" customWidth="1"/>
    <col min="2054" max="2059" width="0" style="22" hidden="1" customWidth="1"/>
    <col min="2060" max="2060" width="9.7109375" style="22" customWidth="1"/>
    <col min="2061" max="2299" width="11.42578125" style="22"/>
    <col min="2300" max="2300" width="18.140625" style="22" customWidth="1"/>
    <col min="2301" max="2301" width="7.85546875" style="22" bestFit="1" customWidth="1"/>
    <col min="2302" max="2302" width="7.28515625" style="22" bestFit="1" customWidth="1"/>
    <col min="2303" max="2304" width="7.28515625" style="22" customWidth="1"/>
    <col min="2305" max="2306" width="7.28515625" style="22" bestFit="1" customWidth="1"/>
    <col min="2307" max="2309" width="7.28515625" style="22" customWidth="1"/>
    <col min="2310" max="2315" width="0" style="22" hidden="1" customWidth="1"/>
    <col min="2316" max="2316" width="9.7109375" style="22" customWidth="1"/>
    <col min="2317" max="2555" width="11.42578125" style="22"/>
    <col min="2556" max="2556" width="18.140625" style="22" customWidth="1"/>
    <col min="2557" max="2557" width="7.85546875" style="22" bestFit="1" customWidth="1"/>
    <col min="2558" max="2558" width="7.28515625" style="22" bestFit="1" customWidth="1"/>
    <col min="2559" max="2560" width="7.28515625" style="22" customWidth="1"/>
    <col min="2561" max="2562" width="7.28515625" style="22" bestFit="1" customWidth="1"/>
    <col min="2563" max="2565" width="7.28515625" style="22" customWidth="1"/>
    <col min="2566" max="2571" width="0" style="22" hidden="1" customWidth="1"/>
    <col min="2572" max="2572" width="9.7109375" style="22" customWidth="1"/>
    <col min="2573" max="2811" width="11.42578125" style="22"/>
    <col min="2812" max="2812" width="18.140625" style="22" customWidth="1"/>
    <col min="2813" max="2813" width="7.85546875" style="22" bestFit="1" customWidth="1"/>
    <col min="2814" max="2814" width="7.28515625" style="22" bestFit="1" customWidth="1"/>
    <col min="2815" max="2816" width="7.28515625" style="22" customWidth="1"/>
    <col min="2817" max="2818" width="7.28515625" style="22" bestFit="1" customWidth="1"/>
    <col min="2819" max="2821" width="7.28515625" style="22" customWidth="1"/>
    <col min="2822" max="2827" width="0" style="22" hidden="1" customWidth="1"/>
    <col min="2828" max="2828" width="9.7109375" style="22" customWidth="1"/>
    <col min="2829" max="3067" width="11.42578125" style="22"/>
    <col min="3068" max="3068" width="18.140625" style="22" customWidth="1"/>
    <col min="3069" max="3069" width="7.85546875" style="22" bestFit="1" customWidth="1"/>
    <col min="3070" max="3070" width="7.28515625" style="22" bestFit="1" customWidth="1"/>
    <col min="3071" max="3072" width="7.28515625" style="22" customWidth="1"/>
    <col min="3073" max="3074" width="7.28515625" style="22" bestFit="1" customWidth="1"/>
    <col min="3075" max="3077" width="7.28515625" style="22" customWidth="1"/>
    <col min="3078" max="3083" width="0" style="22" hidden="1" customWidth="1"/>
    <col min="3084" max="3084" width="9.7109375" style="22" customWidth="1"/>
    <col min="3085" max="3323" width="11.42578125" style="22"/>
    <col min="3324" max="3324" width="18.140625" style="22" customWidth="1"/>
    <col min="3325" max="3325" width="7.85546875" style="22" bestFit="1" customWidth="1"/>
    <col min="3326" max="3326" width="7.28515625" style="22" bestFit="1" customWidth="1"/>
    <col min="3327" max="3328" width="7.28515625" style="22" customWidth="1"/>
    <col min="3329" max="3330" width="7.28515625" style="22" bestFit="1" customWidth="1"/>
    <col min="3331" max="3333" width="7.28515625" style="22" customWidth="1"/>
    <col min="3334" max="3339" width="0" style="22" hidden="1" customWidth="1"/>
    <col min="3340" max="3340" width="9.7109375" style="22" customWidth="1"/>
    <col min="3341" max="3579" width="11.42578125" style="22"/>
    <col min="3580" max="3580" width="18.140625" style="22" customWidth="1"/>
    <col min="3581" max="3581" width="7.85546875" style="22" bestFit="1" customWidth="1"/>
    <col min="3582" max="3582" width="7.28515625" style="22" bestFit="1" customWidth="1"/>
    <col min="3583" max="3584" width="7.28515625" style="22" customWidth="1"/>
    <col min="3585" max="3586" width="7.28515625" style="22" bestFit="1" customWidth="1"/>
    <col min="3587" max="3589" width="7.28515625" style="22" customWidth="1"/>
    <col min="3590" max="3595" width="0" style="22" hidden="1" customWidth="1"/>
    <col min="3596" max="3596" width="9.7109375" style="22" customWidth="1"/>
    <col min="3597" max="3835" width="11.42578125" style="22"/>
    <col min="3836" max="3836" width="18.140625" style="22" customWidth="1"/>
    <col min="3837" max="3837" width="7.85546875" style="22" bestFit="1" customWidth="1"/>
    <col min="3838" max="3838" width="7.28515625" style="22" bestFit="1" customWidth="1"/>
    <col min="3839" max="3840" width="7.28515625" style="22" customWidth="1"/>
    <col min="3841" max="3842" width="7.28515625" style="22" bestFit="1" customWidth="1"/>
    <col min="3843" max="3845" width="7.28515625" style="22" customWidth="1"/>
    <col min="3846" max="3851" width="0" style="22" hidden="1" customWidth="1"/>
    <col min="3852" max="3852" width="9.7109375" style="22" customWidth="1"/>
    <col min="3853" max="4091" width="11.42578125" style="22"/>
    <col min="4092" max="4092" width="18.140625" style="22" customWidth="1"/>
    <col min="4093" max="4093" width="7.85546875" style="22" bestFit="1" customWidth="1"/>
    <col min="4094" max="4094" width="7.28515625" style="22" bestFit="1" customWidth="1"/>
    <col min="4095" max="4096" width="7.28515625" style="22" customWidth="1"/>
    <col min="4097" max="4098" width="7.28515625" style="22" bestFit="1" customWidth="1"/>
    <col min="4099" max="4101" width="7.28515625" style="22" customWidth="1"/>
    <col min="4102" max="4107" width="0" style="22" hidden="1" customWidth="1"/>
    <col min="4108" max="4108" width="9.7109375" style="22" customWidth="1"/>
    <col min="4109" max="4347" width="11.42578125" style="22"/>
    <col min="4348" max="4348" width="18.140625" style="22" customWidth="1"/>
    <col min="4349" max="4349" width="7.85546875" style="22" bestFit="1" customWidth="1"/>
    <col min="4350" max="4350" width="7.28515625" style="22" bestFit="1" customWidth="1"/>
    <col min="4351" max="4352" width="7.28515625" style="22" customWidth="1"/>
    <col min="4353" max="4354" width="7.28515625" style="22" bestFit="1" customWidth="1"/>
    <col min="4355" max="4357" width="7.28515625" style="22" customWidth="1"/>
    <col min="4358" max="4363" width="0" style="22" hidden="1" customWidth="1"/>
    <col min="4364" max="4364" width="9.7109375" style="22" customWidth="1"/>
    <col min="4365" max="4603" width="11.42578125" style="22"/>
    <col min="4604" max="4604" width="18.140625" style="22" customWidth="1"/>
    <col min="4605" max="4605" width="7.85546875" style="22" bestFit="1" customWidth="1"/>
    <col min="4606" max="4606" width="7.28515625" style="22" bestFit="1" customWidth="1"/>
    <col min="4607" max="4608" width="7.28515625" style="22" customWidth="1"/>
    <col min="4609" max="4610" width="7.28515625" style="22" bestFit="1" customWidth="1"/>
    <col min="4611" max="4613" width="7.28515625" style="22" customWidth="1"/>
    <col min="4614" max="4619" width="0" style="22" hidden="1" customWidth="1"/>
    <col min="4620" max="4620" width="9.7109375" style="22" customWidth="1"/>
    <col min="4621" max="4859" width="11.42578125" style="22"/>
    <col min="4860" max="4860" width="18.140625" style="22" customWidth="1"/>
    <col min="4861" max="4861" width="7.85546875" style="22" bestFit="1" customWidth="1"/>
    <col min="4862" max="4862" width="7.28515625" style="22" bestFit="1" customWidth="1"/>
    <col min="4863" max="4864" width="7.28515625" style="22" customWidth="1"/>
    <col min="4865" max="4866" width="7.28515625" style="22" bestFit="1" customWidth="1"/>
    <col min="4867" max="4869" width="7.28515625" style="22" customWidth="1"/>
    <col min="4870" max="4875" width="0" style="22" hidden="1" customWidth="1"/>
    <col min="4876" max="4876" width="9.7109375" style="22" customWidth="1"/>
    <col min="4877" max="5115" width="11.42578125" style="22"/>
    <col min="5116" max="5116" width="18.140625" style="22" customWidth="1"/>
    <col min="5117" max="5117" width="7.85546875" style="22" bestFit="1" customWidth="1"/>
    <col min="5118" max="5118" width="7.28515625" style="22" bestFit="1" customWidth="1"/>
    <col min="5119" max="5120" width="7.28515625" style="22" customWidth="1"/>
    <col min="5121" max="5122" width="7.28515625" style="22" bestFit="1" customWidth="1"/>
    <col min="5123" max="5125" width="7.28515625" style="22" customWidth="1"/>
    <col min="5126" max="5131" width="0" style="22" hidden="1" customWidth="1"/>
    <col min="5132" max="5132" width="9.7109375" style="22" customWidth="1"/>
    <col min="5133" max="5371" width="11.42578125" style="22"/>
    <col min="5372" max="5372" width="18.140625" style="22" customWidth="1"/>
    <col min="5373" max="5373" width="7.85546875" style="22" bestFit="1" customWidth="1"/>
    <col min="5374" max="5374" width="7.28515625" style="22" bestFit="1" customWidth="1"/>
    <col min="5375" max="5376" width="7.28515625" style="22" customWidth="1"/>
    <col min="5377" max="5378" width="7.28515625" style="22" bestFit="1" customWidth="1"/>
    <col min="5379" max="5381" width="7.28515625" style="22" customWidth="1"/>
    <col min="5382" max="5387" width="0" style="22" hidden="1" customWidth="1"/>
    <col min="5388" max="5388" width="9.7109375" style="22" customWidth="1"/>
    <col min="5389" max="5627" width="11.42578125" style="22"/>
    <col min="5628" max="5628" width="18.140625" style="22" customWidth="1"/>
    <col min="5629" max="5629" width="7.85546875" style="22" bestFit="1" customWidth="1"/>
    <col min="5630" max="5630" width="7.28515625" style="22" bestFit="1" customWidth="1"/>
    <col min="5631" max="5632" width="7.28515625" style="22" customWidth="1"/>
    <col min="5633" max="5634" width="7.28515625" style="22" bestFit="1" customWidth="1"/>
    <col min="5635" max="5637" width="7.28515625" style="22" customWidth="1"/>
    <col min="5638" max="5643" width="0" style="22" hidden="1" customWidth="1"/>
    <col min="5644" max="5644" width="9.7109375" style="22" customWidth="1"/>
    <col min="5645" max="5883" width="11.42578125" style="22"/>
    <col min="5884" max="5884" width="18.140625" style="22" customWidth="1"/>
    <col min="5885" max="5885" width="7.85546875" style="22" bestFit="1" customWidth="1"/>
    <col min="5886" max="5886" width="7.28515625" style="22" bestFit="1" customWidth="1"/>
    <col min="5887" max="5888" width="7.28515625" style="22" customWidth="1"/>
    <col min="5889" max="5890" width="7.28515625" style="22" bestFit="1" customWidth="1"/>
    <col min="5891" max="5893" width="7.28515625" style="22" customWidth="1"/>
    <col min="5894" max="5899" width="0" style="22" hidden="1" customWidth="1"/>
    <col min="5900" max="5900" width="9.7109375" style="22" customWidth="1"/>
    <col min="5901" max="6139" width="11.42578125" style="22"/>
    <col min="6140" max="6140" width="18.140625" style="22" customWidth="1"/>
    <col min="6141" max="6141" width="7.85546875" style="22" bestFit="1" customWidth="1"/>
    <col min="6142" max="6142" width="7.28515625" style="22" bestFit="1" customWidth="1"/>
    <col min="6143" max="6144" width="7.28515625" style="22" customWidth="1"/>
    <col min="6145" max="6146" width="7.28515625" style="22" bestFit="1" customWidth="1"/>
    <col min="6147" max="6149" width="7.28515625" style="22" customWidth="1"/>
    <col min="6150" max="6155" width="0" style="22" hidden="1" customWidth="1"/>
    <col min="6156" max="6156" width="9.7109375" style="22" customWidth="1"/>
    <col min="6157" max="6395" width="11.42578125" style="22"/>
    <col min="6396" max="6396" width="18.140625" style="22" customWidth="1"/>
    <col min="6397" max="6397" width="7.85546875" style="22" bestFit="1" customWidth="1"/>
    <col min="6398" max="6398" width="7.28515625" style="22" bestFit="1" customWidth="1"/>
    <col min="6399" max="6400" width="7.28515625" style="22" customWidth="1"/>
    <col min="6401" max="6402" width="7.28515625" style="22" bestFit="1" customWidth="1"/>
    <col min="6403" max="6405" width="7.28515625" style="22" customWidth="1"/>
    <col min="6406" max="6411" width="0" style="22" hidden="1" customWidth="1"/>
    <col min="6412" max="6412" width="9.7109375" style="22" customWidth="1"/>
    <col min="6413" max="6651" width="11.42578125" style="22"/>
    <col min="6652" max="6652" width="18.140625" style="22" customWidth="1"/>
    <col min="6653" max="6653" width="7.85546875" style="22" bestFit="1" customWidth="1"/>
    <col min="6654" max="6654" width="7.28515625" style="22" bestFit="1" customWidth="1"/>
    <col min="6655" max="6656" width="7.28515625" style="22" customWidth="1"/>
    <col min="6657" max="6658" width="7.28515625" style="22" bestFit="1" customWidth="1"/>
    <col min="6659" max="6661" width="7.28515625" style="22" customWidth="1"/>
    <col min="6662" max="6667" width="0" style="22" hidden="1" customWidth="1"/>
    <col min="6668" max="6668" width="9.7109375" style="22" customWidth="1"/>
    <col min="6669" max="6907" width="11.42578125" style="22"/>
    <col min="6908" max="6908" width="18.140625" style="22" customWidth="1"/>
    <col min="6909" max="6909" width="7.85546875" style="22" bestFit="1" customWidth="1"/>
    <col min="6910" max="6910" width="7.28515625" style="22" bestFit="1" customWidth="1"/>
    <col min="6911" max="6912" width="7.28515625" style="22" customWidth="1"/>
    <col min="6913" max="6914" width="7.28515625" style="22" bestFit="1" customWidth="1"/>
    <col min="6915" max="6917" width="7.28515625" style="22" customWidth="1"/>
    <col min="6918" max="6923" width="0" style="22" hidden="1" customWidth="1"/>
    <col min="6924" max="6924" width="9.7109375" style="22" customWidth="1"/>
    <col min="6925" max="7163" width="11.42578125" style="22"/>
    <col min="7164" max="7164" width="18.140625" style="22" customWidth="1"/>
    <col min="7165" max="7165" width="7.85546875" style="22" bestFit="1" customWidth="1"/>
    <col min="7166" max="7166" width="7.28515625" style="22" bestFit="1" customWidth="1"/>
    <col min="7167" max="7168" width="7.28515625" style="22" customWidth="1"/>
    <col min="7169" max="7170" width="7.28515625" style="22" bestFit="1" customWidth="1"/>
    <col min="7171" max="7173" width="7.28515625" style="22" customWidth="1"/>
    <col min="7174" max="7179" width="0" style="22" hidden="1" customWidth="1"/>
    <col min="7180" max="7180" width="9.7109375" style="22" customWidth="1"/>
    <col min="7181" max="7419" width="11.42578125" style="22"/>
    <col min="7420" max="7420" width="18.140625" style="22" customWidth="1"/>
    <col min="7421" max="7421" width="7.85546875" style="22" bestFit="1" customWidth="1"/>
    <col min="7422" max="7422" width="7.28515625" style="22" bestFit="1" customWidth="1"/>
    <col min="7423" max="7424" width="7.28515625" style="22" customWidth="1"/>
    <col min="7425" max="7426" width="7.28515625" style="22" bestFit="1" customWidth="1"/>
    <col min="7427" max="7429" width="7.28515625" style="22" customWidth="1"/>
    <col min="7430" max="7435" width="0" style="22" hidden="1" customWidth="1"/>
    <col min="7436" max="7436" width="9.7109375" style="22" customWidth="1"/>
    <col min="7437" max="7675" width="11.42578125" style="22"/>
    <col min="7676" max="7676" width="18.140625" style="22" customWidth="1"/>
    <col min="7677" max="7677" width="7.85546875" style="22" bestFit="1" customWidth="1"/>
    <col min="7678" max="7678" width="7.28515625" style="22" bestFit="1" customWidth="1"/>
    <col min="7679" max="7680" width="7.28515625" style="22" customWidth="1"/>
    <col min="7681" max="7682" width="7.28515625" style="22" bestFit="1" customWidth="1"/>
    <col min="7683" max="7685" width="7.28515625" style="22" customWidth="1"/>
    <col min="7686" max="7691" width="0" style="22" hidden="1" customWidth="1"/>
    <col min="7692" max="7692" width="9.7109375" style="22" customWidth="1"/>
    <col min="7693" max="7931" width="11.42578125" style="22"/>
    <col min="7932" max="7932" width="18.140625" style="22" customWidth="1"/>
    <col min="7933" max="7933" width="7.85546875" style="22" bestFit="1" customWidth="1"/>
    <col min="7934" max="7934" width="7.28515625" style="22" bestFit="1" customWidth="1"/>
    <col min="7935" max="7936" width="7.28515625" style="22" customWidth="1"/>
    <col min="7937" max="7938" width="7.28515625" style="22" bestFit="1" customWidth="1"/>
    <col min="7939" max="7941" width="7.28515625" style="22" customWidth="1"/>
    <col min="7942" max="7947" width="0" style="22" hidden="1" customWidth="1"/>
    <col min="7948" max="7948" width="9.7109375" style="22" customWidth="1"/>
    <col min="7949" max="8187" width="11.42578125" style="22"/>
    <col min="8188" max="8188" width="18.140625" style="22" customWidth="1"/>
    <col min="8189" max="8189" width="7.85546875" style="22" bestFit="1" customWidth="1"/>
    <col min="8190" max="8190" width="7.28515625" style="22" bestFit="1" customWidth="1"/>
    <col min="8191" max="8192" width="7.28515625" style="22" customWidth="1"/>
    <col min="8193" max="8194" width="7.28515625" style="22" bestFit="1" customWidth="1"/>
    <col min="8195" max="8197" width="7.28515625" style="22" customWidth="1"/>
    <col min="8198" max="8203" width="0" style="22" hidden="1" customWidth="1"/>
    <col min="8204" max="8204" width="9.7109375" style="22" customWidth="1"/>
    <col min="8205" max="8443" width="11.42578125" style="22"/>
    <col min="8444" max="8444" width="18.140625" style="22" customWidth="1"/>
    <col min="8445" max="8445" width="7.85546875" style="22" bestFit="1" customWidth="1"/>
    <col min="8446" max="8446" width="7.28515625" style="22" bestFit="1" customWidth="1"/>
    <col min="8447" max="8448" width="7.28515625" style="22" customWidth="1"/>
    <col min="8449" max="8450" width="7.28515625" style="22" bestFit="1" customWidth="1"/>
    <col min="8451" max="8453" width="7.28515625" style="22" customWidth="1"/>
    <col min="8454" max="8459" width="0" style="22" hidden="1" customWidth="1"/>
    <col min="8460" max="8460" width="9.7109375" style="22" customWidth="1"/>
    <col min="8461" max="8699" width="11.42578125" style="22"/>
    <col min="8700" max="8700" width="18.140625" style="22" customWidth="1"/>
    <col min="8701" max="8701" width="7.85546875" style="22" bestFit="1" customWidth="1"/>
    <col min="8702" max="8702" width="7.28515625" style="22" bestFit="1" customWidth="1"/>
    <col min="8703" max="8704" width="7.28515625" style="22" customWidth="1"/>
    <col min="8705" max="8706" width="7.28515625" style="22" bestFit="1" customWidth="1"/>
    <col min="8707" max="8709" width="7.28515625" style="22" customWidth="1"/>
    <col min="8710" max="8715" width="0" style="22" hidden="1" customWidth="1"/>
    <col min="8716" max="8716" width="9.7109375" style="22" customWidth="1"/>
    <col min="8717" max="8955" width="11.42578125" style="22"/>
    <col min="8956" max="8956" width="18.140625" style="22" customWidth="1"/>
    <col min="8957" max="8957" width="7.85546875" style="22" bestFit="1" customWidth="1"/>
    <col min="8958" max="8958" width="7.28515625" style="22" bestFit="1" customWidth="1"/>
    <col min="8959" max="8960" width="7.28515625" style="22" customWidth="1"/>
    <col min="8961" max="8962" width="7.28515625" style="22" bestFit="1" customWidth="1"/>
    <col min="8963" max="8965" width="7.28515625" style="22" customWidth="1"/>
    <col min="8966" max="8971" width="0" style="22" hidden="1" customWidth="1"/>
    <col min="8972" max="8972" width="9.7109375" style="22" customWidth="1"/>
    <col min="8973" max="9211" width="11.42578125" style="22"/>
    <col min="9212" max="9212" width="18.140625" style="22" customWidth="1"/>
    <col min="9213" max="9213" width="7.85546875" style="22" bestFit="1" customWidth="1"/>
    <col min="9214" max="9214" width="7.28515625" style="22" bestFit="1" customWidth="1"/>
    <col min="9215" max="9216" width="7.28515625" style="22" customWidth="1"/>
    <col min="9217" max="9218" width="7.28515625" style="22" bestFit="1" customWidth="1"/>
    <col min="9219" max="9221" width="7.28515625" style="22" customWidth="1"/>
    <col min="9222" max="9227" width="0" style="22" hidden="1" customWidth="1"/>
    <col min="9228" max="9228" width="9.7109375" style="22" customWidth="1"/>
    <col min="9229" max="9467" width="11.42578125" style="22"/>
    <col min="9468" max="9468" width="18.140625" style="22" customWidth="1"/>
    <col min="9469" max="9469" width="7.85546875" style="22" bestFit="1" customWidth="1"/>
    <col min="9470" max="9470" width="7.28515625" style="22" bestFit="1" customWidth="1"/>
    <col min="9471" max="9472" width="7.28515625" style="22" customWidth="1"/>
    <col min="9473" max="9474" width="7.28515625" style="22" bestFit="1" customWidth="1"/>
    <col min="9475" max="9477" width="7.28515625" style="22" customWidth="1"/>
    <col min="9478" max="9483" width="0" style="22" hidden="1" customWidth="1"/>
    <col min="9484" max="9484" width="9.7109375" style="22" customWidth="1"/>
    <col min="9485" max="9723" width="11.42578125" style="22"/>
    <col min="9724" max="9724" width="18.140625" style="22" customWidth="1"/>
    <col min="9725" max="9725" width="7.85546875" style="22" bestFit="1" customWidth="1"/>
    <col min="9726" max="9726" width="7.28515625" style="22" bestFit="1" customWidth="1"/>
    <col min="9727" max="9728" width="7.28515625" style="22" customWidth="1"/>
    <col min="9729" max="9730" width="7.28515625" style="22" bestFit="1" customWidth="1"/>
    <col min="9731" max="9733" width="7.28515625" style="22" customWidth="1"/>
    <col min="9734" max="9739" width="0" style="22" hidden="1" customWidth="1"/>
    <col min="9740" max="9740" width="9.7109375" style="22" customWidth="1"/>
    <col min="9741" max="9979" width="11.42578125" style="22"/>
    <col min="9980" max="9980" width="18.140625" style="22" customWidth="1"/>
    <col min="9981" max="9981" width="7.85546875" style="22" bestFit="1" customWidth="1"/>
    <col min="9982" max="9982" width="7.28515625" style="22" bestFit="1" customWidth="1"/>
    <col min="9983" max="9984" width="7.28515625" style="22" customWidth="1"/>
    <col min="9985" max="9986" width="7.28515625" style="22" bestFit="1" customWidth="1"/>
    <col min="9987" max="9989" width="7.28515625" style="22" customWidth="1"/>
    <col min="9990" max="9995" width="0" style="22" hidden="1" customWidth="1"/>
    <col min="9996" max="9996" width="9.7109375" style="22" customWidth="1"/>
    <col min="9997" max="10235" width="11.42578125" style="22"/>
    <col min="10236" max="10236" width="18.140625" style="22" customWidth="1"/>
    <col min="10237" max="10237" width="7.85546875" style="22" bestFit="1" customWidth="1"/>
    <col min="10238" max="10238" width="7.28515625" style="22" bestFit="1" customWidth="1"/>
    <col min="10239" max="10240" width="7.28515625" style="22" customWidth="1"/>
    <col min="10241" max="10242" width="7.28515625" style="22" bestFit="1" customWidth="1"/>
    <col min="10243" max="10245" width="7.28515625" style="22" customWidth="1"/>
    <col min="10246" max="10251" width="0" style="22" hidden="1" customWidth="1"/>
    <col min="10252" max="10252" width="9.7109375" style="22" customWidth="1"/>
    <col min="10253" max="10491" width="11.42578125" style="22"/>
    <col min="10492" max="10492" width="18.140625" style="22" customWidth="1"/>
    <col min="10493" max="10493" width="7.85546875" style="22" bestFit="1" customWidth="1"/>
    <col min="10494" max="10494" width="7.28515625" style="22" bestFit="1" customWidth="1"/>
    <col min="10495" max="10496" width="7.28515625" style="22" customWidth="1"/>
    <col min="10497" max="10498" width="7.28515625" style="22" bestFit="1" customWidth="1"/>
    <col min="10499" max="10501" width="7.28515625" style="22" customWidth="1"/>
    <col min="10502" max="10507" width="0" style="22" hidden="1" customWidth="1"/>
    <col min="10508" max="10508" width="9.7109375" style="22" customWidth="1"/>
    <col min="10509" max="10747" width="11.42578125" style="22"/>
    <col min="10748" max="10748" width="18.140625" style="22" customWidth="1"/>
    <col min="10749" max="10749" width="7.85546875" style="22" bestFit="1" customWidth="1"/>
    <col min="10750" max="10750" width="7.28515625" style="22" bestFit="1" customWidth="1"/>
    <col min="10751" max="10752" width="7.28515625" style="22" customWidth="1"/>
    <col min="10753" max="10754" width="7.28515625" style="22" bestFit="1" customWidth="1"/>
    <col min="10755" max="10757" width="7.28515625" style="22" customWidth="1"/>
    <col min="10758" max="10763" width="0" style="22" hidden="1" customWidth="1"/>
    <col min="10764" max="10764" width="9.7109375" style="22" customWidth="1"/>
    <col min="10765" max="11003" width="11.42578125" style="22"/>
    <col min="11004" max="11004" width="18.140625" style="22" customWidth="1"/>
    <col min="11005" max="11005" width="7.85546875" style="22" bestFit="1" customWidth="1"/>
    <col min="11006" max="11006" width="7.28515625" style="22" bestFit="1" customWidth="1"/>
    <col min="11007" max="11008" width="7.28515625" style="22" customWidth="1"/>
    <col min="11009" max="11010" width="7.28515625" style="22" bestFit="1" customWidth="1"/>
    <col min="11011" max="11013" width="7.28515625" style="22" customWidth="1"/>
    <col min="11014" max="11019" width="0" style="22" hidden="1" customWidth="1"/>
    <col min="11020" max="11020" width="9.7109375" style="22" customWidth="1"/>
    <col min="11021" max="11259" width="11.42578125" style="22"/>
    <col min="11260" max="11260" width="18.140625" style="22" customWidth="1"/>
    <col min="11261" max="11261" width="7.85546875" style="22" bestFit="1" customWidth="1"/>
    <col min="11262" max="11262" width="7.28515625" style="22" bestFit="1" customWidth="1"/>
    <col min="11263" max="11264" width="7.28515625" style="22" customWidth="1"/>
    <col min="11265" max="11266" width="7.28515625" style="22" bestFit="1" customWidth="1"/>
    <col min="11267" max="11269" width="7.28515625" style="22" customWidth="1"/>
    <col min="11270" max="11275" width="0" style="22" hidden="1" customWidth="1"/>
    <col min="11276" max="11276" width="9.7109375" style="22" customWidth="1"/>
    <col min="11277" max="11515" width="11.42578125" style="22"/>
    <col min="11516" max="11516" width="18.140625" style="22" customWidth="1"/>
    <col min="11517" max="11517" width="7.85546875" style="22" bestFit="1" customWidth="1"/>
    <col min="11518" max="11518" width="7.28515625" style="22" bestFit="1" customWidth="1"/>
    <col min="11519" max="11520" width="7.28515625" style="22" customWidth="1"/>
    <col min="11521" max="11522" width="7.28515625" style="22" bestFit="1" customWidth="1"/>
    <col min="11523" max="11525" width="7.28515625" style="22" customWidth="1"/>
    <col min="11526" max="11531" width="0" style="22" hidden="1" customWidth="1"/>
    <col min="11532" max="11532" width="9.7109375" style="22" customWidth="1"/>
    <col min="11533" max="11771" width="11.42578125" style="22"/>
    <col min="11772" max="11772" width="18.140625" style="22" customWidth="1"/>
    <col min="11773" max="11773" width="7.85546875" style="22" bestFit="1" customWidth="1"/>
    <col min="11774" max="11774" width="7.28515625" style="22" bestFit="1" customWidth="1"/>
    <col min="11775" max="11776" width="7.28515625" style="22" customWidth="1"/>
    <col min="11777" max="11778" width="7.28515625" style="22" bestFit="1" customWidth="1"/>
    <col min="11779" max="11781" width="7.28515625" style="22" customWidth="1"/>
    <col min="11782" max="11787" width="0" style="22" hidden="1" customWidth="1"/>
    <col min="11788" max="11788" width="9.7109375" style="22" customWidth="1"/>
    <col min="11789" max="12027" width="11.42578125" style="22"/>
    <col min="12028" max="12028" width="18.140625" style="22" customWidth="1"/>
    <col min="12029" max="12029" width="7.85546875" style="22" bestFit="1" customWidth="1"/>
    <col min="12030" max="12030" width="7.28515625" style="22" bestFit="1" customWidth="1"/>
    <col min="12031" max="12032" width="7.28515625" style="22" customWidth="1"/>
    <col min="12033" max="12034" width="7.28515625" style="22" bestFit="1" customWidth="1"/>
    <col min="12035" max="12037" width="7.28515625" style="22" customWidth="1"/>
    <col min="12038" max="12043" width="0" style="22" hidden="1" customWidth="1"/>
    <col min="12044" max="12044" width="9.7109375" style="22" customWidth="1"/>
    <col min="12045" max="12283" width="11.42578125" style="22"/>
    <col min="12284" max="12284" width="18.140625" style="22" customWidth="1"/>
    <col min="12285" max="12285" width="7.85546875" style="22" bestFit="1" customWidth="1"/>
    <col min="12286" max="12286" width="7.28515625" style="22" bestFit="1" customWidth="1"/>
    <col min="12287" max="12288" width="7.28515625" style="22" customWidth="1"/>
    <col min="12289" max="12290" width="7.28515625" style="22" bestFit="1" customWidth="1"/>
    <col min="12291" max="12293" width="7.28515625" style="22" customWidth="1"/>
    <col min="12294" max="12299" width="0" style="22" hidden="1" customWidth="1"/>
    <col min="12300" max="12300" width="9.7109375" style="22" customWidth="1"/>
    <col min="12301" max="12539" width="11.42578125" style="22"/>
    <col min="12540" max="12540" width="18.140625" style="22" customWidth="1"/>
    <col min="12541" max="12541" width="7.85546875" style="22" bestFit="1" customWidth="1"/>
    <col min="12542" max="12542" width="7.28515625" style="22" bestFit="1" customWidth="1"/>
    <col min="12543" max="12544" width="7.28515625" style="22" customWidth="1"/>
    <col min="12545" max="12546" width="7.28515625" style="22" bestFit="1" customWidth="1"/>
    <col min="12547" max="12549" width="7.28515625" style="22" customWidth="1"/>
    <col min="12550" max="12555" width="0" style="22" hidden="1" customWidth="1"/>
    <col min="12556" max="12556" width="9.7109375" style="22" customWidth="1"/>
    <col min="12557" max="12795" width="11.42578125" style="22"/>
    <col min="12796" max="12796" width="18.140625" style="22" customWidth="1"/>
    <col min="12797" max="12797" width="7.85546875" style="22" bestFit="1" customWidth="1"/>
    <col min="12798" max="12798" width="7.28515625" style="22" bestFit="1" customWidth="1"/>
    <col min="12799" max="12800" width="7.28515625" style="22" customWidth="1"/>
    <col min="12801" max="12802" width="7.28515625" style="22" bestFit="1" customWidth="1"/>
    <col min="12803" max="12805" width="7.28515625" style="22" customWidth="1"/>
    <col min="12806" max="12811" width="0" style="22" hidden="1" customWidth="1"/>
    <col min="12812" max="12812" width="9.7109375" style="22" customWidth="1"/>
    <col min="12813" max="13051" width="11.42578125" style="22"/>
    <col min="13052" max="13052" width="18.140625" style="22" customWidth="1"/>
    <col min="13053" max="13053" width="7.85546875" style="22" bestFit="1" customWidth="1"/>
    <col min="13054" max="13054" width="7.28515625" style="22" bestFit="1" customWidth="1"/>
    <col min="13055" max="13056" width="7.28515625" style="22" customWidth="1"/>
    <col min="13057" max="13058" width="7.28515625" style="22" bestFit="1" customWidth="1"/>
    <col min="13059" max="13061" width="7.28515625" style="22" customWidth="1"/>
    <col min="13062" max="13067" width="0" style="22" hidden="1" customWidth="1"/>
    <col min="13068" max="13068" width="9.7109375" style="22" customWidth="1"/>
    <col min="13069" max="13307" width="11.42578125" style="22"/>
    <col min="13308" max="13308" width="18.140625" style="22" customWidth="1"/>
    <col min="13309" max="13309" width="7.85546875" style="22" bestFit="1" customWidth="1"/>
    <col min="13310" max="13310" width="7.28515625" style="22" bestFit="1" customWidth="1"/>
    <col min="13311" max="13312" width="7.28515625" style="22" customWidth="1"/>
    <col min="13313" max="13314" width="7.28515625" style="22" bestFit="1" customWidth="1"/>
    <col min="13315" max="13317" width="7.28515625" style="22" customWidth="1"/>
    <col min="13318" max="13323" width="0" style="22" hidden="1" customWidth="1"/>
    <col min="13324" max="13324" width="9.7109375" style="22" customWidth="1"/>
    <col min="13325" max="13563" width="11.42578125" style="22"/>
    <col min="13564" max="13564" width="18.140625" style="22" customWidth="1"/>
    <col min="13565" max="13565" width="7.85546875" style="22" bestFit="1" customWidth="1"/>
    <col min="13566" max="13566" width="7.28515625" style="22" bestFit="1" customWidth="1"/>
    <col min="13567" max="13568" width="7.28515625" style="22" customWidth="1"/>
    <col min="13569" max="13570" width="7.28515625" style="22" bestFit="1" customWidth="1"/>
    <col min="13571" max="13573" width="7.28515625" style="22" customWidth="1"/>
    <col min="13574" max="13579" width="0" style="22" hidden="1" customWidth="1"/>
    <col min="13580" max="13580" width="9.7109375" style="22" customWidth="1"/>
    <col min="13581" max="13819" width="11.42578125" style="22"/>
    <col min="13820" max="13820" width="18.140625" style="22" customWidth="1"/>
    <col min="13821" max="13821" width="7.85546875" style="22" bestFit="1" customWidth="1"/>
    <col min="13822" max="13822" width="7.28515625" style="22" bestFit="1" customWidth="1"/>
    <col min="13823" max="13824" width="7.28515625" style="22" customWidth="1"/>
    <col min="13825" max="13826" width="7.28515625" style="22" bestFit="1" customWidth="1"/>
    <col min="13827" max="13829" width="7.28515625" style="22" customWidth="1"/>
    <col min="13830" max="13835" width="0" style="22" hidden="1" customWidth="1"/>
    <col min="13836" max="13836" width="9.7109375" style="22" customWidth="1"/>
    <col min="13837" max="14075" width="11.42578125" style="22"/>
    <col min="14076" max="14076" width="18.140625" style="22" customWidth="1"/>
    <col min="14077" max="14077" width="7.85546875" style="22" bestFit="1" customWidth="1"/>
    <col min="14078" max="14078" width="7.28515625" style="22" bestFit="1" customWidth="1"/>
    <col min="14079" max="14080" width="7.28515625" style="22" customWidth="1"/>
    <col min="14081" max="14082" width="7.28515625" style="22" bestFit="1" customWidth="1"/>
    <col min="14083" max="14085" width="7.28515625" style="22" customWidth="1"/>
    <col min="14086" max="14091" width="0" style="22" hidden="1" customWidth="1"/>
    <col min="14092" max="14092" width="9.7109375" style="22" customWidth="1"/>
    <col min="14093" max="14331" width="11.42578125" style="22"/>
    <col min="14332" max="14332" width="18.140625" style="22" customWidth="1"/>
    <col min="14333" max="14333" width="7.85546875" style="22" bestFit="1" customWidth="1"/>
    <col min="14334" max="14334" width="7.28515625" style="22" bestFit="1" customWidth="1"/>
    <col min="14335" max="14336" width="7.28515625" style="22" customWidth="1"/>
    <col min="14337" max="14338" width="7.28515625" style="22" bestFit="1" customWidth="1"/>
    <col min="14339" max="14341" width="7.28515625" style="22" customWidth="1"/>
    <col min="14342" max="14347" width="0" style="22" hidden="1" customWidth="1"/>
    <col min="14348" max="14348" width="9.7109375" style="22" customWidth="1"/>
    <col min="14349" max="14587" width="11.42578125" style="22"/>
    <col min="14588" max="14588" width="18.140625" style="22" customWidth="1"/>
    <col min="14589" max="14589" width="7.85546875" style="22" bestFit="1" customWidth="1"/>
    <col min="14590" max="14590" width="7.28515625" style="22" bestFit="1" customWidth="1"/>
    <col min="14591" max="14592" width="7.28515625" style="22" customWidth="1"/>
    <col min="14593" max="14594" width="7.28515625" style="22" bestFit="1" customWidth="1"/>
    <col min="14595" max="14597" width="7.28515625" style="22" customWidth="1"/>
    <col min="14598" max="14603" width="0" style="22" hidden="1" customWidth="1"/>
    <col min="14604" max="14604" width="9.7109375" style="22" customWidth="1"/>
    <col min="14605" max="14843" width="11.42578125" style="22"/>
    <col min="14844" max="14844" width="18.140625" style="22" customWidth="1"/>
    <col min="14845" max="14845" width="7.85546875" style="22" bestFit="1" customWidth="1"/>
    <col min="14846" max="14846" width="7.28515625" style="22" bestFit="1" customWidth="1"/>
    <col min="14847" max="14848" width="7.28515625" style="22" customWidth="1"/>
    <col min="14849" max="14850" width="7.28515625" style="22" bestFit="1" customWidth="1"/>
    <col min="14851" max="14853" width="7.28515625" style="22" customWidth="1"/>
    <col min="14854" max="14859" width="0" style="22" hidden="1" customWidth="1"/>
    <col min="14860" max="14860" width="9.7109375" style="22" customWidth="1"/>
    <col min="14861" max="15099" width="11.42578125" style="22"/>
    <col min="15100" max="15100" width="18.140625" style="22" customWidth="1"/>
    <col min="15101" max="15101" width="7.85546875" style="22" bestFit="1" customWidth="1"/>
    <col min="15102" max="15102" width="7.28515625" style="22" bestFit="1" customWidth="1"/>
    <col min="15103" max="15104" width="7.28515625" style="22" customWidth="1"/>
    <col min="15105" max="15106" width="7.28515625" style="22" bestFit="1" customWidth="1"/>
    <col min="15107" max="15109" width="7.28515625" style="22" customWidth="1"/>
    <col min="15110" max="15115" width="0" style="22" hidden="1" customWidth="1"/>
    <col min="15116" max="15116" width="9.7109375" style="22" customWidth="1"/>
    <col min="15117" max="15355" width="11.42578125" style="22"/>
    <col min="15356" max="15356" width="18.140625" style="22" customWidth="1"/>
    <col min="15357" max="15357" width="7.85546875" style="22" bestFit="1" customWidth="1"/>
    <col min="15358" max="15358" width="7.28515625" style="22" bestFit="1" customWidth="1"/>
    <col min="15359" max="15360" width="7.28515625" style="22" customWidth="1"/>
    <col min="15361" max="15362" width="7.28515625" style="22" bestFit="1" customWidth="1"/>
    <col min="15363" max="15365" width="7.28515625" style="22" customWidth="1"/>
    <col min="15366" max="15371" width="0" style="22" hidden="1" customWidth="1"/>
    <col min="15372" max="15372" width="9.7109375" style="22" customWidth="1"/>
    <col min="15373" max="15611" width="11.42578125" style="22"/>
    <col min="15612" max="15612" width="18.140625" style="22" customWidth="1"/>
    <col min="15613" max="15613" width="7.85546875" style="22" bestFit="1" customWidth="1"/>
    <col min="15614" max="15614" width="7.28515625" style="22" bestFit="1" customWidth="1"/>
    <col min="15615" max="15616" width="7.28515625" style="22" customWidth="1"/>
    <col min="15617" max="15618" width="7.28515625" style="22" bestFit="1" customWidth="1"/>
    <col min="15619" max="15621" width="7.28515625" style="22" customWidth="1"/>
    <col min="15622" max="15627" width="0" style="22" hidden="1" customWidth="1"/>
    <col min="15628" max="15628" width="9.7109375" style="22" customWidth="1"/>
    <col min="15629" max="15867" width="11.42578125" style="22"/>
    <col min="15868" max="15868" width="18.140625" style="22" customWidth="1"/>
    <col min="15869" max="15869" width="7.85546875" style="22" bestFit="1" customWidth="1"/>
    <col min="15870" max="15870" width="7.28515625" style="22" bestFit="1" customWidth="1"/>
    <col min="15871" max="15872" width="7.28515625" style="22" customWidth="1"/>
    <col min="15873" max="15874" width="7.28515625" style="22" bestFit="1" customWidth="1"/>
    <col min="15875" max="15877" width="7.28515625" style="22" customWidth="1"/>
    <col min="15878" max="15883" width="0" style="22" hidden="1" customWidth="1"/>
    <col min="15884" max="15884" width="9.7109375" style="22" customWidth="1"/>
    <col min="15885" max="16123" width="11.42578125" style="22"/>
    <col min="16124" max="16124" width="18.140625" style="22" customWidth="1"/>
    <col min="16125" max="16125" width="7.85546875" style="22" bestFit="1" customWidth="1"/>
    <col min="16126" max="16126" width="7.28515625" style="22" bestFit="1" customWidth="1"/>
    <col min="16127" max="16128" width="7.28515625" style="22" customWidth="1"/>
    <col min="16129" max="16130" width="7.28515625" style="22" bestFit="1" customWidth="1"/>
    <col min="16131" max="16133" width="7.28515625" style="22" customWidth="1"/>
    <col min="16134" max="16139" width="0" style="22" hidden="1" customWidth="1"/>
    <col min="16140" max="16140" width="9.7109375" style="22" customWidth="1"/>
    <col min="16141" max="16384" width="11.42578125" style="22"/>
  </cols>
  <sheetData>
    <row r="1" spans="1:16" s="23" customFormat="1" x14ac:dyDescent="0.2"/>
    <row r="2" spans="1:16" s="23" customFormat="1" x14ac:dyDescent="0.2">
      <c r="A2" s="40" t="s">
        <v>58</v>
      </c>
    </row>
    <row r="3" spans="1:16" s="23" customFormat="1" ht="15" x14ac:dyDescent="0.25">
      <c r="A3" s="40" t="s">
        <v>59</v>
      </c>
      <c r="J3" s="88"/>
    </row>
    <row r="4" spans="1:16" s="23" customFormat="1" x14ac:dyDescent="0.2"/>
    <row r="5" spans="1:16" s="23" customFormat="1" ht="12.75" x14ac:dyDescent="0.2">
      <c r="B5" s="344" t="s">
        <v>579</v>
      </c>
      <c r="C5" s="344"/>
      <c r="D5" s="344"/>
      <c r="E5" s="344"/>
      <c r="F5" s="344"/>
      <c r="G5" s="344"/>
      <c r="H5" s="344"/>
      <c r="I5" s="344"/>
      <c r="J5" s="344"/>
      <c r="K5" s="344"/>
      <c r="M5" s="110" t="s">
        <v>509</v>
      </c>
      <c r="O5" s="89"/>
    </row>
    <row r="6" spans="1:16" s="23" customFormat="1" ht="12.75" x14ac:dyDescent="0.2">
      <c r="B6" s="374" t="str">
        <f>'Solicitudes Regiones'!$B$6:$R$6</f>
        <v>Julio de 2008 a junio de 2022</v>
      </c>
      <c r="C6" s="374"/>
      <c r="D6" s="374"/>
      <c r="E6" s="374"/>
      <c r="F6" s="374"/>
      <c r="G6" s="374"/>
      <c r="H6" s="374"/>
      <c r="I6" s="374"/>
      <c r="J6" s="374"/>
      <c r="K6" s="374"/>
      <c r="L6" s="48"/>
    </row>
    <row r="7" spans="1:16" s="26" customFormat="1" x14ac:dyDescent="0.2">
      <c r="B7" s="24"/>
      <c r="C7" s="25"/>
      <c r="D7" s="25"/>
      <c r="E7" s="25"/>
      <c r="F7" s="25"/>
      <c r="G7" s="25"/>
      <c r="H7" s="25"/>
      <c r="I7" s="25"/>
      <c r="J7" s="25"/>
      <c r="K7" s="25"/>
      <c r="L7" s="25"/>
    </row>
    <row r="8" spans="1:16" ht="15" customHeight="1" x14ac:dyDescent="0.2">
      <c r="B8" s="373" t="s">
        <v>595</v>
      </c>
      <c r="C8" s="373"/>
      <c r="D8" s="373"/>
      <c r="E8" s="373"/>
      <c r="F8" s="373"/>
      <c r="G8" s="373"/>
      <c r="H8" s="373"/>
      <c r="I8" s="373"/>
      <c r="J8" s="373"/>
      <c r="K8" s="373"/>
      <c r="L8" s="373"/>
      <c r="M8" s="373"/>
    </row>
    <row r="9" spans="1:16" ht="20.25" customHeight="1" x14ac:dyDescent="0.2">
      <c r="B9" s="373" t="s">
        <v>41</v>
      </c>
      <c r="C9" s="370" t="s">
        <v>544</v>
      </c>
      <c r="D9" s="371"/>
      <c r="E9" s="371"/>
      <c r="F9" s="371"/>
      <c r="G9" s="371"/>
      <c r="H9" s="371"/>
      <c r="I9" s="371"/>
      <c r="J9" s="371"/>
      <c r="K9" s="371"/>
      <c r="L9" s="372"/>
      <c r="M9" s="307"/>
    </row>
    <row r="10" spans="1:16" ht="60" x14ac:dyDescent="0.2">
      <c r="B10" s="373"/>
      <c r="C10" s="20" t="s">
        <v>540</v>
      </c>
      <c r="D10" s="20" t="s">
        <v>42</v>
      </c>
      <c r="E10" s="20" t="s">
        <v>553</v>
      </c>
      <c r="F10" s="20" t="s">
        <v>554</v>
      </c>
      <c r="G10" s="20" t="s">
        <v>542</v>
      </c>
      <c r="H10" s="20" t="s">
        <v>2</v>
      </c>
      <c r="I10" s="20" t="s">
        <v>43</v>
      </c>
      <c r="J10" s="20" t="s">
        <v>549</v>
      </c>
      <c r="K10" s="296" t="s">
        <v>550</v>
      </c>
      <c r="L10" s="296" t="s">
        <v>523</v>
      </c>
      <c r="M10" s="296" t="s">
        <v>641</v>
      </c>
    </row>
    <row r="11" spans="1:16" ht="12" customHeight="1" x14ac:dyDescent="0.2">
      <c r="B11" s="16" t="s">
        <v>239</v>
      </c>
      <c r="C11" s="16">
        <v>6999</v>
      </c>
      <c r="D11" s="16">
        <v>7047</v>
      </c>
      <c r="E11" s="16">
        <f>C11+D11</f>
        <v>14046</v>
      </c>
      <c r="F11" s="17">
        <f t="shared" ref="F11:F32" si="0">E11/$E$32</f>
        <v>0.30007690992992653</v>
      </c>
      <c r="G11" s="16">
        <v>21312</v>
      </c>
      <c r="H11" s="16">
        <v>4215</v>
      </c>
      <c r="I11" s="16">
        <v>2628</v>
      </c>
      <c r="J11" s="16">
        <v>28155</v>
      </c>
      <c r="K11" s="17">
        <f>J11/$J$32</f>
        <v>0.40007673288430384</v>
      </c>
      <c r="L11" s="16">
        <v>0</v>
      </c>
      <c r="M11" s="16">
        <f>L11+J11+E11</f>
        <v>42201</v>
      </c>
      <c r="P11" s="27"/>
    </row>
    <row r="12" spans="1:16" x14ac:dyDescent="0.2">
      <c r="B12" s="16" t="s">
        <v>240</v>
      </c>
      <c r="C12" s="16">
        <v>995</v>
      </c>
      <c r="D12" s="16">
        <v>1092</v>
      </c>
      <c r="E12" s="16">
        <f t="shared" ref="E12:E32" si="1">C12+D12</f>
        <v>2087</v>
      </c>
      <c r="F12" s="17">
        <f t="shared" si="0"/>
        <v>4.4586395487950778E-2</v>
      </c>
      <c r="G12" s="16">
        <v>2796</v>
      </c>
      <c r="H12" s="16">
        <v>404</v>
      </c>
      <c r="I12" s="16">
        <v>272</v>
      </c>
      <c r="J12" s="16">
        <v>3472</v>
      </c>
      <c r="K12" s="17">
        <f t="shared" ref="K12:K32" si="2">J12/$J$32</f>
        <v>4.9336402648705487E-2</v>
      </c>
      <c r="L12" s="16">
        <v>0</v>
      </c>
      <c r="M12" s="16">
        <f t="shared" ref="M12:M32" si="3">L12+J12+E12</f>
        <v>5559</v>
      </c>
      <c r="P12" s="27"/>
    </row>
    <row r="13" spans="1:16" x14ac:dyDescent="0.2">
      <c r="B13" s="16" t="s">
        <v>218</v>
      </c>
      <c r="C13" s="16">
        <v>841</v>
      </c>
      <c r="D13" s="16">
        <v>876</v>
      </c>
      <c r="E13" s="16">
        <f t="shared" si="1"/>
        <v>1717</v>
      </c>
      <c r="F13" s="17">
        <f t="shared" si="0"/>
        <v>3.6681763801059648E-2</v>
      </c>
      <c r="G13" s="16">
        <v>2205</v>
      </c>
      <c r="H13" s="16">
        <v>407</v>
      </c>
      <c r="I13" s="16">
        <v>326</v>
      </c>
      <c r="J13" s="16">
        <v>2938</v>
      </c>
      <c r="K13" s="17">
        <f t="shared" si="2"/>
        <v>4.1748372978656891E-2</v>
      </c>
      <c r="L13" s="16">
        <v>0</v>
      </c>
      <c r="M13" s="16">
        <f t="shared" si="3"/>
        <v>4655</v>
      </c>
      <c r="P13" s="27"/>
    </row>
    <row r="14" spans="1:16" x14ac:dyDescent="0.2">
      <c r="B14" s="16" t="s">
        <v>243</v>
      </c>
      <c r="C14" s="16">
        <v>827</v>
      </c>
      <c r="D14" s="16">
        <v>1196</v>
      </c>
      <c r="E14" s="16">
        <f t="shared" si="1"/>
        <v>2023</v>
      </c>
      <c r="F14" s="17">
        <f t="shared" si="0"/>
        <v>4.3219107844812851E-2</v>
      </c>
      <c r="G14" s="16">
        <v>1152</v>
      </c>
      <c r="H14" s="16">
        <v>95</v>
      </c>
      <c r="I14" s="16">
        <v>195</v>
      </c>
      <c r="J14" s="16">
        <v>1442</v>
      </c>
      <c r="K14" s="17">
        <f t="shared" si="2"/>
        <v>2.0490522067809134E-2</v>
      </c>
      <c r="L14" s="16">
        <v>0</v>
      </c>
      <c r="M14" s="16">
        <f t="shared" si="3"/>
        <v>3465</v>
      </c>
      <c r="P14" s="27"/>
    </row>
    <row r="15" spans="1:16" x14ac:dyDescent="0.2">
      <c r="B15" s="16" t="s">
        <v>219</v>
      </c>
      <c r="C15" s="16">
        <v>414</v>
      </c>
      <c r="D15" s="16">
        <v>666</v>
      </c>
      <c r="E15" s="16">
        <f t="shared" si="1"/>
        <v>1080</v>
      </c>
      <c r="F15" s="17">
        <f t="shared" si="0"/>
        <v>2.3072978977952487E-2</v>
      </c>
      <c r="G15" s="16">
        <v>845</v>
      </c>
      <c r="H15" s="16">
        <v>96</v>
      </c>
      <c r="I15" s="16">
        <v>130</v>
      </c>
      <c r="J15" s="16">
        <v>1071</v>
      </c>
      <c r="K15" s="17">
        <f t="shared" si="2"/>
        <v>1.5218688720266008E-2</v>
      </c>
      <c r="L15" s="16">
        <v>0</v>
      </c>
      <c r="M15" s="16">
        <f t="shared" si="3"/>
        <v>2151</v>
      </c>
      <c r="P15" s="27"/>
    </row>
    <row r="16" spans="1:16" x14ac:dyDescent="0.2">
      <c r="B16" s="16" t="s">
        <v>246</v>
      </c>
      <c r="C16" s="16">
        <v>625</v>
      </c>
      <c r="D16" s="16">
        <v>788</v>
      </c>
      <c r="E16" s="16">
        <f t="shared" si="1"/>
        <v>1413</v>
      </c>
      <c r="F16" s="17">
        <f t="shared" si="0"/>
        <v>3.0187147496154504E-2</v>
      </c>
      <c r="G16" s="16">
        <v>1190</v>
      </c>
      <c r="H16" s="16">
        <v>140</v>
      </c>
      <c r="I16" s="16">
        <v>161</v>
      </c>
      <c r="J16" s="16">
        <v>1491</v>
      </c>
      <c r="K16" s="17">
        <f t="shared" si="2"/>
        <v>2.1186801943899734E-2</v>
      </c>
      <c r="L16" s="16">
        <v>0</v>
      </c>
      <c r="M16" s="16">
        <f t="shared" si="3"/>
        <v>2904</v>
      </c>
      <c r="P16" s="27"/>
    </row>
    <row r="17" spans="2:16" x14ac:dyDescent="0.2">
      <c r="B17" s="16" t="s">
        <v>247</v>
      </c>
      <c r="C17" s="16">
        <v>1082</v>
      </c>
      <c r="D17" s="16">
        <v>880</v>
      </c>
      <c r="E17" s="16">
        <f t="shared" si="1"/>
        <v>1962</v>
      </c>
      <c r="F17" s="17">
        <f t="shared" si="0"/>
        <v>4.1915911809947019E-2</v>
      </c>
      <c r="G17" s="16">
        <v>2313</v>
      </c>
      <c r="H17" s="16">
        <v>310</v>
      </c>
      <c r="I17" s="16">
        <v>167</v>
      </c>
      <c r="J17" s="16">
        <v>2790</v>
      </c>
      <c r="K17" s="17">
        <f t="shared" si="2"/>
        <v>3.9645323556995481E-2</v>
      </c>
      <c r="L17" s="16">
        <v>0</v>
      </c>
      <c r="M17" s="16">
        <f t="shared" si="3"/>
        <v>4752</v>
      </c>
      <c r="P17" s="27"/>
    </row>
    <row r="18" spans="2:16" x14ac:dyDescent="0.2">
      <c r="B18" s="16" t="s">
        <v>250</v>
      </c>
      <c r="C18" s="16">
        <v>1035</v>
      </c>
      <c r="D18" s="16">
        <v>1519</v>
      </c>
      <c r="E18" s="16">
        <f t="shared" si="1"/>
        <v>2554</v>
      </c>
      <c r="F18" s="17">
        <f t="shared" si="0"/>
        <v>5.4563322508972827E-2</v>
      </c>
      <c r="G18" s="16">
        <v>1617</v>
      </c>
      <c r="H18" s="16">
        <v>175</v>
      </c>
      <c r="I18" s="16">
        <v>312</v>
      </c>
      <c r="J18" s="16">
        <v>2104</v>
      </c>
      <c r="K18" s="17">
        <f t="shared" si="2"/>
        <v>2.9897405291727058E-2</v>
      </c>
      <c r="L18" s="16">
        <v>0</v>
      </c>
      <c r="M18" s="16">
        <f t="shared" si="3"/>
        <v>4658</v>
      </c>
      <c r="P18" s="27"/>
    </row>
    <row r="19" spans="2:16" x14ac:dyDescent="0.2">
      <c r="B19" s="16" t="s">
        <v>252</v>
      </c>
      <c r="C19" s="16">
        <v>794</v>
      </c>
      <c r="D19" s="16">
        <v>886</v>
      </c>
      <c r="E19" s="16">
        <f t="shared" si="1"/>
        <v>1680</v>
      </c>
      <c r="F19" s="17">
        <f t="shared" si="0"/>
        <v>3.5891300632370532E-2</v>
      </c>
      <c r="G19" s="16">
        <v>2196</v>
      </c>
      <c r="H19" s="16">
        <v>326</v>
      </c>
      <c r="I19" s="16">
        <v>186</v>
      </c>
      <c r="J19" s="16">
        <v>2708</v>
      </c>
      <c r="K19" s="17">
        <f t="shared" si="2"/>
        <v>3.8480120499047941E-2</v>
      </c>
      <c r="L19" s="16">
        <v>0</v>
      </c>
      <c r="M19" s="16">
        <f t="shared" si="3"/>
        <v>4388</v>
      </c>
      <c r="P19" s="27"/>
    </row>
    <row r="20" spans="2:16" x14ac:dyDescent="0.2">
      <c r="B20" s="16" t="s">
        <v>248</v>
      </c>
      <c r="C20" s="16">
        <v>559</v>
      </c>
      <c r="D20" s="16">
        <v>670</v>
      </c>
      <c r="E20" s="16">
        <f t="shared" si="1"/>
        <v>1229</v>
      </c>
      <c r="F20" s="17">
        <f t="shared" si="0"/>
        <v>2.6256195522132968E-2</v>
      </c>
      <c r="G20" s="16">
        <v>1579</v>
      </c>
      <c r="H20" s="16">
        <v>239</v>
      </c>
      <c r="I20" s="16">
        <v>151</v>
      </c>
      <c r="J20" s="16">
        <v>1969</v>
      </c>
      <c r="K20" s="17">
        <f t="shared" si="2"/>
        <v>2.7979083184130504E-2</v>
      </c>
      <c r="L20" s="16">
        <v>0</v>
      </c>
      <c r="M20" s="16">
        <f t="shared" si="3"/>
        <v>3198</v>
      </c>
      <c r="P20" s="27"/>
    </row>
    <row r="21" spans="2:16" x14ac:dyDescent="0.2">
      <c r="B21" s="16" t="s">
        <v>260</v>
      </c>
      <c r="C21" s="16">
        <v>388</v>
      </c>
      <c r="D21" s="16">
        <v>353</v>
      </c>
      <c r="E21" s="16">
        <f t="shared" si="1"/>
        <v>741</v>
      </c>
      <c r="F21" s="17">
        <f t="shared" si="0"/>
        <v>1.5830627243206288E-2</v>
      </c>
      <c r="G21" s="16">
        <v>529</v>
      </c>
      <c r="H21" s="16">
        <v>51</v>
      </c>
      <c r="I21" s="16">
        <v>54</v>
      </c>
      <c r="J21" s="16">
        <v>634</v>
      </c>
      <c r="K21" s="17">
        <f t="shared" si="2"/>
        <v>9.0090090090090089E-3</v>
      </c>
      <c r="L21" s="16">
        <v>0</v>
      </c>
      <c r="M21" s="16">
        <f t="shared" si="3"/>
        <v>1375</v>
      </c>
      <c r="P21" s="27"/>
    </row>
    <row r="22" spans="2:16" x14ac:dyDescent="0.2">
      <c r="B22" s="16" t="s">
        <v>241</v>
      </c>
      <c r="C22" s="16">
        <v>869</v>
      </c>
      <c r="D22" s="16">
        <v>931</v>
      </c>
      <c r="E22" s="16">
        <f t="shared" si="1"/>
        <v>1800</v>
      </c>
      <c r="F22" s="17">
        <f t="shared" si="0"/>
        <v>3.8454964963254144E-2</v>
      </c>
      <c r="G22" s="16">
        <v>2232</v>
      </c>
      <c r="H22" s="16">
        <v>307</v>
      </c>
      <c r="I22" s="16">
        <v>195</v>
      </c>
      <c r="J22" s="16">
        <v>2734</v>
      </c>
      <c r="K22" s="17">
        <f t="shared" si="2"/>
        <v>3.8849575127177648E-2</v>
      </c>
      <c r="L22" s="16">
        <v>0</v>
      </c>
      <c r="M22" s="16">
        <f t="shared" si="3"/>
        <v>4534</v>
      </c>
      <c r="P22" s="27"/>
    </row>
    <row r="23" spans="2:16" x14ac:dyDescent="0.2">
      <c r="B23" s="16" t="s">
        <v>244</v>
      </c>
      <c r="C23" s="16">
        <v>384</v>
      </c>
      <c r="D23" s="16">
        <v>655</v>
      </c>
      <c r="E23" s="16">
        <f t="shared" si="1"/>
        <v>1039</v>
      </c>
      <c r="F23" s="17">
        <f t="shared" si="0"/>
        <v>2.2197060331567254E-2</v>
      </c>
      <c r="G23" s="16">
        <v>587</v>
      </c>
      <c r="H23" s="16">
        <v>79</v>
      </c>
      <c r="I23" s="16">
        <v>123</v>
      </c>
      <c r="J23" s="16">
        <v>789</v>
      </c>
      <c r="K23" s="17">
        <f t="shared" si="2"/>
        <v>1.1211526984397646E-2</v>
      </c>
      <c r="L23" s="16">
        <v>0</v>
      </c>
      <c r="M23" s="16">
        <f t="shared" si="3"/>
        <v>1828</v>
      </c>
      <c r="P23" s="27"/>
    </row>
    <row r="24" spans="2:16" x14ac:dyDescent="0.2">
      <c r="B24" s="16" t="s">
        <v>261</v>
      </c>
      <c r="C24" s="16">
        <v>302</v>
      </c>
      <c r="D24" s="16">
        <v>344</v>
      </c>
      <c r="E24" s="16">
        <f t="shared" si="1"/>
        <v>646</v>
      </c>
      <c r="F24" s="17">
        <f t="shared" si="0"/>
        <v>1.3801059647923431E-2</v>
      </c>
      <c r="G24" s="16">
        <v>676</v>
      </c>
      <c r="H24" s="16">
        <v>57</v>
      </c>
      <c r="I24" s="16">
        <v>108</v>
      </c>
      <c r="J24" s="16">
        <v>841</v>
      </c>
      <c r="K24" s="17">
        <f t="shared" si="2"/>
        <v>1.195043624065706E-2</v>
      </c>
      <c r="L24" s="16">
        <v>0</v>
      </c>
      <c r="M24" s="16">
        <f t="shared" si="3"/>
        <v>1487</v>
      </c>
      <c r="P24" s="27"/>
    </row>
    <row r="25" spans="2:16" x14ac:dyDescent="0.2">
      <c r="B25" s="16" t="s">
        <v>220</v>
      </c>
      <c r="C25" s="16">
        <v>334</v>
      </c>
      <c r="D25" s="16">
        <v>384</v>
      </c>
      <c r="E25" s="16">
        <f t="shared" si="1"/>
        <v>718</v>
      </c>
      <c r="F25" s="17">
        <f t="shared" si="0"/>
        <v>1.5339258246453597E-2</v>
      </c>
      <c r="G25" s="16">
        <v>896</v>
      </c>
      <c r="H25" s="16">
        <v>110</v>
      </c>
      <c r="I25" s="16">
        <v>76</v>
      </c>
      <c r="J25" s="16">
        <v>1082</v>
      </c>
      <c r="K25" s="17">
        <f t="shared" si="2"/>
        <v>1.5374996447551652E-2</v>
      </c>
      <c r="L25" s="16">
        <v>0</v>
      </c>
      <c r="M25" s="16">
        <f t="shared" si="3"/>
        <v>1800</v>
      </c>
      <c r="P25" s="27"/>
    </row>
    <row r="26" spans="2:16" x14ac:dyDescent="0.2">
      <c r="B26" s="16" t="s">
        <v>251</v>
      </c>
      <c r="C26" s="16">
        <v>310</v>
      </c>
      <c r="D26" s="16">
        <v>360</v>
      </c>
      <c r="E26" s="16">
        <f t="shared" si="1"/>
        <v>670</v>
      </c>
      <c r="F26" s="17">
        <f t="shared" si="0"/>
        <v>1.4313792514100154E-2</v>
      </c>
      <c r="G26" s="16">
        <v>664</v>
      </c>
      <c r="H26" s="16">
        <v>55</v>
      </c>
      <c r="I26" s="16">
        <v>81</v>
      </c>
      <c r="J26" s="16">
        <v>800</v>
      </c>
      <c r="K26" s="17">
        <f t="shared" si="2"/>
        <v>1.1367834711683292E-2</v>
      </c>
      <c r="L26" s="16">
        <v>0</v>
      </c>
      <c r="M26" s="16">
        <f t="shared" si="3"/>
        <v>1470</v>
      </c>
      <c r="P26" s="27"/>
    </row>
    <row r="27" spans="2:16" x14ac:dyDescent="0.2">
      <c r="B27" s="16" t="s">
        <v>249</v>
      </c>
      <c r="C27" s="16">
        <v>2428</v>
      </c>
      <c r="D27" s="16">
        <v>2776</v>
      </c>
      <c r="E27" s="16">
        <f t="shared" si="1"/>
        <v>5204</v>
      </c>
      <c r="F27" s="17">
        <f t="shared" si="0"/>
        <v>0.11117757648265254</v>
      </c>
      <c r="G27" s="16">
        <v>6930</v>
      </c>
      <c r="H27" s="16">
        <v>850</v>
      </c>
      <c r="I27" s="16">
        <v>850</v>
      </c>
      <c r="J27" s="16">
        <v>8630</v>
      </c>
      <c r="K27" s="17">
        <f t="shared" si="2"/>
        <v>0.12263051695228351</v>
      </c>
      <c r="L27" s="16">
        <v>0</v>
      </c>
      <c r="M27" s="16">
        <f t="shared" si="3"/>
        <v>13834</v>
      </c>
      <c r="P27" s="27"/>
    </row>
    <row r="28" spans="2:16" x14ac:dyDescent="0.2">
      <c r="B28" s="16" t="s">
        <v>242</v>
      </c>
      <c r="C28" s="16">
        <v>1062</v>
      </c>
      <c r="D28" s="16">
        <v>1740</v>
      </c>
      <c r="E28" s="16">
        <f t="shared" si="1"/>
        <v>2802</v>
      </c>
      <c r="F28" s="17">
        <f t="shared" si="0"/>
        <v>5.9861562126132285E-2</v>
      </c>
      <c r="G28" s="16">
        <v>2209</v>
      </c>
      <c r="H28" s="16">
        <v>263</v>
      </c>
      <c r="I28" s="16">
        <v>336</v>
      </c>
      <c r="J28" s="16">
        <v>2808</v>
      </c>
      <c r="K28" s="17">
        <f t="shared" si="2"/>
        <v>3.9901099838008353E-2</v>
      </c>
      <c r="L28" s="16">
        <v>0</v>
      </c>
      <c r="M28" s="16">
        <f t="shared" si="3"/>
        <v>5610</v>
      </c>
      <c r="P28" s="27"/>
    </row>
    <row r="29" spans="2:16" x14ac:dyDescent="0.2">
      <c r="B29" s="16" t="s">
        <v>245</v>
      </c>
      <c r="C29" s="16">
        <v>794</v>
      </c>
      <c r="D29" s="16">
        <v>919</v>
      </c>
      <c r="E29" s="16">
        <f t="shared" si="1"/>
        <v>1713</v>
      </c>
      <c r="F29" s="17">
        <f t="shared" si="0"/>
        <v>3.6596308323363524E-2</v>
      </c>
      <c r="G29" s="16">
        <v>1479</v>
      </c>
      <c r="H29" s="16">
        <v>129</v>
      </c>
      <c r="I29" s="16">
        <v>156</v>
      </c>
      <c r="J29" s="16">
        <v>1764</v>
      </c>
      <c r="K29" s="17">
        <f t="shared" si="2"/>
        <v>2.506607553926166E-2</v>
      </c>
      <c r="L29" s="16">
        <v>0</v>
      </c>
      <c r="M29" s="16">
        <f t="shared" si="3"/>
        <v>3477</v>
      </c>
      <c r="P29" s="27"/>
    </row>
    <row r="30" spans="2:16" x14ac:dyDescent="0.2">
      <c r="B30" s="16" t="s">
        <v>262</v>
      </c>
      <c r="C30" s="16">
        <v>198</v>
      </c>
      <c r="D30" s="16">
        <v>224</v>
      </c>
      <c r="E30" s="16">
        <f t="shared" si="1"/>
        <v>422</v>
      </c>
      <c r="F30" s="17">
        <f t="shared" si="0"/>
        <v>9.0155528969406932E-3</v>
      </c>
      <c r="G30" s="16">
        <v>527</v>
      </c>
      <c r="H30" s="16">
        <v>59</v>
      </c>
      <c r="I30" s="16">
        <v>47</v>
      </c>
      <c r="J30" s="16">
        <v>633</v>
      </c>
      <c r="K30" s="17">
        <f t="shared" si="2"/>
        <v>8.9947992156194055E-3</v>
      </c>
      <c r="L30" s="16">
        <v>0</v>
      </c>
      <c r="M30" s="16">
        <f t="shared" si="3"/>
        <v>1055</v>
      </c>
      <c r="P30" s="27"/>
    </row>
    <row r="31" spans="2:16" x14ac:dyDescent="0.2">
      <c r="B31" s="16" t="s">
        <v>221</v>
      </c>
      <c r="C31" s="16">
        <v>524</v>
      </c>
      <c r="D31" s="16">
        <v>738</v>
      </c>
      <c r="E31" s="16">
        <f t="shared" si="1"/>
        <v>1262</v>
      </c>
      <c r="F31" s="17">
        <f t="shared" si="0"/>
        <v>2.6961203213125961E-2</v>
      </c>
      <c r="G31" s="16">
        <v>1217</v>
      </c>
      <c r="H31" s="16">
        <v>112</v>
      </c>
      <c r="I31" s="16">
        <v>190</v>
      </c>
      <c r="J31" s="16">
        <v>1519</v>
      </c>
      <c r="K31" s="17">
        <f t="shared" si="2"/>
        <v>2.1584676158808651E-2</v>
      </c>
      <c r="L31" s="16">
        <v>0</v>
      </c>
      <c r="M31" s="16">
        <f t="shared" si="3"/>
        <v>2781</v>
      </c>
      <c r="P31" s="27"/>
    </row>
    <row r="32" spans="2:16" x14ac:dyDescent="0.2">
      <c r="B32" s="18" t="s">
        <v>39</v>
      </c>
      <c r="C32" s="16">
        <f>SUM(C11:C31)</f>
        <v>21764</v>
      </c>
      <c r="D32" s="16">
        <f>SUM(D11:D31)</f>
        <v>25044</v>
      </c>
      <c r="E32" s="18">
        <f t="shared" si="1"/>
        <v>46808</v>
      </c>
      <c r="F32" s="17">
        <f t="shared" si="0"/>
        <v>1</v>
      </c>
      <c r="G32" s="16">
        <f t="shared" ref="G32:J32" si="4">SUM(G11:G31)</f>
        <v>55151</v>
      </c>
      <c r="H32" s="16">
        <f t="shared" si="4"/>
        <v>8479</v>
      </c>
      <c r="I32" s="16">
        <f t="shared" si="4"/>
        <v>6744</v>
      </c>
      <c r="J32" s="18">
        <f t="shared" si="4"/>
        <v>70374</v>
      </c>
      <c r="K32" s="17">
        <f t="shared" si="2"/>
        <v>1</v>
      </c>
      <c r="L32" s="16">
        <f>SUM(L11:L31)</f>
        <v>0</v>
      </c>
      <c r="M32" s="18">
        <f t="shared" si="3"/>
        <v>117182</v>
      </c>
      <c r="P32" s="27"/>
    </row>
    <row r="33" spans="2:13" ht="25.5" customHeight="1" x14ac:dyDescent="0.2">
      <c r="B33" s="28" t="s">
        <v>44</v>
      </c>
      <c r="C33" s="29">
        <f>+C32/M32</f>
        <v>0.1857281835094127</v>
      </c>
      <c r="D33" s="29">
        <f>+D32/M32</f>
        <v>0.21371883053711321</v>
      </c>
      <c r="E33" s="30">
        <f>+E32/M32</f>
        <v>0.39944701404652594</v>
      </c>
      <c r="F33" s="30"/>
      <c r="G33" s="29">
        <f>+G32/M32</f>
        <v>0.47064395555631411</v>
      </c>
      <c r="H33" s="29">
        <f>+H32/M32</f>
        <v>7.2357529313375774E-2</v>
      </c>
      <c r="I33" s="29">
        <f>+I32/M32</f>
        <v>5.75515010837842E-2</v>
      </c>
      <c r="J33" s="30">
        <f>+J32/M32</f>
        <v>0.60055298595347406</v>
      </c>
      <c r="K33" s="30"/>
      <c r="L33" s="30">
        <f>+L32/M32</f>
        <v>0</v>
      </c>
      <c r="M33" s="30">
        <f>J33+L33+E33</f>
        <v>1</v>
      </c>
    </row>
    <row r="34" spans="2:13" x14ac:dyDescent="0.2">
      <c r="B34" s="21"/>
      <c r="C34" s="34"/>
      <c r="D34" s="34"/>
      <c r="E34" s="34"/>
      <c r="F34" s="34"/>
      <c r="G34" s="34"/>
      <c r="H34" s="34"/>
      <c r="I34" s="34"/>
      <c r="J34" s="34"/>
      <c r="K34" s="34"/>
    </row>
    <row r="35" spans="2:13" ht="12.75" x14ac:dyDescent="0.2">
      <c r="B35" s="344" t="s">
        <v>580</v>
      </c>
      <c r="C35" s="344"/>
      <c r="D35" s="344"/>
      <c r="E35" s="344"/>
      <c r="F35" s="344"/>
      <c r="G35" s="344"/>
      <c r="H35" s="344"/>
      <c r="I35" s="344"/>
      <c r="J35" s="344"/>
      <c r="K35" s="344"/>
    </row>
    <row r="36" spans="2:13" ht="12.75" x14ac:dyDescent="0.2">
      <c r="B36" s="374" t="str">
        <f>'Solicitudes Regiones'!$B$6:$R$6</f>
        <v>Julio de 2008 a junio de 2022</v>
      </c>
      <c r="C36" s="374"/>
      <c r="D36" s="374"/>
      <c r="E36" s="374"/>
      <c r="F36" s="374"/>
      <c r="G36" s="374"/>
      <c r="H36" s="374"/>
      <c r="I36" s="374"/>
      <c r="J36" s="374"/>
      <c r="K36" s="374"/>
    </row>
    <row r="38" spans="2:13" ht="15" customHeight="1" x14ac:dyDescent="0.2">
      <c r="B38" s="373" t="s">
        <v>596</v>
      </c>
      <c r="C38" s="373"/>
      <c r="D38" s="373"/>
      <c r="E38" s="373"/>
      <c r="F38" s="373"/>
      <c r="G38" s="373"/>
      <c r="H38" s="373"/>
      <c r="I38" s="373"/>
      <c r="J38" s="373"/>
      <c r="K38" s="373"/>
      <c r="L38" s="373"/>
      <c r="M38" s="373"/>
    </row>
    <row r="39" spans="2:13" ht="21" customHeight="1" x14ac:dyDescent="0.2">
      <c r="B39" s="373" t="s">
        <v>41</v>
      </c>
      <c r="C39" s="370" t="s">
        <v>544</v>
      </c>
      <c r="D39" s="371"/>
      <c r="E39" s="371"/>
      <c r="F39" s="371"/>
      <c r="G39" s="371"/>
      <c r="H39" s="371"/>
      <c r="I39" s="371"/>
      <c r="J39" s="371"/>
      <c r="K39" s="371"/>
      <c r="L39" s="372"/>
      <c r="M39" s="307"/>
    </row>
    <row r="40" spans="2:13" ht="60" x14ac:dyDescent="0.2">
      <c r="B40" s="373"/>
      <c r="C40" s="20" t="s">
        <v>540</v>
      </c>
      <c r="D40" s="20" t="s">
        <v>42</v>
      </c>
      <c r="E40" s="20" t="s">
        <v>553</v>
      </c>
      <c r="F40" s="20" t="s">
        <v>554</v>
      </c>
      <c r="G40" s="20" t="s">
        <v>542</v>
      </c>
      <c r="H40" s="20" t="s">
        <v>2</v>
      </c>
      <c r="I40" s="20" t="s">
        <v>43</v>
      </c>
      <c r="J40" s="20" t="s">
        <v>549</v>
      </c>
      <c r="K40" s="296" t="s">
        <v>550</v>
      </c>
      <c r="L40" s="296" t="s">
        <v>523</v>
      </c>
      <c r="M40" s="296" t="s">
        <v>641</v>
      </c>
    </row>
    <row r="41" spans="2:13" x14ac:dyDescent="0.2">
      <c r="B41" s="16" t="s">
        <v>239</v>
      </c>
      <c r="C41" s="16">
        <v>6090</v>
      </c>
      <c r="D41" s="16">
        <v>3417</v>
      </c>
      <c r="E41" s="16">
        <f t="shared" ref="E41:E61" si="5">C41+D41</f>
        <v>9507</v>
      </c>
      <c r="F41" s="17">
        <f t="shared" ref="F41:F62" si="6">E41/$E$62</f>
        <v>0.31216549006731242</v>
      </c>
      <c r="G41" s="16">
        <v>18101</v>
      </c>
      <c r="H41" s="16">
        <v>2267</v>
      </c>
      <c r="I41" s="16">
        <v>2261</v>
      </c>
      <c r="J41" s="16">
        <v>22629</v>
      </c>
      <c r="K41" s="17">
        <f>J41/$J$62</f>
        <v>0.38390675895765475</v>
      </c>
      <c r="L41" s="16">
        <v>0</v>
      </c>
      <c r="M41" s="16">
        <f t="shared" ref="M41:M62" si="7">L41+J41+E41</f>
        <v>32136</v>
      </c>
    </row>
    <row r="42" spans="2:13" x14ac:dyDescent="0.2">
      <c r="B42" s="16" t="s">
        <v>240</v>
      </c>
      <c r="C42" s="16">
        <v>872</v>
      </c>
      <c r="D42" s="16">
        <v>481</v>
      </c>
      <c r="E42" s="16">
        <f t="shared" si="5"/>
        <v>1353</v>
      </c>
      <c r="F42" s="17">
        <f t="shared" si="6"/>
        <v>4.4426202593991132E-2</v>
      </c>
      <c r="G42" s="16">
        <v>2386</v>
      </c>
      <c r="H42" s="16">
        <v>213</v>
      </c>
      <c r="I42" s="16">
        <v>212</v>
      </c>
      <c r="J42" s="16">
        <v>2811</v>
      </c>
      <c r="K42" s="17">
        <f t="shared" ref="K42:K62" si="8">J42/$J$62</f>
        <v>4.7689332247557004E-2</v>
      </c>
      <c r="L42" s="16">
        <v>0</v>
      </c>
      <c r="M42" s="16">
        <f t="shared" si="7"/>
        <v>4164</v>
      </c>
    </row>
    <row r="43" spans="2:13" x14ac:dyDescent="0.2">
      <c r="B43" s="16" t="s">
        <v>218</v>
      </c>
      <c r="C43" s="16">
        <v>727</v>
      </c>
      <c r="D43" s="16">
        <v>421</v>
      </c>
      <c r="E43" s="16">
        <f t="shared" si="5"/>
        <v>1148</v>
      </c>
      <c r="F43" s="17">
        <f t="shared" si="6"/>
        <v>3.7694959776719751E-2</v>
      </c>
      <c r="G43" s="16">
        <v>1949</v>
      </c>
      <c r="H43" s="16">
        <v>241</v>
      </c>
      <c r="I43" s="16">
        <v>286</v>
      </c>
      <c r="J43" s="16">
        <v>2476</v>
      </c>
      <c r="K43" s="17">
        <f t="shared" si="8"/>
        <v>4.2005971769815416E-2</v>
      </c>
      <c r="L43" s="16">
        <v>0</v>
      </c>
      <c r="M43" s="16">
        <f t="shared" si="7"/>
        <v>3624</v>
      </c>
    </row>
    <row r="44" spans="2:13" x14ac:dyDescent="0.2">
      <c r="B44" s="16" t="s">
        <v>243</v>
      </c>
      <c r="C44" s="16">
        <v>784</v>
      </c>
      <c r="D44" s="16">
        <v>468</v>
      </c>
      <c r="E44" s="16">
        <f t="shared" si="5"/>
        <v>1252</v>
      </c>
      <c r="F44" s="17">
        <f t="shared" si="6"/>
        <v>4.1109834181579381E-2</v>
      </c>
      <c r="G44" s="16">
        <v>1066</v>
      </c>
      <c r="H44" s="16">
        <v>57</v>
      </c>
      <c r="I44" s="16">
        <v>172</v>
      </c>
      <c r="J44" s="16">
        <v>1295</v>
      </c>
      <c r="K44" s="17">
        <f t="shared" si="8"/>
        <v>2.197000542888165E-2</v>
      </c>
      <c r="L44" s="16">
        <v>0</v>
      </c>
      <c r="M44" s="16">
        <f t="shared" si="7"/>
        <v>2547</v>
      </c>
    </row>
    <row r="45" spans="2:13" x14ac:dyDescent="0.2">
      <c r="B45" s="16" t="s">
        <v>219</v>
      </c>
      <c r="C45" s="16">
        <v>367</v>
      </c>
      <c r="D45" s="16">
        <v>264</v>
      </c>
      <c r="E45" s="16">
        <f t="shared" si="5"/>
        <v>631</v>
      </c>
      <c r="F45" s="17">
        <f t="shared" si="6"/>
        <v>2.071909374486948E-2</v>
      </c>
      <c r="G45" s="16">
        <v>778</v>
      </c>
      <c r="H45" s="16">
        <v>49</v>
      </c>
      <c r="I45" s="16">
        <v>114</v>
      </c>
      <c r="J45" s="16">
        <v>941</v>
      </c>
      <c r="K45" s="17">
        <f t="shared" si="8"/>
        <v>1.5964305103148752E-2</v>
      </c>
      <c r="L45" s="16">
        <v>0</v>
      </c>
      <c r="M45" s="16">
        <f t="shared" si="7"/>
        <v>1572</v>
      </c>
    </row>
    <row r="46" spans="2:13" x14ac:dyDescent="0.2">
      <c r="B46" s="16" t="s">
        <v>246</v>
      </c>
      <c r="C46" s="16">
        <v>564</v>
      </c>
      <c r="D46" s="16">
        <v>311</v>
      </c>
      <c r="E46" s="16">
        <f t="shared" si="5"/>
        <v>875</v>
      </c>
      <c r="F46" s="17">
        <f t="shared" si="6"/>
        <v>2.8730914463963225E-2</v>
      </c>
      <c r="G46" s="16">
        <v>1048</v>
      </c>
      <c r="H46" s="16">
        <v>78</v>
      </c>
      <c r="I46" s="16">
        <v>127</v>
      </c>
      <c r="J46" s="16">
        <v>1253</v>
      </c>
      <c r="K46" s="17">
        <f t="shared" si="8"/>
        <v>2.1257464712269272E-2</v>
      </c>
      <c r="L46" s="16">
        <v>0</v>
      </c>
      <c r="M46" s="16">
        <f t="shared" si="7"/>
        <v>2128</v>
      </c>
    </row>
    <row r="47" spans="2:13" x14ac:dyDescent="0.2">
      <c r="B47" s="16" t="s">
        <v>247</v>
      </c>
      <c r="C47" s="16">
        <v>992</v>
      </c>
      <c r="D47" s="16">
        <v>367</v>
      </c>
      <c r="E47" s="16">
        <f t="shared" si="5"/>
        <v>1359</v>
      </c>
      <c r="F47" s="17">
        <f t="shared" si="6"/>
        <v>4.4623214578886884E-2</v>
      </c>
      <c r="G47" s="16">
        <v>2005</v>
      </c>
      <c r="H47" s="16">
        <v>174</v>
      </c>
      <c r="I47" s="16">
        <v>133</v>
      </c>
      <c r="J47" s="16">
        <v>2312</v>
      </c>
      <c r="K47" s="17">
        <f t="shared" si="8"/>
        <v>3.9223669923995653E-2</v>
      </c>
      <c r="L47" s="16">
        <v>0</v>
      </c>
      <c r="M47" s="16">
        <f t="shared" si="7"/>
        <v>3671</v>
      </c>
    </row>
    <row r="48" spans="2:13" x14ac:dyDescent="0.2">
      <c r="B48" s="16" t="s">
        <v>250</v>
      </c>
      <c r="C48" s="16">
        <v>968</v>
      </c>
      <c r="D48" s="16">
        <v>597</v>
      </c>
      <c r="E48" s="16">
        <f t="shared" si="5"/>
        <v>1565</v>
      </c>
      <c r="F48" s="17">
        <f t="shared" si="6"/>
        <v>5.1387292726974225E-2</v>
      </c>
      <c r="G48" s="16">
        <v>1483</v>
      </c>
      <c r="H48" s="16">
        <v>118</v>
      </c>
      <c r="I48" s="16">
        <v>269</v>
      </c>
      <c r="J48" s="16">
        <v>1870</v>
      </c>
      <c r="K48" s="17">
        <f t="shared" si="8"/>
        <v>3.1725027144408252E-2</v>
      </c>
      <c r="L48" s="16">
        <v>0</v>
      </c>
      <c r="M48" s="16">
        <f t="shared" si="7"/>
        <v>3435</v>
      </c>
    </row>
    <row r="49" spans="2:13" x14ac:dyDescent="0.2">
      <c r="B49" s="16" t="s">
        <v>252</v>
      </c>
      <c r="C49" s="16">
        <v>736</v>
      </c>
      <c r="D49" s="16">
        <v>330</v>
      </c>
      <c r="E49" s="16">
        <f t="shared" si="5"/>
        <v>1066</v>
      </c>
      <c r="F49" s="17">
        <f t="shared" si="6"/>
        <v>3.5002462649811196E-2</v>
      </c>
      <c r="G49" s="16">
        <v>1982</v>
      </c>
      <c r="H49" s="16">
        <v>212</v>
      </c>
      <c r="I49" s="16">
        <v>144</v>
      </c>
      <c r="J49" s="16">
        <v>2338</v>
      </c>
      <c r="K49" s="17">
        <f t="shared" si="8"/>
        <v>3.966476655808903E-2</v>
      </c>
      <c r="L49" s="16">
        <v>0</v>
      </c>
      <c r="M49" s="16">
        <f t="shared" si="7"/>
        <v>3404</v>
      </c>
    </row>
    <row r="50" spans="2:13" x14ac:dyDescent="0.2">
      <c r="B50" s="16" t="s">
        <v>248</v>
      </c>
      <c r="C50" s="16">
        <v>518</v>
      </c>
      <c r="D50" s="16">
        <v>299</v>
      </c>
      <c r="E50" s="16">
        <f t="shared" si="5"/>
        <v>817</v>
      </c>
      <c r="F50" s="17">
        <f t="shared" si="6"/>
        <v>2.6826465276637661E-2</v>
      </c>
      <c r="G50" s="16">
        <v>1416</v>
      </c>
      <c r="H50" s="16">
        <v>152</v>
      </c>
      <c r="I50" s="16">
        <v>133</v>
      </c>
      <c r="J50" s="16">
        <v>1701</v>
      </c>
      <c r="K50" s="17">
        <f t="shared" si="8"/>
        <v>2.8857899022801302E-2</v>
      </c>
      <c r="L50" s="16">
        <v>0</v>
      </c>
      <c r="M50" s="16">
        <f t="shared" si="7"/>
        <v>2518</v>
      </c>
    </row>
    <row r="51" spans="2:13" x14ac:dyDescent="0.2">
      <c r="B51" s="16" t="s">
        <v>260</v>
      </c>
      <c r="C51" s="16">
        <v>372</v>
      </c>
      <c r="D51" s="16">
        <v>142</v>
      </c>
      <c r="E51" s="16">
        <f t="shared" si="5"/>
        <v>514</v>
      </c>
      <c r="F51" s="17">
        <f t="shared" si="6"/>
        <v>1.6877360039402396E-2</v>
      </c>
      <c r="G51" s="16">
        <v>470</v>
      </c>
      <c r="H51" s="16">
        <v>31</v>
      </c>
      <c r="I51" s="16">
        <v>52</v>
      </c>
      <c r="J51" s="16">
        <v>553</v>
      </c>
      <c r="K51" s="17">
        <f t="shared" si="8"/>
        <v>9.3817861020629757E-3</v>
      </c>
      <c r="L51" s="16">
        <v>0</v>
      </c>
      <c r="M51" s="16">
        <f t="shared" si="7"/>
        <v>1067</v>
      </c>
    </row>
    <row r="52" spans="2:13" x14ac:dyDescent="0.2">
      <c r="B52" s="16" t="s">
        <v>241</v>
      </c>
      <c r="C52" s="16">
        <v>821</v>
      </c>
      <c r="D52" s="16">
        <v>414</v>
      </c>
      <c r="E52" s="16">
        <f t="shared" si="5"/>
        <v>1235</v>
      </c>
      <c r="F52" s="17">
        <f t="shared" si="6"/>
        <v>4.0551633557708092E-2</v>
      </c>
      <c r="G52" s="16">
        <v>2046</v>
      </c>
      <c r="H52" s="16">
        <v>176</v>
      </c>
      <c r="I52" s="16">
        <v>170</v>
      </c>
      <c r="J52" s="16">
        <v>2392</v>
      </c>
      <c r="K52" s="17">
        <f t="shared" si="8"/>
        <v>4.058089033659066E-2</v>
      </c>
      <c r="L52" s="16">
        <v>0</v>
      </c>
      <c r="M52" s="16">
        <f t="shared" si="7"/>
        <v>3627</v>
      </c>
    </row>
    <row r="53" spans="2:13" x14ac:dyDescent="0.2">
      <c r="B53" s="16" t="s">
        <v>244</v>
      </c>
      <c r="C53" s="16">
        <v>352</v>
      </c>
      <c r="D53" s="16">
        <v>246</v>
      </c>
      <c r="E53" s="16">
        <f t="shared" si="5"/>
        <v>598</v>
      </c>
      <c r="F53" s="17">
        <f t="shared" si="6"/>
        <v>1.9635527827942867E-2</v>
      </c>
      <c r="G53" s="16">
        <v>549</v>
      </c>
      <c r="H53" s="16">
        <v>49</v>
      </c>
      <c r="I53" s="16">
        <v>106</v>
      </c>
      <c r="J53" s="16">
        <v>704</v>
      </c>
      <c r="K53" s="17">
        <f t="shared" si="8"/>
        <v>1.1943539630836048E-2</v>
      </c>
      <c r="L53" s="16">
        <v>0</v>
      </c>
      <c r="M53" s="16">
        <f t="shared" si="7"/>
        <v>1302</v>
      </c>
    </row>
    <row r="54" spans="2:13" x14ac:dyDescent="0.2">
      <c r="B54" s="16" t="s">
        <v>261</v>
      </c>
      <c r="C54" s="16">
        <v>287</v>
      </c>
      <c r="D54" s="16">
        <v>160</v>
      </c>
      <c r="E54" s="16">
        <f t="shared" si="5"/>
        <v>447</v>
      </c>
      <c r="F54" s="17">
        <f t="shared" si="6"/>
        <v>1.4677392874733212E-2</v>
      </c>
      <c r="G54" s="16">
        <v>620</v>
      </c>
      <c r="H54" s="16">
        <v>32</v>
      </c>
      <c r="I54" s="16">
        <v>92</v>
      </c>
      <c r="J54" s="16">
        <v>744</v>
      </c>
      <c r="K54" s="17">
        <f t="shared" si="8"/>
        <v>1.2622149837133551E-2</v>
      </c>
      <c r="L54" s="16">
        <v>0</v>
      </c>
      <c r="M54" s="16">
        <f t="shared" si="7"/>
        <v>1191</v>
      </c>
    </row>
    <row r="55" spans="2:13" x14ac:dyDescent="0.2">
      <c r="B55" s="16" t="s">
        <v>220</v>
      </c>
      <c r="C55" s="16">
        <v>317</v>
      </c>
      <c r="D55" s="16">
        <v>172</v>
      </c>
      <c r="E55" s="16">
        <f t="shared" si="5"/>
        <v>489</v>
      </c>
      <c r="F55" s="17">
        <f t="shared" si="6"/>
        <v>1.6056476769003448E-2</v>
      </c>
      <c r="G55" s="16">
        <v>820</v>
      </c>
      <c r="H55" s="16">
        <v>69</v>
      </c>
      <c r="I55" s="16">
        <v>61</v>
      </c>
      <c r="J55" s="16">
        <v>950</v>
      </c>
      <c r="K55" s="17">
        <f t="shared" si="8"/>
        <v>1.611699239956569E-2</v>
      </c>
      <c r="L55" s="16">
        <v>0</v>
      </c>
      <c r="M55" s="16">
        <f t="shared" si="7"/>
        <v>1439</v>
      </c>
    </row>
    <row r="56" spans="2:13" x14ac:dyDescent="0.2">
      <c r="B56" s="16" t="s">
        <v>251</v>
      </c>
      <c r="C56" s="16">
        <v>303</v>
      </c>
      <c r="D56" s="16">
        <v>164</v>
      </c>
      <c r="E56" s="16">
        <f t="shared" si="5"/>
        <v>467</v>
      </c>
      <c r="F56" s="17">
        <f t="shared" si="6"/>
        <v>1.5334099491052373E-2</v>
      </c>
      <c r="G56" s="16">
        <v>626</v>
      </c>
      <c r="H56" s="16">
        <v>38</v>
      </c>
      <c r="I56" s="16">
        <v>66</v>
      </c>
      <c r="J56" s="16">
        <v>730</v>
      </c>
      <c r="K56" s="17">
        <f t="shared" si="8"/>
        <v>1.2384636264929425E-2</v>
      </c>
      <c r="L56" s="16">
        <v>0</v>
      </c>
      <c r="M56" s="16">
        <f t="shared" si="7"/>
        <v>1197</v>
      </c>
    </row>
    <row r="57" spans="2:13" x14ac:dyDescent="0.2">
      <c r="B57" s="16" t="s">
        <v>249</v>
      </c>
      <c r="C57" s="16">
        <v>2181</v>
      </c>
      <c r="D57" s="16">
        <v>1197</v>
      </c>
      <c r="E57" s="16">
        <f t="shared" si="5"/>
        <v>3378</v>
      </c>
      <c r="F57" s="17">
        <f t="shared" si="6"/>
        <v>0.11091774749630602</v>
      </c>
      <c r="G57" s="16">
        <v>6183</v>
      </c>
      <c r="H57" s="16">
        <v>468</v>
      </c>
      <c r="I57" s="16">
        <v>756</v>
      </c>
      <c r="J57" s="16">
        <v>7407</v>
      </c>
      <c r="K57" s="17">
        <f t="shared" si="8"/>
        <v>0.12566164495114007</v>
      </c>
      <c r="L57" s="16">
        <v>0</v>
      </c>
      <c r="M57" s="16">
        <f t="shared" si="7"/>
        <v>10785</v>
      </c>
    </row>
    <row r="58" spans="2:13" x14ac:dyDescent="0.2">
      <c r="B58" s="16" t="s">
        <v>242</v>
      </c>
      <c r="C58" s="16">
        <v>972</v>
      </c>
      <c r="D58" s="16">
        <v>657</v>
      </c>
      <c r="E58" s="16">
        <f t="shared" si="5"/>
        <v>1629</v>
      </c>
      <c r="F58" s="17">
        <f t="shared" si="6"/>
        <v>5.3488753899195537E-2</v>
      </c>
      <c r="G58" s="16">
        <v>2011</v>
      </c>
      <c r="H58" s="16">
        <v>128</v>
      </c>
      <c r="I58" s="16">
        <v>297</v>
      </c>
      <c r="J58" s="16">
        <v>2436</v>
      </c>
      <c r="K58" s="17">
        <f t="shared" si="8"/>
        <v>4.1327361563517913E-2</v>
      </c>
      <c r="L58" s="16">
        <v>0</v>
      </c>
      <c r="M58" s="16">
        <f t="shared" si="7"/>
        <v>4065</v>
      </c>
    </row>
    <row r="59" spans="2:13" x14ac:dyDescent="0.2">
      <c r="B59" s="16" t="s">
        <v>245</v>
      </c>
      <c r="C59" s="16">
        <v>709</v>
      </c>
      <c r="D59" s="16">
        <v>381</v>
      </c>
      <c r="E59" s="16">
        <f t="shared" si="5"/>
        <v>1090</v>
      </c>
      <c r="F59" s="17">
        <f t="shared" si="6"/>
        <v>3.5790510589394191E-2</v>
      </c>
      <c r="G59" s="16">
        <v>1308</v>
      </c>
      <c r="H59" s="16">
        <v>70</v>
      </c>
      <c r="I59" s="16">
        <v>140</v>
      </c>
      <c r="J59" s="16">
        <v>1518</v>
      </c>
      <c r="K59" s="17">
        <f t="shared" si="8"/>
        <v>2.5753257328990229E-2</v>
      </c>
      <c r="L59" s="16">
        <v>0</v>
      </c>
      <c r="M59" s="16">
        <f t="shared" si="7"/>
        <v>2608</v>
      </c>
    </row>
    <row r="60" spans="2:13" x14ac:dyDescent="0.2">
      <c r="B60" s="16" t="s">
        <v>262</v>
      </c>
      <c r="C60" s="16">
        <v>182</v>
      </c>
      <c r="D60" s="16">
        <v>93</v>
      </c>
      <c r="E60" s="16">
        <f t="shared" si="5"/>
        <v>275</v>
      </c>
      <c r="F60" s="17">
        <f t="shared" si="6"/>
        <v>9.0297159743884421E-3</v>
      </c>
      <c r="G60" s="16">
        <v>477</v>
      </c>
      <c r="H60" s="16">
        <v>37</v>
      </c>
      <c r="I60" s="16">
        <v>43</v>
      </c>
      <c r="J60" s="16">
        <v>557</v>
      </c>
      <c r="K60" s="17">
        <f t="shared" si="8"/>
        <v>9.449647122692726E-3</v>
      </c>
      <c r="L60" s="16">
        <v>0</v>
      </c>
      <c r="M60" s="16">
        <f t="shared" si="7"/>
        <v>832</v>
      </c>
    </row>
    <row r="61" spans="2:13" x14ac:dyDescent="0.2">
      <c r="B61" s="16" t="s">
        <v>221</v>
      </c>
      <c r="C61" s="16">
        <v>494</v>
      </c>
      <c r="D61" s="16">
        <v>266</v>
      </c>
      <c r="E61" s="16">
        <f t="shared" si="5"/>
        <v>760</v>
      </c>
      <c r="F61" s="17">
        <f t="shared" si="6"/>
        <v>2.4954851420128057E-2</v>
      </c>
      <c r="G61" s="16">
        <v>1087</v>
      </c>
      <c r="H61" s="16">
        <v>83</v>
      </c>
      <c r="I61" s="16">
        <v>157</v>
      </c>
      <c r="J61" s="16">
        <v>1327</v>
      </c>
      <c r="K61" s="17">
        <f t="shared" si="8"/>
        <v>2.2512893593919652E-2</v>
      </c>
      <c r="L61" s="16">
        <v>0</v>
      </c>
      <c r="M61" s="16">
        <f t="shared" si="7"/>
        <v>2087</v>
      </c>
    </row>
    <row r="62" spans="2:13" x14ac:dyDescent="0.2">
      <c r="B62" s="18" t="s">
        <v>39</v>
      </c>
      <c r="C62" s="16">
        <f>SUM(C41:C61)</f>
        <v>19608</v>
      </c>
      <c r="D62" s="16">
        <f>SUM(D41:D61)</f>
        <v>10847</v>
      </c>
      <c r="E62" s="18">
        <f>C62+D62</f>
        <v>30455</v>
      </c>
      <c r="F62" s="39">
        <f t="shared" si="6"/>
        <v>1</v>
      </c>
      <c r="G62" s="16">
        <f t="shared" ref="G62:J62" si="9">SUM(G41:G61)</f>
        <v>48411</v>
      </c>
      <c r="H62" s="16">
        <f t="shared" si="9"/>
        <v>4742</v>
      </c>
      <c r="I62" s="16">
        <f t="shared" si="9"/>
        <v>5791</v>
      </c>
      <c r="J62" s="16">
        <f t="shared" si="9"/>
        <v>58944</v>
      </c>
      <c r="K62" s="17">
        <f t="shared" si="8"/>
        <v>1</v>
      </c>
      <c r="L62" s="16">
        <f>SUM(L41:L61)</f>
        <v>0</v>
      </c>
      <c r="M62" s="16">
        <f t="shared" si="7"/>
        <v>89399</v>
      </c>
    </row>
    <row r="63" spans="2:13" ht="24" x14ac:dyDescent="0.2">
      <c r="B63" s="28" t="s">
        <v>45</v>
      </c>
      <c r="C63" s="29">
        <f>+C62/M62</f>
        <v>0.21933131243078782</v>
      </c>
      <c r="D63" s="29">
        <f>+D62/M62</f>
        <v>0.12133245338314746</v>
      </c>
      <c r="E63" s="30">
        <f>+E62/M62</f>
        <v>0.34066376581393526</v>
      </c>
      <c r="F63" s="30"/>
      <c r="G63" s="29">
        <f>+G62/M62</f>
        <v>0.54151612434143559</v>
      </c>
      <c r="H63" s="29">
        <f>+H62/M62</f>
        <v>5.3043098916095259E-2</v>
      </c>
      <c r="I63" s="29">
        <f>+I62/M62</f>
        <v>6.4777010928533871E-2</v>
      </c>
      <c r="J63" s="30">
        <f>+J62/M62</f>
        <v>0.65933623418606468</v>
      </c>
      <c r="K63" s="30"/>
      <c r="L63" s="30">
        <f>+L62/M62</f>
        <v>0</v>
      </c>
      <c r="M63" s="30">
        <f>J63+L63+E63</f>
        <v>1</v>
      </c>
    </row>
    <row r="64" spans="2:13" x14ac:dyDescent="0.2">
      <c r="B64" s="21" t="s">
        <v>78</v>
      </c>
    </row>
    <row r="65" spans="2:2" x14ac:dyDescent="0.2">
      <c r="B65" s="21" t="s">
        <v>79</v>
      </c>
    </row>
  </sheetData>
  <mergeCells count="10">
    <mergeCell ref="B36:K36"/>
    <mergeCell ref="B39:B40"/>
    <mergeCell ref="B5:K5"/>
    <mergeCell ref="B6:K6"/>
    <mergeCell ref="B9:B10"/>
    <mergeCell ref="B35:K35"/>
    <mergeCell ref="B8:M8"/>
    <mergeCell ref="B38:M38"/>
    <mergeCell ref="C9:L9"/>
    <mergeCell ref="C39:L39"/>
  </mergeCells>
  <hyperlinks>
    <hyperlink ref="M5" location="'Índice PGU y SPS'!A1" display="Volver Sistema de Pensiones Solidarias" xr:uid="{D73D7B0C-0BB7-47E7-9AA6-67DE98B071D9}"/>
  </hyperlinks>
  <pageMargins left="0.74803149606299213" right="0.74803149606299213" top="0.98425196850393704" bottom="0.98425196850393704" header="0" footer="0"/>
  <pageSetup scale="83" fitToHeight="2" orientation="portrait" r:id="rId1"/>
  <headerFooter alignWithMargins="0"/>
  <rowBreaks count="1" manualBreakCount="1">
    <brk id="38" min="1" max="12"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6">
    <pageSetUpPr fitToPage="1"/>
  </sheetPr>
  <dimension ref="A1:P89"/>
  <sheetViews>
    <sheetView showGridLines="0" zoomScaleNormal="100" workbookViewId="0">
      <selection activeCell="M35" sqref="M35"/>
    </sheetView>
  </sheetViews>
  <sheetFormatPr baseColWidth="10" defaultRowHeight="12" x14ac:dyDescent="0.2"/>
  <cols>
    <col min="1" max="1" width="6" style="22" customWidth="1"/>
    <col min="2" max="2" width="18.140625" style="22" customWidth="1"/>
    <col min="3" max="3" width="9.7109375" style="22" bestFit="1" customWidth="1"/>
    <col min="4" max="4" width="9.140625" style="22" bestFit="1" customWidth="1"/>
    <col min="5" max="6" width="9.140625" style="22" customWidth="1"/>
    <col min="7" max="7" width="9.7109375" style="22" bestFit="1" customWidth="1"/>
    <col min="8" max="8" width="8.42578125" style="22" bestFit="1" customWidth="1"/>
    <col min="9" max="11" width="11" style="22" customWidth="1"/>
    <col min="12" max="12" width="9.140625" style="22" hidden="1" customWidth="1"/>
    <col min="13" max="251" width="11.42578125" style="22"/>
    <col min="252" max="252" width="18.140625" style="22" customWidth="1"/>
    <col min="253" max="253" width="9.7109375" style="22" bestFit="1" customWidth="1"/>
    <col min="254" max="254" width="9.140625" style="22" bestFit="1" customWidth="1"/>
    <col min="255" max="256" width="9.140625" style="22" customWidth="1"/>
    <col min="257" max="257" width="9.7109375" style="22" bestFit="1" customWidth="1"/>
    <col min="258" max="258" width="8.42578125" style="22" bestFit="1" customWidth="1"/>
    <col min="259" max="261" width="11" style="22" customWidth="1"/>
    <col min="262" max="267" width="0" style="22" hidden="1" customWidth="1"/>
    <col min="268" max="268" width="9.140625" style="22" customWidth="1"/>
    <col min="269" max="507" width="11.42578125" style="22"/>
    <col min="508" max="508" width="18.140625" style="22" customWidth="1"/>
    <col min="509" max="509" width="9.7109375" style="22" bestFit="1" customWidth="1"/>
    <col min="510" max="510" width="9.140625" style="22" bestFit="1" customWidth="1"/>
    <col min="511" max="512" width="9.140625" style="22" customWidth="1"/>
    <col min="513" max="513" width="9.7109375" style="22" bestFit="1" customWidth="1"/>
    <col min="514" max="514" width="8.42578125" style="22" bestFit="1" customWidth="1"/>
    <col min="515" max="517" width="11" style="22" customWidth="1"/>
    <col min="518" max="523" width="0" style="22" hidden="1" customWidth="1"/>
    <col min="524" max="524" width="9.140625" style="22" customWidth="1"/>
    <col min="525" max="763" width="11.42578125" style="22"/>
    <col min="764" max="764" width="18.140625" style="22" customWidth="1"/>
    <col min="765" max="765" width="9.7109375" style="22" bestFit="1" customWidth="1"/>
    <col min="766" max="766" width="9.140625" style="22" bestFit="1" customWidth="1"/>
    <col min="767" max="768" width="9.140625" style="22" customWidth="1"/>
    <col min="769" max="769" width="9.7109375" style="22" bestFit="1" customWidth="1"/>
    <col min="770" max="770" width="8.42578125" style="22" bestFit="1" customWidth="1"/>
    <col min="771" max="773" width="11" style="22" customWidth="1"/>
    <col min="774" max="779" width="0" style="22" hidden="1" customWidth="1"/>
    <col min="780" max="780" width="9.140625" style="22" customWidth="1"/>
    <col min="781" max="1019" width="11.42578125" style="22"/>
    <col min="1020" max="1020" width="18.140625" style="22" customWidth="1"/>
    <col min="1021" max="1021" width="9.7109375" style="22" bestFit="1" customWidth="1"/>
    <col min="1022" max="1022" width="9.140625" style="22" bestFit="1" customWidth="1"/>
    <col min="1023" max="1024" width="9.140625" style="22" customWidth="1"/>
    <col min="1025" max="1025" width="9.7109375" style="22" bestFit="1" customWidth="1"/>
    <col min="1026" max="1026" width="8.42578125" style="22" bestFit="1" customWidth="1"/>
    <col min="1027" max="1029" width="11" style="22" customWidth="1"/>
    <col min="1030" max="1035" width="0" style="22" hidden="1" customWidth="1"/>
    <col min="1036" max="1036" width="9.140625" style="22" customWidth="1"/>
    <col min="1037" max="1275" width="11.42578125" style="22"/>
    <col min="1276" max="1276" width="18.140625" style="22" customWidth="1"/>
    <col min="1277" max="1277" width="9.7109375" style="22" bestFit="1" customWidth="1"/>
    <col min="1278" max="1278" width="9.140625" style="22" bestFit="1" customWidth="1"/>
    <col min="1279" max="1280" width="9.140625" style="22" customWidth="1"/>
    <col min="1281" max="1281" width="9.7109375" style="22" bestFit="1" customWidth="1"/>
    <col min="1282" max="1282" width="8.42578125" style="22" bestFit="1" customWidth="1"/>
    <col min="1283" max="1285" width="11" style="22" customWidth="1"/>
    <col min="1286" max="1291" width="0" style="22" hidden="1" customWidth="1"/>
    <col min="1292" max="1292" width="9.140625" style="22" customWidth="1"/>
    <col min="1293" max="1531" width="11.42578125" style="22"/>
    <col min="1532" max="1532" width="18.140625" style="22" customWidth="1"/>
    <col min="1533" max="1533" width="9.7109375" style="22" bestFit="1" customWidth="1"/>
    <col min="1534" max="1534" width="9.140625" style="22" bestFit="1" customWidth="1"/>
    <col min="1535" max="1536" width="9.140625" style="22" customWidth="1"/>
    <col min="1537" max="1537" width="9.7109375" style="22" bestFit="1" customWidth="1"/>
    <col min="1538" max="1538" width="8.42578125" style="22" bestFit="1" customWidth="1"/>
    <col min="1539" max="1541" width="11" style="22" customWidth="1"/>
    <col min="1542" max="1547" width="0" style="22" hidden="1" customWidth="1"/>
    <col min="1548" max="1548" width="9.140625" style="22" customWidth="1"/>
    <col min="1549" max="1787" width="11.42578125" style="22"/>
    <col min="1788" max="1788" width="18.140625" style="22" customWidth="1"/>
    <col min="1789" max="1789" width="9.7109375" style="22" bestFit="1" customWidth="1"/>
    <col min="1790" max="1790" width="9.140625" style="22" bestFit="1" customWidth="1"/>
    <col min="1791" max="1792" width="9.140625" style="22" customWidth="1"/>
    <col min="1793" max="1793" width="9.7109375" style="22" bestFit="1" customWidth="1"/>
    <col min="1794" max="1794" width="8.42578125" style="22" bestFit="1" customWidth="1"/>
    <col min="1795" max="1797" width="11" style="22" customWidth="1"/>
    <col min="1798" max="1803" width="0" style="22" hidden="1" customWidth="1"/>
    <col min="1804" max="1804" width="9.140625" style="22" customWidth="1"/>
    <col min="1805" max="2043" width="11.42578125" style="22"/>
    <col min="2044" max="2044" width="18.140625" style="22" customWidth="1"/>
    <col min="2045" max="2045" width="9.7109375" style="22" bestFit="1" customWidth="1"/>
    <col min="2046" max="2046" width="9.140625" style="22" bestFit="1" customWidth="1"/>
    <col min="2047" max="2048" width="9.140625" style="22" customWidth="1"/>
    <col min="2049" max="2049" width="9.7109375" style="22" bestFit="1" customWidth="1"/>
    <col min="2050" max="2050" width="8.42578125" style="22" bestFit="1" customWidth="1"/>
    <col min="2051" max="2053" width="11" style="22" customWidth="1"/>
    <col min="2054" max="2059" width="0" style="22" hidden="1" customWidth="1"/>
    <col min="2060" max="2060" width="9.140625" style="22" customWidth="1"/>
    <col min="2061" max="2299" width="11.42578125" style="22"/>
    <col min="2300" max="2300" width="18.140625" style="22" customWidth="1"/>
    <col min="2301" max="2301" width="9.7109375" style="22" bestFit="1" customWidth="1"/>
    <col min="2302" max="2302" width="9.140625" style="22" bestFit="1" customWidth="1"/>
    <col min="2303" max="2304" width="9.140625" style="22" customWidth="1"/>
    <col min="2305" max="2305" width="9.7109375" style="22" bestFit="1" customWidth="1"/>
    <col min="2306" max="2306" width="8.42578125" style="22" bestFit="1" customWidth="1"/>
    <col min="2307" max="2309" width="11" style="22" customWidth="1"/>
    <col min="2310" max="2315" width="0" style="22" hidden="1" customWidth="1"/>
    <col min="2316" max="2316" width="9.140625" style="22" customWidth="1"/>
    <col min="2317" max="2555" width="11.42578125" style="22"/>
    <col min="2556" max="2556" width="18.140625" style="22" customWidth="1"/>
    <col min="2557" max="2557" width="9.7109375" style="22" bestFit="1" customWidth="1"/>
    <col min="2558" max="2558" width="9.140625" style="22" bestFit="1" customWidth="1"/>
    <col min="2559" max="2560" width="9.140625" style="22" customWidth="1"/>
    <col min="2561" max="2561" width="9.7109375" style="22" bestFit="1" customWidth="1"/>
    <col min="2562" max="2562" width="8.42578125" style="22" bestFit="1" customWidth="1"/>
    <col min="2563" max="2565" width="11" style="22" customWidth="1"/>
    <col min="2566" max="2571" width="0" style="22" hidden="1" customWidth="1"/>
    <col min="2572" max="2572" width="9.140625" style="22" customWidth="1"/>
    <col min="2573" max="2811" width="11.42578125" style="22"/>
    <col min="2812" max="2812" width="18.140625" style="22" customWidth="1"/>
    <col min="2813" max="2813" width="9.7109375" style="22" bestFit="1" customWidth="1"/>
    <col min="2814" max="2814" width="9.140625" style="22" bestFit="1" customWidth="1"/>
    <col min="2815" max="2816" width="9.140625" style="22" customWidth="1"/>
    <col min="2817" max="2817" width="9.7109375" style="22" bestFit="1" customWidth="1"/>
    <col min="2818" max="2818" width="8.42578125" style="22" bestFit="1" customWidth="1"/>
    <col min="2819" max="2821" width="11" style="22" customWidth="1"/>
    <col min="2822" max="2827" width="0" style="22" hidden="1" customWidth="1"/>
    <col min="2828" max="2828" width="9.140625" style="22" customWidth="1"/>
    <col min="2829" max="3067" width="11.42578125" style="22"/>
    <col min="3068" max="3068" width="18.140625" style="22" customWidth="1"/>
    <col min="3069" max="3069" width="9.7109375" style="22" bestFit="1" customWidth="1"/>
    <col min="3070" max="3070" width="9.140625" style="22" bestFit="1" customWidth="1"/>
    <col min="3071" max="3072" width="9.140625" style="22" customWidth="1"/>
    <col min="3073" max="3073" width="9.7109375" style="22" bestFit="1" customWidth="1"/>
    <col min="3074" max="3074" width="8.42578125" style="22" bestFit="1" customWidth="1"/>
    <col min="3075" max="3077" width="11" style="22" customWidth="1"/>
    <col min="3078" max="3083" width="0" style="22" hidden="1" customWidth="1"/>
    <col min="3084" max="3084" width="9.140625" style="22" customWidth="1"/>
    <col min="3085" max="3323" width="11.42578125" style="22"/>
    <col min="3324" max="3324" width="18.140625" style="22" customWidth="1"/>
    <col min="3325" max="3325" width="9.7109375" style="22" bestFit="1" customWidth="1"/>
    <col min="3326" max="3326" width="9.140625" style="22" bestFit="1" customWidth="1"/>
    <col min="3327" max="3328" width="9.140625" style="22" customWidth="1"/>
    <col min="3329" max="3329" width="9.7109375" style="22" bestFit="1" customWidth="1"/>
    <col min="3330" max="3330" width="8.42578125" style="22" bestFit="1" customWidth="1"/>
    <col min="3331" max="3333" width="11" style="22" customWidth="1"/>
    <col min="3334" max="3339" width="0" style="22" hidden="1" customWidth="1"/>
    <col min="3340" max="3340" width="9.140625" style="22" customWidth="1"/>
    <col min="3341" max="3579" width="11.42578125" style="22"/>
    <col min="3580" max="3580" width="18.140625" style="22" customWidth="1"/>
    <col min="3581" max="3581" width="9.7109375" style="22" bestFit="1" customWidth="1"/>
    <col min="3582" max="3582" width="9.140625" style="22" bestFit="1" customWidth="1"/>
    <col min="3583" max="3584" width="9.140625" style="22" customWidth="1"/>
    <col min="3585" max="3585" width="9.7109375" style="22" bestFit="1" customWidth="1"/>
    <col min="3586" max="3586" width="8.42578125" style="22" bestFit="1" customWidth="1"/>
    <col min="3587" max="3589" width="11" style="22" customWidth="1"/>
    <col min="3590" max="3595" width="0" style="22" hidden="1" customWidth="1"/>
    <col min="3596" max="3596" width="9.140625" style="22" customWidth="1"/>
    <col min="3597" max="3835" width="11.42578125" style="22"/>
    <col min="3836" max="3836" width="18.140625" style="22" customWidth="1"/>
    <col min="3837" max="3837" width="9.7109375" style="22" bestFit="1" customWidth="1"/>
    <col min="3838" max="3838" width="9.140625" style="22" bestFit="1" customWidth="1"/>
    <col min="3839" max="3840" width="9.140625" style="22" customWidth="1"/>
    <col min="3841" max="3841" width="9.7109375" style="22" bestFit="1" customWidth="1"/>
    <col min="3842" max="3842" width="8.42578125" style="22" bestFit="1" customWidth="1"/>
    <col min="3843" max="3845" width="11" style="22" customWidth="1"/>
    <col min="3846" max="3851" width="0" style="22" hidden="1" customWidth="1"/>
    <col min="3852" max="3852" width="9.140625" style="22" customWidth="1"/>
    <col min="3853" max="4091" width="11.42578125" style="22"/>
    <col min="4092" max="4092" width="18.140625" style="22" customWidth="1"/>
    <col min="4093" max="4093" width="9.7109375" style="22" bestFit="1" customWidth="1"/>
    <col min="4094" max="4094" width="9.140625" style="22" bestFit="1" customWidth="1"/>
    <col min="4095" max="4096" width="9.140625" style="22" customWidth="1"/>
    <col min="4097" max="4097" width="9.7109375" style="22" bestFit="1" customWidth="1"/>
    <col min="4098" max="4098" width="8.42578125" style="22" bestFit="1" customWidth="1"/>
    <col min="4099" max="4101" width="11" style="22" customWidth="1"/>
    <col min="4102" max="4107" width="0" style="22" hidden="1" customWidth="1"/>
    <col min="4108" max="4108" width="9.140625" style="22" customWidth="1"/>
    <col min="4109" max="4347" width="11.42578125" style="22"/>
    <col min="4348" max="4348" width="18.140625" style="22" customWidth="1"/>
    <col min="4349" max="4349" width="9.7109375" style="22" bestFit="1" customWidth="1"/>
    <col min="4350" max="4350" width="9.140625" style="22" bestFit="1" customWidth="1"/>
    <col min="4351" max="4352" width="9.140625" style="22" customWidth="1"/>
    <col min="4353" max="4353" width="9.7109375" style="22" bestFit="1" customWidth="1"/>
    <col min="4354" max="4354" width="8.42578125" style="22" bestFit="1" customWidth="1"/>
    <col min="4355" max="4357" width="11" style="22" customWidth="1"/>
    <col min="4358" max="4363" width="0" style="22" hidden="1" customWidth="1"/>
    <col min="4364" max="4364" width="9.140625" style="22" customWidth="1"/>
    <col min="4365" max="4603" width="11.42578125" style="22"/>
    <col min="4604" max="4604" width="18.140625" style="22" customWidth="1"/>
    <col min="4605" max="4605" width="9.7109375" style="22" bestFit="1" customWidth="1"/>
    <col min="4606" max="4606" width="9.140625" style="22" bestFit="1" customWidth="1"/>
    <col min="4607" max="4608" width="9.140625" style="22" customWidth="1"/>
    <col min="4609" max="4609" width="9.7109375" style="22" bestFit="1" customWidth="1"/>
    <col min="4610" max="4610" width="8.42578125" style="22" bestFit="1" customWidth="1"/>
    <col min="4611" max="4613" width="11" style="22" customWidth="1"/>
    <col min="4614" max="4619" width="0" style="22" hidden="1" customWidth="1"/>
    <col min="4620" max="4620" width="9.140625" style="22" customWidth="1"/>
    <col min="4621" max="4859" width="11.42578125" style="22"/>
    <col min="4860" max="4860" width="18.140625" style="22" customWidth="1"/>
    <col min="4861" max="4861" width="9.7109375" style="22" bestFit="1" customWidth="1"/>
    <col min="4862" max="4862" width="9.140625" style="22" bestFit="1" customWidth="1"/>
    <col min="4863" max="4864" width="9.140625" style="22" customWidth="1"/>
    <col min="4865" max="4865" width="9.7109375" style="22" bestFit="1" customWidth="1"/>
    <col min="4866" max="4866" width="8.42578125" style="22" bestFit="1" customWidth="1"/>
    <col min="4867" max="4869" width="11" style="22" customWidth="1"/>
    <col min="4870" max="4875" width="0" style="22" hidden="1" customWidth="1"/>
    <col min="4876" max="4876" width="9.140625" style="22" customWidth="1"/>
    <col min="4877" max="5115" width="11.42578125" style="22"/>
    <col min="5116" max="5116" width="18.140625" style="22" customWidth="1"/>
    <col min="5117" max="5117" width="9.7109375" style="22" bestFit="1" customWidth="1"/>
    <col min="5118" max="5118" width="9.140625" style="22" bestFit="1" customWidth="1"/>
    <col min="5119" max="5120" width="9.140625" style="22" customWidth="1"/>
    <col min="5121" max="5121" width="9.7109375" style="22" bestFit="1" customWidth="1"/>
    <col min="5122" max="5122" width="8.42578125" style="22" bestFit="1" customWidth="1"/>
    <col min="5123" max="5125" width="11" style="22" customWidth="1"/>
    <col min="5126" max="5131" width="0" style="22" hidden="1" customWidth="1"/>
    <col min="5132" max="5132" width="9.140625" style="22" customWidth="1"/>
    <col min="5133" max="5371" width="11.42578125" style="22"/>
    <col min="5372" max="5372" width="18.140625" style="22" customWidth="1"/>
    <col min="5373" max="5373" width="9.7109375" style="22" bestFit="1" customWidth="1"/>
    <col min="5374" max="5374" width="9.140625" style="22" bestFit="1" customWidth="1"/>
    <col min="5375" max="5376" width="9.140625" style="22" customWidth="1"/>
    <col min="5377" max="5377" width="9.7109375" style="22" bestFit="1" customWidth="1"/>
    <col min="5378" max="5378" width="8.42578125" style="22" bestFit="1" customWidth="1"/>
    <col min="5379" max="5381" width="11" style="22" customWidth="1"/>
    <col min="5382" max="5387" width="0" style="22" hidden="1" customWidth="1"/>
    <col min="5388" max="5388" width="9.140625" style="22" customWidth="1"/>
    <col min="5389" max="5627" width="11.42578125" style="22"/>
    <col min="5628" max="5628" width="18.140625" style="22" customWidth="1"/>
    <col min="5629" max="5629" width="9.7109375" style="22" bestFit="1" customWidth="1"/>
    <col min="5630" max="5630" width="9.140625" style="22" bestFit="1" customWidth="1"/>
    <col min="5631" max="5632" width="9.140625" style="22" customWidth="1"/>
    <col min="5633" max="5633" width="9.7109375" style="22" bestFit="1" customWidth="1"/>
    <col min="5634" max="5634" width="8.42578125" style="22" bestFit="1" customWidth="1"/>
    <col min="5635" max="5637" width="11" style="22" customWidth="1"/>
    <col min="5638" max="5643" width="0" style="22" hidden="1" customWidth="1"/>
    <col min="5644" max="5644" width="9.140625" style="22" customWidth="1"/>
    <col min="5645" max="5883" width="11.42578125" style="22"/>
    <col min="5884" max="5884" width="18.140625" style="22" customWidth="1"/>
    <col min="5885" max="5885" width="9.7109375" style="22" bestFit="1" customWidth="1"/>
    <col min="5886" max="5886" width="9.140625" style="22" bestFit="1" customWidth="1"/>
    <col min="5887" max="5888" width="9.140625" style="22" customWidth="1"/>
    <col min="5889" max="5889" width="9.7109375" style="22" bestFit="1" customWidth="1"/>
    <col min="5890" max="5890" width="8.42578125" style="22" bestFit="1" customWidth="1"/>
    <col min="5891" max="5893" width="11" style="22" customWidth="1"/>
    <col min="5894" max="5899" width="0" style="22" hidden="1" customWidth="1"/>
    <col min="5900" max="5900" width="9.140625" style="22" customWidth="1"/>
    <col min="5901" max="6139" width="11.42578125" style="22"/>
    <col min="6140" max="6140" width="18.140625" style="22" customWidth="1"/>
    <col min="6141" max="6141" width="9.7109375" style="22" bestFit="1" customWidth="1"/>
    <col min="6142" max="6142" width="9.140625" style="22" bestFit="1" customWidth="1"/>
    <col min="6143" max="6144" width="9.140625" style="22" customWidth="1"/>
    <col min="6145" max="6145" width="9.7109375" style="22" bestFit="1" customWidth="1"/>
    <col min="6146" max="6146" width="8.42578125" style="22" bestFit="1" customWidth="1"/>
    <col min="6147" max="6149" width="11" style="22" customWidth="1"/>
    <col min="6150" max="6155" width="0" style="22" hidden="1" customWidth="1"/>
    <col min="6156" max="6156" width="9.140625" style="22" customWidth="1"/>
    <col min="6157" max="6395" width="11.42578125" style="22"/>
    <col min="6396" max="6396" width="18.140625" style="22" customWidth="1"/>
    <col min="6397" max="6397" width="9.7109375" style="22" bestFit="1" customWidth="1"/>
    <col min="6398" max="6398" width="9.140625" style="22" bestFit="1" customWidth="1"/>
    <col min="6399" max="6400" width="9.140625" style="22" customWidth="1"/>
    <col min="6401" max="6401" width="9.7109375" style="22" bestFit="1" customWidth="1"/>
    <col min="6402" max="6402" width="8.42578125" style="22" bestFit="1" customWidth="1"/>
    <col min="6403" max="6405" width="11" style="22" customWidth="1"/>
    <col min="6406" max="6411" width="0" style="22" hidden="1" customWidth="1"/>
    <col min="6412" max="6412" width="9.140625" style="22" customWidth="1"/>
    <col min="6413" max="6651" width="11.42578125" style="22"/>
    <col min="6652" max="6652" width="18.140625" style="22" customWidth="1"/>
    <col min="6653" max="6653" width="9.7109375" style="22" bestFit="1" customWidth="1"/>
    <col min="6654" max="6654" width="9.140625" style="22" bestFit="1" customWidth="1"/>
    <col min="6655" max="6656" width="9.140625" style="22" customWidth="1"/>
    <col min="6657" max="6657" width="9.7109375" style="22" bestFit="1" customWidth="1"/>
    <col min="6658" max="6658" width="8.42578125" style="22" bestFit="1" customWidth="1"/>
    <col min="6659" max="6661" width="11" style="22" customWidth="1"/>
    <col min="6662" max="6667" width="0" style="22" hidden="1" customWidth="1"/>
    <col min="6668" max="6668" width="9.140625" style="22" customWidth="1"/>
    <col min="6669" max="6907" width="11.42578125" style="22"/>
    <col min="6908" max="6908" width="18.140625" style="22" customWidth="1"/>
    <col min="6909" max="6909" width="9.7109375" style="22" bestFit="1" customWidth="1"/>
    <col min="6910" max="6910" width="9.140625" style="22" bestFit="1" customWidth="1"/>
    <col min="6911" max="6912" width="9.140625" style="22" customWidth="1"/>
    <col min="6913" max="6913" width="9.7109375" style="22" bestFit="1" customWidth="1"/>
    <col min="6914" max="6914" width="8.42578125" style="22" bestFit="1" customWidth="1"/>
    <col min="6915" max="6917" width="11" style="22" customWidth="1"/>
    <col min="6918" max="6923" width="0" style="22" hidden="1" customWidth="1"/>
    <col min="6924" max="6924" width="9.140625" style="22" customWidth="1"/>
    <col min="6925" max="7163" width="11.42578125" style="22"/>
    <col min="7164" max="7164" width="18.140625" style="22" customWidth="1"/>
    <col min="7165" max="7165" width="9.7109375" style="22" bestFit="1" customWidth="1"/>
    <col min="7166" max="7166" width="9.140625" style="22" bestFit="1" customWidth="1"/>
    <col min="7167" max="7168" width="9.140625" style="22" customWidth="1"/>
    <col min="7169" max="7169" width="9.7109375" style="22" bestFit="1" customWidth="1"/>
    <col min="7170" max="7170" width="8.42578125" style="22" bestFit="1" customWidth="1"/>
    <col min="7171" max="7173" width="11" style="22" customWidth="1"/>
    <col min="7174" max="7179" width="0" style="22" hidden="1" customWidth="1"/>
    <col min="7180" max="7180" width="9.140625" style="22" customWidth="1"/>
    <col min="7181" max="7419" width="11.42578125" style="22"/>
    <col min="7420" max="7420" width="18.140625" style="22" customWidth="1"/>
    <col min="7421" max="7421" width="9.7109375" style="22" bestFit="1" customWidth="1"/>
    <col min="7422" max="7422" width="9.140625" style="22" bestFit="1" customWidth="1"/>
    <col min="7423" max="7424" width="9.140625" style="22" customWidth="1"/>
    <col min="7425" max="7425" width="9.7109375" style="22" bestFit="1" customWidth="1"/>
    <col min="7426" max="7426" width="8.42578125" style="22" bestFit="1" customWidth="1"/>
    <col min="7427" max="7429" width="11" style="22" customWidth="1"/>
    <col min="7430" max="7435" width="0" style="22" hidden="1" customWidth="1"/>
    <col min="7436" max="7436" width="9.140625" style="22" customWidth="1"/>
    <col min="7437" max="7675" width="11.42578125" style="22"/>
    <col min="7676" max="7676" width="18.140625" style="22" customWidth="1"/>
    <col min="7677" max="7677" width="9.7109375" style="22" bestFit="1" customWidth="1"/>
    <col min="7678" max="7678" width="9.140625" style="22" bestFit="1" customWidth="1"/>
    <col min="7679" max="7680" width="9.140625" style="22" customWidth="1"/>
    <col min="7681" max="7681" width="9.7109375" style="22" bestFit="1" customWidth="1"/>
    <col min="7682" max="7682" width="8.42578125" style="22" bestFit="1" customWidth="1"/>
    <col min="7683" max="7685" width="11" style="22" customWidth="1"/>
    <col min="7686" max="7691" width="0" style="22" hidden="1" customWidth="1"/>
    <col min="7692" max="7692" width="9.140625" style="22" customWidth="1"/>
    <col min="7693" max="7931" width="11.42578125" style="22"/>
    <col min="7932" max="7932" width="18.140625" style="22" customWidth="1"/>
    <col min="7933" max="7933" width="9.7109375" style="22" bestFit="1" customWidth="1"/>
    <col min="7934" max="7934" width="9.140625" style="22" bestFit="1" customWidth="1"/>
    <col min="7935" max="7936" width="9.140625" style="22" customWidth="1"/>
    <col min="7937" max="7937" width="9.7109375" style="22" bestFit="1" customWidth="1"/>
    <col min="7938" max="7938" width="8.42578125" style="22" bestFit="1" customWidth="1"/>
    <col min="7939" max="7941" width="11" style="22" customWidth="1"/>
    <col min="7942" max="7947" width="0" style="22" hidden="1" customWidth="1"/>
    <col min="7948" max="7948" width="9.140625" style="22" customWidth="1"/>
    <col min="7949" max="8187" width="11.42578125" style="22"/>
    <col min="8188" max="8188" width="18.140625" style="22" customWidth="1"/>
    <col min="8189" max="8189" width="9.7109375" style="22" bestFit="1" customWidth="1"/>
    <col min="8190" max="8190" width="9.140625" style="22" bestFit="1" customWidth="1"/>
    <col min="8191" max="8192" width="9.140625" style="22" customWidth="1"/>
    <col min="8193" max="8193" width="9.7109375" style="22" bestFit="1" customWidth="1"/>
    <col min="8194" max="8194" width="8.42578125" style="22" bestFit="1" customWidth="1"/>
    <col min="8195" max="8197" width="11" style="22" customWidth="1"/>
    <col min="8198" max="8203" width="0" style="22" hidden="1" customWidth="1"/>
    <col min="8204" max="8204" width="9.140625" style="22" customWidth="1"/>
    <col min="8205" max="8443" width="11.42578125" style="22"/>
    <col min="8444" max="8444" width="18.140625" style="22" customWidth="1"/>
    <col min="8445" max="8445" width="9.7109375" style="22" bestFit="1" customWidth="1"/>
    <col min="8446" max="8446" width="9.140625" style="22" bestFit="1" customWidth="1"/>
    <col min="8447" max="8448" width="9.140625" style="22" customWidth="1"/>
    <col min="8449" max="8449" width="9.7109375" style="22" bestFit="1" customWidth="1"/>
    <col min="8450" max="8450" width="8.42578125" style="22" bestFit="1" customWidth="1"/>
    <col min="8451" max="8453" width="11" style="22" customWidth="1"/>
    <col min="8454" max="8459" width="0" style="22" hidden="1" customWidth="1"/>
    <col min="8460" max="8460" width="9.140625" style="22" customWidth="1"/>
    <col min="8461" max="8699" width="11.42578125" style="22"/>
    <col min="8700" max="8700" width="18.140625" style="22" customWidth="1"/>
    <col min="8701" max="8701" width="9.7109375" style="22" bestFit="1" customWidth="1"/>
    <col min="8702" max="8702" width="9.140625" style="22" bestFit="1" customWidth="1"/>
    <col min="8703" max="8704" width="9.140625" style="22" customWidth="1"/>
    <col min="8705" max="8705" width="9.7109375" style="22" bestFit="1" customWidth="1"/>
    <col min="8706" max="8706" width="8.42578125" style="22" bestFit="1" customWidth="1"/>
    <col min="8707" max="8709" width="11" style="22" customWidth="1"/>
    <col min="8710" max="8715" width="0" style="22" hidden="1" customWidth="1"/>
    <col min="8716" max="8716" width="9.140625" style="22" customWidth="1"/>
    <col min="8717" max="8955" width="11.42578125" style="22"/>
    <col min="8956" max="8956" width="18.140625" style="22" customWidth="1"/>
    <col min="8957" max="8957" width="9.7109375" style="22" bestFit="1" customWidth="1"/>
    <col min="8958" max="8958" width="9.140625" style="22" bestFit="1" customWidth="1"/>
    <col min="8959" max="8960" width="9.140625" style="22" customWidth="1"/>
    <col min="8961" max="8961" width="9.7109375" style="22" bestFit="1" customWidth="1"/>
    <col min="8962" max="8962" width="8.42578125" style="22" bestFit="1" customWidth="1"/>
    <col min="8963" max="8965" width="11" style="22" customWidth="1"/>
    <col min="8966" max="8971" width="0" style="22" hidden="1" customWidth="1"/>
    <col min="8972" max="8972" width="9.140625" style="22" customWidth="1"/>
    <col min="8973" max="9211" width="11.42578125" style="22"/>
    <col min="9212" max="9212" width="18.140625" style="22" customWidth="1"/>
    <col min="9213" max="9213" width="9.7109375" style="22" bestFit="1" customWidth="1"/>
    <col min="9214" max="9214" width="9.140625" style="22" bestFit="1" customWidth="1"/>
    <col min="9215" max="9216" width="9.140625" style="22" customWidth="1"/>
    <col min="9217" max="9217" width="9.7109375" style="22" bestFit="1" customWidth="1"/>
    <col min="9218" max="9218" width="8.42578125" style="22" bestFit="1" customWidth="1"/>
    <col min="9219" max="9221" width="11" style="22" customWidth="1"/>
    <col min="9222" max="9227" width="0" style="22" hidden="1" customWidth="1"/>
    <col min="9228" max="9228" width="9.140625" style="22" customWidth="1"/>
    <col min="9229" max="9467" width="11.42578125" style="22"/>
    <col min="9468" max="9468" width="18.140625" style="22" customWidth="1"/>
    <col min="9469" max="9469" width="9.7109375" style="22" bestFit="1" customWidth="1"/>
    <col min="9470" max="9470" width="9.140625" style="22" bestFit="1" customWidth="1"/>
    <col min="9471" max="9472" width="9.140625" style="22" customWidth="1"/>
    <col min="9473" max="9473" width="9.7109375" style="22" bestFit="1" customWidth="1"/>
    <col min="9474" max="9474" width="8.42578125" style="22" bestFit="1" customWidth="1"/>
    <col min="9475" max="9477" width="11" style="22" customWidth="1"/>
    <col min="9478" max="9483" width="0" style="22" hidden="1" customWidth="1"/>
    <col min="9484" max="9484" width="9.140625" style="22" customWidth="1"/>
    <col min="9485" max="9723" width="11.42578125" style="22"/>
    <col min="9724" max="9724" width="18.140625" style="22" customWidth="1"/>
    <col min="9725" max="9725" width="9.7109375" style="22" bestFit="1" customWidth="1"/>
    <col min="9726" max="9726" width="9.140625" style="22" bestFit="1" customWidth="1"/>
    <col min="9727" max="9728" width="9.140625" style="22" customWidth="1"/>
    <col min="9729" max="9729" width="9.7109375" style="22" bestFit="1" customWidth="1"/>
    <col min="9730" max="9730" width="8.42578125" style="22" bestFit="1" customWidth="1"/>
    <col min="9731" max="9733" width="11" style="22" customWidth="1"/>
    <col min="9734" max="9739" width="0" style="22" hidden="1" customWidth="1"/>
    <col min="9740" max="9740" width="9.140625" style="22" customWidth="1"/>
    <col min="9741" max="9979" width="11.42578125" style="22"/>
    <col min="9980" max="9980" width="18.140625" style="22" customWidth="1"/>
    <col min="9981" max="9981" width="9.7109375" style="22" bestFit="1" customWidth="1"/>
    <col min="9982" max="9982" width="9.140625" style="22" bestFit="1" customWidth="1"/>
    <col min="9983" max="9984" width="9.140625" style="22" customWidth="1"/>
    <col min="9985" max="9985" width="9.7109375" style="22" bestFit="1" customWidth="1"/>
    <col min="9986" max="9986" width="8.42578125" style="22" bestFit="1" customWidth="1"/>
    <col min="9987" max="9989" width="11" style="22" customWidth="1"/>
    <col min="9990" max="9995" width="0" style="22" hidden="1" customWidth="1"/>
    <col min="9996" max="9996" width="9.140625" style="22" customWidth="1"/>
    <col min="9997" max="10235" width="11.42578125" style="22"/>
    <col min="10236" max="10236" width="18.140625" style="22" customWidth="1"/>
    <col min="10237" max="10237" width="9.7109375" style="22" bestFit="1" customWidth="1"/>
    <col min="10238" max="10238" width="9.140625" style="22" bestFit="1" customWidth="1"/>
    <col min="10239" max="10240" width="9.140625" style="22" customWidth="1"/>
    <col min="10241" max="10241" width="9.7109375" style="22" bestFit="1" customWidth="1"/>
    <col min="10242" max="10242" width="8.42578125" style="22" bestFit="1" customWidth="1"/>
    <col min="10243" max="10245" width="11" style="22" customWidth="1"/>
    <col min="10246" max="10251" width="0" style="22" hidden="1" customWidth="1"/>
    <col min="10252" max="10252" width="9.140625" style="22" customWidth="1"/>
    <col min="10253" max="10491" width="11.42578125" style="22"/>
    <col min="10492" max="10492" width="18.140625" style="22" customWidth="1"/>
    <col min="10493" max="10493" width="9.7109375" style="22" bestFit="1" customWidth="1"/>
    <col min="10494" max="10494" width="9.140625" style="22" bestFit="1" customWidth="1"/>
    <col min="10495" max="10496" width="9.140625" style="22" customWidth="1"/>
    <col min="10497" max="10497" width="9.7109375" style="22" bestFit="1" customWidth="1"/>
    <col min="10498" max="10498" width="8.42578125" style="22" bestFit="1" customWidth="1"/>
    <col min="10499" max="10501" width="11" style="22" customWidth="1"/>
    <col min="10502" max="10507" width="0" style="22" hidden="1" customWidth="1"/>
    <col min="10508" max="10508" width="9.140625" style="22" customWidth="1"/>
    <col min="10509" max="10747" width="11.42578125" style="22"/>
    <col min="10748" max="10748" width="18.140625" style="22" customWidth="1"/>
    <col min="10749" max="10749" width="9.7109375" style="22" bestFit="1" customWidth="1"/>
    <col min="10750" max="10750" width="9.140625" style="22" bestFit="1" customWidth="1"/>
    <col min="10751" max="10752" width="9.140625" style="22" customWidth="1"/>
    <col min="10753" max="10753" width="9.7109375" style="22" bestFit="1" customWidth="1"/>
    <col min="10754" max="10754" width="8.42578125" style="22" bestFit="1" customWidth="1"/>
    <col min="10755" max="10757" width="11" style="22" customWidth="1"/>
    <col min="10758" max="10763" width="0" style="22" hidden="1" customWidth="1"/>
    <col min="10764" max="10764" width="9.140625" style="22" customWidth="1"/>
    <col min="10765" max="11003" width="11.42578125" style="22"/>
    <col min="11004" max="11004" width="18.140625" style="22" customWidth="1"/>
    <col min="11005" max="11005" width="9.7109375" style="22" bestFit="1" customWidth="1"/>
    <col min="11006" max="11006" width="9.140625" style="22" bestFit="1" customWidth="1"/>
    <col min="11007" max="11008" width="9.140625" style="22" customWidth="1"/>
    <col min="11009" max="11009" width="9.7109375" style="22" bestFit="1" customWidth="1"/>
    <col min="11010" max="11010" width="8.42578125" style="22" bestFit="1" customWidth="1"/>
    <col min="11011" max="11013" width="11" style="22" customWidth="1"/>
    <col min="11014" max="11019" width="0" style="22" hidden="1" customWidth="1"/>
    <col min="11020" max="11020" width="9.140625" style="22" customWidth="1"/>
    <col min="11021" max="11259" width="11.42578125" style="22"/>
    <col min="11260" max="11260" width="18.140625" style="22" customWidth="1"/>
    <col min="11261" max="11261" width="9.7109375" style="22" bestFit="1" customWidth="1"/>
    <col min="11262" max="11262" width="9.140625" style="22" bestFit="1" customWidth="1"/>
    <col min="11263" max="11264" width="9.140625" style="22" customWidth="1"/>
    <col min="11265" max="11265" width="9.7109375" style="22" bestFit="1" customWidth="1"/>
    <col min="11266" max="11266" width="8.42578125" style="22" bestFit="1" customWidth="1"/>
    <col min="11267" max="11269" width="11" style="22" customWidth="1"/>
    <col min="11270" max="11275" width="0" style="22" hidden="1" customWidth="1"/>
    <col min="11276" max="11276" width="9.140625" style="22" customWidth="1"/>
    <col min="11277" max="11515" width="11.42578125" style="22"/>
    <col min="11516" max="11516" width="18.140625" style="22" customWidth="1"/>
    <col min="11517" max="11517" width="9.7109375" style="22" bestFit="1" customWidth="1"/>
    <col min="11518" max="11518" width="9.140625" style="22" bestFit="1" customWidth="1"/>
    <col min="11519" max="11520" width="9.140625" style="22" customWidth="1"/>
    <col min="11521" max="11521" width="9.7109375" style="22" bestFit="1" customWidth="1"/>
    <col min="11522" max="11522" width="8.42578125" style="22" bestFit="1" customWidth="1"/>
    <col min="11523" max="11525" width="11" style="22" customWidth="1"/>
    <col min="11526" max="11531" width="0" style="22" hidden="1" customWidth="1"/>
    <col min="11532" max="11532" width="9.140625" style="22" customWidth="1"/>
    <col min="11533" max="11771" width="11.42578125" style="22"/>
    <col min="11772" max="11772" width="18.140625" style="22" customWidth="1"/>
    <col min="11773" max="11773" width="9.7109375" style="22" bestFit="1" customWidth="1"/>
    <col min="11774" max="11774" width="9.140625" style="22" bestFit="1" customWidth="1"/>
    <col min="11775" max="11776" width="9.140625" style="22" customWidth="1"/>
    <col min="11777" max="11777" width="9.7109375" style="22" bestFit="1" customWidth="1"/>
    <col min="11778" max="11778" width="8.42578125" style="22" bestFit="1" customWidth="1"/>
    <col min="11779" max="11781" width="11" style="22" customWidth="1"/>
    <col min="11782" max="11787" width="0" style="22" hidden="1" customWidth="1"/>
    <col min="11788" max="11788" width="9.140625" style="22" customWidth="1"/>
    <col min="11789" max="12027" width="11.42578125" style="22"/>
    <col min="12028" max="12028" width="18.140625" style="22" customWidth="1"/>
    <col min="12029" max="12029" width="9.7109375" style="22" bestFit="1" customWidth="1"/>
    <col min="12030" max="12030" width="9.140625" style="22" bestFit="1" customWidth="1"/>
    <col min="12031" max="12032" width="9.140625" style="22" customWidth="1"/>
    <col min="12033" max="12033" width="9.7109375" style="22" bestFit="1" customWidth="1"/>
    <col min="12034" max="12034" width="8.42578125" style="22" bestFit="1" customWidth="1"/>
    <col min="12035" max="12037" width="11" style="22" customWidth="1"/>
    <col min="12038" max="12043" width="0" style="22" hidden="1" customWidth="1"/>
    <col min="12044" max="12044" width="9.140625" style="22" customWidth="1"/>
    <col min="12045" max="12283" width="11.42578125" style="22"/>
    <col min="12284" max="12284" width="18.140625" style="22" customWidth="1"/>
    <col min="12285" max="12285" width="9.7109375" style="22" bestFit="1" customWidth="1"/>
    <col min="12286" max="12286" width="9.140625" style="22" bestFit="1" customWidth="1"/>
    <col min="12287" max="12288" width="9.140625" style="22" customWidth="1"/>
    <col min="12289" max="12289" width="9.7109375" style="22" bestFit="1" customWidth="1"/>
    <col min="12290" max="12290" width="8.42578125" style="22" bestFit="1" customWidth="1"/>
    <col min="12291" max="12293" width="11" style="22" customWidth="1"/>
    <col min="12294" max="12299" width="0" style="22" hidden="1" customWidth="1"/>
    <col min="12300" max="12300" width="9.140625" style="22" customWidth="1"/>
    <col min="12301" max="12539" width="11.42578125" style="22"/>
    <col min="12540" max="12540" width="18.140625" style="22" customWidth="1"/>
    <col min="12541" max="12541" width="9.7109375" style="22" bestFit="1" customWidth="1"/>
    <col min="12542" max="12542" width="9.140625" style="22" bestFit="1" customWidth="1"/>
    <col min="12543" max="12544" width="9.140625" style="22" customWidth="1"/>
    <col min="12545" max="12545" width="9.7109375" style="22" bestFit="1" customWidth="1"/>
    <col min="12546" max="12546" width="8.42578125" style="22" bestFit="1" customWidth="1"/>
    <col min="12547" max="12549" width="11" style="22" customWidth="1"/>
    <col min="12550" max="12555" width="0" style="22" hidden="1" customWidth="1"/>
    <col min="12556" max="12556" width="9.140625" style="22" customWidth="1"/>
    <col min="12557" max="12795" width="11.42578125" style="22"/>
    <col min="12796" max="12796" width="18.140625" style="22" customWidth="1"/>
    <col min="12797" max="12797" width="9.7109375" style="22" bestFit="1" customWidth="1"/>
    <col min="12798" max="12798" width="9.140625" style="22" bestFit="1" customWidth="1"/>
    <col min="12799" max="12800" width="9.140625" style="22" customWidth="1"/>
    <col min="12801" max="12801" width="9.7109375" style="22" bestFit="1" customWidth="1"/>
    <col min="12802" max="12802" width="8.42578125" style="22" bestFit="1" customWidth="1"/>
    <col min="12803" max="12805" width="11" style="22" customWidth="1"/>
    <col min="12806" max="12811" width="0" style="22" hidden="1" customWidth="1"/>
    <col min="12812" max="12812" width="9.140625" style="22" customWidth="1"/>
    <col min="12813" max="13051" width="11.42578125" style="22"/>
    <col min="13052" max="13052" width="18.140625" style="22" customWidth="1"/>
    <col min="13053" max="13053" width="9.7109375" style="22" bestFit="1" customWidth="1"/>
    <col min="13054" max="13054" width="9.140625" style="22" bestFit="1" customWidth="1"/>
    <col min="13055" max="13056" width="9.140625" style="22" customWidth="1"/>
    <col min="13057" max="13057" width="9.7109375" style="22" bestFit="1" customWidth="1"/>
    <col min="13058" max="13058" width="8.42578125" style="22" bestFit="1" customWidth="1"/>
    <col min="13059" max="13061" width="11" style="22" customWidth="1"/>
    <col min="13062" max="13067" width="0" style="22" hidden="1" customWidth="1"/>
    <col min="13068" max="13068" width="9.140625" style="22" customWidth="1"/>
    <col min="13069" max="13307" width="11.42578125" style="22"/>
    <col min="13308" max="13308" width="18.140625" style="22" customWidth="1"/>
    <col min="13309" max="13309" width="9.7109375" style="22" bestFit="1" customWidth="1"/>
    <col min="13310" max="13310" width="9.140625" style="22" bestFit="1" customWidth="1"/>
    <col min="13311" max="13312" width="9.140625" style="22" customWidth="1"/>
    <col min="13313" max="13313" width="9.7109375" style="22" bestFit="1" customWidth="1"/>
    <col min="13314" max="13314" width="8.42578125" style="22" bestFit="1" customWidth="1"/>
    <col min="13315" max="13317" width="11" style="22" customWidth="1"/>
    <col min="13318" max="13323" width="0" style="22" hidden="1" customWidth="1"/>
    <col min="13324" max="13324" width="9.140625" style="22" customWidth="1"/>
    <col min="13325" max="13563" width="11.42578125" style="22"/>
    <col min="13564" max="13564" width="18.140625" style="22" customWidth="1"/>
    <col min="13565" max="13565" width="9.7109375" style="22" bestFit="1" customWidth="1"/>
    <col min="13566" max="13566" width="9.140625" style="22" bestFit="1" customWidth="1"/>
    <col min="13567" max="13568" width="9.140625" style="22" customWidth="1"/>
    <col min="13569" max="13569" width="9.7109375" style="22" bestFit="1" customWidth="1"/>
    <col min="13570" max="13570" width="8.42578125" style="22" bestFit="1" customWidth="1"/>
    <col min="13571" max="13573" width="11" style="22" customWidth="1"/>
    <col min="13574" max="13579" width="0" style="22" hidden="1" customWidth="1"/>
    <col min="13580" max="13580" width="9.140625" style="22" customWidth="1"/>
    <col min="13581" max="13819" width="11.42578125" style="22"/>
    <col min="13820" max="13820" width="18.140625" style="22" customWidth="1"/>
    <col min="13821" max="13821" width="9.7109375" style="22" bestFit="1" customWidth="1"/>
    <col min="13822" max="13822" width="9.140625" style="22" bestFit="1" customWidth="1"/>
    <col min="13823" max="13824" width="9.140625" style="22" customWidth="1"/>
    <col min="13825" max="13825" width="9.7109375" style="22" bestFit="1" customWidth="1"/>
    <col min="13826" max="13826" width="8.42578125" style="22" bestFit="1" customWidth="1"/>
    <col min="13827" max="13829" width="11" style="22" customWidth="1"/>
    <col min="13830" max="13835" width="0" style="22" hidden="1" customWidth="1"/>
    <col min="13836" max="13836" width="9.140625" style="22" customWidth="1"/>
    <col min="13837" max="14075" width="11.42578125" style="22"/>
    <col min="14076" max="14076" width="18.140625" style="22" customWidth="1"/>
    <col min="14077" max="14077" width="9.7109375" style="22" bestFit="1" customWidth="1"/>
    <col min="14078" max="14078" width="9.140625" style="22" bestFit="1" customWidth="1"/>
    <col min="14079" max="14080" width="9.140625" style="22" customWidth="1"/>
    <col min="14081" max="14081" width="9.7109375" style="22" bestFit="1" customWidth="1"/>
    <col min="14082" max="14082" width="8.42578125" style="22" bestFit="1" customWidth="1"/>
    <col min="14083" max="14085" width="11" style="22" customWidth="1"/>
    <col min="14086" max="14091" width="0" style="22" hidden="1" customWidth="1"/>
    <col min="14092" max="14092" width="9.140625" style="22" customWidth="1"/>
    <col min="14093" max="14331" width="11.42578125" style="22"/>
    <col min="14332" max="14332" width="18.140625" style="22" customWidth="1"/>
    <col min="14333" max="14333" width="9.7109375" style="22" bestFit="1" customWidth="1"/>
    <col min="14334" max="14334" width="9.140625" style="22" bestFit="1" customWidth="1"/>
    <col min="14335" max="14336" width="9.140625" style="22" customWidth="1"/>
    <col min="14337" max="14337" width="9.7109375" style="22" bestFit="1" customWidth="1"/>
    <col min="14338" max="14338" width="8.42578125" style="22" bestFit="1" customWidth="1"/>
    <col min="14339" max="14341" width="11" style="22" customWidth="1"/>
    <col min="14342" max="14347" width="0" style="22" hidden="1" customWidth="1"/>
    <col min="14348" max="14348" width="9.140625" style="22" customWidth="1"/>
    <col min="14349" max="14587" width="11.42578125" style="22"/>
    <col min="14588" max="14588" width="18.140625" style="22" customWidth="1"/>
    <col min="14589" max="14589" width="9.7109375" style="22" bestFit="1" customWidth="1"/>
    <col min="14590" max="14590" width="9.140625" style="22" bestFit="1" customWidth="1"/>
    <col min="14591" max="14592" width="9.140625" style="22" customWidth="1"/>
    <col min="14593" max="14593" width="9.7109375" style="22" bestFit="1" customWidth="1"/>
    <col min="14594" max="14594" width="8.42578125" style="22" bestFit="1" customWidth="1"/>
    <col min="14595" max="14597" width="11" style="22" customWidth="1"/>
    <col min="14598" max="14603" width="0" style="22" hidden="1" customWidth="1"/>
    <col min="14604" max="14604" width="9.140625" style="22" customWidth="1"/>
    <col min="14605" max="14843" width="11.42578125" style="22"/>
    <col min="14844" max="14844" width="18.140625" style="22" customWidth="1"/>
    <col min="14845" max="14845" width="9.7109375" style="22" bestFit="1" customWidth="1"/>
    <col min="14846" max="14846" width="9.140625" style="22" bestFit="1" customWidth="1"/>
    <col min="14847" max="14848" width="9.140625" style="22" customWidth="1"/>
    <col min="14849" max="14849" width="9.7109375" style="22" bestFit="1" customWidth="1"/>
    <col min="14850" max="14850" width="8.42578125" style="22" bestFit="1" customWidth="1"/>
    <col min="14851" max="14853" width="11" style="22" customWidth="1"/>
    <col min="14854" max="14859" width="0" style="22" hidden="1" customWidth="1"/>
    <col min="14860" max="14860" width="9.140625" style="22" customWidth="1"/>
    <col min="14861" max="15099" width="11.42578125" style="22"/>
    <col min="15100" max="15100" width="18.140625" style="22" customWidth="1"/>
    <col min="15101" max="15101" width="9.7109375" style="22" bestFit="1" customWidth="1"/>
    <col min="15102" max="15102" width="9.140625" style="22" bestFit="1" customWidth="1"/>
    <col min="15103" max="15104" width="9.140625" style="22" customWidth="1"/>
    <col min="15105" max="15105" width="9.7109375" style="22" bestFit="1" customWidth="1"/>
    <col min="15106" max="15106" width="8.42578125" style="22" bestFit="1" customWidth="1"/>
    <col min="15107" max="15109" width="11" style="22" customWidth="1"/>
    <col min="15110" max="15115" width="0" style="22" hidden="1" customWidth="1"/>
    <col min="15116" max="15116" width="9.140625" style="22" customWidth="1"/>
    <col min="15117" max="15355" width="11.42578125" style="22"/>
    <col min="15356" max="15356" width="18.140625" style="22" customWidth="1"/>
    <col min="15357" max="15357" width="9.7109375" style="22" bestFit="1" customWidth="1"/>
    <col min="15358" max="15358" width="9.140625" style="22" bestFit="1" customWidth="1"/>
    <col min="15359" max="15360" width="9.140625" style="22" customWidth="1"/>
    <col min="15361" max="15361" width="9.7109375" style="22" bestFit="1" customWidth="1"/>
    <col min="15362" max="15362" width="8.42578125" style="22" bestFit="1" customWidth="1"/>
    <col min="15363" max="15365" width="11" style="22" customWidth="1"/>
    <col min="15366" max="15371" width="0" style="22" hidden="1" customWidth="1"/>
    <col min="15372" max="15372" width="9.140625" style="22" customWidth="1"/>
    <col min="15373" max="15611" width="11.42578125" style="22"/>
    <col min="15612" max="15612" width="18.140625" style="22" customWidth="1"/>
    <col min="15613" max="15613" width="9.7109375" style="22" bestFit="1" customWidth="1"/>
    <col min="15614" max="15614" width="9.140625" style="22" bestFit="1" customWidth="1"/>
    <col min="15615" max="15616" width="9.140625" style="22" customWidth="1"/>
    <col min="15617" max="15617" width="9.7109375" style="22" bestFit="1" customWidth="1"/>
    <col min="15618" max="15618" width="8.42578125" style="22" bestFit="1" customWidth="1"/>
    <col min="15619" max="15621" width="11" style="22" customWidth="1"/>
    <col min="15622" max="15627" width="0" style="22" hidden="1" customWidth="1"/>
    <col min="15628" max="15628" width="9.140625" style="22" customWidth="1"/>
    <col min="15629" max="15867" width="11.42578125" style="22"/>
    <col min="15868" max="15868" width="18.140625" style="22" customWidth="1"/>
    <col min="15869" max="15869" width="9.7109375" style="22" bestFit="1" customWidth="1"/>
    <col min="15870" max="15870" width="9.140625" style="22" bestFit="1" customWidth="1"/>
    <col min="15871" max="15872" width="9.140625" style="22" customWidth="1"/>
    <col min="15873" max="15873" width="9.7109375" style="22" bestFit="1" customWidth="1"/>
    <col min="15874" max="15874" width="8.42578125" style="22" bestFit="1" customWidth="1"/>
    <col min="15875" max="15877" width="11" style="22" customWidth="1"/>
    <col min="15878" max="15883" width="0" style="22" hidden="1" customWidth="1"/>
    <col min="15884" max="15884" width="9.140625" style="22" customWidth="1"/>
    <col min="15885" max="16123" width="11.42578125" style="22"/>
    <col min="16124" max="16124" width="18.140625" style="22" customWidth="1"/>
    <col min="16125" max="16125" width="9.7109375" style="22" bestFit="1" customWidth="1"/>
    <col min="16126" max="16126" width="9.140625" style="22" bestFit="1" customWidth="1"/>
    <col min="16127" max="16128" width="9.140625" style="22" customWidth="1"/>
    <col min="16129" max="16129" width="9.7109375" style="22" bestFit="1" customWidth="1"/>
    <col min="16130" max="16130" width="8.42578125" style="22" bestFit="1" customWidth="1"/>
    <col min="16131" max="16133" width="11" style="22" customWidth="1"/>
    <col min="16134" max="16139" width="0" style="22" hidden="1" customWidth="1"/>
    <col min="16140" max="16140" width="9.140625" style="22" customWidth="1"/>
    <col min="16141" max="16384" width="11.42578125" style="22"/>
  </cols>
  <sheetData>
    <row r="1" spans="1:16" s="23" customFormat="1" x14ac:dyDescent="0.2">
      <c r="B1" s="21"/>
      <c r="C1" s="21"/>
      <c r="D1" s="21"/>
      <c r="E1" s="21"/>
      <c r="F1" s="21"/>
      <c r="G1" s="21"/>
      <c r="H1" s="21"/>
      <c r="I1" s="21"/>
      <c r="J1" s="21"/>
      <c r="K1" s="21"/>
      <c r="L1" s="21"/>
    </row>
    <row r="2" spans="1:16" s="23" customFormat="1" x14ac:dyDescent="0.2">
      <c r="A2" s="40" t="s">
        <v>58</v>
      </c>
      <c r="B2" s="21"/>
      <c r="C2" s="21"/>
      <c r="D2" s="21"/>
      <c r="E2" s="21"/>
      <c r="F2" s="21"/>
      <c r="G2" s="21"/>
      <c r="H2" s="21"/>
      <c r="I2" s="21"/>
      <c r="K2" s="21"/>
      <c r="L2" s="21"/>
    </row>
    <row r="3" spans="1:16" s="23" customFormat="1" ht="15" x14ac:dyDescent="0.25">
      <c r="A3" s="40" t="s">
        <v>59</v>
      </c>
      <c r="B3" s="21"/>
      <c r="C3" s="21"/>
      <c r="D3" s="21"/>
      <c r="E3" s="21"/>
      <c r="F3" s="21"/>
      <c r="G3" s="21"/>
      <c r="H3" s="21"/>
      <c r="I3" s="21"/>
      <c r="J3" s="88"/>
      <c r="K3" s="21"/>
      <c r="L3" s="21"/>
    </row>
    <row r="4" spans="1:16" s="23" customFormat="1" x14ac:dyDescent="0.2">
      <c r="B4" s="21"/>
      <c r="C4" s="21"/>
      <c r="D4" s="21"/>
      <c r="E4" s="21"/>
      <c r="F4" s="21"/>
      <c r="G4" s="21"/>
      <c r="H4" s="21"/>
      <c r="I4" s="21"/>
      <c r="J4" s="21"/>
      <c r="K4" s="21"/>
      <c r="L4" s="21"/>
    </row>
    <row r="5" spans="1:16" s="23" customFormat="1" ht="12.75" x14ac:dyDescent="0.2">
      <c r="B5" s="344" t="s">
        <v>577</v>
      </c>
      <c r="C5" s="344"/>
      <c r="D5" s="344"/>
      <c r="E5" s="344"/>
      <c r="F5" s="344"/>
      <c r="G5" s="344"/>
      <c r="H5" s="344"/>
      <c r="I5" s="344"/>
      <c r="J5" s="344"/>
      <c r="K5" s="344"/>
      <c r="M5" s="110" t="s">
        <v>509</v>
      </c>
      <c r="O5" s="89"/>
    </row>
    <row r="6" spans="1:16" s="23" customFormat="1" ht="12.75" x14ac:dyDescent="0.2">
      <c r="B6" s="374" t="str">
        <f>'Solicitudes Regiones'!$B$6:$R$6</f>
        <v>Julio de 2008 a junio de 2022</v>
      </c>
      <c r="C6" s="374"/>
      <c r="D6" s="374"/>
      <c r="E6" s="374"/>
      <c r="F6" s="374"/>
      <c r="G6" s="374"/>
      <c r="H6" s="374"/>
      <c r="I6" s="374"/>
      <c r="J6" s="374"/>
      <c r="K6" s="374"/>
      <c r="L6" s="48"/>
    </row>
    <row r="7" spans="1:16" x14ac:dyDescent="0.2">
      <c r="B7" s="24"/>
    </row>
    <row r="8" spans="1:16" ht="15" customHeight="1" x14ac:dyDescent="0.2">
      <c r="B8" s="373" t="s">
        <v>595</v>
      </c>
      <c r="C8" s="373"/>
      <c r="D8" s="373"/>
      <c r="E8" s="373"/>
      <c r="F8" s="373"/>
      <c r="G8" s="373"/>
      <c r="H8" s="373"/>
      <c r="I8" s="373"/>
      <c r="J8" s="373"/>
      <c r="K8" s="373"/>
      <c r="L8" s="373"/>
      <c r="M8" s="373"/>
    </row>
    <row r="9" spans="1:16" ht="20.25" customHeight="1" x14ac:dyDescent="0.2">
      <c r="B9" s="373" t="s">
        <v>41</v>
      </c>
      <c r="C9" s="370" t="s">
        <v>544</v>
      </c>
      <c r="D9" s="371"/>
      <c r="E9" s="371"/>
      <c r="F9" s="371"/>
      <c r="G9" s="371"/>
      <c r="H9" s="371"/>
      <c r="I9" s="371"/>
      <c r="J9" s="371"/>
      <c r="K9" s="371"/>
      <c r="L9" s="372"/>
      <c r="M9" s="307"/>
    </row>
    <row r="10" spans="1:16" ht="48" x14ac:dyDescent="0.2">
      <c r="B10" s="373"/>
      <c r="C10" s="20" t="s">
        <v>540</v>
      </c>
      <c r="D10" s="20" t="s">
        <v>42</v>
      </c>
      <c r="E10" s="20" t="s">
        <v>553</v>
      </c>
      <c r="F10" s="20" t="s">
        <v>554</v>
      </c>
      <c r="G10" s="20" t="s">
        <v>542</v>
      </c>
      <c r="H10" s="20" t="s">
        <v>2</v>
      </c>
      <c r="I10" s="20" t="s">
        <v>43</v>
      </c>
      <c r="J10" s="20" t="s">
        <v>549</v>
      </c>
      <c r="K10" s="296" t="s">
        <v>550</v>
      </c>
      <c r="L10" s="296" t="s">
        <v>523</v>
      </c>
      <c r="M10" s="296" t="s">
        <v>641</v>
      </c>
    </row>
    <row r="11" spans="1:16" ht="15.75" customHeight="1" x14ac:dyDescent="0.2">
      <c r="B11" s="16" t="s">
        <v>211</v>
      </c>
      <c r="C11" s="16">
        <v>2502</v>
      </c>
      <c r="D11" s="16">
        <v>1494</v>
      </c>
      <c r="E11" s="16">
        <f>C11+D11</f>
        <v>3996</v>
      </c>
      <c r="F11" s="17">
        <f t="shared" ref="F11:F43" si="0">E11/$E$44</f>
        <v>4.1364746801374683E-2</v>
      </c>
      <c r="G11" s="16">
        <v>8935</v>
      </c>
      <c r="H11" s="16">
        <v>1753</v>
      </c>
      <c r="I11" s="16">
        <v>556</v>
      </c>
      <c r="J11" s="16">
        <v>11244</v>
      </c>
      <c r="K11" s="17">
        <f>J11/$J$44</f>
        <v>5.4327238993467586E-2</v>
      </c>
      <c r="L11" s="16">
        <v>0</v>
      </c>
      <c r="M11" s="16">
        <f>L11+J11+E11</f>
        <v>15240</v>
      </c>
      <c r="P11" s="27"/>
    </row>
    <row r="12" spans="1:16" x14ac:dyDescent="0.2">
      <c r="B12" s="16" t="s">
        <v>212</v>
      </c>
      <c r="C12" s="16">
        <v>2120</v>
      </c>
      <c r="D12" s="16">
        <v>1293</v>
      </c>
      <c r="E12" s="16">
        <f t="shared" ref="E12:E43" si="1">C12+D12</f>
        <v>3413</v>
      </c>
      <c r="F12" s="17">
        <f t="shared" si="0"/>
        <v>3.5329800008281231E-2</v>
      </c>
      <c r="G12" s="16">
        <v>6461</v>
      </c>
      <c r="H12" s="16">
        <v>1043</v>
      </c>
      <c r="I12" s="16">
        <v>364</v>
      </c>
      <c r="J12" s="16">
        <v>7868</v>
      </c>
      <c r="K12" s="17">
        <f t="shared" ref="K12:K44" si="2">J12/$J$44</f>
        <v>3.8015538633991729E-2</v>
      </c>
      <c r="L12" s="16">
        <v>0</v>
      </c>
      <c r="M12" s="16">
        <f t="shared" ref="M12:M44" si="3">L12+J12+E12</f>
        <v>11281</v>
      </c>
      <c r="P12" s="27"/>
    </row>
    <row r="13" spans="1:16" x14ac:dyDescent="0.2">
      <c r="B13" s="16" t="s">
        <v>213</v>
      </c>
      <c r="C13" s="16">
        <v>2809</v>
      </c>
      <c r="D13" s="16">
        <v>1602</v>
      </c>
      <c r="E13" s="16">
        <f t="shared" si="1"/>
        <v>4411</v>
      </c>
      <c r="F13" s="17">
        <f t="shared" si="0"/>
        <v>4.5660635170386321E-2</v>
      </c>
      <c r="G13" s="16">
        <v>10156</v>
      </c>
      <c r="H13" s="16">
        <v>2117</v>
      </c>
      <c r="I13" s="16">
        <v>567</v>
      </c>
      <c r="J13" s="16">
        <v>12840</v>
      </c>
      <c r="K13" s="17">
        <f t="shared" si="2"/>
        <v>6.2038576011750605E-2</v>
      </c>
      <c r="L13" s="16">
        <v>0</v>
      </c>
      <c r="M13" s="16">
        <f t="shared" si="3"/>
        <v>17251</v>
      </c>
      <c r="P13" s="27"/>
    </row>
    <row r="14" spans="1:16" x14ac:dyDescent="0.2">
      <c r="B14" s="16" t="s">
        <v>214</v>
      </c>
      <c r="C14" s="16">
        <v>7173</v>
      </c>
      <c r="D14" s="16">
        <v>5104</v>
      </c>
      <c r="E14" s="16">
        <f t="shared" si="1"/>
        <v>12277</v>
      </c>
      <c r="F14" s="17">
        <f t="shared" si="0"/>
        <v>0.12708583495507433</v>
      </c>
      <c r="G14" s="16">
        <v>20228</v>
      </c>
      <c r="H14" s="16">
        <v>3510</v>
      </c>
      <c r="I14" s="16">
        <v>1954</v>
      </c>
      <c r="J14" s="16">
        <v>25692</v>
      </c>
      <c r="K14" s="17">
        <f t="shared" si="2"/>
        <v>0.1241351320010823</v>
      </c>
      <c r="L14" s="16">
        <v>0</v>
      </c>
      <c r="M14" s="16">
        <f t="shared" si="3"/>
        <v>37969</v>
      </c>
      <c r="P14" s="27"/>
    </row>
    <row r="15" spans="1:16" x14ac:dyDescent="0.2">
      <c r="B15" s="16" t="s">
        <v>215</v>
      </c>
      <c r="C15" s="16">
        <v>1326</v>
      </c>
      <c r="D15" s="16">
        <v>1114</v>
      </c>
      <c r="E15" s="16">
        <f t="shared" si="1"/>
        <v>2440</v>
      </c>
      <c r="F15" s="17">
        <f t="shared" si="0"/>
        <v>2.5257753302140699E-2</v>
      </c>
      <c r="G15" s="16">
        <v>2740</v>
      </c>
      <c r="H15" s="16">
        <v>485</v>
      </c>
      <c r="I15" s="16">
        <v>268</v>
      </c>
      <c r="J15" s="16">
        <v>3493</v>
      </c>
      <c r="K15" s="17">
        <f t="shared" si="2"/>
        <v>1.6877005140891344E-2</v>
      </c>
      <c r="L15" s="16">
        <v>0</v>
      </c>
      <c r="M15" s="16">
        <f t="shared" si="3"/>
        <v>5933</v>
      </c>
      <c r="P15" s="27"/>
    </row>
    <row r="16" spans="1:16" x14ac:dyDescent="0.2">
      <c r="B16" s="16" t="s">
        <v>216</v>
      </c>
      <c r="C16" s="16">
        <v>697</v>
      </c>
      <c r="D16" s="16">
        <v>548</v>
      </c>
      <c r="E16" s="16">
        <f t="shared" si="1"/>
        <v>1245</v>
      </c>
      <c r="F16" s="17">
        <f t="shared" si="0"/>
        <v>1.2887665107034905E-2</v>
      </c>
      <c r="G16" s="16">
        <v>1526</v>
      </c>
      <c r="H16" s="16">
        <v>136</v>
      </c>
      <c r="I16" s="16">
        <v>146</v>
      </c>
      <c r="J16" s="16">
        <v>1808</v>
      </c>
      <c r="K16" s="17">
        <f t="shared" si="2"/>
        <v>8.7356499555486834E-3</v>
      </c>
      <c r="L16" s="16">
        <v>0</v>
      </c>
      <c r="M16" s="16">
        <f t="shared" si="3"/>
        <v>3053</v>
      </c>
      <c r="P16" s="27"/>
    </row>
    <row r="17" spans="2:16" x14ac:dyDescent="0.2">
      <c r="B17" s="16" t="s">
        <v>217</v>
      </c>
      <c r="C17" s="16">
        <v>181</v>
      </c>
      <c r="D17" s="16">
        <v>314</v>
      </c>
      <c r="E17" s="16">
        <f t="shared" si="1"/>
        <v>495</v>
      </c>
      <c r="F17" s="17">
        <f t="shared" si="0"/>
        <v>5.1240114280982152E-3</v>
      </c>
      <c r="G17" s="16">
        <v>314</v>
      </c>
      <c r="H17" s="16">
        <v>10</v>
      </c>
      <c r="I17" s="16">
        <v>92</v>
      </c>
      <c r="J17" s="16">
        <v>416</v>
      </c>
      <c r="K17" s="17">
        <f t="shared" si="2"/>
        <v>2.0099725561439448E-3</v>
      </c>
      <c r="L17" s="16">
        <v>0</v>
      </c>
      <c r="M17" s="16">
        <f t="shared" si="3"/>
        <v>911</v>
      </c>
      <c r="P17" s="27"/>
    </row>
    <row r="18" spans="2:16" x14ac:dyDescent="0.2">
      <c r="B18" s="16" t="s">
        <v>222</v>
      </c>
      <c r="C18" s="16">
        <v>4018</v>
      </c>
      <c r="D18" s="16">
        <v>2717</v>
      </c>
      <c r="E18" s="16">
        <f t="shared" si="1"/>
        <v>6735</v>
      </c>
      <c r="F18" s="17">
        <f t="shared" si="0"/>
        <v>6.971761003685148E-2</v>
      </c>
      <c r="G18" s="16">
        <v>11746</v>
      </c>
      <c r="H18" s="16">
        <v>2095</v>
      </c>
      <c r="I18" s="16">
        <v>779</v>
      </c>
      <c r="J18" s="16">
        <v>14620</v>
      </c>
      <c r="K18" s="17">
        <f t="shared" si="2"/>
        <v>7.063893935294345E-2</v>
      </c>
      <c r="L18" s="16">
        <v>0</v>
      </c>
      <c r="M18" s="16">
        <f t="shared" si="3"/>
        <v>21355</v>
      </c>
      <c r="P18" s="27"/>
    </row>
    <row r="19" spans="2:16" x14ac:dyDescent="0.2">
      <c r="B19" s="16" t="s">
        <v>223</v>
      </c>
      <c r="C19" s="16">
        <v>890</v>
      </c>
      <c r="D19" s="16">
        <v>813</v>
      </c>
      <c r="E19" s="16">
        <f t="shared" si="1"/>
        <v>1703</v>
      </c>
      <c r="F19" s="17">
        <f t="shared" si="0"/>
        <v>1.7628669620305577E-2</v>
      </c>
      <c r="G19" s="16">
        <v>2251</v>
      </c>
      <c r="H19" s="16">
        <v>322</v>
      </c>
      <c r="I19" s="16">
        <v>203</v>
      </c>
      <c r="J19" s="16">
        <v>2776</v>
      </c>
      <c r="K19" s="17">
        <f t="shared" si="2"/>
        <v>1.3412701480422094E-2</v>
      </c>
      <c r="L19" s="16">
        <v>0</v>
      </c>
      <c r="M19" s="16">
        <f t="shared" si="3"/>
        <v>4479</v>
      </c>
      <c r="P19" s="27"/>
    </row>
    <row r="20" spans="2:16" x14ac:dyDescent="0.2">
      <c r="B20" s="16" t="s">
        <v>224</v>
      </c>
      <c r="C20" s="16">
        <v>1585</v>
      </c>
      <c r="D20" s="16">
        <v>1338</v>
      </c>
      <c r="E20" s="16">
        <f t="shared" si="1"/>
        <v>2923</v>
      </c>
      <c r="F20" s="17">
        <f t="shared" si="0"/>
        <v>3.0257546271375925E-2</v>
      </c>
      <c r="G20" s="16">
        <v>5545</v>
      </c>
      <c r="H20" s="16">
        <v>1004</v>
      </c>
      <c r="I20" s="16">
        <v>376</v>
      </c>
      <c r="J20" s="16">
        <v>6925</v>
      </c>
      <c r="K20" s="17">
        <f t="shared" si="2"/>
        <v>3.345927872907889E-2</v>
      </c>
      <c r="L20" s="16">
        <v>0</v>
      </c>
      <c r="M20" s="16">
        <f t="shared" si="3"/>
        <v>9848</v>
      </c>
      <c r="P20" s="27"/>
    </row>
    <row r="21" spans="2:16" x14ac:dyDescent="0.2">
      <c r="B21" s="16" t="s">
        <v>225</v>
      </c>
      <c r="C21" s="16">
        <v>776</v>
      </c>
      <c r="D21" s="16">
        <v>626</v>
      </c>
      <c r="E21" s="16">
        <f t="shared" si="1"/>
        <v>1402</v>
      </c>
      <c r="F21" s="17">
        <f t="shared" si="0"/>
        <v>1.4512856610492319E-2</v>
      </c>
      <c r="G21" s="16">
        <v>1427</v>
      </c>
      <c r="H21" s="16">
        <v>211</v>
      </c>
      <c r="I21" s="16">
        <v>115</v>
      </c>
      <c r="J21" s="16">
        <v>1753</v>
      </c>
      <c r="K21" s="17">
        <f t="shared" si="2"/>
        <v>8.469908391635422E-3</v>
      </c>
      <c r="L21" s="16">
        <v>0</v>
      </c>
      <c r="M21" s="16">
        <f t="shared" si="3"/>
        <v>3155</v>
      </c>
      <c r="P21" s="27"/>
    </row>
    <row r="22" spans="2:16" x14ac:dyDescent="0.2">
      <c r="B22" s="16" t="s">
        <v>226</v>
      </c>
      <c r="C22" s="16">
        <v>5059</v>
      </c>
      <c r="D22" s="16">
        <v>3399</v>
      </c>
      <c r="E22" s="16">
        <f t="shared" si="1"/>
        <v>8458</v>
      </c>
      <c r="F22" s="17">
        <f t="shared" si="0"/>
        <v>8.7553310421928696E-2</v>
      </c>
      <c r="G22" s="16">
        <v>16798</v>
      </c>
      <c r="H22" s="16">
        <v>3386</v>
      </c>
      <c r="I22" s="16">
        <v>1205</v>
      </c>
      <c r="J22" s="16">
        <v>21389</v>
      </c>
      <c r="K22" s="17">
        <f t="shared" si="2"/>
        <v>0.10334447837346836</v>
      </c>
      <c r="L22" s="16">
        <v>0</v>
      </c>
      <c r="M22" s="16">
        <f t="shared" si="3"/>
        <v>29847</v>
      </c>
      <c r="P22" s="27"/>
    </row>
    <row r="23" spans="2:16" x14ac:dyDescent="0.2">
      <c r="B23" s="16" t="s">
        <v>227</v>
      </c>
      <c r="C23" s="16">
        <v>1131</v>
      </c>
      <c r="D23" s="16">
        <v>1017</v>
      </c>
      <c r="E23" s="16">
        <f t="shared" si="1"/>
        <v>2148</v>
      </c>
      <c r="F23" s="17">
        <f t="shared" si="0"/>
        <v>2.2235104136474681E-2</v>
      </c>
      <c r="G23" s="16">
        <v>2588</v>
      </c>
      <c r="H23" s="16">
        <v>422</v>
      </c>
      <c r="I23" s="16">
        <v>171</v>
      </c>
      <c r="J23" s="16">
        <v>3181</v>
      </c>
      <c r="K23" s="17">
        <f t="shared" si="2"/>
        <v>1.5369525723783388E-2</v>
      </c>
      <c r="L23" s="16">
        <v>0</v>
      </c>
      <c r="M23" s="16">
        <f t="shared" si="3"/>
        <v>5329</v>
      </c>
      <c r="P23" s="27"/>
    </row>
    <row r="24" spans="2:16" x14ac:dyDescent="0.2">
      <c r="B24" s="16" t="s">
        <v>228</v>
      </c>
      <c r="C24" s="16">
        <v>340</v>
      </c>
      <c r="D24" s="16">
        <v>399</v>
      </c>
      <c r="E24" s="16">
        <f t="shared" si="1"/>
        <v>739</v>
      </c>
      <c r="F24" s="17">
        <f t="shared" si="0"/>
        <v>7.6497867583122849E-3</v>
      </c>
      <c r="G24" s="16">
        <v>655</v>
      </c>
      <c r="H24" s="16">
        <v>75</v>
      </c>
      <c r="I24" s="16">
        <v>66</v>
      </c>
      <c r="J24" s="16">
        <v>796</v>
      </c>
      <c r="K24" s="17">
        <f t="shared" si="2"/>
        <v>3.8460051795446639E-3</v>
      </c>
      <c r="L24" s="16">
        <v>0</v>
      </c>
      <c r="M24" s="16">
        <f t="shared" si="3"/>
        <v>1535</v>
      </c>
      <c r="P24" s="27"/>
    </row>
    <row r="25" spans="2:16" x14ac:dyDescent="0.2">
      <c r="B25" s="16" t="s">
        <v>229</v>
      </c>
      <c r="C25" s="16">
        <v>800</v>
      </c>
      <c r="D25" s="16">
        <v>679</v>
      </c>
      <c r="E25" s="16">
        <f t="shared" si="1"/>
        <v>1479</v>
      </c>
      <c r="F25" s="17">
        <f t="shared" si="0"/>
        <v>1.5309925054863152E-2</v>
      </c>
      <c r="G25" s="16">
        <v>1974</v>
      </c>
      <c r="H25" s="16">
        <v>284</v>
      </c>
      <c r="I25" s="16">
        <v>169</v>
      </c>
      <c r="J25" s="16">
        <v>2427</v>
      </c>
      <c r="K25" s="17">
        <f t="shared" si="2"/>
        <v>1.1726450465772486E-2</v>
      </c>
      <c r="L25" s="16">
        <v>0</v>
      </c>
      <c r="M25" s="16">
        <f t="shared" si="3"/>
        <v>3906</v>
      </c>
      <c r="P25" s="27"/>
    </row>
    <row r="26" spans="2:16" x14ac:dyDescent="0.2">
      <c r="B26" s="16" t="s">
        <v>230</v>
      </c>
      <c r="C26" s="16">
        <v>527</v>
      </c>
      <c r="D26" s="16">
        <v>496</v>
      </c>
      <c r="E26" s="16">
        <f t="shared" si="1"/>
        <v>1023</v>
      </c>
      <c r="F26" s="17">
        <f t="shared" si="0"/>
        <v>1.0589623618069645E-2</v>
      </c>
      <c r="G26" s="16">
        <v>583</v>
      </c>
      <c r="H26" s="16">
        <v>27</v>
      </c>
      <c r="I26" s="16">
        <v>64</v>
      </c>
      <c r="J26" s="16">
        <v>674</v>
      </c>
      <c r="K26" s="17">
        <f t="shared" si="2"/>
        <v>3.2565420741370648E-3</v>
      </c>
      <c r="L26" s="16">
        <v>0</v>
      </c>
      <c r="M26" s="16">
        <f t="shared" si="3"/>
        <v>1697</v>
      </c>
      <c r="P26" s="27"/>
    </row>
    <row r="27" spans="2:16" x14ac:dyDescent="0.2">
      <c r="B27" s="16" t="s">
        <v>231</v>
      </c>
      <c r="C27" s="16">
        <v>213</v>
      </c>
      <c r="D27" s="16">
        <v>152</v>
      </c>
      <c r="E27" s="16">
        <f t="shared" si="1"/>
        <v>365</v>
      </c>
      <c r="F27" s="17">
        <f t="shared" si="0"/>
        <v>3.7783114570825223E-3</v>
      </c>
      <c r="G27" s="16">
        <v>483</v>
      </c>
      <c r="H27" s="16">
        <v>81</v>
      </c>
      <c r="I27" s="16">
        <v>38</v>
      </c>
      <c r="J27" s="16">
        <v>602</v>
      </c>
      <c r="K27" s="17">
        <f t="shared" si="2"/>
        <v>2.9086622086506126E-3</v>
      </c>
      <c r="L27" s="16">
        <v>0</v>
      </c>
      <c r="M27" s="16">
        <f t="shared" si="3"/>
        <v>967</v>
      </c>
      <c r="P27" s="27"/>
    </row>
    <row r="28" spans="2:16" x14ac:dyDescent="0.2">
      <c r="B28" s="16" t="s">
        <v>232</v>
      </c>
      <c r="C28" s="16">
        <v>1184</v>
      </c>
      <c r="D28" s="16">
        <v>1277</v>
      </c>
      <c r="E28" s="16">
        <f t="shared" si="1"/>
        <v>2461</v>
      </c>
      <c r="F28" s="17">
        <f t="shared" si="0"/>
        <v>2.5475135605150925E-2</v>
      </c>
      <c r="G28" s="16">
        <v>3191</v>
      </c>
      <c r="H28" s="16">
        <v>441</v>
      </c>
      <c r="I28" s="16">
        <v>274</v>
      </c>
      <c r="J28" s="16">
        <v>3906</v>
      </c>
      <c r="K28" s="17">
        <f t="shared" si="2"/>
        <v>1.8872482702640022E-2</v>
      </c>
      <c r="L28" s="16">
        <v>0</v>
      </c>
      <c r="M28" s="16">
        <f t="shared" si="3"/>
        <v>6367</v>
      </c>
      <c r="P28" s="27"/>
    </row>
    <row r="29" spans="2:16" x14ac:dyDescent="0.2">
      <c r="B29" s="16" t="s">
        <v>233</v>
      </c>
      <c r="C29" s="16">
        <v>1341</v>
      </c>
      <c r="D29" s="16">
        <v>1267</v>
      </c>
      <c r="E29" s="16">
        <f t="shared" si="1"/>
        <v>2608</v>
      </c>
      <c r="F29" s="17">
        <f t="shared" si="0"/>
        <v>2.6996811726222515E-2</v>
      </c>
      <c r="G29" s="16">
        <v>3465</v>
      </c>
      <c r="H29" s="16">
        <v>565</v>
      </c>
      <c r="I29" s="16">
        <v>384</v>
      </c>
      <c r="J29" s="16">
        <v>4414</v>
      </c>
      <c r="K29" s="17">
        <f t="shared" si="2"/>
        <v>2.1326968420238877E-2</v>
      </c>
      <c r="L29" s="16">
        <v>0</v>
      </c>
      <c r="M29" s="16">
        <f t="shared" si="3"/>
        <v>7022</v>
      </c>
      <c r="P29" s="27"/>
    </row>
    <row r="30" spans="2:16" x14ac:dyDescent="0.2">
      <c r="B30" s="16" t="s">
        <v>234</v>
      </c>
      <c r="C30" s="16">
        <v>379</v>
      </c>
      <c r="D30" s="16">
        <v>415</v>
      </c>
      <c r="E30" s="16">
        <f t="shared" si="1"/>
        <v>794</v>
      </c>
      <c r="F30" s="17">
        <f t="shared" si="0"/>
        <v>8.2191213614343089E-3</v>
      </c>
      <c r="G30" s="16">
        <v>1048</v>
      </c>
      <c r="H30" s="16">
        <v>141</v>
      </c>
      <c r="I30" s="16">
        <v>156</v>
      </c>
      <c r="J30" s="16">
        <v>1345</v>
      </c>
      <c r="K30" s="17">
        <f t="shared" si="2"/>
        <v>6.4985891538788601E-3</v>
      </c>
      <c r="L30" s="16">
        <v>0</v>
      </c>
      <c r="M30" s="16">
        <f t="shared" si="3"/>
        <v>2139</v>
      </c>
      <c r="P30" s="27"/>
    </row>
    <row r="31" spans="2:16" x14ac:dyDescent="0.2">
      <c r="B31" s="16" t="s">
        <v>235</v>
      </c>
      <c r="C31" s="16">
        <v>269</v>
      </c>
      <c r="D31" s="16">
        <v>163</v>
      </c>
      <c r="E31" s="16">
        <f t="shared" si="1"/>
        <v>432</v>
      </c>
      <c r="F31" s="17">
        <f t="shared" si="0"/>
        <v>4.4718645190675336E-3</v>
      </c>
      <c r="G31" s="16">
        <v>537</v>
      </c>
      <c r="H31" s="16">
        <v>41</v>
      </c>
      <c r="I31" s="16">
        <v>44</v>
      </c>
      <c r="J31" s="16">
        <v>622</v>
      </c>
      <c r="K31" s="17">
        <f t="shared" si="2"/>
        <v>3.0052955046190716E-3</v>
      </c>
      <c r="L31" s="16">
        <v>0</v>
      </c>
      <c r="M31" s="16">
        <f t="shared" si="3"/>
        <v>1054</v>
      </c>
      <c r="P31" s="27"/>
    </row>
    <row r="32" spans="2:16" x14ac:dyDescent="0.2">
      <c r="B32" s="16" t="s">
        <v>236</v>
      </c>
      <c r="C32" s="16">
        <v>179</v>
      </c>
      <c r="D32" s="16">
        <v>173</v>
      </c>
      <c r="E32" s="16">
        <f t="shared" si="1"/>
        <v>352</v>
      </c>
      <c r="F32" s="17">
        <f t="shared" si="0"/>
        <v>3.6437414599809533E-3</v>
      </c>
      <c r="G32" s="16">
        <v>445</v>
      </c>
      <c r="H32" s="16">
        <v>73</v>
      </c>
      <c r="I32" s="16">
        <v>42</v>
      </c>
      <c r="J32" s="16">
        <v>560</v>
      </c>
      <c r="K32" s="17">
        <f t="shared" si="2"/>
        <v>2.7057322871168491E-3</v>
      </c>
      <c r="L32" s="16">
        <v>0</v>
      </c>
      <c r="M32" s="16">
        <f t="shared" si="3"/>
        <v>912</v>
      </c>
      <c r="P32" s="27"/>
    </row>
    <row r="33" spans="2:16" x14ac:dyDescent="0.2">
      <c r="B33" s="16" t="s">
        <v>237</v>
      </c>
      <c r="C33" s="16">
        <v>638</v>
      </c>
      <c r="D33" s="16">
        <v>549</v>
      </c>
      <c r="E33" s="16">
        <f t="shared" si="1"/>
        <v>1187</v>
      </c>
      <c r="F33" s="17">
        <f t="shared" si="0"/>
        <v>1.2287275889197135E-2</v>
      </c>
      <c r="G33" s="16">
        <v>1795</v>
      </c>
      <c r="H33" s="16">
        <v>271</v>
      </c>
      <c r="I33" s="16">
        <v>170</v>
      </c>
      <c r="J33" s="16">
        <v>2236</v>
      </c>
      <c r="K33" s="17">
        <f t="shared" si="2"/>
        <v>1.0803602489273704E-2</v>
      </c>
      <c r="L33" s="16">
        <v>0</v>
      </c>
      <c r="M33" s="16">
        <f t="shared" si="3"/>
        <v>3423</v>
      </c>
      <c r="P33" s="27"/>
    </row>
    <row r="34" spans="2:16" x14ac:dyDescent="0.2">
      <c r="B34" s="16" t="s">
        <v>238</v>
      </c>
      <c r="C34" s="16">
        <v>1245</v>
      </c>
      <c r="D34" s="16">
        <v>1381</v>
      </c>
      <c r="E34" s="16">
        <f t="shared" si="1"/>
        <v>2626</v>
      </c>
      <c r="F34" s="17">
        <f t="shared" si="0"/>
        <v>2.7183139414516996E-2</v>
      </c>
      <c r="G34" s="16">
        <v>2937</v>
      </c>
      <c r="H34" s="16">
        <v>420</v>
      </c>
      <c r="I34" s="16">
        <v>282</v>
      </c>
      <c r="J34" s="16">
        <v>3639</v>
      </c>
      <c r="K34" s="17">
        <f t="shared" si="2"/>
        <v>1.7582428201461095E-2</v>
      </c>
      <c r="L34" s="16">
        <v>0</v>
      </c>
      <c r="M34" s="16">
        <f t="shared" si="3"/>
        <v>6265</v>
      </c>
      <c r="P34" s="27"/>
    </row>
    <row r="35" spans="2:16" x14ac:dyDescent="0.2">
      <c r="B35" s="16" t="s">
        <v>253</v>
      </c>
      <c r="C35" s="16">
        <v>6613</v>
      </c>
      <c r="D35" s="16">
        <v>3472</v>
      </c>
      <c r="E35" s="16">
        <f t="shared" si="1"/>
        <v>10085</v>
      </c>
      <c r="F35" s="17">
        <f t="shared" si="0"/>
        <v>0.10439526313610202</v>
      </c>
      <c r="G35" s="16">
        <v>24106</v>
      </c>
      <c r="H35" s="16">
        <v>5324</v>
      </c>
      <c r="I35" s="16">
        <v>1449</v>
      </c>
      <c r="J35" s="16">
        <v>30879</v>
      </c>
      <c r="K35" s="17">
        <f t="shared" si="2"/>
        <v>0.1491969773105021</v>
      </c>
      <c r="L35" s="16">
        <v>0</v>
      </c>
      <c r="M35" s="16">
        <f t="shared" si="3"/>
        <v>40964</v>
      </c>
      <c r="P35" s="27"/>
    </row>
    <row r="36" spans="2:16" x14ac:dyDescent="0.2">
      <c r="B36" s="16" t="s">
        <v>254</v>
      </c>
      <c r="C36" s="16">
        <v>2105</v>
      </c>
      <c r="D36" s="16">
        <v>1350</v>
      </c>
      <c r="E36" s="16">
        <f t="shared" si="1"/>
        <v>3455</v>
      </c>
      <c r="F36" s="17">
        <f t="shared" si="0"/>
        <v>3.5764564614301685E-2</v>
      </c>
      <c r="G36" s="16">
        <v>7535</v>
      </c>
      <c r="H36" s="16">
        <v>1362</v>
      </c>
      <c r="I36" s="16">
        <v>417</v>
      </c>
      <c r="J36" s="16">
        <v>9314</v>
      </c>
      <c r="K36" s="17">
        <f t="shared" si="2"/>
        <v>4.5002125932511308E-2</v>
      </c>
      <c r="L36" s="16">
        <v>0</v>
      </c>
      <c r="M36" s="16">
        <f t="shared" si="3"/>
        <v>12769</v>
      </c>
      <c r="P36" s="27"/>
    </row>
    <row r="37" spans="2:16" x14ac:dyDescent="0.2">
      <c r="B37" s="16" t="s">
        <v>255</v>
      </c>
      <c r="C37" s="16">
        <v>2689</v>
      </c>
      <c r="D37" s="16">
        <v>1800</v>
      </c>
      <c r="E37" s="16">
        <f t="shared" si="1"/>
        <v>4489</v>
      </c>
      <c r="F37" s="17">
        <f t="shared" si="0"/>
        <v>4.6468055152995735E-2</v>
      </c>
      <c r="G37" s="16">
        <v>9256</v>
      </c>
      <c r="H37" s="16">
        <v>1879</v>
      </c>
      <c r="I37" s="16">
        <v>609</v>
      </c>
      <c r="J37" s="16">
        <v>11744</v>
      </c>
      <c r="K37" s="17">
        <f t="shared" si="2"/>
        <v>5.6743071392679062E-2</v>
      </c>
      <c r="L37" s="16">
        <v>0</v>
      </c>
      <c r="M37" s="16">
        <f t="shared" si="3"/>
        <v>16233</v>
      </c>
      <c r="P37" s="27"/>
    </row>
    <row r="38" spans="2:16" x14ac:dyDescent="0.2">
      <c r="B38" s="16" t="s">
        <v>256</v>
      </c>
      <c r="C38" s="16">
        <v>573</v>
      </c>
      <c r="D38" s="16">
        <v>416</v>
      </c>
      <c r="E38" s="16">
        <f t="shared" si="1"/>
        <v>989</v>
      </c>
      <c r="F38" s="17">
        <f t="shared" si="0"/>
        <v>1.0237671317957848E-2</v>
      </c>
      <c r="G38" s="16">
        <v>1341</v>
      </c>
      <c r="H38" s="16">
        <v>149</v>
      </c>
      <c r="I38" s="16">
        <v>87</v>
      </c>
      <c r="J38" s="16">
        <v>1577</v>
      </c>
      <c r="K38" s="17">
        <f t="shared" si="2"/>
        <v>7.6195353871129834E-3</v>
      </c>
      <c r="L38" s="16">
        <v>0</v>
      </c>
      <c r="M38" s="16">
        <f t="shared" si="3"/>
        <v>2566</v>
      </c>
      <c r="P38" s="27"/>
    </row>
    <row r="39" spans="2:16" x14ac:dyDescent="0.2">
      <c r="B39" s="16" t="s">
        <v>257</v>
      </c>
      <c r="C39" s="16">
        <v>1551</v>
      </c>
      <c r="D39" s="16">
        <v>1443</v>
      </c>
      <c r="E39" s="16">
        <f t="shared" si="1"/>
        <v>2994</v>
      </c>
      <c r="F39" s="17">
        <f t="shared" si="0"/>
        <v>3.0992505486315266E-2</v>
      </c>
      <c r="G39" s="16">
        <v>3523</v>
      </c>
      <c r="H39" s="16">
        <v>491</v>
      </c>
      <c r="I39" s="16">
        <v>258</v>
      </c>
      <c r="J39" s="16">
        <v>4272</v>
      </c>
      <c r="K39" s="17">
        <f t="shared" si="2"/>
        <v>2.0640872018862819E-2</v>
      </c>
      <c r="L39" s="16">
        <v>0</v>
      </c>
      <c r="M39" s="16">
        <f t="shared" si="3"/>
        <v>7266</v>
      </c>
      <c r="P39" s="27"/>
    </row>
    <row r="40" spans="2:16" x14ac:dyDescent="0.2">
      <c r="B40" s="16" t="s">
        <v>258</v>
      </c>
      <c r="C40" s="16">
        <v>1647</v>
      </c>
      <c r="D40" s="16">
        <v>1283</v>
      </c>
      <c r="E40" s="16">
        <f t="shared" si="1"/>
        <v>2930</v>
      </c>
      <c r="F40" s="17">
        <f t="shared" si="0"/>
        <v>3.0330007039046002E-2</v>
      </c>
      <c r="G40" s="16">
        <v>3564</v>
      </c>
      <c r="H40" s="16">
        <v>437</v>
      </c>
      <c r="I40" s="16">
        <v>239</v>
      </c>
      <c r="J40" s="16">
        <v>4240</v>
      </c>
      <c r="K40" s="17">
        <f t="shared" si="2"/>
        <v>2.0486258745313284E-2</v>
      </c>
      <c r="L40" s="16">
        <v>0</v>
      </c>
      <c r="M40" s="16">
        <f t="shared" si="3"/>
        <v>7170</v>
      </c>
      <c r="P40" s="27"/>
    </row>
    <row r="41" spans="2:16" x14ac:dyDescent="0.2">
      <c r="B41" s="16" t="s">
        <v>259</v>
      </c>
      <c r="C41" s="16">
        <v>1474</v>
      </c>
      <c r="D41" s="16">
        <v>1323</v>
      </c>
      <c r="E41" s="16">
        <f t="shared" si="1"/>
        <v>2797</v>
      </c>
      <c r="F41" s="17">
        <f t="shared" si="0"/>
        <v>2.8953252453314562E-2</v>
      </c>
      <c r="G41" s="16">
        <v>3729</v>
      </c>
      <c r="H41" s="16">
        <v>718</v>
      </c>
      <c r="I41" s="16">
        <v>214</v>
      </c>
      <c r="J41" s="16">
        <v>4661</v>
      </c>
      <c r="K41" s="17">
        <f t="shared" si="2"/>
        <v>2.2520389625449343E-2</v>
      </c>
      <c r="L41" s="16">
        <v>0</v>
      </c>
      <c r="M41" s="16">
        <f t="shared" si="3"/>
        <v>7458</v>
      </c>
      <c r="P41" s="27"/>
    </row>
    <row r="42" spans="2:16" x14ac:dyDescent="0.2">
      <c r="B42" s="16" t="s">
        <v>263</v>
      </c>
      <c r="C42" s="16">
        <v>1189</v>
      </c>
      <c r="D42" s="16">
        <v>984</v>
      </c>
      <c r="E42" s="16">
        <f t="shared" si="1"/>
        <v>2173</v>
      </c>
      <c r="F42" s="17">
        <f t="shared" si="0"/>
        <v>2.2493892592439238E-2</v>
      </c>
      <c r="G42" s="16">
        <v>2975</v>
      </c>
      <c r="H42" s="16">
        <v>422</v>
      </c>
      <c r="I42" s="16">
        <v>338</v>
      </c>
      <c r="J42" s="16">
        <v>3735</v>
      </c>
      <c r="K42" s="17">
        <f t="shared" si="2"/>
        <v>1.8046268022109697E-2</v>
      </c>
      <c r="L42" s="16">
        <v>0</v>
      </c>
      <c r="M42" s="16">
        <f t="shared" si="3"/>
        <v>5908</v>
      </c>
      <c r="P42" s="27"/>
    </row>
    <row r="43" spans="2:16" x14ac:dyDescent="0.2">
      <c r="B43" s="16" t="s">
        <v>264</v>
      </c>
      <c r="C43" s="16">
        <v>549</v>
      </c>
      <c r="D43" s="16">
        <v>431</v>
      </c>
      <c r="E43" s="16">
        <f t="shared" si="1"/>
        <v>980</v>
      </c>
      <c r="F43" s="17">
        <f t="shared" si="0"/>
        <v>1.0144507473810608E-2</v>
      </c>
      <c r="G43" s="16">
        <v>1043</v>
      </c>
      <c r="H43" s="16">
        <v>179</v>
      </c>
      <c r="I43" s="16">
        <v>98</v>
      </c>
      <c r="J43" s="16">
        <v>1320</v>
      </c>
      <c r="K43" s="17">
        <f t="shared" si="2"/>
        <v>6.3777975339182865E-3</v>
      </c>
      <c r="L43" s="16">
        <v>0</v>
      </c>
      <c r="M43" s="16">
        <f t="shared" si="3"/>
        <v>2300</v>
      </c>
      <c r="P43" s="27"/>
    </row>
    <row r="44" spans="2:16" x14ac:dyDescent="0.2">
      <c r="B44" s="18" t="s">
        <v>39</v>
      </c>
      <c r="C44" s="16">
        <f>SUM(C11:C43)</f>
        <v>55772</v>
      </c>
      <c r="D44" s="16">
        <f>SUM(D11:D43)</f>
        <v>40832</v>
      </c>
      <c r="E44" s="18">
        <f t="shared" ref="E44" si="4">C44+D44</f>
        <v>96604</v>
      </c>
      <c r="F44" s="17">
        <f t="shared" ref="F44" si="5">E44/$E$44</f>
        <v>1</v>
      </c>
      <c r="G44" s="16">
        <f t="shared" ref="G44:J44" si="6">SUM(G11:G43)</f>
        <v>164900</v>
      </c>
      <c r="H44" s="16">
        <f t="shared" si="6"/>
        <v>29874</v>
      </c>
      <c r="I44" s="16">
        <f t="shared" si="6"/>
        <v>12194</v>
      </c>
      <c r="J44" s="16">
        <f t="shared" si="6"/>
        <v>206968</v>
      </c>
      <c r="K44" s="17">
        <f t="shared" si="2"/>
        <v>1</v>
      </c>
      <c r="L44" s="16">
        <f>SUM(L11:L43)</f>
        <v>0</v>
      </c>
      <c r="M44" s="16">
        <f t="shared" si="3"/>
        <v>303572</v>
      </c>
      <c r="P44" s="27"/>
    </row>
    <row r="45" spans="2:16" ht="25.5" customHeight="1" x14ac:dyDescent="0.2">
      <c r="B45" s="41" t="s">
        <v>44</v>
      </c>
      <c r="C45" s="29">
        <f>+C44/M44</f>
        <v>0.18371918358741912</v>
      </c>
      <c r="D45" s="29">
        <f>+D44/M44</f>
        <v>0.13450515857852502</v>
      </c>
      <c r="E45" s="30">
        <f>+E44/M44</f>
        <v>0.31822434216594414</v>
      </c>
      <c r="F45" s="30"/>
      <c r="G45" s="29">
        <f>+G44/M44</f>
        <v>0.54319897750780699</v>
      </c>
      <c r="H45" s="29">
        <f>+H44/M44</f>
        <v>9.8408285349109934E-2</v>
      </c>
      <c r="I45" s="29">
        <f>+I44/M44</f>
        <v>4.0168394977138866E-2</v>
      </c>
      <c r="J45" s="30">
        <f>+J44/M44</f>
        <v>0.6817756578340558</v>
      </c>
      <c r="K45" s="30"/>
      <c r="L45" s="30">
        <f>+L44/M44</f>
        <v>0</v>
      </c>
      <c r="M45" s="30">
        <f>J45+L45+E45</f>
        <v>1</v>
      </c>
    </row>
    <row r="46" spans="2:16" x14ac:dyDescent="0.2">
      <c r="B46" s="21"/>
      <c r="C46" s="34"/>
      <c r="D46" s="34"/>
      <c r="E46" s="34"/>
      <c r="F46" s="34"/>
      <c r="G46" s="34"/>
      <c r="H46" s="34"/>
      <c r="I46" s="34"/>
      <c r="J46" s="34"/>
      <c r="K46" s="34"/>
    </row>
    <row r="47" spans="2:16" ht="12.75" x14ac:dyDescent="0.2">
      <c r="B47" s="344" t="s">
        <v>578</v>
      </c>
      <c r="C47" s="344"/>
      <c r="D47" s="344"/>
      <c r="E47" s="344"/>
      <c r="F47" s="344"/>
      <c r="G47" s="344"/>
      <c r="H47" s="344"/>
      <c r="I47" s="344"/>
      <c r="J47" s="344"/>
      <c r="K47" s="344"/>
    </row>
    <row r="48" spans="2:16" ht="12.75" x14ac:dyDescent="0.2">
      <c r="B48" s="374" t="str">
        <f>'Solicitudes Regiones'!$B$6:$R$6</f>
        <v>Julio de 2008 a junio de 2022</v>
      </c>
      <c r="C48" s="374"/>
      <c r="D48" s="374"/>
      <c r="E48" s="374"/>
      <c r="F48" s="374"/>
      <c r="G48" s="374"/>
      <c r="H48" s="374"/>
      <c r="I48" s="374"/>
      <c r="J48" s="374"/>
      <c r="K48" s="374"/>
    </row>
    <row r="49" spans="2:13" x14ac:dyDescent="0.2">
      <c r="B49" s="21"/>
      <c r="C49" s="34"/>
      <c r="D49" s="34"/>
      <c r="E49" s="34"/>
      <c r="F49" s="34"/>
      <c r="G49" s="34"/>
      <c r="H49" s="34"/>
      <c r="I49" s="34"/>
      <c r="J49" s="34"/>
      <c r="K49" s="34"/>
    </row>
    <row r="50" spans="2:13" ht="15" customHeight="1" x14ac:dyDescent="0.2">
      <c r="B50" s="373" t="s">
        <v>596</v>
      </c>
      <c r="C50" s="373"/>
      <c r="D50" s="373"/>
      <c r="E50" s="373"/>
      <c r="F50" s="373"/>
      <c r="G50" s="373"/>
      <c r="H50" s="373"/>
      <c r="I50" s="373"/>
      <c r="J50" s="373"/>
      <c r="K50" s="373"/>
      <c r="L50" s="373"/>
      <c r="M50" s="373"/>
    </row>
    <row r="51" spans="2:13" ht="15.75" customHeight="1" x14ac:dyDescent="0.2">
      <c r="B51" s="375" t="s">
        <v>41</v>
      </c>
      <c r="C51" s="370" t="s">
        <v>544</v>
      </c>
      <c r="D51" s="371"/>
      <c r="E51" s="371"/>
      <c r="F51" s="371"/>
      <c r="G51" s="371"/>
      <c r="H51" s="371"/>
      <c r="I51" s="371"/>
      <c r="J51" s="371"/>
      <c r="K51" s="371"/>
      <c r="L51" s="372"/>
      <c r="M51" s="307"/>
    </row>
    <row r="52" spans="2:13" ht="48" x14ac:dyDescent="0.2">
      <c r="B52" s="376"/>
      <c r="C52" s="20" t="s">
        <v>540</v>
      </c>
      <c r="D52" s="20" t="s">
        <v>42</v>
      </c>
      <c r="E52" s="20" t="s">
        <v>553</v>
      </c>
      <c r="F52" s="20" t="s">
        <v>554</v>
      </c>
      <c r="G52" s="20" t="s">
        <v>542</v>
      </c>
      <c r="H52" s="20" t="s">
        <v>2</v>
      </c>
      <c r="I52" s="20" t="s">
        <v>43</v>
      </c>
      <c r="J52" s="20" t="s">
        <v>549</v>
      </c>
      <c r="K52" s="296" t="s">
        <v>550</v>
      </c>
      <c r="L52" s="296" t="s">
        <v>523</v>
      </c>
      <c r="M52" s="296" t="s">
        <v>641</v>
      </c>
    </row>
    <row r="53" spans="2:13" x14ac:dyDescent="0.2">
      <c r="B53" s="16" t="s">
        <v>211</v>
      </c>
      <c r="C53" s="16">
        <v>2151</v>
      </c>
      <c r="D53" s="16">
        <v>785</v>
      </c>
      <c r="E53" s="16">
        <f>C53+D53</f>
        <v>2936</v>
      </c>
      <c r="F53" s="17">
        <f t="shared" ref="F53:F85" si="7">E53/$E$86</f>
        <v>4.2920839119947374E-2</v>
      </c>
      <c r="G53" s="16">
        <v>7444</v>
      </c>
      <c r="H53" s="16">
        <v>979</v>
      </c>
      <c r="I53" s="16">
        <v>449</v>
      </c>
      <c r="J53" s="16">
        <v>8872</v>
      </c>
      <c r="K53" s="17">
        <f>J53/$J$86</f>
        <v>5.3763506020518846E-2</v>
      </c>
      <c r="L53" s="16">
        <v>0</v>
      </c>
      <c r="M53" s="16">
        <f t="shared" ref="M53:M86" si="8">L53+J53+E53</f>
        <v>11808</v>
      </c>
    </row>
    <row r="54" spans="2:13" x14ac:dyDescent="0.2">
      <c r="B54" s="16" t="s">
        <v>212</v>
      </c>
      <c r="C54" s="16">
        <v>1663</v>
      </c>
      <c r="D54" s="16">
        <v>556</v>
      </c>
      <c r="E54" s="16">
        <f t="shared" ref="E54:E85" si="9">C54+D54</f>
        <v>2219</v>
      </c>
      <c r="F54" s="17">
        <f t="shared" si="7"/>
        <v>3.2439149185001098E-2</v>
      </c>
      <c r="G54" s="16">
        <v>5508</v>
      </c>
      <c r="H54" s="16">
        <v>518</v>
      </c>
      <c r="I54" s="16">
        <v>286</v>
      </c>
      <c r="J54" s="16">
        <v>6312</v>
      </c>
      <c r="K54" s="17">
        <f t="shared" ref="K54:K86" si="10">J54/$J$86</f>
        <v>3.825014089286688E-2</v>
      </c>
      <c r="L54" s="16">
        <v>0</v>
      </c>
      <c r="M54" s="16">
        <f t="shared" si="8"/>
        <v>8531</v>
      </c>
    </row>
    <row r="55" spans="2:13" x14ac:dyDescent="0.2">
      <c r="B55" s="16" t="s">
        <v>213</v>
      </c>
      <c r="C55" s="16">
        <v>2417</v>
      </c>
      <c r="D55" s="16">
        <v>889</v>
      </c>
      <c r="E55" s="16">
        <f t="shared" si="9"/>
        <v>3306</v>
      </c>
      <c r="F55" s="17">
        <f t="shared" si="7"/>
        <v>4.8329800453183247E-2</v>
      </c>
      <c r="G55" s="16">
        <v>8621</v>
      </c>
      <c r="H55" s="16">
        <v>1165</v>
      </c>
      <c r="I55" s="16">
        <v>436</v>
      </c>
      <c r="J55" s="16">
        <v>10222</v>
      </c>
      <c r="K55" s="17">
        <f t="shared" si="10"/>
        <v>6.1944382162054064E-2</v>
      </c>
      <c r="L55" s="16">
        <v>0</v>
      </c>
      <c r="M55" s="16">
        <f t="shared" si="8"/>
        <v>13528</v>
      </c>
    </row>
    <row r="56" spans="2:13" x14ac:dyDescent="0.2">
      <c r="B56" s="16" t="s">
        <v>214</v>
      </c>
      <c r="C56" s="16">
        <v>6396</v>
      </c>
      <c r="D56" s="16">
        <v>3084</v>
      </c>
      <c r="E56" s="16">
        <f t="shared" si="9"/>
        <v>9480</v>
      </c>
      <c r="F56" s="17">
        <f t="shared" si="7"/>
        <v>0.1385863606461516</v>
      </c>
      <c r="G56" s="16">
        <v>17304</v>
      </c>
      <c r="H56" s="16">
        <v>1963</v>
      </c>
      <c r="I56" s="16">
        <v>1734</v>
      </c>
      <c r="J56" s="16">
        <v>21001</v>
      </c>
      <c r="K56" s="17">
        <f t="shared" si="10"/>
        <v>0.12726413322102303</v>
      </c>
      <c r="L56" s="16">
        <v>0</v>
      </c>
      <c r="M56" s="16">
        <f t="shared" si="8"/>
        <v>30481</v>
      </c>
    </row>
    <row r="57" spans="2:13" x14ac:dyDescent="0.2">
      <c r="B57" s="16" t="s">
        <v>215</v>
      </c>
      <c r="C57" s="16">
        <v>1155</v>
      </c>
      <c r="D57" s="16">
        <v>592</v>
      </c>
      <c r="E57" s="16">
        <f t="shared" si="9"/>
        <v>1747</v>
      </c>
      <c r="F57" s="17">
        <f t="shared" si="7"/>
        <v>2.5539068781521818E-2</v>
      </c>
      <c r="G57" s="16">
        <v>2285</v>
      </c>
      <c r="H57" s="16">
        <v>274</v>
      </c>
      <c r="I57" s="16">
        <v>232</v>
      </c>
      <c r="J57" s="16">
        <v>2791</v>
      </c>
      <c r="K57" s="17">
        <f t="shared" si="10"/>
        <v>1.6913203934092437E-2</v>
      </c>
      <c r="L57" s="16">
        <v>0</v>
      </c>
      <c r="M57" s="16">
        <f t="shared" si="8"/>
        <v>4538</v>
      </c>
    </row>
    <row r="58" spans="2:13" x14ac:dyDescent="0.2">
      <c r="B58" s="16" t="s">
        <v>216</v>
      </c>
      <c r="C58" s="16">
        <v>632</v>
      </c>
      <c r="D58" s="16">
        <v>282</v>
      </c>
      <c r="E58" s="16">
        <f t="shared" si="9"/>
        <v>914</v>
      </c>
      <c r="F58" s="17">
        <f t="shared" si="7"/>
        <v>1.3361596374534025E-2</v>
      </c>
      <c r="G58" s="16">
        <v>1394</v>
      </c>
      <c r="H58" s="16">
        <v>83</v>
      </c>
      <c r="I58" s="16">
        <v>117</v>
      </c>
      <c r="J58" s="16">
        <v>1594</v>
      </c>
      <c r="K58" s="17">
        <f t="shared" si="10"/>
        <v>9.6594937552645452E-3</v>
      </c>
      <c r="L58" s="16">
        <v>0</v>
      </c>
      <c r="M58" s="16">
        <f t="shared" si="8"/>
        <v>2508</v>
      </c>
    </row>
    <row r="59" spans="2:13" x14ac:dyDescent="0.2">
      <c r="B59" s="16" t="s">
        <v>217</v>
      </c>
      <c r="C59" s="16">
        <v>172</v>
      </c>
      <c r="D59" s="16">
        <v>201</v>
      </c>
      <c r="E59" s="16">
        <f t="shared" si="9"/>
        <v>373</v>
      </c>
      <c r="F59" s="17">
        <f t="shared" si="7"/>
        <v>5.4528177764783274E-3</v>
      </c>
      <c r="G59" s="16">
        <v>299</v>
      </c>
      <c r="H59" s="16">
        <v>7</v>
      </c>
      <c r="I59" s="16">
        <v>82</v>
      </c>
      <c r="J59" s="16">
        <v>388</v>
      </c>
      <c r="K59" s="17">
        <f t="shared" si="10"/>
        <v>2.3512444021597514E-3</v>
      </c>
      <c r="L59" s="16">
        <v>0</v>
      </c>
      <c r="M59" s="16">
        <f t="shared" si="8"/>
        <v>761</v>
      </c>
    </row>
    <row r="60" spans="2:13" x14ac:dyDescent="0.2">
      <c r="B60" s="16" t="s">
        <v>222</v>
      </c>
      <c r="C60" s="16">
        <v>3338</v>
      </c>
      <c r="D60" s="16">
        <v>1284</v>
      </c>
      <c r="E60" s="16">
        <f t="shared" si="9"/>
        <v>4622</v>
      </c>
      <c r="F60" s="17">
        <f t="shared" si="7"/>
        <v>6.7568160222205978E-2</v>
      </c>
      <c r="G60" s="16">
        <v>9957</v>
      </c>
      <c r="H60" s="16">
        <v>1119</v>
      </c>
      <c r="I60" s="16">
        <v>656</v>
      </c>
      <c r="J60" s="16">
        <v>11732</v>
      </c>
      <c r="K60" s="17">
        <f t="shared" si="10"/>
        <v>7.1094843624067539E-2</v>
      </c>
      <c r="L60" s="16">
        <v>0</v>
      </c>
      <c r="M60" s="16">
        <f t="shared" si="8"/>
        <v>16354</v>
      </c>
    </row>
    <row r="61" spans="2:13" x14ac:dyDescent="0.2">
      <c r="B61" s="16" t="s">
        <v>223</v>
      </c>
      <c r="C61" s="16">
        <v>826</v>
      </c>
      <c r="D61" s="16">
        <v>351</v>
      </c>
      <c r="E61" s="16">
        <f t="shared" si="9"/>
        <v>1177</v>
      </c>
      <c r="F61" s="17">
        <f t="shared" si="7"/>
        <v>1.7206344565455743E-2</v>
      </c>
      <c r="G61" s="16">
        <v>1991</v>
      </c>
      <c r="H61" s="16">
        <v>188</v>
      </c>
      <c r="I61" s="16">
        <v>173</v>
      </c>
      <c r="J61" s="16">
        <v>2352</v>
      </c>
      <c r="K61" s="17">
        <f t="shared" si="10"/>
        <v>1.4252904211030246E-2</v>
      </c>
      <c r="L61" s="16">
        <v>0</v>
      </c>
      <c r="M61" s="16">
        <f t="shared" si="8"/>
        <v>3529</v>
      </c>
    </row>
    <row r="62" spans="2:13" x14ac:dyDescent="0.2">
      <c r="B62" s="16" t="s">
        <v>224</v>
      </c>
      <c r="C62" s="16">
        <v>1393</v>
      </c>
      <c r="D62" s="16">
        <v>538</v>
      </c>
      <c r="E62" s="16">
        <f t="shared" si="9"/>
        <v>1931</v>
      </c>
      <c r="F62" s="17">
        <f t="shared" si="7"/>
        <v>2.8228930633725606E-2</v>
      </c>
      <c r="G62" s="16">
        <v>4747</v>
      </c>
      <c r="H62" s="16">
        <v>593</v>
      </c>
      <c r="I62" s="16">
        <v>281</v>
      </c>
      <c r="J62" s="16">
        <v>5621</v>
      </c>
      <c r="K62" s="17">
        <f t="shared" si="10"/>
        <v>3.4062744290051447E-2</v>
      </c>
      <c r="L62" s="16">
        <v>0</v>
      </c>
      <c r="M62" s="16">
        <f t="shared" si="8"/>
        <v>7552</v>
      </c>
    </row>
    <row r="63" spans="2:13" x14ac:dyDescent="0.2">
      <c r="B63" s="16" t="s">
        <v>225</v>
      </c>
      <c r="C63" s="16">
        <v>712</v>
      </c>
      <c r="D63" s="16">
        <v>220</v>
      </c>
      <c r="E63" s="16">
        <f t="shared" si="9"/>
        <v>932</v>
      </c>
      <c r="F63" s="17">
        <f t="shared" si="7"/>
        <v>1.3624735033988743E-2</v>
      </c>
      <c r="G63" s="16">
        <v>1288</v>
      </c>
      <c r="H63" s="16">
        <v>107</v>
      </c>
      <c r="I63" s="16">
        <v>99</v>
      </c>
      <c r="J63" s="16">
        <v>1494</v>
      </c>
      <c r="K63" s="17">
        <f t="shared" si="10"/>
        <v>9.0535029299656407E-3</v>
      </c>
      <c r="L63" s="16">
        <v>0</v>
      </c>
      <c r="M63" s="16">
        <f t="shared" si="8"/>
        <v>2426</v>
      </c>
    </row>
    <row r="64" spans="2:13" x14ac:dyDescent="0.2">
      <c r="B64" s="16" t="s">
        <v>226</v>
      </c>
      <c r="C64" s="16">
        <v>4211</v>
      </c>
      <c r="D64" s="16">
        <v>1666</v>
      </c>
      <c r="E64" s="16">
        <f t="shared" si="9"/>
        <v>5877</v>
      </c>
      <c r="F64" s="17">
        <f t="shared" si="7"/>
        <v>8.5914772311965495E-2</v>
      </c>
      <c r="G64" s="16">
        <v>13179</v>
      </c>
      <c r="H64" s="16">
        <v>1569</v>
      </c>
      <c r="I64" s="16">
        <v>948</v>
      </c>
      <c r="J64" s="16">
        <v>15696</v>
      </c>
      <c r="K64" s="17">
        <f t="shared" si="10"/>
        <v>9.511631993891613E-2</v>
      </c>
      <c r="L64" s="16">
        <v>0</v>
      </c>
      <c r="M64" s="16">
        <f t="shared" si="8"/>
        <v>21573</v>
      </c>
    </row>
    <row r="65" spans="2:13" x14ac:dyDescent="0.2">
      <c r="B65" s="16" t="s">
        <v>227</v>
      </c>
      <c r="C65" s="16">
        <v>938</v>
      </c>
      <c r="D65" s="16">
        <v>417</v>
      </c>
      <c r="E65" s="16">
        <f t="shared" si="9"/>
        <v>1355</v>
      </c>
      <c r="F65" s="17">
        <f t="shared" si="7"/>
        <v>1.9808493531174622E-2</v>
      </c>
      <c r="G65" s="16">
        <v>2176</v>
      </c>
      <c r="H65" s="16">
        <v>205</v>
      </c>
      <c r="I65" s="16">
        <v>139</v>
      </c>
      <c r="J65" s="16">
        <v>2520</v>
      </c>
      <c r="K65" s="17">
        <f t="shared" si="10"/>
        <v>1.5270968797532406E-2</v>
      </c>
      <c r="L65" s="16">
        <v>0</v>
      </c>
      <c r="M65" s="16">
        <f t="shared" si="8"/>
        <v>3875</v>
      </c>
    </row>
    <row r="66" spans="2:13" x14ac:dyDescent="0.2">
      <c r="B66" s="16" t="s">
        <v>228</v>
      </c>
      <c r="C66" s="16">
        <v>294</v>
      </c>
      <c r="D66" s="16">
        <v>115</v>
      </c>
      <c r="E66" s="16">
        <f t="shared" si="9"/>
        <v>409</v>
      </c>
      <c r="F66" s="17">
        <f t="shared" si="7"/>
        <v>5.9790950953877639E-3</v>
      </c>
      <c r="G66" s="16">
        <v>588</v>
      </c>
      <c r="H66" s="16">
        <v>41</v>
      </c>
      <c r="I66" s="16">
        <v>50</v>
      </c>
      <c r="J66" s="16">
        <v>679</v>
      </c>
      <c r="K66" s="17">
        <f t="shared" si="10"/>
        <v>4.1146777037795648E-3</v>
      </c>
      <c r="L66" s="16">
        <v>0</v>
      </c>
      <c r="M66" s="16">
        <f t="shared" si="8"/>
        <v>1088</v>
      </c>
    </row>
    <row r="67" spans="2:13" x14ac:dyDescent="0.2">
      <c r="B67" s="16" t="s">
        <v>229</v>
      </c>
      <c r="C67" s="16">
        <v>684</v>
      </c>
      <c r="D67" s="16">
        <v>281</v>
      </c>
      <c r="E67" s="16">
        <f t="shared" si="9"/>
        <v>965</v>
      </c>
      <c r="F67" s="17">
        <f t="shared" si="7"/>
        <v>1.4107155909655727E-2</v>
      </c>
      <c r="G67" s="16">
        <v>1770</v>
      </c>
      <c r="H67" s="16">
        <v>164</v>
      </c>
      <c r="I67" s="16">
        <v>138</v>
      </c>
      <c r="J67" s="16">
        <v>2072</v>
      </c>
      <c r="K67" s="17">
        <f t="shared" si="10"/>
        <v>1.2556129900193311E-2</v>
      </c>
      <c r="L67" s="16">
        <v>0</v>
      </c>
      <c r="M67" s="16">
        <f t="shared" si="8"/>
        <v>3037</v>
      </c>
    </row>
    <row r="68" spans="2:13" x14ac:dyDescent="0.2">
      <c r="B68" s="16" t="s">
        <v>230</v>
      </c>
      <c r="C68" s="16">
        <v>499</v>
      </c>
      <c r="D68" s="16">
        <v>196</v>
      </c>
      <c r="E68" s="16">
        <f t="shared" si="9"/>
        <v>695</v>
      </c>
      <c r="F68" s="17">
        <f t="shared" si="7"/>
        <v>1.0160076017834953E-2</v>
      </c>
      <c r="G68" s="16">
        <v>521</v>
      </c>
      <c r="H68" s="16">
        <v>14</v>
      </c>
      <c r="I68" s="16">
        <v>52</v>
      </c>
      <c r="J68" s="16">
        <v>587</v>
      </c>
      <c r="K68" s="17">
        <f t="shared" si="10"/>
        <v>3.557166144504572E-3</v>
      </c>
      <c r="L68" s="16">
        <v>0</v>
      </c>
      <c r="M68" s="16">
        <f t="shared" si="8"/>
        <v>1282</v>
      </c>
    </row>
    <row r="69" spans="2:13" x14ac:dyDescent="0.2">
      <c r="B69" s="16" t="s">
        <v>231</v>
      </c>
      <c r="C69" s="16">
        <v>192</v>
      </c>
      <c r="D69" s="16">
        <v>81</v>
      </c>
      <c r="E69" s="16">
        <f t="shared" si="9"/>
        <v>273</v>
      </c>
      <c r="F69" s="17">
        <f t="shared" si="7"/>
        <v>3.9909363350632268E-3</v>
      </c>
      <c r="G69" s="16">
        <v>433</v>
      </c>
      <c r="H69" s="16">
        <v>50</v>
      </c>
      <c r="I69" s="16">
        <v>36</v>
      </c>
      <c r="J69" s="16">
        <v>519</v>
      </c>
      <c r="K69" s="17">
        <f t="shared" si="10"/>
        <v>3.1450923833013168E-3</v>
      </c>
      <c r="L69" s="16">
        <v>0</v>
      </c>
      <c r="M69" s="16">
        <f t="shared" si="8"/>
        <v>792</v>
      </c>
    </row>
    <row r="70" spans="2:13" x14ac:dyDescent="0.2">
      <c r="B70" s="16" t="s">
        <v>232</v>
      </c>
      <c r="C70" s="16">
        <v>1087</v>
      </c>
      <c r="D70" s="16">
        <v>617</v>
      </c>
      <c r="E70" s="16">
        <f t="shared" si="9"/>
        <v>1704</v>
      </c>
      <c r="F70" s="17">
        <f t="shared" si="7"/>
        <v>2.4910459761713324E-2</v>
      </c>
      <c r="G70" s="16">
        <v>2911</v>
      </c>
      <c r="H70" s="16">
        <v>249</v>
      </c>
      <c r="I70" s="16">
        <v>240</v>
      </c>
      <c r="J70" s="16">
        <v>3400</v>
      </c>
      <c r="K70" s="17">
        <f t="shared" si="10"/>
        <v>2.0603688060162769E-2</v>
      </c>
      <c r="L70" s="16">
        <v>0</v>
      </c>
      <c r="M70" s="16">
        <f t="shared" si="8"/>
        <v>5104</v>
      </c>
    </row>
    <row r="71" spans="2:13" x14ac:dyDescent="0.2">
      <c r="B71" s="16" t="s">
        <v>233</v>
      </c>
      <c r="C71" s="16">
        <v>1190</v>
      </c>
      <c r="D71" s="16">
        <v>662</v>
      </c>
      <c r="E71" s="16">
        <f t="shared" si="9"/>
        <v>1852</v>
      </c>
      <c r="F71" s="17">
        <f t="shared" si="7"/>
        <v>2.7074044295007677E-2</v>
      </c>
      <c r="G71" s="16">
        <v>3133</v>
      </c>
      <c r="H71" s="16">
        <v>323</v>
      </c>
      <c r="I71" s="16">
        <v>335</v>
      </c>
      <c r="J71" s="16">
        <v>3791</v>
      </c>
      <c r="K71" s="17">
        <f t="shared" si="10"/>
        <v>2.2973112187081486E-2</v>
      </c>
      <c r="L71" s="16">
        <v>0</v>
      </c>
      <c r="M71" s="16">
        <f t="shared" si="8"/>
        <v>5643</v>
      </c>
    </row>
    <row r="72" spans="2:13" x14ac:dyDescent="0.2">
      <c r="B72" s="16" t="s">
        <v>234</v>
      </c>
      <c r="C72" s="16">
        <v>358</v>
      </c>
      <c r="D72" s="16">
        <v>221</v>
      </c>
      <c r="E72" s="16">
        <f t="shared" si="9"/>
        <v>579</v>
      </c>
      <c r="F72" s="17">
        <f t="shared" si="7"/>
        <v>8.464293545793436E-3</v>
      </c>
      <c r="G72" s="16">
        <v>959</v>
      </c>
      <c r="H72" s="16">
        <v>84</v>
      </c>
      <c r="I72" s="16">
        <v>139</v>
      </c>
      <c r="J72" s="16">
        <v>1182</v>
      </c>
      <c r="K72" s="17">
        <f t="shared" si="10"/>
        <v>7.1628115550330567E-3</v>
      </c>
      <c r="L72" s="16">
        <v>0</v>
      </c>
      <c r="M72" s="16">
        <f t="shared" si="8"/>
        <v>1761</v>
      </c>
    </row>
    <row r="73" spans="2:13" x14ac:dyDescent="0.2">
      <c r="B73" s="16" t="s">
        <v>235</v>
      </c>
      <c r="C73" s="16">
        <v>250</v>
      </c>
      <c r="D73" s="16">
        <v>94</v>
      </c>
      <c r="E73" s="16">
        <f t="shared" si="9"/>
        <v>344</v>
      </c>
      <c r="F73" s="17">
        <f t="shared" si="7"/>
        <v>5.0288721584679482E-3</v>
      </c>
      <c r="G73" s="16">
        <v>500</v>
      </c>
      <c r="H73" s="16">
        <v>27</v>
      </c>
      <c r="I73" s="16">
        <v>37</v>
      </c>
      <c r="J73" s="16">
        <v>564</v>
      </c>
      <c r="K73" s="17">
        <f t="shared" si="10"/>
        <v>3.4177882546858242E-3</v>
      </c>
      <c r="L73" s="16">
        <v>0</v>
      </c>
      <c r="M73" s="16">
        <f t="shared" si="8"/>
        <v>908</v>
      </c>
    </row>
    <row r="74" spans="2:13" x14ac:dyDescent="0.2">
      <c r="B74" s="16" t="s">
        <v>236</v>
      </c>
      <c r="C74" s="16">
        <v>169</v>
      </c>
      <c r="D74" s="16">
        <v>87</v>
      </c>
      <c r="E74" s="16">
        <f t="shared" si="9"/>
        <v>256</v>
      </c>
      <c r="F74" s="17">
        <f t="shared" si="7"/>
        <v>3.7424164900226593E-3</v>
      </c>
      <c r="G74" s="16">
        <v>392</v>
      </c>
      <c r="H74" s="16">
        <v>40</v>
      </c>
      <c r="I74" s="16">
        <v>33</v>
      </c>
      <c r="J74" s="16">
        <v>465</v>
      </c>
      <c r="K74" s="17">
        <f t="shared" si="10"/>
        <v>2.8178573376399082E-3</v>
      </c>
      <c r="L74" s="16">
        <v>0</v>
      </c>
      <c r="M74" s="16">
        <f t="shared" si="8"/>
        <v>721</v>
      </c>
    </row>
    <row r="75" spans="2:13" x14ac:dyDescent="0.2">
      <c r="B75" s="16" t="s">
        <v>237</v>
      </c>
      <c r="C75" s="16">
        <v>575</v>
      </c>
      <c r="D75" s="16">
        <v>288</v>
      </c>
      <c r="E75" s="16">
        <f t="shared" si="9"/>
        <v>863</v>
      </c>
      <c r="F75" s="17">
        <f t="shared" si="7"/>
        <v>1.2616036839412323E-2</v>
      </c>
      <c r="G75" s="16">
        <v>1636</v>
      </c>
      <c r="H75" s="16">
        <v>157</v>
      </c>
      <c r="I75" s="16">
        <v>146</v>
      </c>
      <c r="J75" s="16">
        <v>1939</v>
      </c>
      <c r="K75" s="17">
        <f t="shared" si="10"/>
        <v>1.1750162102545767E-2</v>
      </c>
      <c r="L75" s="16">
        <v>0</v>
      </c>
      <c r="M75" s="16">
        <f t="shared" si="8"/>
        <v>2802</v>
      </c>
    </row>
    <row r="76" spans="2:13" x14ac:dyDescent="0.2">
      <c r="B76" s="16" t="s">
        <v>238</v>
      </c>
      <c r="C76" s="16">
        <v>1143</v>
      </c>
      <c r="D76" s="16">
        <v>648</v>
      </c>
      <c r="E76" s="16">
        <f t="shared" si="9"/>
        <v>1791</v>
      </c>
      <c r="F76" s="17">
        <f t="shared" si="7"/>
        <v>2.6182296615744463E-2</v>
      </c>
      <c r="G76" s="16">
        <v>2601</v>
      </c>
      <c r="H76" s="16">
        <v>228</v>
      </c>
      <c r="I76" s="16">
        <v>238</v>
      </c>
      <c r="J76" s="16">
        <v>3067</v>
      </c>
      <c r="K76" s="17">
        <f t="shared" si="10"/>
        <v>1.8585738611917417E-2</v>
      </c>
      <c r="L76" s="16">
        <v>0</v>
      </c>
      <c r="M76" s="16">
        <f t="shared" si="8"/>
        <v>4858</v>
      </c>
    </row>
    <row r="77" spans="2:13" x14ac:dyDescent="0.2">
      <c r="B77" s="16" t="s">
        <v>253</v>
      </c>
      <c r="C77" s="16">
        <v>5591</v>
      </c>
      <c r="D77" s="16">
        <v>1873</v>
      </c>
      <c r="E77" s="16">
        <f t="shared" si="9"/>
        <v>7464</v>
      </c>
      <c r="F77" s="17">
        <f t="shared" si="7"/>
        <v>0.10911483078722316</v>
      </c>
      <c r="G77" s="16">
        <v>19364</v>
      </c>
      <c r="H77" s="16">
        <v>2792</v>
      </c>
      <c r="I77" s="16">
        <v>1145</v>
      </c>
      <c r="J77" s="16">
        <v>23301</v>
      </c>
      <c r="K77" s="17">
        <f t="shared" si="10"/>
        <v>0.14120192220289784</v>
      </c>
      <c r="L77" s="16">
        <v>0</v>
      </c>
      <c r="M77" s="16">
        <f t="shared" si="8"/>
        <v>30765</v>
      </c>
    </row>
    <row r="78" spans="2:13" x14ac:dyDescent="0.2">
      <c r="B78" s="16" t="s">
        <v>254</v>
      </c>
      <c r="C78" s="16">
        <v>1856</v>
      </c>
      <c r="D78" s="16">
        <v>634</v>
      </c>
      <c r="E78" s="16">
        <f t="shared" si="9"/>
        <v>2490</v>
      </c>
      <c r="F78" s="17">
        <f t="shared" si="7"/>
        <v>3.6400847891236023E-2</v>
      </c>
      <c r="G78" s="16">
        <v>6502</v>
      </c>
      <c r="H78" s="16">
        <v>764</v>
      </c>
      <c r="I78" s="16">
        <v>360</v>
      </c>
      <c r="J78" s="16">
        <v>7626</v>
      </c>
      <c r="K78" s="17">
        <f t="shared" si="10"/>
        <v>4.6212860337294492E-2</v>
      </c>
      <c r="L78" s="16">
        <v>0</v>
      </c>
      <c r="M78" s="16">
        <f t="shared" si="8"/>
        <v>10116</v>
      </c>
    </row>
    <row r="79" spans="2:13" x14ac:dyDescent="0.2">
      <c r="B79" s="16" t="s">
        <v>255</v>
      </c>
      <c r="C79" s="16">
        <v>2265</v>
      </c>
      <c r="D79" s="16">
        <v>965</v>
      </c>
      <c r="E79" s="16">
        <f t="shared" si="9"/>
        <v>3230</v>
      </c>
      <c r="F79" s="17">
        <f t="shared" si="7"/>
        <v>4.7218770557707769E-2</v>
      </c>
      <c r="G79" s="16">
        <v>7232</v>
      </c>
      <c r="H79" s="16">
        <v>1048</v>
      </c>
      <c r="I79" s="16">
        <v>525</v>
      </c>
      <c r="J79" s="16">
        <v>8805</v>
      </c>
      <c r="K79" s="17">
        <f t="shared" si="10"/>
        <v>5.3357492167568583E-2</v>
      </c>
      <c r="L79" s="16">
        <v>0</v>
      </c>
      <c r="M79" s="16">
        <f t="shared" si="8"/>
        <v>12035</v>
      </c>
    </row>
    <row r="80" spans="2:13" x14ac:dyDescent="0.2">
      <c r="B80" s="16" t="s">
        <v>256</v>
      </c>
      <c r="C80" s="16">
        <v>542</v>
      </c>
      <c r="D80" s="16">
        <v>182</v>
      </c>
      <c r="E80" s="16">
        <f t="shared" si="9"/>
        <v>724</v>
      </c>
      <c r="F80" s="17">
        <f t="shared" si="7"/>
        <v>1.0584021635845334E-2</v>
      </c>
      <c r="G80" s="16">
        <v>1219</v>
      </c>
      <c r="H80" s="16">
        <v>103</v>
      </c>
      <c r="I80" s="16">
        <v>74</v>
      </c>
      <c r="J80" s="16">
        <v>1396</v>
      </c>
      <c r="K80" s="17">
        <f t="shared" si="10"/>
        <v>8.4596319211727132E-3</v>
      </c>
      <c r="L80" s="16">
        <v>0</v>
      </c>
      <c r="M80" s="16">
        <f t="shared" si="8"/>
        <v>2120</v>
      </c>
    </row>
    <row r="81" spans="2:13" x14ac:dyDescent="0.2">
      <c r="B81" s="16" t="s">
        <v>257</v>
      </c>
      <c r="C81" s="16">
        <v>1336</v>
      </c>
      <c r="D81" s="16">
        <v>539</v>
      </c>
      <c r="E81" s="16">
        <f t="shared" si="9"/>
        <v>1875</v>
      </c>
      <c r="F81" s="17">
        <f t="shared" si="7"/>
        <v>2.7410277026533147E-2</v>
      </c>
      <c r="G81" s="16">
        <v>3066</v>
      </c>
      <c r="H81" s="16">
        <v>276</v>
      </c>
      <c r="I81" s="16">
        <v>197</v>
      </c>
      <c r="J81" s="16">
        <v>3539</v>
      </c>
      <c r="K81" s="17">
        <f t="shared" si="10"/>
        <v>2.1446015307328248E-2</v>
      </c>
      <c r="L81" s="16">
        <v>0</v>
      </c>
      <c r="M81" s="16">
        <f t="shared" si="8"/>
        <v>5414</v>
      </c>
    </row>
    <row r="82" spans="2:13" x14ac:dyDescent="0.2">
      <c r="B82" s="16" t="s">
        <v>258</v>
      </c>
      <c r="C82" s="16">
        <v>1519</v>
      </c>
      <c r="D82" s="16">
        <v>500</v>
      </c>
      <c r="E82" s="16">
        <f t="shared" si="9"/>
        <v>2019</v>
      </c>
      <c r="F82" s="17">
        <f t="shared" si="7"/>
        <v>2.9515386302170894E-2</v>
      </c>
      <c r="G82" s="16">
        <v>3121</v>
      </c>
      <c r="H82" s="16">
        <v>232</v>
      </c>
      <c r="I82" s="16">
        <v>203</v>
      </c>
      <c r="J82" s="16">
        <v>3556</v>
      </c>
      <c r="K82" s="17">
        <f t="shared" si="10"/>
        <v>2.1549033747629062E-2</v>
      </c>
      <c r="L82" s="16">
        <v>0</v>
      </c>
      <c r="M82" s="16">
        <f t="shared" si="8"/>
        <v>5575</v>
      </c>
    </row>
    <row r="83" spans="2:13" x14ac:dyDescent="0.2">
      <c r="B83" s="16" t="s">
        <v>259</v>
      </c>
      <c r="C83" s="16">
        <v>1178</v>
      </c>
      <c r="D83" s="16">
        <v>487</v>
      </c>
      <c r="E83" s="16">
        <f t="shared" si="9"/>
        <v>1665</v>
      </c>
      <c r="F83" s="17">
        <f t="shared" si="7"/>
        <v>2.4340325999561437E-2</v>
      </c>
      <c r="G83" s="16">
        <v>3186</v>
      </c>
      <c r="H83" s="16">
        <v>344</v>
      </c>
      <c r="I83" s="16">
        <v>170</v>
      </c>
      <c r="J83" s="16">
        <v>3700</v>
      </c>
      <c r="K83" s="17">
        <f t="shared" si="10"/>
        <v>2.2421660536059485E-2</v>
      </c>
      <c r="L83" s="16">
        <v>0</v>
      </c>
      <c r="M83" s="16">
        <f t="shared" si="8"/>
        <v>5365</v>
      </c>
    </row>
    <row r="84" spans="2:13" x14ac:dyDescent="0.2">
      <c r="B84" s="16" t="s">
        <v>263</v>
      </c>
      <c r="C84" s="16">
        <v>1057</v>
      </c>
      <c r="D84" s="16">
        <v>526</v>
      </c>
      <c r="E84" s="16">
        <f t="shared" si="9"/>
        <v>1583</v>
      </c>
      <c r="F84" s="17">
        <f t="shared" si="7"/>
        <v>2.3141583217601052E-2</v>
      </c>
      <c r="G84" s="16">
        <v>2595</v>
      </c>
      <c r="H84" s="16">
        <v>190</v>
      </c>
      <c r="I84" s="16">
        <v>290</v>
      </c>
      <c r="J84" s="16">
        <v>3075</v>
      </c>
      <c r="K84" s="17">
        <f t="shared" si="10"/>
        <v>1.8634217877941329E-2</v>
      </c>
      <c r="L84" s="16">
        <v>0</v>
      </c>
      <c r="M84" s="16">
        <f t="shared" si="8"/>
        <v>4658</v>
      </c>
    </row>
    <row r="85" spans="2:13" x14ac:dyDescent="0.2">
      <c r="B85" s="16" t="s">
        <v>264</v>
      </c>
      <c r="C85" s="16">
        <v>515</v>
      </c>
      <c r="D85" s="16">
        <v>240</v>
      </c>
      <c r="E85" s="16">
        <f t="shared" si="9"/>
        <v>755</v>
      </c>
      <c r="F85" s="17">
        <f t="shared" si="7"/>
        <v>1.1037204882684015E-2</v>
      </c>
      <c r="G85" s="16">
        <v>962</v>
      </c>
      <c r="H85" s="16">
        <v>114</v>
      </c>
      <c r="I85" s="16">
        <v>85</v>
      </c>
      <c r="J85" s="16">
        <v>1161</v>
      </c>
      <c r="K85" s="17">
        <f t="shared" si="10"/>
        <v>7.0355534817202869E-3</v>
      </c>
      <c r="L85" s="16">
        <v>0</v>
      </c>
      <c r="M85" s="16">
        <f t="shared" si="8"/>
        <v>1916</v>
      </c>
    </row>
    <row r="86" spans="2:13" x14ac:dyDescent="0.2">
      <c r="B86" s="18" t="s">
        <v>39</v>
      </c>
      <c r="C86" s="16">
        <f>SUM(C53:C85)</f>
        <v>48304</v>
      </c>
      <c r="D86" s="16">
        <f>SUM(D53:D85)</f>
        <v>20101</v>
      </c>
      <c r="E86" s="18">
        <f t="shared" ref="E86" si="11">C86+D86</f>
        <v>68405</v>
      </c>
      <c r="F86" s="19">
        <f t="shared" ref="F86" si="12">E86/$E$86</f>
        <v>1</v>
      </c>
      <c r="G86" s="16">
        <f t="shared" ref="G86:J86" si="13">SUM(G53:G85)</f>
        <v>138884</v>
      </c>
      <c r="H86" s="16">
        <f t="shared" si="13"/>
        <v>16010</v>
      </c>
      <c r="I86" s="16">
        <f t="shared" si="13"/>
        <v>10125</v>
      </c>
      <c r="J86" s="16">
        <f t="shared" si="13"/>
        <v>165019</v>
      </c>
      <c r="K86" s="17">
        <f t="shared" si="10"/>
        <v>1</v>
      </c>
      <c r="L86" s="16">
        <f>SUM(L53:L85)</f>
        <v>0</v>
      </c>
      <c r="M86" s="16">
        <f t="shared" si="8"/>
        <v>233424</v>
      </c>
    </row>
    <row r="87" spans="2:13" ht="24" x14ac:dyDescent="0.2">
      <c r="B87" s="41" t="s">
        <v>45</v>
      </c>
      <c r="C87" s="29">
        <f>+C86/M86</f>
        <v>0.20693673315511688</v>
      </c>
      <c r="D87" s="29">
        <f>+D86/M86</f>
        <v>8.6113681540886972E-2</v>
      </c>
      <c r="E87" s="30">
        <f>+E86/M86</f>
        <v>0.29305041469600385</v>
      </c>
      <c r="F87" s="30"/>
      <c r="G87" s="29">
        <f>+G86/M86</f>
        <v>0.59498594831722529</v>
      </c>
      <c r="H87" s="29">
        <f>+H86/M86</f>
        <v>6.8587634519158266E-2</v>
      </c>
      <c r="I87" s="29">
        <f>+I86/M86</f>
        <v>4.3376002467612584E-2</v>
      </c>
      <c r="J87" s="30">
        <f>+J86/M86</f>
        <v>0.70694958530399621</v>
      </c>
      <c r="K87" s="30"/>
      <c r="L87" s="30">
        <f>+L86/M86</f>
        <v>0</v>
      </c>
      <c r="M87" s="30">
        <f>J87+L87+E87</f>
        <v>1</v>
      </c>
    </row>
    <row r="88" spans="2:13" x14ac:dyDescent="0.2">
      <c r="B88" s="21" t="s">
        <v>78</v>
      </c>
    </row>
    <row r="89" spans="2:13" x14ac:dyDescent="0.2">
      <c r="B89" s="21" t="s">
        <v>79</v>
      </c>
    </row>
  </sheetData>
  <mergeCells count="10">
    <mergeCell ref="B6:K6"/>
    <mergeCell ref="B5:K5"/>
    <mergeCell ref="B48:K48"/>
    <mergeCell ref="B47:K47"/>
    <mergeCell ref="B8:M8"/>
    <mergeCell ref="B51:B52"/>
    <mergeCell ref="B9:B10"/>
    <mergeCell ref="C9:L9"/>
    <mergeCell ref="C51:L51"/>
    <mergeCell ref="B50:M50"/>
  </mergeCells>
  <hyperlinks>
    <hyperlink ref="M5" location="'Índice PGU y SPS'!A1" display="Volver Sistema de Pensiones Solidarias" xr:uid="{0EF7B974-DB3D-4CB3-A9F2-3219EAEC1EE7}"/>
  </hyperlinks>
  <pageMargins left="0.74803149606299213" right="0.74803149606299213" top="0.98425196850393704" bottom="0.98425196850393704" header="0" footer="0"/>
  <pageSetup scale="72" fitToHeight="2"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7"/>
  <dimension ref="A1:P87"/>
  <sheetViews>
    <sheetView showGridLines="0" zoomScaleNormal="100" workbookViewId="0">
      <selection activeCell="M35" sqref="M35"/>
    </sheetView>
  </sheetViews>
  <sheetFormatPr baseColWidth="10" defaultRowHeight="12" x14ac:dyDescent="0.2"/>
  <cols>
    <col min="1" max="1" width="6" style="22" customWidth="1"/>
    <col min="2" max="2" width="18.140625" style="22" customWidth="1"/>
    <col min="3" max="3" width="7.85546875" style="22" customWidth="1"/>
    <col min="4" max="4" width="7" style="22" customWidth="1"/>
    <col min="5" max="6" width="8.42578125" style="22" customWidth="1"/>
    <col min="7" max="7" width="8" style="22" customWidth="1"/>
    <col min="8" max="8" width="6.85546875" style="22" customWidth="1"/>
    <col min="9" max="11" width="8.28515625" style="22" customWidth="1"/>
    <col min="12" max="12" width="7.85546875" style="22" hidden="1" customWidth="1"/>
    <col min="13" max="251" width="11.42578125" style="22"/>
    <col min="252" max="252" width="18.140625" style="22" customWidth="1"/>
    <col min="253" max="253" width="7.85546875" style="22" customWidth="1"/>
    <col min="254" max="254" width="7" style="22" customWidth="1"/>
    <col min="255" max="256" width="8.42578125" style="22" customWidth="1"/>
    <col min="257" max="257" width="8" style="22" customWidth="1"/>
    <col min="258" max="258" width="6.85546875" style="22" customWidth="1"/>
    <col min="259" max="261" width="8.28515625" style="22" customWidth="1"/>
    <col min="262" max="267" width="0" style="22" hidden="1" customWidth="1"/>
    <col min="268" max="268" width="7.85546875" style="22" customWidth="1"/>
    <col min="269" max="507" width="11.42578125" style="22"/>
    <col min="508" max="508" width="18.140625" style="22" customWidth="1"/>
    <col min="509" max="509" width="7.85546875" style="22" customWidth="1"/>
    <col min="510" max="510" width="7" style="22" customWidth="1"/>
    <col min="511" max="512" width="8.42578125" style="22" customWidth="1"/>
    <col min="513" max="513" width="8" style="22" customWidth="1"/>
    <col min="514" max="514" width="6.85546875" style="22" customWidth="1"/>
    <col min="515" max="517" width="8.28515625" style="22" customWidth="1"/>
    <col min="518" max="523" width="0" style="22" hidden="1" customWidth="1"/>
    <col min="524" max="524" width="7.85546875" style="22" customWidth="1"/>
    <col min="525" max="763" width="11.42578125" style="22"/>
    <col min="764" max="764" width="18.140625" style="22" customWidth="1"/>
    <col min="765" max="765" width="7.85546875" style="22" customWidth="1"/>
    <col min="766" max="766" width="7" style="22" customWidth="1"/>
    <col min="767" max="768" width="8.42578125" style="22" customWidth="1"/>
    <col min="769" max="769" width="8" style="22" customWidth="1"/>
    <col min="770" max="770" width="6.85546875" style="22" customWidth="1"/>
    <col min="771" max="773" width="8.28515625" style="22" customWidth="1"/>
    <col min="774" max="779" width="0" style="22" hidden="1" customWidth="1"/>
    <col min="780" max="780" width="7.85546875" style="22" customWidth="1"/>
    <col min="781" max="1019" width="11.42578125" style="22"/>
    <col min="1020" max="1020" width="18.140625" style="22" customWidth="1"/>
    <col min="1021" max="1021" width="7.85546875" style="22" customWidth="1"/>
    <col min="1022" max="1022" width="7" style="22" customWidth="1"/>
    <col min="1023" max="1024" width="8.42578125" style="22" customWidth="1"/>
    <col min="1025" max="1025" width="8" style="22" customWidth="1"/>
    <col min="1026" max="1026" width="6.85546875" style="22" customWidth="1"/>
    <col min="1027" max="1029" width="8.28515625" style="22" customWidth="1"/>
    <col min="1030" max="1035" width="0" style="22" hidden="1" customWidth="1"/>
    <col min="1036" max="1036" width="7.85546875" style="22" customWidth="1"/>
    <col min="1037" max="1275" width="11.42578125" style="22"/>
    <col min="1276" max="1276" width="18.140625" style="22" customWidth="1"/>
    <col min="1277" max="1277" width="7.85546875" style="22" customWidth="1"/>
    <col min="1278" max="1278" width="7" style="22" customWidth="1"/>
    <col min="1279" max="1280" width="8.42578125" style="22" customWidth="1"/>
    <col min="1281" max="1281" width="8" style="22" customWidth="1"/>
    <col min="1282" max="1282" width="6.85546875" style="22" customWidth="1"/>
    <col min="1283" max="1285" width="8.28515625" style="22" customWidth="1"/>
    <col min="1286" max="1291" width="0" style="22" hidden="1" customWidth="1"/>
    <col min="1292" max="1292" width="7.85546875" style="22" customWidth="1"/>
    <col min="1293" max="1531" width="11.42578125" style="22"/>
    <col min="1532" max="1532" width="18.140625" style="22" customWidth="1"/>
    <col min="1533" max="1533" width="7.85546875" style="22" customWidth="1"/>
    <col min="1534" max="1534" width="7" style="22" customWidth="1"/>
    <col min="1535" max="1536" width="8.42578125" style="22" customWidth="1"/>
    <col min="1537" max="1537" width="8" style="22" customWidth="1"/>
    <col min="1538" max="1538" width="6.85546875" style="22" customWidth="1"/>
    <col min="1539" max="1541" width="8.28515625" style="22" customWidth="1"/>
    <col min="1542" max="1547" width="0" style="22" hidden="1" customWidth="1"/>
    <col min="1548" max="1548" width="7.85546875" style="22" customWidth="1"/>
    <col min="1549" max="1787" width="11.42578125" style="22"/>
    <col min="1788" max="1788" width="18.140625" style="22" customWidth="1"/>
    <col min="1789" max="1789" width="7.85546875" style="22" customWidth="1"/>
    <col min="1790" max="1790" width="7" style="22" customWidth="1"/>
    <col min="1791" max="1792" width="8.42578125" style="22" customWidth="1"/>
    <col min="1793" max="1793" width="8" style="22" customWidth="1"/>
    <col min="1794" max="1794" width="6.85546875" style="22" customWidth="1"/>
    <col min="1795" max="1797" width="8.28515625" style="22" customWidth="1"/>
    <col min="1798" max="1803" width="0" style="22" hidden="1" customWidth="1"/>
    <col min="1804" max="1804" width="7.85546875" style="22" customWidth="1"/>
    <col min="1805" max="2043" width="11.42578125" style="22"/>
    <col min="2044" max="2044" width="18.140625" style="22" customWidth="1"/>
    <col min="2045" max="2045" width="7.85546875" style="22" customWidth="1"/>
    <col min="2046" max="2046" width="7" style="22" customWidth="1"/>
    <col min="2047" max="2048" width="8.42578125" style="22" customWidth="1"/>
    <col min="2049" max="2049" width="8" style="22" customWidth="1"/>
    <col min="2050" max="2050" width="6.85546875" style="22" customWidth="1"/>
    <col min="2051" max="2053" width="8.28515625" style="22" customWidth="1"/>
    <col min="2054" max="2059" width="0" style="22" hidden="1" customWidth="1"/>
    <col min="2060" max="2060" width="7.85546875" style="22" customWidth="1"/>
    <col min="2061" max="2299" width="11.42578125" style="22"/>
    <col min="2300" max="2300" width="18.140625" style="22" customWidth="1"/>
    <col min="2301" max="2301" width="7.85546875" style="22" customWidth="1"/>
    <col min="2302" max="2302" width="7" style="22" customWidth="1"/>
    <col min="2303" max="2304" width="8.42578125" style="22" customWidth="1"/>
    <col min="2305" max="2305" width="8" style="22" customWidth="1"/>
    <col min="2306" max="2306" width="6.85546875" style="22" customWidth="1"/>
    <col min="2307" max="2309" width="8.28515625" style="22" customWidth="1"/>
    <col min="2310" max="2315" width="0" style="22" hidden="1" customWidth="1"/>
    <col min="2316" max="2316" width="7.85546875" style="22" customWidth="1"/>
    <col min="2317" max="2555" width="11.42578125" style="22"/>
    <col min="2556" max="2556" width="18.140625" style="22" customWidth="1"/>
    <col min="2557" max="2557" width="7.85546875" style="22" customWidth="1"/>
    <col min="2558" max="2558" width="7" style="22" customWidth="1"/>
    <col min="2559" max="2560" width="8.42578125" style="22" customWidth="1"/>
    <col min="2561" max="2561" width="8" style="22" customWidth="1"/>
    <col min="2562" max="2562" width="6.85546875" style="22" customWidth="1"/>
    <col min="2563" max="2565" width="8.28515625" style="22" customWidth="1"/>
    <col min="2566" max="2571" width="0" style="22" hidden="1" customWidth="1"/>
    <col min="2572" max="2572" width="7.85546875" style="22" customWidth="1"/>
    <col min="2573" max="2811" width="11.42578125" style="22"/>
    <col min="2812" max="2812" width="18.140625" style="22" customWidth="1"/>
    <col min="2813" max="2813" width="7.85546875" style="22" customWidth="1"/>
    <col min="2814" max="2814" width="7" style="22" customWidth="1"/>
    <col min="2815" max="2816" width="8.42578125" style="22" customWidth="1"/>
    <col min="2817" max="2817" width="8" style="22" customWidth="1"/>
    <col min="2818" max="2818" width="6.85546875" style="22" customWidth="1"/>
    <col min="2819" max="2821" width="8.28515625" style="22" customWidth="1"/>
    <col min="2822" max="2827" width="0" style="22" hidden="1" customWidth="1"/>
    <col min="2828" max="2828" width="7.85546875" style="22" customWidth="1"/>
    <col min="2829" max="3067" width="11.42578125" style="22"/>
    <col min="3068" max="3068" width="18.140625" style="22" customWidth="1"/>
    <col min="3069" max="3069" width="7.85546875" style="22" customWidth="1"/>
    <col min="3070" max="3070" width="7" style="22" customWidth="1"/>
    <col min="3071" max="3072" width="8.42578125" style="22" customWidth="1"/>
    <col min="3073" max="3073" width="8" style="22" customWidth="1"/>
    <col min="3074" max="3074" width="6.85546875" style="22" customWidth="1"/>
    <col min="3075" max="3077" width="8.28515625" style="22" customWidth="1"/>
    <col min="3078" max="3083" width="0" style="22" hidden="1" customWidth="1"/>
    <col min="3084" max="3084" width="7.85546875" style="22" customWidth="1"/>
    <col min="3085" max="3323" width="11.42578125" style="22"/>
    <col min="3324" max="3324" width="18.140625" style="22" customWidth="1"/>
    <col min="3325" max="3325" width="7.85546875" style="22" customWidth="1"/>
    <col min="3326" max="3326" width="7" style="22" customWidth="1"/>
    <col min="3327" max="3328" width="8.42578125" style="22" customWidth="1"/>
    <col min="3329" max="3329" width="8" style="22" customWidth="1"/>
    <col min="3330" max="3330" width="6.85546875" style="22" customWidth="1"/>
    <col min="3331" max="3333" width="8.28515625" style="22" customWidth="1"/>
    <col min="3334" max="3339" width="0" style="22" hidden="1" customWidth="1"/>
    <col min="3340" max="3340" width="7.85546875" style="22" customWidth="1"/>
    <col min="3341" max="3579" width="11.42578125" style="22"/>
    <col min="3580" max="3580" width="18.140625" style="22" customWidth="1"/>
    <col min="3581" max="3581" width="7.85546875" style="22" customWidth="1"/>
    <col min="3582" max="3582" width="7" style="22" customWidth="1"/>
    <col min="3583" max="3584" width="8.42578125" style="22" customWidth="1"/>
    <col min="3585" max="3585" width="8" style="22" customWidth="1"/>
    <col min="3586" max="3586" width="6.85546875" style="22" customWidth="1"/>
    <col min="3587" max="3589" width="8.28515625" style="22" customWidth="1"/>
    <col min="3590" max="3595" width="0" style="22" hidden="1" customWidth="1"/>
    <col min="3596" max="3596" width="7.85546875" style="22" customWidth="1"/>
    <col min="3597" max="3835" width="11.42578125" style="22"/>
    <col min="3836" max="3836" width="18.140625" style="22" customWidth="1"/>
    <col min="3837" max="3837" width="7.85546875" style="22" customWidth="1"/>
    <col min="3838" max="3838" width="7" style="22" customWidth="1"/>
    <col min="3839" max="3840" width="8.42578125" style="22" customWidth="1"/>
    <col min="3841" max="3841" width="8" style="22" customWidth="1"/>
    <col min="3842" max="3842" width="6.85546875" style="22" customWidth="1"/>
    <col min="3843" max="3845" width="8.28515625" style="22" customWidth="1"/>
    <col min="3846" max="3851" width="0" style="22" hidden="1" customWidth="1"/>
    <col min="3852" max="3852" width="7.85546875" style="22" customWidth="1"/>
    <col min="3853" max="4091" width="11.42578125" style="22"/>
    <col min="4092" max="4092" width="18.140625" style="22" customWidth="1"/>
    <col min="4093" max="4093" width="7.85546875" style="22" customWidth="1"/>
    <col min="4094" max="4094" width="7" style="22" customWidth="1"/>
    <col min="4095" max="4096" width="8.42578125" style="22" customWidth="1"/>
    <col min="4097" max="4097" width="8" style="22" customWidth="1"/>
    <col min="4098" max="4098" width="6.85546875" style="22" customWidth="1"/>
    <col min="4099" max="4101" width="8.28515625" style="22" customWidth="1"/>
    <col min="4102" max="4107" width="0" style="22" hidden="1" customWidth="1"/>
    <col min="4108" max="4108" width="7.85546875" style="22" customWidth="1"/>
    <col min="4109" max="4347" width="11.42578125" style="22"/>
    <col min="4348" max="4348" width="18.140625" style="22" customWidth="1"/>
    <col min="4349" max="4349" width="7.85546875" style="22" customWidth="1"/>
    <col min="4350" max="4350" width="7" style="22" customWidth="1"/>
    <col min="4351" max="4352" width="8.42578125" style="22" customWidth="1"/>
    <col min="4353" max="4353" width="8" style="22" customWidth="1"/>
    <col min="4354" max="4354" width="6.85546875" style="22" customWidth="1"/>
    <col min="4355" max="4357" width="8.28515625" style="22" customWidth="1"/>
    <col min="4358" max="4363" width="0" style="22" hidden="1" customWidth="1"/>
    <col min="4364" max="4364" width="7.85546875" style="22" customWidth="1"/>
    <col min="4365" max="4603" width="11.42578125" style="22"/>
    <col min="4604" max="4604" width="18.140625" style="22" customWidth="1"/>
    <col min="4605" max="4605" width="7.85546875" style="22" customWidth="1"/>
    <col min="4606" max="4606" width="7" style="22" customWidth="1"/>
    <col min="4607" max="4608" width="8.42578125" style="22" customWidth="1"/>
    <col min="4609" max="4609" width="8" style="22" customWidth="1"/>
    <col min="4610" max="4610" width="6.85546875" style="22" customWidth="1"/>
    <col min="4611" max="4613" width="8.28515625" style="22" customWidth="1"/>
    <col min="4614" max="4619" width="0" style="22" hidden="1" customWidth="1"/>
    <col min="4620" max="4620" width="7.85546875" style="22" customWidth="1"/>
    <col min="4621" max="4859" width="11.42578125" style="22"/>
    <col min="4860" max="4860" width="18.140625" style="22" customWidth="1"/>
    <col min="4861" max="4861" width="7.85546875" style="22" customWidth="1"/>
    <col min="4862" max="4862" width="7" style="22" customWidth="1"/>
    <col min="4863" max="4864" width="8.42578125" style="22" customWidth="1"/>
    <col min="4865" max="4865" width="8" style="22" customWidth="1"/>
    <col min="4866" max="4866" width="6.85546875" style="22" customWidth="1"/>
    <col min="4867" max="4869" width="8.28515625" style="22" customWidth="1"/>
    <col min="4870" max="4875" width="0" style="22" hidden="1" customWidth="1"/>
    <col min="4876" max="4876" width="7.85546875" style="22" customWidth="1"/>
    <col min="4877" max="5115" width="11.42578125" style="22"/>
    <col min="5116" max="5116" width="18.140625" style="22" customWidth="1"/>
    <col min="5117" max="5117" width="7.85546875" style="22" customWidth="1"/>
    <col min="5118" max="5118" width="7" style="22" customWidth="1"/>
    <col min="5119" max="5120" width="8.42578125" style="22" customWidth="1"/>
    <col min="5121" max="5121" width="8" style="22" customWidth="1"/>
    <col min="5122" max="5122" width="6.85546875" style="22" customWidth="1"/>
    <col min="5123" max="5125" width="8.28515625" style="22" customWidth="1"/>
    <col min="5126" max="5131" width="0" style="22" hidden="1" customWidth="1"/>
    <col min="5132" max="5132" width="7.85546875" style="22" customWidth="1"/>
    <col min="5133" max="5371" width="11.42578125" style="22"/>
    <col min="5372" max="5372" width="18.140625" style="22" customWidth="1"/>
    <col min="5373" max="5373" width="7.85546875" style="22" customWidth="1"/>
    <col min="5374" max="5374" width="7" style="22" customWidth="1"/>
    <col min="5375" max="5376" width="8.42578125" style="22" customWidth="1"/>
    <col min="5377" max="5377" width="8" style="22" customWidth="1"/>
    <col min="5378" max="5378" width="6.85546875" style="22" customWidth="1"/>
    <col min="5379" max="5381" width="8.28515625" style="22" customWidth="1"/>
    <col min="5382" max="5387" width="0" style="22" hidden="1" customWidth="1"/>
    <col min="5388" max="5388" width="7.85546875" style="22" customWidth="1"/>
    <col min="5389" max="5627" width="11.42578125" style="22"/>
    <col min="5628" max="5628" width="18.140625" style="22" customWidth="1"/>
    <col min="5629" max="5629" width="7.85546875" style="22" customWidth="1"/>
    <col min="5630" max="5630" width="7" style="22" customWidth="1"/>
    <col min="5631" max="5632" width="8.42578125" style="22" customWidth="1"/>
    <col min="5633" max="5633" width="8" style="22" customWidth="1"/>
    <col min="5634" max="5634" width="6.85546875" style="22" customWidth="1"/>
    <col min="5635" max="5637" width="8.28515625" style="22" customWidth="1"/>
    <col min="5638" max="5643" width="0" style="22" hidden="1" customWidth="1"/>
    <col min="5644" max="5644" width="7.85546875" style="22" customWidth="1"/>
    <col min="5645" max="5883" width="11.42578125" style="22"/>
    <col min="5884" max="5884" width="18.140625" style="22" customWidth="1"/>
    <col min="5885" max="5885" width="7.85546875" style="22" customWidth="1"/>
    <col min="5886" max="5886" width="7" style="22" customWidth="1"/>
    <col min="5887" max="5888" width="8.42578125" style="22" customWidth="1"/>
    <col min="5889" max="5889" width="8" style="22" customWidth="1"/>
    <col min="5890" max="5890" width="6.85546875" style="22" customWidth="1"/>
    <col min="5891" max="5893" width="8.28515625" style="22" customWidth="1"/>
    <col min="5894" max="5899" width="0" style="22" hidden="1" customWidth="1"/>
    <col min="5900" max="5900" width="7.85546875" style="22" customWidth="1"/>
    <col min="5901" max="6139" width="11.42578125" style="22"/>
    <col min="6140" max="6140" width="18.140625" style="22" customWidth="1"/>
    <col min="6141" max="6141" width="7.85546875" style="22" customWidth="1"/>
    <col min="6142" max="6142" width="7" style="22" customWidth="1"/>
    <col min="6143" max="6144" width="8.42578125" style="22" customWidth="1"/>
    <col min="6145" max="6145" width="8" style="22" customWidth="1"/>
    <col min="6146" max="6146" width="6.85546875" style="22" customWidth="1"/>
    <col min="6147" max="6149" width="8.28515625" style="22" customWidth="1"/>
    <col min="6150" max="6155" width="0" style="22" hidden="1" customWidth="1"/>
    <col min="6156" max="6156" width="7.85546875" style="22" customWidth="1"/>
    <col min="6157" max="6395" width="11.42578125" style="22"/>
    <col min="6396" max="6396" width="18.140625" style="22" customWidth="1"/>
    <col min="6397" max="6397" width="7.85546875" style="22" customWidth="1"/>
    <col min="6398" max="6398" width="7" style="22" customWidth="1"/>
    <col min="6399" max="6400" width="8.42578125" style="22" customWidth="1"/>
    <col min="6401" max="6401" width="8" style="22" customWidth="1"/>
    <col min="6402" max="6402" width="6.85546875" style="22" customWidth="1"/>
    <col min="6403" max="6405" width="8.28515625" style="22" customWidth="1"/>
    <col min="6406" max="6411" width="0" style="22" hidden="1" customWidth="1"/>
    <col min="6412" max="6412" width="7.85546875" style="22" customWidth="1"/>
    <col min="6413" max="6651" width="11.42578125" style="22"/>
    <col min="6652" max="6652" width="18.140625" style="22" customWidth="1"/>
    <col min="6653" max="6653" width="7.85546875" style="22" customWidth="1"/>
    <col min="6654" max="6654" width="7" style="22" customWidth="1"/>
    <col min="6655" max="6656" width="8.42578125" style="22" customWidth="1"/>
    <col min="6657" max="6657" width="8" style="22" customWidth="1"/>
    <col min="6658" max="6658" width="6.85546875" style="22" customWidth="1"/>
    <col min="6659" max="6661" width="8.28515625" style="22" customWidth="1"/>
    <col min="6662" max="6667" width="0" style="22" hidden="1" customWidth="1"/>
    <col min="6668" max="6668" width="7.85546875" style="22" customWidth="1"/>
    <col min="6669" max="6907" width="11.42578125" style="22"/>
    <col min="6908" max="6908" width="18.140625" style="22" customWidth="1"/>
    <col min="6909" max="6909" width="7.85546875" style="22" customWidth="1"/>
    <col min="6910" max="6910" width="7" style="22" customWidth="1"/>
    <col min="6911" max="6912" width="8.42578125" style="22" customWidth="1"/>
    <col min="6913" max="6913" width="8" style="22" customWidth="1"/>
    <col min="6914" max="6914" width="6.85546875" style="22" customWidth="1"/>
    <col min="6915" max="6917" width="8.28515625" style="22" customWidth="1"/>
    <col min="6918" max="6923" width="0" style="22" hidden="1" customWidth="1"/>
    <col min="6924" max="6924" width="7.85546875" style="22" customWidth="1"/>
    <col min="6925" max="7163" width="11.42578125" style="22"/>
    <col min="7164" max="7164" width="18.140625" style="22" customWidth="1"/>
    <col min="7165" max="7165" width="7.85546875" style="22" customWidth="1"/>
    <col min="7166" max="7166" width="7" style="22" customWidth="1"/>
    <col min="7167" max="7168" width="8.42578125" style="22" customWidth="1"/>
    <col min="7169" max="7169" width="8" style="22" customWidth="1"/>
    <col min="7170" max="7170" width="6.85546875" style="22" customWidth="1"/>
    <col min="7171" max="7173" width="8.28515625" style="22" customWidth="1"/>
    <col min="7174" max="7179" width="0" style="22" hidden="1" customWidth="1"/>
    <col min="7180" max="7180" width="7.85546875" style="22" customWidth="1"/>
    <col min="7181" max="7419" width="11.42578125" style="22"/>
    <col min="7420" max="7420" width="18.140625" style="22" customWidth="1"/>
    <col min="7421" max="7421" width="7.85546875" style="22" customWidth="1"/>
    <col min="7422" max="7422" width="7" style="22" customWidth="1"/>
    <col min="7423" max="7424" width="8.42578125" style="22" customWidth="1"/>
    <col min="7425" max="7425" width="8" style="22" customWidth="1"/>
    <col min="7426" max="7426" width="6.85546875" style="22" customWidth="1"/>
    <col min="7427" max="7429" width="8.28515625" style="22" customWidth="1"/>
    <col min="7430" max="7435" width="0" style="22" hidden="1" customWidth="1"/>
    <col min="7436" max="7436" width="7.85546875" style="22" customWidth="1"/>
    <col min="7437" max="7675" width="11.42578125" style="22"/>
    <col min="7676" max="7676" width="18.140625" style="22" customWidth="1"/>
    <col min="7677" max="7677" width="7.85546875" style="22" customWidth="1"/>
    <col min="7678" max="7678" width="7" style="22" customWidth="1"/>
    <col min="7679" max="7680" width="8.42578125" style="22" customWidth="1"/>
    <col min="7681" max="7681" width="8" style="22" customWidth="1"/>
    <col min="7682" max="7682" width="6.85546875" style="22" customWidth="1"/>
    <col min="7683" max="7685" width="8.28515625" style="22" customWidth="1"/>
    <col min="7686" max="7691" width="0" style="22" hidden="1" customWidth="1"/>
    <col min="7692" max="7692" width="7.85546875" style="22" customWidth="1"/>
    <col min="7693" max="7931" width="11.42578125" style="22"/>
    <col min="7932" max="7932" width="18.140625" style="22" customWidth="1"/>
    <col min="7933" max="7933" width="7.85546875" style="22" customWidth="1"/>
    <col min="7934" max="7934" width="7" style="22" customWidth="1"/>
    <col min="7935" max="7936" width="8.42578125" style="22" customWidth="1"/>
    <col min="7937" max="7937" width="8" style="22" customWidth="1"/>
    <col min="7938" max="7938" width="6.85546875" style="22" customWidth="1"/>
    <col min="7939" max="7941" width="8.28515625" style="22" customWidth="1"/>
    <col min="7942" max="7947" width="0" style="22" hidden="1" customWidth="1"/>
    <col min="7948" max="7948" width="7.85546875" style="22" customWidth="1"/>
    <col min="7949" max="8187" width="11.42578125" style="22"/>
    <col min="8188" max="8188" width="18.140625" style="22" customWidth="1"/>
    <col min="8189" max="8189" width="7.85546875" style="22" customWidth="1"/>
    <col min="8190" max="8190" width="7" style="22" customWidth="1"/>
    <col min="8191" max="8192" width="8.42578125" style="22" customWidth="1"/>
    <col min="8193" max="8193" width="8" style="22" customWidth="1"/>
    <col min="8194" max="8194" width="6.85546875" style="22" customWidth="1"/>
    <col min="8195" max="8197" width="8.28515625" style="22" customWidth="1"/>
    <col min="8198" max="8203" width="0" style="22" hidden="1" customWidth="1"/>
    <col min="8204" max="8204" width="7.85546875" style="22" customWidth="1"/>
    <col min="8205" max="8443" width="11.42578125" style="22"/>
    <col min="8444" max="8444" width="18.140625" style="22" customWidth="1"/>
    <col min="8445" max="8445" width="7.85546875" style="22" customWidth="1"/>
    <col min="8446" max="8446" width="7" style="22" customWidth="1"/>
    <col min="8447" max="8448" width="8.42578125" style="22" customWidth="1"/>
    <col min="8449" max="8449" width="8" style="22" customWidth="1"/>
    <col min="8450" max="8450" width="6.85546875" style="22" customWidth="1"/>
    <col min="8451" max="8453" width="8.28515625" style="22" customWidth="1"/>
    <col min="8454" max="8459" width="0" style="22" hidden="1" customWidth="1"/>
    <col min="8460" max="8460" width="7.85546875" style="22" customWidth="1"/>
    <col min="8461" max="8699" width="11.42578125" style="22"/>
    <col min="8700" max="8700" width="18.140625" style="22" customWidth="1"/>
    <col min="8701" max="8701" width="7.85546875" style="22" customWidth="1"/>
    <col min="8702" max="8702" width="7" style="22" customWidth="1"/>
    <col min="8703" max="8704" width="8.42578125" style="22" customWidth="1"/>
    <col min="8705" max="8705" width="8" style="22" customWidth="1"/>
    <col min="8706" max="8706" width="6.85546875" style="22" customWidth="1"/>
    <col min="8707" max="8709" width="8.28515625" style="22" customWidth="1"/>
    <col min="8710" max="8715" width="0" style="22" hidden="1" customWidth="1"/>
    <col min="8716" max="8716" width="7.85546875" style="22" customWidth="1"/>
    <col min="8717" max="8955" width="11.42578125" style="22"/>
    <col min="8956" max="8956" width="18.140625" style="22" customWidth="1"/>
    <col min="8957" max="8957" width="7.85546875" style="22" customWidth="1"/>
    <col min="8958" max="8958" width="7" style="22" customWidth="1"/>
    <col min="8959" max="8960" width="8.42578125" style="22" customWidth="1"/>
    <col min="8961" max="8961" width="8" style="22" customWidth="1"/>
    <col min="8962" max="8962" width="6.85546875" style="22" customWidth="1"/>
    <col min="8963" max="8965" width="8.28515625" style="22" customWidth="1"/>
    <col min="8966" max="8971" width="0" style="22" hidden="1" customWidth="1"/>
    <col min="8972" max="8972" width="7.85546875" style="22" customWidth="1"/>
    <col min="8973" max="9211" width="11.42578125" style="22"/>
    <col min="9212" max="9212" width="18.140625" style="22" customWidth="1"/>
    <col min="9213" max="9213" width="7.85546875" style="22" customWidth="1"/>
    <col min="9214" max="9214" width="7" style="22" customWidth="1"/>
    <col min="9215" max="9216" width="8.42578125" style="22" customWidth="1"/>
    <col min="9217" max="9217" width="8" style="22" customWidth="1"/>
    <col min="9218" max="9218" width="6.85546875" style="22" customWidth="1"/>
    <col min="9219" max="9221" width="8.28515625" style="22" customWidth="1"/>
    <col min="9222" max="9227" width="0" style="22" hidden="1" customWidth="1"/>
    <col min="9228" max="9228" width="7.85546875" style="22" customWidth="1"/>
    <col min="9229" max="9467" width="11.42578125" style="22"/>
    <col min="9468" max="9468" width="18.140625" style="22" customWidth="1"/>
    <col min="9469" max="9469" width="7.85546875" style="22" customWidth="1"/>
    <col min="9470" max="9470" width="7" style="22" customWidth="1"/>
    <col min="9471" max="9472" width="8.42578125" style="22" customWidth="1"/>
    <col min="9473" max="9473" width="8" style="22" customWidth="1"/>
    <col min="9474" max="9474" width="6.85546875" style="22" customWidth="1"/>
    <col min="9475" max="9477" width="8.28515625" style="22" customWidth="1"/>
    <col min="9478" max="9483" width="0" style="22" hidden="1" customWidth="1"/>
    <col min="9484" max="9484" width="7.85546875" style="22" customWidth="1"/>
    <col min="9485" max="9723" width="11.42578125" style="22"/>
    <col min="9724" max="9724" width="18.140625" style="22" customWidth="1"/>
    <col min="9725" max="9725" width="7.85546875" style="22" customWidth="1"/>
    <col min="9726" max="9726" width="7" style="22" customWidth="1"/>
    <col min="9727" max="9728" width="8.42578125" style="22" customWidth="1"/>
    <col min="9729" max="9729" width="8" style="22" customWidth="1"/>
    <col min="9730" max="9730" width="6.85546875" style="22" customWidth="1"/>
    <col min="9731" max="9733" width="8.28515625" style="22" customWidth="1"/>
    <col min="9734" max="9739" width="0" style="22" hidden="1" customWidth="1"/>
    <col min="9740" max="9740" width="7.85546875" style="22" customWidth="1"/>
    <col min="9741" max="9979" width="11.42578125" style="22"/>
    <col min="9980" max="9980" width="18.140625" style="22" customWidth="1"/>
    <col min="9981" max="9981" width="7.85546875" style="22" customWidth="1"/>
    <col min="9982" max="9982" width="7" style="22" customWidth="1"/>
    <col min="9983" max="9984" width="8.42578125" style="22" customWidth="1"/>
    <col min="9985" max="9985" width="8" style="22" customWidth="1"/>
    <col min="9986" max="9986" width="6.85546875" style="22" customWidth="1"/>
    <col min="9987" max="9989" width="8.28515625" style="22" customWidth="1"/>
    <col min="9990" max="9995" width="0" style="22" hidden="1" customWidth="1"/>
    <col min="9996" max="9996" width="7.85546875" style="22" customWidth="1"/>
    <col min="9997" max="10235" width="11.42578125" style="22"/>
    <col min="10236" max="10236" width="18.140625" style="22" customWidth="1"/>
    <col min="10237" max="10237" width="7.85546875" style="22" customWidth="1"/>
    <col min="10238" max="10238" width="7" style="22" customWidth="1"/>
    <col min="10239" max="10240" width="8.42578125" style="22" customWidth="1"/>
    <col min="10241" max="10241" width="8" style="22" customWidth="1"/>
    <col min="10242" max="10242" width="6.85546875" style="22" customWidth="1"/>
    <col min="10243" max="10245" width="8.28515625" style="22" customWidth="1"/>
    <col min="10246" max="10251" width="0" style="22" hidden="1" customWidth="1"/>
    <col min="10252" max="10252" width="7.85546875" style="22" customWidth="1"/>
    <col min="10253" max="10491" width="11.42578125" style="22"/>
    <col min="10492" max="10492" width="18.140625" style="22" customWidth="1"/>
    <col min="10493" max="10493" width="7.85546875" style="22" customWidth="1"/>
    <col min="10494" max="10494" width="7" style="22" customWidth="1"/>
    <col min="10495" max="10496" width="8.42578125" style="22" customWidth="1"/>
    <col min="10497" max="10497" width="8" style="22" customWidth="1"/>
    <col min="10498" max="10498" width="6.85546875" style="22" customWidth="1"/>
    <col min="10499" max="10501" width="8.28515625" style="22" customWidth="1"/>
    <col min="10502" max="10507" width="0" style="22" hidden="1" customWidth="1"/>
    <col min="10508" max="10508" width="7.85546875" style="22" customWidth="1"/>
    <col min="10509" max="10747" width="11.42578125" style="22"/>
    <col min="10748" max="10748" width="18.140625" style="22" customWidth="1"/>
    <col min="10749" max="10749" width="7.85546875" style="22" customWidth="1"/>
    <col min="10750" max="10750" width="7" style="22" customWidth="1"/>
    <col min="10751" max="10752" width="8.42578125" style="22" customWidth="1"/>
    <col min="10753" max="10753" width="8" style="22" customWidth="1"/>
    <col min="10754" max="10754" width="6.85546875" style="22" customWidth="1"/>
    <col min="10755" max="10757" width="8.28515625" style="22" customWidth="1"/>
    <col min="10758" max="10763" width="0" style="22" hidden="1" customWidth="1"/>
    <col min="10764" max="10764" width="7.85546875" style="22" customWidth="1"/>
    <col min="10765" max="11003" width="11.42578125" style="22"/>
    <col min="11004" max="11004" width="18.140625" style="22" customWidth="1"/>
    <col min="11005" max="11005" width="7.85546875" style="22" customWidth="1"/>
    <col min="11006" max="11006" width="7" style="22" customWidth="1"/>
    <col min="11007" max="11008" width="8.42578125" style="22" customWidth="1"/>
    <col min="11009" max="11009" width="8" style="22" customWidth="1"/>
    <col min="11010" max="11010" width="6.85546875" style="22" customWidth="1"/>
    <col min="11011" max="11013" width="8.28515625" style="22" customWidth="1"/>
    <col min="11014" max="11019" width="0" style="22" hidden="1" customWidth="1"/>
    <col min="11020" max="11020" width="7.85546875" style="22" customWidth="1"/>
    <col min="11021" max="11259" width="11.42578125" style="22"/>
    <col min="11260" max="11260" width="18.140625" style="22" customWidth="1"/>
    <col min="11261" max="11261" width="7.85546875" style="22" customWidth="1"/>
    <col min="11262" max="11262" width="7" style="22" customWidth="1"/>
    <col min="11263" max="11264" width="8.42578125" style="22" customWidth="1"/>
    <col min="11265" max="11265" width="8" style="22" customWidth="1"/>
    <col min="11266" max="11266" width="6.85546875" style="22" customWidth="1"/>
    <col min="11267" max="11269" width="8.28515625" style="22" customWidth="1"/>
    <col min="11270" max="11275" width="0" style="22" hidden="1" customWidth="1"/>
    <col min="11276" max="11276" width="7.85546875" style="22" customWidth="1"/>
    <col min="11277" max="11515" width="11.42578125" style="22"/>
    <col min="11516" max="11516" width="18.140625" style="22" customWidth="1"/>
    <col min="11517" max="11517" width="7.85546875" style="22" customWidth="1"/>
    <col min="11518" max="11518" width="7" style="22" customWidth="1"/>
    <col min="11519" max="11520" width="8.42578125" style="22" customWidth="1"/>
    <col min="11521" max="11521" width="8" style="22" customWidth="1"/>
    <col min="11522" max="11522" width="6.85546875" style="22" customWidth="1"/>
    <col min="11523" max="11525" width="8.28515625" style="22" customWidth="1"/>
    <col min="11526" max="11531" width="0" style="22" hidden="1" customWidth="1"/>
    <col min="11532" max="11532" width="7.85546875" style="22" customWidth="1"/>
    <col min="11533" max="11771" width="11.42578125" style="22"/>
    <col min="11772" max="11772" width="18.140625" style="22" customWidth="1"/>
    <col min="11773" max="11773" width="7.85546875" style="22" customWidth="1"/>
    <col min="11774" max="11774" width="7" style="22" customWidth="1"/>
    <col min="11775" max="11776" width="8.42578125" style="22" customWidth="1"/>
    <col min="11777" max="11777" width="8" style="22" customWidth="1"/>
    <col min="11778" max="11778" width="6.85546875" style="22" customWidth="1"/>
    <col min="11779" max="11781" width="8.28515625" style="22" customWidth="1"/>
    <col min="11782" max="11787" width="0" style="22" hidden="1" customWidth="1"/>
    <col min="11788" max="11788" width="7.85546875" style="22" customWidth="1"/>
    <col min="11789" max="12027" width="11.42578125" style="22"/>
    <col min="12028" max="12028" width="18.140625" style="22" customWidth="1"/>
    <col min="12029" max="12029" width="7.85546875" style="22" customWidth="1"/>
    <col min="12030" max="12030" width="7" style="22" customWidth="1"/>
    <col min="12031" max="12032" width="8.42578125" style="22" customWidth="1"/>
    <col min="12033" max="12033" width="8" style="22" customWidth="1"/>
    <col min="12034" max="12034" width="6.85546875" style="22" customWidth="1"/>
    <col min="12035" max="12037" width="8.28515625" style="22" customWidth="1"/>
    <col min="12038" max="12043" width="0" style="22" hidden="1" customWidth="1"/>
    <col min="12044" max="12044" width="7.85546875" style="22" customWidth="1"/>
    <col min="12045" max="12283" width="11.42578125" style="22"/>
    <col min="12284" max="12284" width="18.140625" style="22" customWidth="1"/>
    <col min="12285" max="12285" width="7.85546875" style="22" customWidth="1"/>
    <col min="12286" max="12286" width="7" style="22" customWidth="1"/>
    <col min="12287" max="12288" width="8.42578125" style="22" customWidth="1"/>
    <col min="12289" max="12289" width="8" style="22" customWidth="1"/>
    <col min="12290" max="12290" width="6.85546875" style="22" customWidth="1"/>
    <col min="12291" max="12293" width="8.28515625" style="22" customWidth="1"/>
    <col min="12294" max="12299" width="0" style="22" hidden="1" customWidth="1"/>
    <col min="12300" max="12300" width="7.85546875" style="22" customWidth="1"/>
    <col min="12301" max="12539" width="11.42578125" style="22"/>
    <col min="12540" max="12540" width="18.140625" style="22" customWidth="1"/>
    <col min="12541" max="12541" width="7.85546875" style="22" customWidth="1"/>
    <col min="12542" max="12542" width="7" style="22" customWidth="1"/>
    <col min="12543" max="12544" width="8.42578125" style="22" customWidth="1"/>
    <col min="12545" max="12545" width="8" style="22" customWidth="1"/>
    <col min="12546" max="12546" width="6.85546875" style="22" customWidth="1"/>
    <col min="12547" max="12549" width="8.28515625" style="22" customWidth="1"/>
    <col min="12550" max="12555" width="0" style="22" hidden="1" customWidth="1"/>
    <col min="12556" max="12556" width="7.85546875" style="22" customWidth="1"/>
    <col min="12557" max="12795" width="11.42578125" style="22"/>
    <col min="12796" max="12796" width="18.140625" style="22" customWidth="1"/>
    <col min="12797" max="12797" width="7.85546875" style="22" customWidth="1"/>
    <col min="12798" max="12798" width="7" style="22" customWidth="1"/>
    <col min="12799" max="12800" width="8.42578125" style="22" customWidth="1"/>
    <col min="12801" max="12801" width="8" style="22" customWidth="1"/>
    <col min="12802" max="12802" width="6.85546875" style="22" customWidth="1"/>
    <col min="12803" max="12805" width="8.28515625" style="22" customWidth="1"/>
    <col min="12806" max="12811" width="0" style="22" hidden="1" customWidth="1"/>
    <col min="12812" max="12812" width="7.85546875" style="22" customWidth="1"/>
    <col min="12813" max="13051" width="11.42578125" style="22"/>
    <col min="13052" max="13052" width="18.140625" style="22" customWidth="1"/>
    <col min="13053" max="13053" width="7.85546875" style="22" customWidth="1"/>
    <col min="13054" max="13054" width="7" style="22" customWidth="1"/>
    <col min="13055" max="13056" width="8.42578125" style="22" customWidth="1"/>
    <col min="13057" max="13057" width="8" style="22" customWidth="1"/>
    <col min="13058" max="13058" width="6.85546875" style="22" customWidth="1"/>
    <col min="13059" max="13061" width="8.28515625" style="22" customWidth="1"/>
    <col min="13062" max="13067" width="0" style="22" hidden="1" customWidth="1"/>
    <col min="13068" max="13068" width="7.85546875" style="22" customWidth="1"/>
    <col min="13069" max="13307" width="11.42578125" style="22"/>
    <col min="13308" max="13308" width="18.140625" style="22" customWidth="1"/>
    <col min="13309" max="13309" width="7.85546875" style="22" customWidth="1"/>
    <col min="13310" max="13310" width="7" style="22" customWidth="1"/>
    <col min="13311" max="13312" width="8.42578125" style="22" customWidth="1"/>
    <col min="13313" max="13313" width="8" style="22" customWidth="1"/>
    <col min="13314" max="13314" width="6.85546875" style="22" customWidth="1"/>
    <col min="13315" max="13317" width="8.28515625" style="22" customWidth="1"/>
    <col min="13318" max="13323" width="0" style="22" hidden="1" customWidth="1"/>
    <col min="13324" max="13324" width="7.85546875" style="22" customWidth="1"/>
    <col min="13325" max="13563" width="11.42578125" style="22"/>
    <col min="13564" max="13564" width="18.140625" style="22" customWidth="1"/>
    <col min="13565" max="13565" width="7.85546875" style="22" customWidth="1"/>
    <col min="13566" max="13566" width="7" style="22" customWidth="1"/>
    <col min="13567" max="13568" width="8.42578125" style="22" customWidth="1"/>
    <col min="13569" max="13569" width="8" style="22" customWidth="1"/>
    <col min="13570" max="13570" width="6.85546875" style="22" customWidth="1"/>
    <col min="13571" max="13573" width="8.28515625" style="22" customWidth="1"/>
    <col min="13574" max="13579" width="0" style="22" hidden="1" customWidth="1"/>
    <col min="13580" max="13580" width="7.85546875" style="22" customWidth="1"/>
    <col min="13581" max="13819" width="11.42578125" style="22"/>
    <col min="13820" max="13820" width="18.140625" style="22" customWidth="1"/>
    <col min="13821" max="13821" width="7.85546875" style="22" customWidth="1"/>
    <col min="13822" max="13822" width="7" style="22" customWidth="1"/>
    <col min="13823" max="13824" width="8.42578125" style="22" customWidth="1"/>
    <col min="13825" max="13825" width="8" style="22" customWidth="1"/>
    <col min="13826" max="13826" width="6.85546875" style="22" customWidth="1"/>
    <col min="13827" max="13829" width="8.28515625" style="22" customWidth="1"/>
    <col min="13830" max="13835" width="0" style="22" hidden="1" customWidth="1"/>
    <col min="13836" max="13836" width="7.85546875" style="22" customWidth="1"/>
    <col min="13837" max="14075" width="11.42578125" style="22"/>
    <col min="14076" max="14076" width="18.140625" style="22" customWidth="1"/>
    <col min="14077" max="14077" width="7.85546875" style="22" customWidth="1"/>
    <col min="14078" max="14078" width="7" style="22" customWidth="1"/>
    <col min="14079" max="14080" width="8.42578125" style="22" customWidth="1"/>
    <col min="14081" max="14081" width="8" style="22" customWidth="1"/>
    <col min="14082" max="14082" width="6.85546875" style="22" customWidth="1"/>
    <col min="14083" max="14085" width="8.28515625" style="22" customWidth="1"/>
    <col min="14086" max="14091" width="0" style="22" hidden="1" customWidth="1"/>
    <col min="14092" max="14092" width="7.85546875" style="22" customWidth="1"/>
    <col min="14093" max="14331" width="11.42578125" style="22"/>
    <col min="14332" max="14332" width="18.140625" style="22" customWidth="1"/>
    <col min="14333" max="14333" width="7.85546875" style="22" customWidth="1"/>
    <col min="14334" max="14334" width="7" style="22" customWidth="1"/>
    <col min="14335" max="14336" width="8.42578125" style="22" customWidth="1"/>
    <col min="14337" max="14337" width="8" style="22" customWidth="1"/>
    <col min="14338" max="14338" width="6.85546875" style="22" customWidth="1"/>
    <col min="14339" max="14341" width="8.28515625" style="22" customWidth="1"/>
    <col min="14342" max="14347" width="0" style="22" hidden="1" customWidth="1"/>
    <col min="14348" max="14348" width="7.85546875" style="22" customWidth="1"/>
    <col min="14349" max="14587" width="11.42578125" style="22"/>
    <col min="14588" max="14588" width="18.140625" style="22" customWidth="1"/>
    <col min="14589" max="14589" width="7.85546875" style="22" customWidth="1"/>
    <col min="14590" max="14590" width="7" style="22" customWidth="1"/>
    <col min="14591" max="14592" width="8.42578125" style="22" customWidth="1"/>
    <col min="14593" max="14593" width="8" style="22" customWidth="1"/>
    <col min="14594" max="14594" width="6.85546875" style="22" customWidth="1"/>
    <col min="14595" max="14597" width="8.28515625" style="22" customWidth="1"/>
    <col min="14598" max="14603" width="0" style="22" hidden="1" customWidth="1"/>
    <col min="14604" max="14604" width="7.85546875" style="22" customWidth="1"/>
    <col min="14605" max="14843" width="11.42578125" style="22"/>
    <col min="14844" max="14844" width="18.140625" style="22" customWidth="1"/>
    <col min="14845" max="14845" width="7.85546875" style="22" customWidth="1"/>
    <col min="14846" max="14846" width="7" style="22" customWidth="1"/>
    <col min="14847" max="14848" width="8.42578125" style="22" customWidth="1"/>
    <col min="14849" max="14849" width="8" style="22" customWidth="1"/>
    <col min="14850" max="14850" width="6.85546875" style="22" customWidth="1"/>
    <col min="14851" max="14853" width="8.28515625" style="22" customWidth="1"/>
    <col min="14854" max="14859" width="0" style="22" hidden="1" customWidth="1"/>
    <col min="14860" max="14860" width="7.85546875" style="22" customWidth="1"/>
    <col min="14861" max="15099" width="11.42578125" style="22"/>
    <col min="15100" max="15100" width="18.140625" style="22" customWidth="1"/>
    <col min="15101" max="15101" width="7.85546875" style="22" customWidth="1"/>
    <col min="15102" max="15102" width="7" style="22" customWidth="1"/>
    <col min="15103" max="15104" width="8.42578125" style="22" customWidth="1"/>
    <col min="15105" max="15105" width="8" style="22" customWidth="1"/>
    <col min="15106" max="15106" width="6.85546875" style="22" customWidth="1"/>
    <col min="15107" max="15109" width="8.28515625" style="22" customWidth="1"/>
    <col min="15110" max="15115" width="0" style="22" hidden="1" customWidth="1"/>
    <col min="15116" max="15116" width="7.85546875" style="22" customWidth="1"/>
    <col min="15117" max="15355" width="11.42578125" style="22"/>
    <col min="15356" max="15356" width="18.140625" style="22" customWidth="1"/>
    <col min="15357" max="15357" width="7.85546875" style="22" customWidth="1"/>
    <col min="15358" max="15358" width="7" style="22" customWidth="1"/>
    <col min="15359" max="15360" width="8.42578125" style="22" customWidth="1"/>
    <col min="15361" max="15361" width="8" style="22" customWidth="1"/>
    <col min="15362" max="15362" width="6.85546875" style="22" customWidth="1"/>
    <col min="15363" max="15365" width="8.28515625" style="22" customWidth="1"/>
    <col min="15366" max="15371" width="0" style="22" hidden="1" customWidth="1"/>
    <col min="15372" max="15372" width="7.85546875" style="22" customWidth="1"/>
    <col min="15373" max="15611" width="11.42578125" style="22"/>
    <col min="15612" max="15612" width="18.140625" style="22" customWidth="1"/>
    <col min="15613" max="15613" width="7.85546875" style="22" customWidth="1"/>
    <col min="15614" max="15614" width="7" style="22" customWidth="1"/>
    <col min="15615" max="15616" width="8.42578125" style="22" customWidth="1"/>
    <col min="15617" max="15617" width="8" style="22" customWidth="1"/>
    <col min="15618" max="15618" width="6.85546875" style="22" customWidth="1"/>
    <col min="15619" max="15621" width="8.28515625" style="22" customWidth="1"/>
    <col min="15622" max="15627" width="0" style="22" hidden="1" customWidth="1"/>
    <col min="15628" max="15628" width="7.85546875" style="22" customWidth="1"/>
    <col min="15629" max="15867" width="11.42578125" style="22"/>
    <col min="15868" max="15868" width="18.140625" style="22" customWidth="1"/>
    <col min="15869" max="15869" width="7.85546875" style="22" customWidth="1"/>
    <col min="15870" max="15870" width="7" style="22" customWidth="1"/>
    <col min="15871" max="15872" width="8.42578125" style="22" customWidth="1"/>
    <col min="15873" max="15873" width="8" style="22" customWidth="1"/>
    <col min="15874" max="15874" width="6.85546875" style="22" customWidth="1"/>
    <col min="15875" max="15877" width="8.28515625" style="22" customWidth="1"/>
    <col min="15878" max="15883" width="0" style="22" hidden="1" customWidth="1"/>
    <col min="15884" max="15884" width="7.85546875" style="22" customWidth="1"/>
    <col min="15885" max="16123" width="11.42578125" style="22"/>
    <col min="16124" max="16124" width="18.140625" style="22" customWidth="1"/>
    <col min="16125" max="16125" width="7.85546875" style="22" customWidth="1"/>
    <col min="16126" max="16126" width="7" style="22" customWidth="1"/>
    <col min="16127" max="16128" width="8.42578125" style="22" customWidth="1"/>
    <col min="16129" max="16129" width="8" style="22" customWidth="1"/>
    <col min="16130" max="16130" width="6.85546875" style="22" customWidth="1"/>
    <col min="16131" max="16133" width="8.28515625" style="22" customWidth="1"/>
    <col min="16134" max="16139" width="0" style="22" hidden="1" customWidth="1"/>
    <col min="16140" max="16140" width="7.85546875" style="22" customWidth="1"/>
    <col min="16141" max="16384" width="11.42578125" style="22"/>
  </cols>
  <sheetData>
    <row r="1" spans="1:16" s="23" customFormat="1" x14ac:dyDescent="0.2">
      <c r="B1" s="21"/>
      <c r="C1" s="21"/>
      <c r="D1" s="21"/>
      <c r="E1" s="21"/>
      <c r="F1" s="21"/>
      <c r="G1" s="21"/>
      <c r="H1" s="21"/>
      <c r="I1" s="21"/>
      <c r="J1" s="21"/>
      <c r="K1" s="21"/>
      <c r="L1" s="21"/>
    </row>
    <row r="2" spans="1:16" s="23" customFormat="1" x14ac:dyDescent="0.2">
      <c r="A2" s="40" t="s">
        <v>58</v>
      </c>
      <c r="B2" s="21"/>
      <c r="C2" s="21"/>
      <c r="D2" s="21"/>
      <c r="E2" s="21"/>
      <c r="F2" s="21"/>
      <c r="G2" s="21"/>
      <c r="H2" s="21"/>
      <c r="I2" s="21"/>
      <c r="K2" s="21"/>
      <c r="L2" s="21"/>
    </row>
    <row r="3" spans="1:16" s="23" customFormat="1" ht="15" x14ac:dyDescent="0.25">
      <c r="A3" s="40" t="s">
        <v>59</v>
      </c>
      <c r="B3" s="21"/>
      <c r="C3" s="21"/>
      <c r="D3" s="21"/>
      <c r="E3" s="21"/>
      <c r="F3" s="21"/>
      <c r="G3" s="21"/>
      <c r="H3" s="21"/>
      <c r="I3" s="21"/>
      <c r="J3" s="88"/>
      <c r="K3" s="21"/>
      <c r="L3" s="21"/>
    </row>
    <row r="4" spans="1:16" s="23" customFormat="1" x14ac:dyDescent="0.2">
      <c r="B4" s="21"/>
      <c r="C4" s="21"/>
      <c r="D4" s="21"/>
      <c r="E4" s="21"/>
      <c r="F4" s="21"/>
      <c r="G4" s="21"/>
      <c r="H4" s="21"/>
      <c r="I4" s="21"/>
      <c r="J4" s="21"/>
      <c r="K4" s="21"/>
      <c r="L4" s="21"/>
    </row>
    <row r="5" spans="1:16" s="23" customFormat="1" ht="12.75" x14ac:dyDescent="0.2">
      <c r="B5" s="344" t="s">
        <v>575</v>
      </c>
      <c r="C5" s="344"/>
      <c r="D5" s="344"/>
      <c r="E5" s="344"/>
      <c r="F5" s="344"/>
      <c r="G5" s="344"/>
      <c r="H5" s="344"/>
      <c r="I5" s="344"/>
      <c r="J5" s="344"/>
      <c r="K5" s="344"/>
      <c r="M5" s="110" t="s">
        <v>509</v>
      </c>
      <c r="O5" s="89"/>
    </row>
    <row r="6" spans="1:16" s="23" customFormat="1" ht="12.75" x14ac:dyDescent="0.2">
      <c r="B6" s="374" t="str">
        <f>'Solicitudes Regiones'!$B$6:$R$6</f>
        <v>Julio de 2008 a junio de 2022</v>
      </c>
      <c r="C6" s="374"/>
      <c r="D6" s="374"/>
      <c r="E6" s="374"/>
      <c r="F6" s="374"/>
      <c r="G6" s="374"/>
      <c r="H6" s="374"/>
      <c r="I6" s="374"/>
      <c r="J6" s="374"/>
      <c r="K6" s="374"/>
      <c r="L6" s="48"/>
    </row>
    <row r="7" spans="1:16" x14ac:dyDescent="0.2">
      <c r="B7" s="24"/>
      <c r="C7" s="25"/>
      <c r="D7" s="25"/>
      <c r="E7" s="25"/>
      <c r="F7" s="25"/>
      <c r="G7" s="25"/>
      <c r="H7" s="25"/>
      <c r="I7" s="25"/>
      <c r="J7" s="25"/>
      <c r="K7" s="25"/>
      <c r="L7" s="25"/>
    </row>
    <row r="8" spans="1:16" ht="15" customHeight="1" x14ac:dyDescent="0.2">
      <c r="B8" s="373" t="s">
        <v>595</v>
      </c>
      <c r="C8" s="373"/>
      <c r="D8" s="373"/>
      <c r="E8" s="373"/>
      <c r="F8" s="373"/>
      <c r="G8" s="373"/>
      <c r="H8" s="373"/>
      <c r="I8" s="373"/>
      <c r="J8" s="373"/>
      <c r="K8" s="373"/>
      <c r="L8" s="373"/>
      <c r="M8" s="373"/>
    </row>
    <row r="9" spans="1:16" ht="21" customHeight="1" x14ac:dyDescent="0.2">
      <c r="B9" s="373" t="s">
        <v>41</v>
      </c>
      <c r="C9" s="370" t="s">
        <v>544</v>
      </c>
      <c r="D9" s="371"/>
      <c r="E9" s="371"/>
      <c r="F9" s="371"/>
      <c r="G9" s="371"/>
      <c r="H9" s="371"/>
      <c r="I9" s="371"/>
      <c r="J9" s="371"/>
      <c r="K9" s="371"/>
      <c r="L9" s="372"/>
      <c r="M9" s="307"/>
    </row>
    <row r="10" spans="1:16" ht="60" x14ac:dyDescent="0.2">
      <c r="B10" s="373"/>
      <c r="C10" s="20" t="s">
        <v>540</v>
      </c>
      <c r="D10" s="20" t="s">
        <v>42</v>
      </c>
      <c r="E10" s="20" t="s">
        <v>553</v>
      </c>
      <c r="F10" s="20" t="s">
        <v>554</v>
      </c>
      <c r="G10" s="20" t="s">
        <v>542</v>
      </c>
      <c r="H10" s="20" t="s">
        <v>2</v>
      </c>
      <c r="I10" s="20" t="s">
        <v>43</v>
      </c>
      <c r="J10" s="20" t="s">
        <v>549</v>
      </c>
      <c r="K10" s="296" t="s">
        <v>550</v>
      </c>
      <c r="L10" s="296" t="s">
        <v>523</v>
      </c>
      <c r="M10" s="296" t="s">
        <v>641</v>
      </c>
    </row>
    <row r="11" spans="1:16" x14ac:dyDescent="0.2">
      <c r="B11" s="18" t="s">
        <v>265</v>
      </c>
      <c r="C11" s="16">
        <v>1905</v>
      </c>
      <c r="D11" s="16">
        <v>1430</v>
      </c>
      <c r="E11" s="16">
        <f>C11+D11</f>
        <v>3335</v>
      </c>
      <c r="F11" s="17">
        <f>E11/$E$43</f>
        <v>4.5968931342954419E-2</v>
      </c>
      <c r="G11" s="16">
        <v>2143</v>
      </c>
      <c r="H11" s="16">
        <v>196</v>
      </c>
      <c r="I11" s="16">
        <v>206</v>
      </c>
      <c r="J11" s="16">
        <v>2545</v>
      </c>
      <c r="K11" s="17">
        <f>J11/$J$43</f>
        <v>2.1973183219222436E-2</v>
      </c>
      <c r="L11" s="16">
        <v>0</v>
      </c>
      <c r="M11" s="16">
        <f>L11+J11+E11</f>
        <v>5880</v>
      </c>
      <c r="P11" s="27"/>
    </row>
    <row r="12" spans="1:16" x14ac:dyDescent="0.2">
      <c r="B12" s="18" t="s">
        <v>266</v>
      </c>
      <c r="C12" s="16">
        <v>687</v>
      </c>
      <c r="D12" s="16">
        <v>265</v>
      </c>
      <c r="E12" s="16">
        <f t="shared" ref="E12:E42" si="0">C12+D12</f>
        <v>952</v>
      </c>
      <c r="F12" s="17">
        <f t="shared" ref="F12:F42" si="1">E12/$E$43</f>
        <v>1.3122165708693435E-2</v>
      </c>
      <c r="G12" s="16">
        <v>501</v>
      </c>
      <c r="H12" s="16">
        <v>27</v>
      </c>
      <c r="I12" s="16">
        <v>39</v>
      </c>
      <c r="J12" s="16">
        <v>567</v>
      </c>
      <c r="K12" s="17">
        <f t="shared" ref="K12:K43" si="2">J12/$J$43</f>
        <v>4.8954007407855087E-3</v>
      </c>
      <c r="L12" s="16">
        <v>0</v>
      </c>
      <c r="M12" s="16">
        <f t="shared" ref="M12:M43" si="3">L12+J12+E12</f>
        <v>1519</v>
      </c>
      <c r="P12" s="27"/>
    </row>
    <row r="13" spans="1:16" x14ac:dyDescent="0.2">
      <c r="B13" s="18" t="s">
        <v>267</v>
      </c>
      <c r="C13" s="16">
        <v>1425</v>
      </c>
      <c r="D13" s="16">
        <v>827</v>
      </c>
      <c r="E13" s="16">
        <f t="shared" si="0"/>
        <v>2252</v>
      </c>
      <c r="F13" s="17">
        <f t="shared" si="1"/>
        <v>3.1041089470564723E-2</v>
      </c>
      <c r="G13" s="16">
        <v>2791</v>
      </c>
      <c r="H13" s="16">
        <v>485</v>
      </c>
      <c r="I13" s="16">
        <v>224</v>
      </c>
      <c r="J13" s="16">
        <v>3500</v>
      </c>
      <c r="K13" s="17">
        <f t="shared" si="2"/>
        <v>3.0218523091268573E-2</v>
      </c>
      <c r="L13" s="16">
        <v>0</v>
      </c>
      <c r="M13" s="16">
        <f t="shared" si="3"/>
        <v>5752</v>
      </c>
      <c r="P13" s="27"/>
    </row>
    <row r="14" spans="1:16" x14ac:dyDescent="0.2">
      <c r="B14" s="18" t="s">
        <v>268</v>
      </c>
      <c r="C14" s="16">
        <v>1204</v>
      </c>
      <c r="D14" s="16">
        <v>679</v>
      </c>
      <c r="E14" s="16">
        <f t="shared" si="0"/>
        <v>1883</v>
      </c>
      <c r="F14" s="17">
        <f t="shared" si="1"/>
        <v>2.5954871879695102E-2</v>
      </c>
      <c r="G14" s="16">
        <v>1196</v>
      </c>
      <c r="H14" s="16">
        <v>118</v>
      </c>
      <c r="I14" s="16">
        <v>114</v>
      </c>
      <c r="J14" s="16">
        <v>1428</v>
      </c>
      <c r="K14" s="17">
        <f t="shared" si="2"/>
        <v>1.2329157421237578E-2</v>
      </c>
      <c r="L14" s="16">
        <v>0</v>
      </c>
      <c r="M14" s="16">
        <f t="shared" si="3"/>
        <v>3311</v>
      </c>
      <c r="P14" s="27"/>
    </row>
    <row r="15" spans="1:16" x14ac:dyDescent="0.2">
      <c r="B15" s="18" t="s">
        <v>269</v>
      </c>
      <c r="C15" s="16">
        <v>2576</v>
      </c>
      <c r="D15" s="16">
        <v>1297</v>
      </c>
      <c r="E15" s="16">
        <f t="shared" si="0"/>
        <v>3873</v>
      </c>
      <c r="F15" s="17">
        <f t="shared" si="1"/>
        <v>5.3384609022867305E-2</v>
      </c>
      <c r="G15" s="16">
        <v>6274</v>
      </c>
      <c r="H15" s="16">
        <v>870</v>
      </c>
      <c r="I15" s="16">
        <v>446</v>
      </c>
      <c r="J15" s="16">
        <v>7590</v>
      </c>
      <c r="K15" s="17">
        <f t="shared" si="2"/>
        <v>6.5531025789350994E-2</v>
      </c>
      <c r="L15" s="16">
        <v>0</v>
      </c>
      <c r="M15" s="16">
        <f t="shared" si="3"/>
        <v>11463</v>
      </c>
      <c r="P15" s="27"/>
    </row>
    <row r="16" spans="1:16" x14ac:dyDescent="0.2">
      <c r="B16" s="18" t="s">
        <v>270</v>
      </c>
      <c r="C16" s="16">
        <v>993</v>
      </c>
      <c r="D16" s="16">
        <v>720</v>
      </c>
      <c r="E16" s="16">
        <f t="shared" si="0"/>
        <v>1713</v>
      </c>
      <c r="F16" s="17">
        <f t="shared" si="1"/>
        <v>2.3611628003142704E-2</v>
      </c>
      <c r="G16" s="16">
        <v>2459</v>
      </c>
      <c r="H16" s="16">
        <v>304</v>
      </c>
      <c r="I16" s="16">
        <v>217</v>
      </c>
      <c r="J16" s="16">
        <v>2980</v>
      </c>
      <c r="K16" s="17">
        <f t="shared" si="2"/>
        <v>2.5728913946280099E-2</v>
      </c>
      <c r="L16" s="16">
        <v>0</v>
      </c>
      <c r="M16" s="16">
        <f t="shared" si="3"/>
        <v>4693</v>
      </c>
      <c r="P16" s="27"/>
    </row>
    <row r="17" spans="2:16" x14ac:dyDescent="0.2">
      <c r="B17" s="18" t="s">
        <v>271</v>
      </c>
      <c r="C17" s="16">
        <v>1019</v>
      </c>
      <c r="D17" s="16">
        <v>795</v>
      </c>
      <c r="E17" s="16">
        <f t="shared" si="0"/>
        <v>1814</v>
      </c>
      <c r="F17" s="17">
        <f t="shared" si="1"/>
        <v>2.500379054156501E-2</v>
      </c>
      <c r="G17" s="16">
        <v>2678</v>
      </c>
      <c r="H17" s="16">
        <v>374</v>
      </c>
      <c r="I17" s="16">
        <v>160</v>
      </c>
      <c r="J17" s="16">
        <v>3212</v>
      </c>
      <c r="K17" s="17">
        <f t="shared" si="2"/>
        <v>2.773197033404419E-2</v>
      </c>
      <c r="L17" s="16">
        <v>0</v>
      </c>
      <c r="M17" s="16">
        <f t="shared" si="3"/>
        <v>5026</v>
      </c>
      <c r="P17" s="27"/>
    </row>
    <row r="18" spans="2:16" x14ac:dyDescent="0.2">
      <c r="B18" s="18" t="s">
        <v>272</v>
      </c>
      <c r="C18" s="16">
        <v>9415</v>
      </c>
      <c r="D18" s="16">
        <v>4999</v>
      </c>
      <c r="E18" s="16">
        <f t="shared" si="0"/>
        <v>14414</v>
      </c>
      <c r="F18" s="17">
        <f t="shared" si="1"/>
        <v>0.19867951315662519</v>
      </c>
      <c r="G18" s="16">
        <v>26652</v>
      </c>
      <c r="H18" s="16">
        <v>5794</v>
      </c>
      <c r="I18" s="16">
        <v>1959</v>
      </c>
      <c r="J18" s="16">
        <v>34405</v>
      </c>
      <c r="K18" s="17">
        <f t="shared" si="2"/>
        <v>0.29704808198717009</v>
      </c>
      <c r="L18" s="16">
        <v>0</v>
      </c>
      <c r="M18" s="16">
        <f t="shared" si="3"/>
        <v>48819</v>
      </c>
      <c r="P18" s="27"/>
    </row>
    <row r="19" spans="2:16" x14ac:dyDescent="0.2">
      <c r="B19" s="18" t="s">
        <v>273</v>
      </c>
      <c r="C19" s="16">
        <v>1433</v>
      </c>
      <c r="D19" s="16">
        <v>730</v>
      </c>
      <c r="E19" s="16">
        <f t="shared" si="0"/>
        <v>2163</v>
      </c>
      <c r="F19" s="17">
        <f t="shared" si="1"/>
        <v>2.9814332382251996E-2</v>
      </c>
      <c r="G19" s="16">
        <v>2103</v>
      </c>
      <c r="H19" s="16">
        <v>251</v>
      </c>
      <c r="I19" s="16">
        <v>140</v>
      </c>
      <c r="J19" s="16">
        <v>2494</v>
      </c>
      <c r="K19" s="17">
        <f t="shared" si="2"/>
        <v>2.1532856168463951E-2</v>
      </c>
      <c r="L19" s="16">
        <v>0</v>
      </c>
      <c r="M19" s="16">
        <f t="shared" si="3"/>
        <v>4657</v>
      </c>
      <c r="P19" s="27"/>
    </row>
    <row r="20" spans="2:16" x14ac:dyDescent="0.2">
      <c r="B20" s="18" t="s">
        <v>274</v>
      </c>
      <c r="C20" s="16">
        <v>1351</v>
      </c>
      <c r="D20" s="16">
        <v>727</v>
      </c>
      <c r="E20" s="16">
        <f t="shared" si="0"/>
        <v>2078</v>
      </c>
      <c r="F20" s="17">
        <f t="shared" si="1"/>
        <v>2.8642710443975795E-2</v>
      </c>
      <c r="G20" s="16">
        <v>2459</v>
      </c>
      <c r="H20" s="16">
        <v>268</v>
      </c>
      <c r="I20" s="16">
        <v>197</v>
      </c>
      <c r="J20" s="16">
        <v>2924</v>
      </c>
      <c r="K20" s="17">
        <f t="shared" si="2"/>
        <v>2.5245417576819803E-2</v>
      </c>
      <c r="L20" s="16">
        <v>0</v>
      </c>
      <c r="M20" s="16">
        <f t="shared" si="3"/>
        <v>5002</v>
      </c>
      <c r="P20" s="27"/>
    </row>
    <row r="21" spans="2:16" x14ac:dyDescent="0.2">
      <c r="B21" s="18" t="s">
        <v>275</v>
      </c>
      <c r="C21" s="16">
        <v>726</v>
      </c>
      <c r="D21" s="16">
        <v>722</v>
      </c>
      <c r="E21" s="16">
        <f t="shared" si="0"/>
        <v>1448</v>
      </c>
      <c r="F21" s="17">
        <f t="shared" si="1"/>
        <v>1.9958924313222787E-2</v>
      </c>
      <c r="G21" s="16">
        <v>990</v>
      </c>
      <c r="H21" s="16">
        <v>76</v>
      </c>
      <c r="I21" s="16">
        <v>118</v>
      </c>
      <c r="J21" s="16">
        <v>1184</v>
      </c>
      <c r="K21" s="17">
        <f t="shared" si="2"/>
        <v>1.0222494668589141E-2</v>
      </c>
      <c r="L21" s="16">
        <v>0</v>
      </c>
      <c r="M21" s="16">
        <f t="shared" si="3"/>
        <v>2632</v>
      </c>
      <c r="P21" s="27"/>
    </row>
    <row r="22" spans="2:16" x14ac:dyDescent="0.2">
      <c r="B22" s="18" t="s">
        <v>276</v>
      </c>
      <c r="C22" s="16">
        <v>1581</v>
      </c>
      <c r="D22" s="16">
        <v>1036</v>
      </c>
      <c r="E22" s="16">
        <f t="shared" si="0"/>
        <v>2617</v>
      </c>
      <c r="F22" s="17">
        <f t="shared" si="1"/>
        <v>3.6072171911397811E-2</v>
      </c>
      <c r="G22" s="16">
        <v>3470</v>
      </c>
      <c r="H22" s="16">
        <v>487</v>
      </c>
      <c r="I22" s="16">
        <v>277</v>
      </c>
      <c r="J22" s="16">
        <v>4234</v>
      </c>
      <c r="K22" s="17">
        <f t="shared" si="2"/>
        <v>3.6555779076694613E-2</v>
      </c>
      <c r="L22" s="16">
        <v>0</v>
      </c>
      <c r="M22" s="16">
        <f t="shared" si="3"/>
        <v>6851</v>
      </c>
      <c r="P22" s="27"/>
    </row>
    <row r="23" spans="2:16" x14ac:dyDescent="0.2">
      <c r="B23" s="18" t="s">
        <v>277</v>
      </c>
      <c r="C23" s="16">
        <v>649</v>
      </c>
      <c r="D23" s="16">
        <v>308</v>
      </c>
      <c r="E23" s="16">
        <f t="shared" si="0"/>
        <v>957</v>
      </c>
      <c r="F23" s="17">
        <f t="shared" si="1"/>
        <v>1.3191084646239094E-2</v>
      </c>
      <c r="G23" s="16">
        <v>538</v>
      </c>
      <c r="H23" s="16">
        <v>62</v>
      </c>
      <c r="I23" s="16">
        <v>47</v>
      </c>
      <c r="J23" s="16">
        <v>647</v>
      </c>
      <c r="K23" s="17">
        <f t="shared" si="2"/>
        <v>5.5861098400145047E-3</v>
      </c>
      <c r="L23" s="16">
        <v>0</v>
      </c>
      <c r="M23" s="16">
        <f t="shared" si="3"/>
        <v>1604</v>
      </c>
      <c r="P23" s="27"/>
    </row>
    <row r="24" spans="2:16" x14ac:dyDescent="0.2">
      <c r="B24" s="18" t="s">
        <v>278</v>
      </c>
      <c r="C24" s="16">
        <v>2829</v>
      </c>
      <c r="D24" s="16">
        <v>2185</v>
      </c>
      <c r="E24" s="16">
        <f t="shared" si="0"/>
        <v>5014</v>
      </c>
      <c r="F24" s="17">
        <f t="shared" si="1"/>
        <v>6.9111910570786639E-2</v>
      </c>
      <c r="G24" s="16">
        <v>5144</v>
      </c>
      <c r="H24" s="16">
        <v>739</v>
      </c>
      <c r="I24" s="16">
        <v>583</v>
      </c>
      <c r="J24" s="16">
        <v>6466</v>
      </c>
      <c r="K24" s="17">
        <f t="shared" si="2"/>
        <v>5.5826562945183601E-2</v>
      </c>
      <c r="L24" s="16">
        <v>0</v>
      </c>
      <c r="M24" s="16">
        <f t="shared" si="3"/>
        <v>11480</v>
      </c>
      <c r="P24" s="27"/>
    </row>
    <row r="25" spans="2:16" x14ac:dyDescent="0.2">
      <c r="B25" s="18" t="s">
        <v>279</v>
      </c>
      <c r="C25" s="16">
        <v>281</v>
      </c>
      <c r="D25" s="16">
        <v>225</v>
      </c>
      <c r="E25" s="16">
        <f t="shared" si="0"/>
        <v>506</v>
      </c>
      <c r="F25" s="17">
        <f t="shared" si="1"/>
        <v>6.97459647962067E-3</v>
      </c>
      <c r="G25" s="16">
        <v>610</v>
      </c>
      <c r="H25" s="16">
        <v>61</v>
      </c>
      <c r="I25" s="16">
        <v>42</v>
      </c>
      <c r="J25" s="16">
        <v>713</v>
      </c>
      <c r="K25" s="17">
        <f t="shared" si="2"/>
        <v>6.1559448468784268E-3</v>
      </c>
      <c r="L25" s="16">
        <v>0</v>
      </c>
      <c r="M25" s="16">
        <f t="shared" si="3"/>
        <v>1219</v>
      </c>
      <c r="P25" s="27"/>
    </row>
    <row r="26" spans="2:16" x14ac:dyDescent="0.2">
      <c r="B26" s="18" t="s">
        <v>280</v>
      </c>
      <c r="C26" s="16">
        <v>1003</v>
      </c>
      <c r="D26" s="16">
        <v>461</v>
      </c>
      <c r="E26" s="16">
        <f t="shared" si="0"/>
        <v>1464</v>
      </c>
      <c r="F26" s="17">
        <f t="shared" si="1"/>
        <v>2.0179464913368896E-2</v>
      </c>
      <c r="G26" s="16">
        <v>2173</v>
      </c>
      <c r="H26" s="16">
        <v>311</v>
      </c>
      <c r="I26" s="16">
        <v>144</v>
      </c>
      <c r="J26" s="16">
        <v>2628</v>
      </c>
      <c r="K26" s="17">
        <f t="shared" si="2"/>
        <v>2.2689793909672518E-2</v>
      </c>
      <c r="L26" s="16">
        <v>0</v>
      </c>
      <c r="M26" s="16">
        <f t="shared" si="3"/>
        <v>4092</v>
      </c>
      <c r="P26" s="27"/>
    </row>
    <row r="27" spans="2:16" x14ac:dyDescent="0.2">
      <c r="B27" s="18" t="s">
        <v>281</v>
      </c>
      <c r="C27" s="16">
        <v>878</v>
      </c>
      <c r="D27" s="16">
        <v>721</v>
      </c>
      <c r="E27" s="16">
        <f t="shared" si="0"/>
        <v>1599</v>
      </c>
      <c r="F27" s="17">
        <f t="shared" si="1"/>
        <v>2.2040276227101682E-2</v>
      </c>
      <c r="G27" s="16">
        <v>937</v>
      </c>
      <c r="H27" s="16">
        <v>86</v>
      </c>
      <c r="I27" s="16">
        <v>128</v>
      </c>
      <c r="J27" s="16">
        <v>1151</v>
      </c>
      <c r="K27" s="17">
        <f t="shared" si="2"/>
        <v>9.9375771651571791E-3</v>
      </c>
      <c r="L27" s="16">
        <v>0</v>
      </c>
      <c r="M27" s="16">
        <f t="shared" si="3"/>
        <v>2750</v>
      </c>
      <c r="P27" s="27"/>
    </row>
    <row r="28" spans="2:16" x14ac:dyDescent="0.2">
      <c r="B28" s="18" t="s">
        <v>282</v>
      </c>
      <c r="C28" s="16">
        <v>725</v>
      </c>
      <c r="D28" s="16">
        <v>525</v>
      </c>
      <c r="E28" s="16">
        <f t="shared" si="0"/>
        <v>1250</v>
      </c>
      <c r="F28" s="17">
        <f t="shared" si="1"/>
        <v>1.7229734386414699E-2</v>
      </c>
      <c r="G28" s="16">
        <v>862</v>
      </c>
      <c r="H28" s="16">
        <v>91</v>
      </c>
      <c r="I28" s="16">
        <v>90</v>
      </c>
      <c r="J28" s="16">
        <v>1043</v>
      </c>
      <c r="K28" s="17">
        <f t="shared" si="2"/>
        <v>9.0051198811980353E-3</v>
      </c>
      <c r="L28" s="16">
        <v>0</v>
      </c>
      <c r="M28" s="16">
        <f t="shared" si="3"/>
        <v>2293</v>
      </c>
      <c r="P28" s="27"/>
    </row>
    <row r="29" spans="2:16" x14ac:dyDescent="0.2">
      <c r="B29" s="18" t="s">
        <v>283</v>
      </c>
      <c r="C29" s="16">
        <v>1167</v>
      </c>
      <c r="D29" s="16">
        <v>827</v>
      </c>
      <c r="E29" s="16">
        <f t="shared" si="0"/>
        <v>1994</v>
      </c>
      <c r="F29" s="17">
        <f t="shared" si="1"/>
        <v>2.7484872293208729E-2</v>
      </c>
      <c r="G29" s="16">
        <v>2401</v>
      </c>
      <c r="H29" s="16">
        <v>368</v>
      </c>
      <c r="I29" s="16">
        <v>178</v>
      </c>
      <c r="J29" s="16">
        <v>2947</v>
      </c>
      <c r="K29" s="17">
        <f t="shared" si="2"/>
        <v>2.544399644284814E-2</v>
      </c>
      <c r="L29" s="16">
        <v>0</v>
      </c>
      <c r="M29" s="16">
        <f t="shared" si="3"/>
        <v>4941</v>
      </c>
      <c r="P29" s="27"/>
    </row>
    <row r="30" spans="2:16" x14ac:dyDescent="0.2">
      <c r="B30" s="18" t="s">
        <v>284</v>
      </c>
      <c r="C30" s="16">
        <v>704</v>
      </c>
      <c r="D30" s="16">
        <v>472</v>
      </c>
      <c r="E30" s="16">
        <f t="shared" si="0"/>
        <v>1176</v>
      </c>
      <c r="F30" s="17">
        <f t="shared" si="1"/>
        <v>1.6209734110738949E-2</v>
      </c>
      <c r="G30" s="16">
        <v>844</v>
      </c>
      <c r="H30" s="16">
        <v>58</v>
      </c>
      <c r="I30" s="16">
        <v>108</v>
      </c>
      <c r="J30" s="16">
        <v>1010</v>
      </c>
      <c r="K30" s="17">
        <f t="shared" si="2"/>
        <v>8.7202023777660734E-3</v>
      </c>
      <c r="L30" s="16">
        <v>0</v>
      </c>
      <c r="M30" s="16">
        <f t="shared" si="3"/>
        <v>2186</v>
      </c>
      <c r="P30" s="27"/>
    </row>
    <row r="31" spans="2:16" x14ac:dyDescent="0.2">
      <c r="B31" s="18" t="s">
        <v>285</v>
      </c>
      <c r="C31" s="16">
        <v>2010</v>
      </c>
      <c r="D31" s="16">
        <v>1386</v>
      </c>
      <c r="E31" s="16">
        <f t="shared" si="0"/>
        <v>3396</v>
      </c>
      <c r="F31" s="17">
        <f t="shared" si="1"/>
        <v>4.6809742381011453E-2</v>
      </c>
      <c r="G31" s="16">
        <v>6389</v>
      </c>
      <c r="H31" s="16">
        <v>967</v>
      </c>
      <c r="I31" s="16">
        <v>481</v>
      </c>
      <c r="J31" s="16">
        <v>7837</v>
      </c>
      <c r="K31" s="17">
        <f t="shared" si="2"/>
        <v>6.7663590133220514E-2</v>
      </c>
      <c r="L31" s="16">
        <v>0</v>
      </c>
      <c r="M31" s="16">
        <f t="shared" si="3"/>
        <v>11233</v>
      </c>
      <c r="P31" s="27"/>
    </row>
    <row r="32" spans="2:16" x14ac:dyDescent="0.2">
      <c r="B32" s="18" t="s">
        <v>286</v>
      </c>
      <c r="C32" s="16">
        <v>1104</v>
      </c>
      <c r="D32" s="16">
        <v>486</v>
      </c>
      <c r="E32" s="16">
        <f t="shared" si="0"/>
        <v>1590</v>
      </c>
      <c r="F32" s="17">
        <f t="shared" si="1"/>
        <v>2.1916222139519496E-2</v>
      </c>
      <c r="G32" s="16">
        <v>2289</v>
      </c>
      <c r="H32" s="16">
        <v>445</v>
      </c>
      <c r="I32" s="16">
        <v>113</v>
      </c>
      <c r="J32" s="16">
        <v>2847</v>
      </c>
      <c r="K32" s="17">
        <f t="shared" si="2"/>
        <v>2.4580610068811893E-2</v>
      </c>
      <c r="L32" s="16">
        <v>0</v>
      </c>
      <c r="M32" s="16">
        <f t="shared" si="3"/>
        <v>4437</v>
      </c>
      <c r="P32" s="27"/>
    </row>
    <row r="33" spans="2:16" x14ac:dyDescent="0.2">
      <c r="B33" s="18" t="s">
        <v>287</v>
      </c>
      <c r="C33" s="16">
        <v>319</v>
      </c>
      <c r="D33" s="16">
        <v>307</v>
      </c>
      <c r="E33" s="16">
        <f t="shared" si="0"/>
        <v>626</v>
      </c>
      <c r="F33" s="17">
        <f t="shared" si="1"/>
        <v>8.6286509807164818E-3</v>
      </c>
      <c r="G33" s="16">
        <v>798</v>
      </c>
      <c r="H33" s="16">
        <v>71</v>
      </c>
      <c r="I33" s="16">
        <v>47</v>
      </c>
      <c r="J33" s="16">
        <v>916</v>
      </c>
      <c r="K33" s="17">
        <f t="shared" si="2"/>
        <v>7.9086191861720036E-3</v>
      </c>
      <c r="L33" s="16">
        <v>0</v>
      </c>
      <c r="M33" s="16">
        <f t="shared" si="3"/>
        <v>1542</v>
      </c>
      <c r="P33" s="27"/>
    </row>
    <row r="34" spans="2:16" x14ac:dyDescent="0.2">
      <c r="B34" s="18" t="s">
        <v>288</v>
      </c>
      <c r="C34" s="16">
        <v>423</v>
      </c>
      <c r="D34" s="16">
        <v>332</v>
      </c>
      <c r="E34" s="16">
        <f t="shared" si="0"/>
        <v>755</v>
      </c>
      <c r="F34" s="17">
        <f t="shared" si="1"/>
        <v>1.0406759569394478E-2</v>
      </c>
      <c r="G34" s="16">
        <v>815</v>
      </c>
      <c r="H34" s="16">
        <v>80</v>
      </c>
      <c r="I34" s="16">
        <v>57</v>
      </c>
      <c r="J34" s="16">
        <v>952</v>
      </c>
      <c r="K34" s="17">
        <f t="shared" si="2"/>
        <v>8.2194382808250515E-3</v>
      </c>
      <c r="L34" s="16">
        <v>0</v>
      </c>
      <c r="M34" s="16">
        <f t="shared" si="3"/>
        <v>1707</v>
      </c>
      <c r="P34" s="27"/>
    </row>
    <row r="35" spans="2:16" x14ac:dyDescent="0.2">
      <c r="B35" s="18" t="s">
        <v>289</v>
      </c>
      <c r="C35" s="16">
        <v>517</v>
      </c>
      <c r="D35" s="16">
        <v>449</v>
      </c>
      <c r="E35" s="16">
        <f t="shared" si="0"/>
        <v>966</v>
      </c>
      <c r="F35" s="17">
        <f t="shared" si="1"/>
        <v>1.3315138733821279E-2</v>
      </c>
      <c r="G35" s="16">
        <v>713</v>
      </c>
      <c r="H35" s="16">
        <v>48</v>
      </c>
      <c r="I35" s="16">
        <v>82</v>
      </c>
      <c r="J35" s="16">
        <v>843</v>
      </c>
      <c r="K35" s="17">
        <f t="shared" si="2"/>
        <v>7.2783471331255454E-3</v>
      </c>
      <c r="L35" s="16">
        <v>0</v>
      </c>
      <c r="M35" s="16">
        <f t="shared" si="3"/>
        <v>1809</v>
      </c>
      <c r="P35" s="27"/>
    </row>
    <row r="36" spans="2:16" x14ac:dyDescent="0.2">
      <c r="B36" s="18" t="s">
        <v>290</v>
      </c>
      <c r="C36" s="16">
        <v>435</v>
      </c>
      <c r="D36" s="16">
        <v>416</v>
      </c>
      <c r="E36" s="16">
        <f t="shared" si="0"/>
        <v>851</v>
      </c>
      <c r="F36" s="17">
        <f t="shared" si="1"/>
        <v>1.1730003170271126E-2</v>
      </c>
      <c r="G36" s="16">
        <v>1149</v>
      </c>
      <c r="H36" s="16">
        <v>124</v>
      </c>
      <c r="I36" s="16">
        <v>110</v>
      </c>
      <c r="J36" s="16">
        <v>1383</v>
      </c>
      <c r="K36" s="17">
        <f t="shared" si="2"/>
        <v>1.1940633552921269E-2</v>
      </c>
      <c r="L36" s="16">
        <v>0</v>
      </c>
      <c r="M36" s="16">
        <f t="shared" si="3"/>
        <v>2234</v>
      </c>
      <c r="P36" s="27"/>
    </row>
    <row r="37" spans="2:16" x14ac:dyDescent="0.2">
      <c r="B37" s="18" t="s">
        <v>291</v>
      </c>
      <c r="C37" s="16">
        <v>1706</v>
      </c>
      <c r="D37" s="16">
        <v>1071</v>
      </c>
      <c r="E37" s="16">
        <f t="shared" si="0"/>
        <v>2777</v>
      </c>
      <c r="F37" s="17">
        <f t="shared" si="1"/>
        <v>3.8277577912858893E-2</v>
      </c>
      <c r="G37" s="16">
        <v>4584</v>
      </c>
      <c r="H37" s="16">
        <v>723</v>
      </c>
      <c r="I37" s="16">
        <v>287</v>
      </c>
      <c r="J37" s="16">
        <v>5594</v>
      </c>
      <c r="K37" s="17">
        <f t="shared" si="2"/>
        <v>4.8297833763587546E-2</v>
      </c>
      <c r="L37" s="16">
        <v>0</v>
      </c>
      <c r="M37" s="16">
        <f t="shared" si="3"/>
        <v>8371</v>
      </c>
      <c r="P37" s="27"/>
    </row>
    <row r="38" spans="2:16" x14ac:dyDescent="0.2">
      <c r="B38" s="18" t="s">
        <v>292</v>
      </c>
      <c r="C38" s="16">
        <v>1889</v>
      </c>
      <c r="D38" s="16">
        <v>1251</v>
      </c>
      <c r="E38" s="16">
        <f t="shared" si="0"/>
        <v>3140</v>
      </c>
      <c r="F38" s="17">
        <f t="shared" si="1"/>
        <v>4.3281092778673723E-2</v>
      </c>
      <c r="G38" s="16">
        <v>3086</v>
      </c>
      <c r="H38" s="16">
        <v>370</v>
      </c>
      <c r="I38" s="16">
        <v>249</v>
      </c>
      <c r="J38" s="16">
        <v>3705</v>
      </c>
      <c r="K38" s="17">
        <f t="shared" si="2"/>
        <v>3.1988465158042878E-2</v>
      </c>
      <c r="L38" s="16">
        <v>0</v>
      </c>
      <c r="M38" s="16">
        <f t="shared" si="3"/>
        <v>6845</v>
      </c>
      <c r="P38" s="27"/>
    </row>
    <row r="39" spans="2:16" x14ac:dyDescent="0.2">
      <c r="B39" s="18" t="s">
        <v>293</v>
      </c>
      <c r="C39" s="16">
        <v>928</v>
      </c>
      <c r="D39" s="16">
        <v>619</v>
      </c>
      <c r="E39" s="16">
        <f t="shared" si="0"/>
        <v>1547</v>
      </c>
      <c r="F39" s="17">
        <f t="shared" si="1"/>
        <v>2.1323519276626832E-2</v>
      </c>
      <c r="G39" s="16">
        <v>2064</v>
      </c>
      <c r="H39" s="16">
        <v>277</v>
      </c>
      <c r="I39" s="16">
        <v>160</v>
      </c>
      <c r="J39" s="16">
        <v>2501</v>
      </c>
      <c r="K39" s="17">
        <f t="shared" si="2"/>
        <v>2.1593293214646488E-2</v>
      </c>
      <c r="L39" s="16">
        <v>0</v>
      </c>
      <c r="M39" s="16">
        <f t="shared" si="3"/>
        <v>4048</v>
      </c>
      <c r="P39" s="27"/>
    </row>
    <row r="40" spans="2:16" x14ac:dyDescent="0.2">
      <c r="B40" s="18" t="s">
        <v>294</v>
      </c>
      <c r="C40" s="16">
        <v>730</v>
      </c>
      <c r="D40" s="16">
        <v>790</v>
      </c>
      <c r="E40" s="16">
        <f t="shared" si="0"/>
        <v>1520</v>
      </c>
      <c r="F40" s="17">
        <f t="shared" si="1"/>
        <v>2.0951357013880276E-2</v>
      </c>
      <c r="G40" s="16">
        <v>1208</v>
      </c>
      <c r="H40" s="16">
        <v>103</v>
      </c>
      <c r="I40" s="16">
        <v>96</v>
      </c>
      <c r="J40" s="16">
        <v>1407</v>
      </c>
      <c r="K40" s="17">
        <f t="shared" si="2"/>
        <v>1.2147846282689967E-2</v>
      </c>
      <c r="L40" s="16">
        <v>0</v>
      </c>
      <c r="M40" s="16">
        <f t="shared" si="3"/>
        <v>2927</v>
      </c>
      <c r="P40" s="27"/>
    </row>
    <row r="41" spans="2:16" x14ac:dyDescent="0.2">
      <c r="B41" s="18" t="s">
        <v>295</v>
      </c>
      <c r="C41" s="16">
        <v>599</v>
      </c>
      <c r="D41" s="16">
        <v>447</v>
      </c>
      <c r="E41" s="16">
        <f t="shared" si="0"/>
        <v>1046</v>
      </c>
      <c r="F41" s="17">
        <f t="shared" si="1"/>
        <v>1.4417841734551819E-2</v>
      </c>
      <c r="G41" s="16">
        <v>747</v>
      </c>
      <c r="H41" s="16">
        <v>58</v>
      </c>
      <c r="I41" s="16">
        <v>72</v>
      </c>
      <c r="J41" s="16">
        <v>877</v>
      </c>
      <c r="K41" s="17">
        <f t="shared" si="2"/>
        <v>7.5718985002978679E-3</v>
      </c>
      <c r="L41" s="16">
        <v>0</v>
      </c>
      <c r="M41" s="16">
        <f t="shared" si="3"/>
        <v>1923</v>
      </c>
      <c r="P41" s="27"/>
    </row>
    <row r="42" spans="2:16" x14ac:dyDescent="0.2">
      <c r="B42" s="18" t="s">
        <v>296</v>
      </c>
      <c r="C42" s="16">
        <v>1106</v>
      </c>
      <c r="D42" s="16">
        <v>727</v>
      </c>
      <c r="E42" s="16">
        <f t="shared" si="0"/>
        <v>1833</v>
      </c>
      <c r="F42" s="17">
        <f t="shared" si="1"/>
        <v>2.5265682504238513E-2</v>
      </c>
      <c r="G42" s="16">
        <v>2684</v>
      </c>
      <c r="H42" s="16">
        <v>383</v>
      </c>
      <c r="I42" s="16">
        <v>226</v>
      </c>
      <c r="J42" s="16">
        <v>3293</v>
      </c>
      <c r="K42" s="17">
        <f t="shared" si="2"/>
        <v>2.8431313297013545E-2</v>
      </c>
      <c r="L42" s="16">
        <v>0</v>
      </c>
      <c r="M42" s="16">
        <f t="shared" si="3"/>
        <v>5126</v>
      </c>
      <c r="P42" s="27"/>
    </row>
    <row r="43" spans="2:16" x14ac:dyDescent="0.2">
      <c r="B43" s="18" t="s">
        <v>39</v>
      </c>
      <c r="C43" s="16">
        <f t="shared" ref="C43:D43" si="4">SUM(C11:C42)</f>
        <v>44317</v>
      </c>
      <c r="D43" s="16">
        <f t="shared" si="4"/>
        <v>28232</v>
      </c>
      <c r="E43" s="18">
        <f t="shared" ref="E43" si="5">C43+D43</f>
        <v>72549</v>
      </c>
      <c r="F43" s="19">
        <f t="shared" ref="F43" si="6">E43/$E$43</f>
        <v>1</v>
      </c>
      <c r="G43" s="16">
        <f t="shared" ref="G43:J43" si="7">SUM(G11:G42)</f>
        <v>93751</v>
      </c>
      <c r="H43" s="16">
        <f t="shared" si="7"/>
        <v>14675</v>
      </c>
      <c r="I43" s="16">
        <f t="shared" si="7"/>
        <v>7397</v>
      </c>
      <c r="J43" s="16">
        <f t="shared" si="7"/>
        <v>115823</v>
      </c>
      <c r="K43" s="17">
        <f t="shared" si="2"/>
        <v>1</v>
      </c>
      <c r="L43" s="16">
        <f t="shared" ref="L43" si="8">SUM(L11:L42)</f>
        <v>0</v>
      </c>
      <c r="M43" s="16">
        <f t="shared" si="3"/>
        <v>188372</v>
      </c>
      <c r="P43" s="27"/>
    </row>
    <row r="44" spans="2:16" ht="25.5" customHeight="1" x14ac:dyDescent="0.2">
      <c r="B44" s="28" t="s">
        <v>44</v>
      </c>
      <c r="C44" s="29">
        <f>+C43/M43</f>
        <v>0.2352632025991124</v>
      </c>
      <c r="D44" s="29">
        <f>+D43/M43</f>
        <v>0.1498736542585947</v>
      </c>
      <c r="E44" s="30">
        <f>+E43/M43</f>
        <v>0.3851368568577071</v>
      </c>
      <c r="F44" s="30"/>
      <c r="G44" s="29">
        <f>+G43/M43</f>
        <v>0.49769073960036525</v>
      </c>
      <c r="H44" s="29">
        <f>+H43/M43</f>
        <v>7.7904359458942946E-2</v>
      </c>
      <c r="I44" s="29">
        <f>+I43/M43</f>
        <v>3.9268044082984732E-2</v>
      </c>
      <c r="J44" s="30">
        <f>+J43/M43</f>
        <v>0.61486314314229296</v>
      </c>
      <c r="K44" s="30"/>
      <c r="L44" s="30">
        <f>+L43/M43</f>
        <v>0</v>
      </c>
      <c r="M44" s="30">
        <f>J44+L44+E44</f>
        <v>1</v>
      </c>
    </row>
    <row r="45" spans="2:16" x14ac:dyDescent="0.2">
      <c r="B45" s="21"/>
      <c r="C45" s="34"/>
      <c r="D45" s="34"/>
      <c r="E45" s="34"/>
      <c r="F45" s="34"/>
      <c r="G45" s="34"/>
      <c r="H45" s="34"/>
      <c r="I45" s="34"/>
      <c r="J45" s="34"/>
      <c r="K45" s="34"/>
    </row>
    <row r="46" spans="2:16" ht="12.75" x14ac:dyDescent="0.2">
      <c r="B46" s="344" t="s">
        <v>576</v>
      </c>
      <c r="C46" s="344"/>
      <c r="D46" s="344"/>
      <c r="E46" s="344"/>
      <c r="F46" s="344"/>
      <c r="G46" s="344"/>
      <c r="H46" s="344"/>
      <c r="I46" s="344"/>
      <c r="J46" s="344"/>
      <c r="K46" s="344"/>
    </row>
    <row r="47" spans="2:16" ht="12.75" x14ac:dyDescent="0.2">
      <c r="B47" s="374" t="str">
        <f>'Solicitudes Regiones'!$B$6:$R$6</f>
        <v>Julio de 2008 a junio de 2022</v>
      </c>
      <c r="C47" s="374"/>
      <c r="D47" s="374"/>
      <c r="E47" s="374"/>
      <c r="F47" s="374"/>
      <c r="G47" s="374"/>
      <c r="H47" s="374"/>
      <c r="I47" s="374"/>
      <c r="J47" s="374"/>
      <c r="K47" s="374"/>
    </row>
    <row r="49" spans="2:13" ht="15" customHeight="1" x14ac:dyDescent="0.2">
      <c r="B49" s="373" t="s">
        <v>596</v>
      </c>
      <c r="C49" s="373"/>
      <c r="D49" s="373"/>
      <c r="E49" s="373"/>
      <c r="F49" s="373"/>
      <c r="G49" s="373"/>
      <c r="H49" s="373"/>
      <c r="I49" s="373"/>
      <c r="J49" s="373"/>
      <c r="K49" s="373"/>
      <c r="L49" s="373"/>
      <c r="M49" s="373"/>
    </row>
    <row r="50" spans="2:13" ht="15" customHeight="1" x14ac:dyDescent="0.2">
      <c r="B50" s="373" t="s">
        <v>41</v>
      </c>
      <c r="C50" s="370" t="s">
        <v>544</v>
      </c>
      <c r="D50" s="371"/>
      <c r="E50" s="371"/>
      <c r="F50" s="371"/>
      <c r="G50" s="371"/>
      <c r="H50" s="371"/>
      <c r="I50" s="371"/>
      <c r="J50" s="371"/>
      <c r="K50" s="371"/>
      <c r="L50" s="372"/>
      <c r="M50" s="307"/>
    </row>
    <row r="51" spans="2:13" ht="60" x14ac:dyDescent="0.2">
      <c r="B51" s="373"/>
      <c r="C51" s="20" t="s">
        <v>540</v>
      </c>
      <c r="D51" s="20" t="s">
        <v>42</v>
      </c>
      <c r="E51" s="20" t="s">
        <v>553</v>
      </c>
      <c r="F51" s="20" t="s">
        <v>554</v>
      </c>
      <c r="G51" s="20" t="s">
        <v>542</v>
      </c>
      <c r="H51" s="20" t="s">
        <v>2</v>
      </c>
      <c r="I51" s="20" t="s">
        <v>43</v>
      </c>
      <c r="J51" s="20" t="s">
        <v>549</v>
      </c>
      <c r="K51" s="296" t="s">
        <v>550</v>
      </c>
      <c r="L51" s="296" t="s">
        <v>523</v>
      </c>
      <c r="M51" s="296" t="s">
        <v>641</v>
      </c>
    </row>
    <row r="52" spans="2:13" x14ac:dyDescent="0.2">
      <c r="B52" s="18" t="s">
        <v>265</v>
      </c>
      <c r="C52" s="16">
        <v>1804</v>
      </c>
      <c r="D52" s="16">
        <v>576</v>
      </c>
      <c r="E52" s="16">
        <f>C52+D52</f>
        <v>2380</v>
      </c>
      <c r="F52" s="17">
        <f>E52/$E$84</f>
        <v>4.4658773197230404E-2</v>
      </c>
      <c r="G52" s="16">
        <v>1985</v>
      </c>
      <c r="H52" s="16">
        <v>96</v>
      </c>
      <c r="I52" s="16">
        <v>178</v>
      </c>
      <c r="J52" s="16">
        <v>2259</v>
      </c>
      <c r="K52" s="17">
        <f>J52/$J$84</f>
        <v>2.3658413975116251E-2</v>
      </c>
      <c r="L52" s="16">
        <v>0</v>
      </c>
      <c r="M52" s="16">
        <f t="shared" ref="M52:M84" si="9">L52+J52+E52</f>
        <v>4639</v>
      </c>
    </row>
    <row r="53" spans="2:13" x14ac:dyDescent="0.2">
      <c r="B53" s="18" t="s">
        <v>266</v>
      </c>
      <c r="C53" s="16">
        <v>620</v>
      </c>
      <c r="D53" s="16">
        <v>118</v>
      </c>
      <c r="E53" s="16">
        <f t="shared" ref="E53:E83" si="10">C53+D53</f>
        <v>738</v>
      </c>
      <c r="F53" s="17">
        <f t="shared" ref="F53:F83" si="11">E53/$E$84</f>
        <v>1.3847972529225226E-2</v>
      </c>
      <c r="G53" s="16">
        <v>462</v>
      </c>
      <c r="H53" s="16">
        <v>20</v>
      </c>
      <c r="I53" s="16">
        <v>26</v>
      </c>
      <c r="J53" s="16">
        <v>508</v>
      </c>
      <c r="K53" s="17">
        <f t="shared" ref="K53:K84" si="12">J53/$J$84</f>
        <v>5.3202630807255664E-3</v>
      </c>
      <c r="L53" s="16">
        <v>0</v>
      </c>
      <c r="M53" s="16">
        <f t="shared" si="9"/>
        <v>1246</v>
      </c>
    </row>
    <row r="54" spans="2:13" x14ac:dyDescent="0.2">
      <c r="B54" s="18" t="s">
        <v>267</v>
      </c>
      <c r="C54" s="16">
        <v>1256</v>
      </c>
      <c r="D54" s="16">
        <v>381</v>
      </c>
      <c r="E54" s="16">
        <f t="shared" si="10"/>
        <v>1637</v>
      </c>
      <c r="F54" s="17">
        <f t="shared" si="11"/>
        <v>3.0716979715910156E-2</v>
      </c>
      <c r="G54" s="16">
        <v>2425</v>
      </c>
      <c r="H54" s="16">
        <v>245</v>
      </c>
      <c r="I54" s="16">
        <v>187</v>
      </c>
      <c r="J54" s="16">
        <v>2857</v>
      </c>
      <c r="K54" s="17">
        <f t="shared" si="12"/>
        <v>2.992124334967115E-2</v>
      </c>
      <c r="L54" s="16">
        <v>0</v>
      </c>
      <c r="M54" s="16">
        <f t="shared" si="9"/>
        <v>4494</v>
      </c>
    </row>
    <row r="55" spans="2:13" x14ac:dyDescent="0.2">
      <c r="B55" s="18" t="s">
        <v>268</v>
      </c>
      <c r="C55" s="16">
        <v>1139</v>
      </c>
      <c r="D55" s="16">
        <v>318</v>
      </c>
      <c r="E55" s="16">
        <f t="shared" si="10"/>
        <v>1457</v>
      </c>
      <c r="F55" s="17">
        <f t="shared" si="11"/>
        <v>2.7339425440489371E-2</v>
      </c>
      <c r="G55" s="16">
        <v>1083</v>
      </c>
      <c r="H55" s="16">
        <v>63</v>
      </c>
      <c r="I55" s="16">
        <v>92</v>
      </c>
      <c r="J55" s="16">
        <v>1238</v>
      </c>
      <c r="K55" s="17">
        <f t="shared" si="12"/>
        <v>1.2965523019563488E-2</v>
      </c>
      <c r="L55" s="16">
        <v>0</v>
      </c>
      <c r="M55" s="16">
        <f t="shared" si="9"/>
        <v>2695</v>
      </c>
    </row>
    <row r="56" spans="2:13" x14ac:dyDescent="0.2">
      <c r="B56" s="18" t="s">
        <v>269</v>
      </c>
      <c r="C56" s="16">
        <v>2311</v>
      </c>
      <c r="D56" s="16">
        <v>655</v>
      </c>
      <c r="E56" s="16">
        <f t="shared" si="10"/>
        <v>2966</v>
      </c>
      <c r="F56" s="17">
        <f t="shared" si="11"/>
        <v>5.5654588782766967E-2</v>
      </c>
      <c r="G56" s="16">
        <v>5360</v>
      </c>
      <c r="H56" s="16">
        <v>480</v>
      </c>
      <c r="I56" s="16">
        <v>374</v>
      </c>
      <c r="J56" s="16">
        <v>6214</v>
      </c>
      <c r="K56" s="17">
        <f t="shared" si="12"/>
        <v>6.5078966109505254E-2</v>
      </c>
      <c r="L56" s="16">
        <v>0</v>
      </c>
      <c r="M56" s="16">
        <f t="shared" si="9"/>
        <v>9180</v>
      </c>
    </row>
    <row r="57" spans="2:13" x14ac:dyDescent="0.2">
      <c r="B57" s="18" t="s">
        <v>270</v>
      </c>
      <c r="C57" s="16">
        <v>885</v>
      </c>
      <c r="D57" s="16">
        <v>319</v>
      </c>
      <c r="E57" s="16">
        <f t="shared" si="10"/>
        <v>1204</v>
      </c>
      <c r="F57" s="17">
        <f t="shared" si="11"/>
        <v>2.2592085264481265E-2</v>
      </c>
      <c r="G57" s="16">
        <v>2237</v>
      </c>
      <c r="H57" s="16">
        <v>186</v>
      </c>
      <c r="I57" s="16">
        <v>172</v>
      </c>
      <c r="J57" s="16">
        <v>2595</v>
      </c>
      <c r="K57" s="17">
        <f t="shared" si="12"/>
        <v>2.7177328138745759E-2</v>
      </c>
      <c r="L57" s="16">
        <v>0</v>
      </c>
      <c r="M57" s="16">
        <f t="shared" si="9"/>
        <v>3799</v>
      </c>
    </row>
    <row r="58" spans="2:13" x14ac:dyDescent="0.2">
      <c r="B58" s="18" t="s">
        <v>271</v>
      </c>
      <c r="C58" s="16">
        <v>914</v>
      </c>
      <c r="D58" s="16">
        <v>360</v>
      </c>
      <c r="E58" s="16">
        <f t="shared" si="10"/>
        <v>1274</v>
      </c>
      <c r="F58" s="17">
        <f t="shared" si="11"/>
        <v>2.390557859381157E-2</v>
      </c>
      <c r="G58" s="16">
        <v>2293</v>
      </c>
      <c r="H58" s="16">
        <v>168</v>
      </c>
      <c r="I58" s="16">
        <v>130</v>
      </c>
      <c r="J58" s="16">
        <v>2591</v>
      </c>
      <c r="K58" s="17">
        <f t="shared" si="12"/>
        <v>2.7135436303464454E-2</v>
      </c>
      <c r="L58" s="16">
        <v>0</v>
      </c>
      <c r="M58" s="16">
        <f t="shared" si="9"/>
        <v>3865</v>
      </c>
    </row>
    <row r="59" spans="2:13" x14ac:dyDescent="0.2">
      <c r="B59" s="18" t="s">
        <v>272</v>
      </c>
      <c r="C59" s="16">
        <v>8272</v>
      </c>
      <c r="D59" s="16">
        <v>2828</v>
      </c>
      <c r="E59" s="16">
        <f t="shared" si="10"/>
        <v>11100</v>
      </c>
      <c r="F59" s="17">
        <f t="shared" si="11"/>
        <v>0.20828251365094852</v>
      </c>
      <c r="G59" s="16">
        <v>22072</v>
      </c>
      <c r="H59" s="16">
        <v>2940</v>
      </c>
      <c r="I59" s="16">
        <v>1647</v>
      </c>
      <c r="J59" s="16">
        <v>26659</v>
      </c>
      <c r="K59" s="17">
        <f t="shared" si="12"/>
        <v>0.27919860919106865</v>
      </c>
      <c r="L59" s="16">
        <v>0</v>
      </c>
      <c r="M59" s="16">
        <f t="shared" si="9"/>
        <v>37759</v>
      </c>
    </row>
    <row r="60" spans="2:13" x14ac:dyDescent="0.2">
      <c r="B60" s="18" t="s">
        <v>273</v>
      </c>
      <c r="C60" s="16">
        <v>1314</v>
      </c>
      <c r="D60" s="16">
        <v>313</v>
      </c>
      <c r="E60" s="16">
        <f t="shared" si="10"/>
        <v>1627</v>
      </c>
      <c r="F60" s="17">
        <f t="shared" si="11"/>
        <v>3.0529337811720115E-2</v>
      </c>
      <c r="G60" s="16">
        <v>1900</v>
      </c>
      <c r="H60" s="16">
        <v>132</v>
      </c>
      <c r="I60" s="16">
        <v>115</v>
      </c>
      <c r="J60" s="16">
        <v>2147</v>
      </c>
      <c r="K60" s="17">
        <f t="shared" si="12"/>
        <v>2.2485442587239748E-2</v>
      </c>
      <c r="L60" s="16">
        <v>0</v>
      </c>
      <c r="M60" s="16">
        <f t="shared" si="9"/>
        <v>3774</v>
      </c>
    </row>
    <row r="61" spans="2:13" x14ac:dyDescent="0.2">
      <c r="B61" s="18" t="s">
        <v>274</v>
      </c>
      <c r="C61" s="16">
        <v>1243</v>
      </c>
      <c r="D61" s="16">
        <v>347</v>
      </c>
      <c r="E61" s="16">
        <f t="shared" si="10"/>
        <v>1590</v>
      </c>
      <c r="F61" s="17">
        <f t="shared" si="11"/>
        <v>2.983506276621695E-2</v>
      </c>
      <c r="G61" s="16">
        <v>2219</v>
      </c>
      <c r="H61" s="16">
        <v>146</v>
      </c>
      <c r="I61" s="16">
        <v>171</v>
      </c>
      <c r="J61" s="16">
        <v>2536</v>
      </c>
      <c r="K61" s="17">
        <f t="shared" si="12"/>
        <v>2.6559423568346528E-2</v>
      </c>
      <c r="L61" s="16">
        <v>0</v>
      </c>
      <c r="M61" s="16">
        <f t="shared" si="9"/>
        <v>4126</v>
      </c>
    </row>
    <row r="62" spans="2:13" x14ac:dyDescent="0.2">
      <c r="B62" s="18" t="s">
        <v>275</v>
      </c>
      <c r="C62" s="16">
        <v>693</v>
      </c>
      <c r="D62" s="16">
        <v>286</v>
      </c>
      <c r="E62" s="16">
        <f t="shared" si="10"/>
        <v>979</v>
      </c>
      <c r="F62" s="17">
        <f t="shared" si="11"/>
        <v>1.8370142420205279E-2</v>
      </c>
      <c r="G62" s="16">
        <v>911</v>
      </c>
      <c r="H62" s="16">
        <v>46</v>
      </c>
      <c r="I62" s="16">
        <v>101</v>
      </c>
      <c r="J62" s="16">
        <v>1058</v>
      </c>
      <c r="K62" s="17">
        <f t="shared" si="12"/>
        <v>1.1080390431904822E-2</v>
      </c>
      <c r="L62" s="16">
        <v>0</v>
      </c>
      <c r="M62" s="16">
        <f t="shared" si="9"/>
        <v>2037</v>
      </c>
    </row>
    <row r="63" spans="2:13" x14ac:dyDescent="0.2">
      <c r="B63" s="18" t="s">
        <v>276</v>
      </c>
      <c r="C63" s="16">
        <v>1416</v>
      </c>
      <c r="D63" s="16">
        <v>475</v>
      </c>
      <c r="E63" s="16">
        <f t="shared" si="10"/>
        <v>1891</v>
      </c>
      <c r="F63" s="17">
        <f t="shared" si="11"/>
        <v>3.5483084082337267E-2</v>
      </c>
      <c r="G63" s="16">
        <v>3010</v>
      </c>
      <c r="H63" s="16">
        <v>282</v>
      </c>
      <c r="I63" s="16">
        <v>232</v>
      </c>
      <c r="J63" s="16">
        <v>3524</v>
      </c>
      <c r="K63" s="17">
        <f t="shared" si="12"/>
        <v>3.6906706882828537E-2</v>
      </c>
      <c r="L63" s="16">
        <v>0</v>
      </c>
      <c r="M63" s="16">
        <f t="shared" si="9"/>
        <v>5415</v>
      </c>
    </row>
    <row r="64" spans="2:13" x14ac:dyDescent="0.2">
      <c r="B64" s="18" t="s">
        <v>277</v>
      </c>
      <c r="C64" s="16">
        <v>614</v>
      </c>
      <c r="D64" s="16">
        <v>130</v>
      </c>
      <c r="E64" s="16">
        <f t="shared" si="10"/>
        <v>744</v>
      </c>
      <c r="F64" s="17">
        <f t="shared" si="11"/>
        <v>1.3960557671739253E-2</v>
      </c>
      <c r="G64" s="16">
        <v>496</v>
      </c>
      <c r="H64" s="16">
        <v>34</v>
      </c>
      <c r="I64" s="16">
        <v>43</v>
      </c>
      <c r="J64" s="16">
        <v>573</v>
      </c>
      <c r="K64" s="17">
        <f t="shared" si="12"/>
        <v>6.0010054040467511E-3</v>
      </c>
      <c r="L64" s="16">
        <v>0</v>
      </c>
      <c r="M64" s="16">
        <f t="shared" si="9"/>
        <v>1317</v>
      </c>
    </row>
    <row r="65" spans="2:13" x14ac:dyDescent="0.2">
      <c r="B65" s="18" t="s">
        <v>278</v>
      </c>
      <c r="C65" s="16">
        <v>2620</v>
      </c>
      <c r="D65" s="16">
        <v>1006</v>
      </c>
      <c r="E65" s="16">
        <f t="shared" si="10"/>
        <v>3626</v>
      </c>
      <c r="F65" s="17">
        <f t="shared" si="11"/>
        <v>6.8038954459309853E-2</v>
      </c>
      <c r="G65" s="16">
        <v>4611</v>
      </c>
      <c r="H65" s="16">
        <v>460</v>
      </c>
      <c r="I65" s="16">
        <v>490</v>
      </c>
      <c r="J65" s="16">
        <v>5561</v>
      </c>
      <c r="K65" s="17">
        <f t="shared" si="12"/>
        <v>5.824012399983243E-2</v>
      </c>
      <c r="L65" s="16">
        <v>0</v>
      </c>
      <c r="M65" s="16">
        <f t="shared" si="9"/>
        <v>9187</v>
      </c>
    </row>
    <row r="66" spans="2:13" x14ac:dyDescent="0.2">
      <c r="B66" s="18" t="s">
        <v>279</v>
      </c>
      <c r="C66" s="16">
        <v>263</v>
      </c>
      <c r="D66" s="16">
        <v>99</v>
      </c>
      <c r="E66" s="16">
        <f t="shared" si="10"/>
        <v>362</v>
      </c>
      <c r="F66" s="17">
        <f t="shared" si="11"/>
        <v>6.7926369316795828E-3</v>
      </c>
      <c r="G66" s="16">
        <v>565</v>
      </c>
      <c r="H66" s="16">
        <v>36</v>
      </c>
      <c r="I66" s="16">
        <v>37</v>
      </c>
      <c r="J66" s="16">
        <v>638</v>
      </c>
      <c r="K66" s="17">
        <f t="shared" si="12"/>
        <v>6.6817477273679359E-3</v>
      </c>
      <c r="L66" s="16">
        <v>0</v>
      </c>
      <c r="M66" s="16">
        <f t="shared" si="9"/>
        <v>1000</v>
      </c>
    </row>
    <row r="67" spans="2:13" x14ac:dyDescent="0.2">
      <c r="B67" s="18" t="s">
        <v>280</v>
      </c>
      <c r="C67" s="16">
        <v>878</v>
      </c>
      <c r="D67" s="16">
        <v>200</v>
      </c>
      <c r="E67" s="16">
        <f t="shared" si="10"/>
        <v>1078</v>
      </c>
      <c r="F67" s="17">
        <f t="shared" si="11"/>
        <v>2.0227797271686714E-2</v>
      </c>
      <c r="G67" s="16">
        <v>1781</v>
      </c>
      <c r="H67" s="16">
        <v>160</v>
      </c>
      <c r="I67" s="16">
        <v>116</v>
      </c>
      <c r="J67" s="16">
        <v>2057</v>
      </c>
      <c r="K67" s="17">
        <f t="shared" si="12"/>
        <v>2.1542876293410413E-2</v>
      </c>
      <c r="L67" s="16">
        <v>0</v>
      </c>
      <c r="M67" s="16">
        <f t="shared" si="9"/>
        <v>3135</v>
      </c>
    </row>
    <row r="68" spans="2:13" x14ac:dyDescent="0.2">
      <c r="B68" s="18" t="s">
        <v>281</v>
      </c>
      <c r="C68" s="16">
        <v>840</v>
      </c>
      <c r="D68" s="16">
        <v>301</v>
      </c>
      <c r="E68" s="16">
        <f t="shared" si="10"/>
        <v>1141</v>
      </c>
      <c r="F68" s="17">
        <f t="shared" si="11"/>
        <v>2.1409941268083987E-2</v>
      </c>
      <c r="G68" s="16">
        <v>863</v>
      </c>
      <c r="H68" s="16">
        <v>56</v>
      </c>
      <c r="I68" s="16">
        <v>115</v>
      </c>
      <c r="J68" s="16">
        <v>1034</v>
      </c>
      <c r="K68" s="17">
        <f t="shared" si="12"/>
        <v>1.0829039420217E-2</v>
      </c>
      <c r="L68" s="16">
        <v>0</v>
      </c>
      <c r="M68" s="16">
        <f t="shared" si="9"/>
        <v>2175</v>
      </c>
    </row>
    <row r="69" spans="2:13" x14ac:dyDescent="0.2">
      <c r="B69" s="18" t="s">
        <v>282</v>
      </c>
      <c r="C69" s="16">
        <v>675</v>
      </c>
      <c r="D69" s="16">
        <v>217</v>
      </c>
      <c r="E69" s="16">
        <f t="shared" si="10"/>
        <v>892</v>
      </c>
      <c r="F69" s="17">
        <f t="shared" si="11"/>
        <v>1.6737657853751899E-2</v>
      </c>
      <c r="G69" s="16">
        <v>778</v>
      </c>
      <c r="H69" s="16">
        <v>45</v>
      </c>
      <c r="I69" s="16">
        <v>76</v>
      </c>
      <c r="J69" s="16">
        <v>899</v>
      </c>
      <c r="K69" s="17">
        <f t="shared" si="12"/>
        <v>9.4151899794730001E-3</v>
      </c>
      <c r="L69" s="16">
        <v>0</v>
      </c>
      <c r="M69" s="16">
        <f t="shared" si="9"/>
        <v>1791</v>
      </c>
    </row>
    <row r="70" spans="2:13" x14ac:dyDescent="0.2">
      <c r="B70" s="18" t="s">
        <v>283</v>
      </c>
      <c r="C70" s="16">
        <v>1068</v>
      </c>
      <c r="D70" s="16">
        <v>383</v>
      </c>
      <c r="E70" s="16">
        <f t="shared" si="10"/>
        <v>1451</v>
      </c>
      <c r="F70" s="17">
        <f t="shared" si="11"/>
        <v>2.7226840297975344E-2</v>
      </c>
      <c r="G70" s="16">
        <v>2166</v>
      </c>
      <c r="H70" s="16">
        <v>182</v>
      </c>
      <c r="I70" s="16">
        <v>157</v>
      </c>
      <c r="J70" s="16">
        <v>2505</v>
      </c>
      <c r="K70" s="17">
        <f t="shared" si="12"/>
        <v>2.6234761844916427E-2</v>
      </c>
      <c r="L70" s="16">
        <v>0</v>
      </c>
      <c r="M70" s="16">
        <f t="shared" si="9"/>
        <v>3956</v>
      </c>
    </row>
    <row r="71" spans="2:13" x14ac:dyDescent="0.2">
      <c r="B71" s="18" t="s">
        <v>284</v>
      </c>
      <c r="C71" s="16">
        <v>663</v>
      </c>
      <c r="D71" s="16">
        <v>199</v>
      </c>
      <c r="E71" s="16">
        <f t="shared" si="10"/>
        <v>862</v>
      </c>
      <c r="F71" s="17">
        <f t="shared" si="11"/>
        <v>1.6174732141181768E-2</v>
      </c>
      <c r="G71" s="16">
        <v>779</v>
      </c>
      <c r="H71" s="16">
        <v>30</v>
      </c>
      <c r="I71" s="16">
        <v>87</v>
      </c>
      <c r="J71" s="16">
        <v>896</v>
      </c>
      <c r="K71" s="17">
        <f t="shared" si="12"/>
        <v>9.3837711030120233E-3</v>
      </c>
      <c r="L71" s="16">
        <v>0</v>
      </c>
      <c r="M71" s="16">
        <f t="shared" si="9"/>
        <v>1758</v>
      </c>
    </row>
    <row r="72" spans="2:13" x14ac:dyDescent="0.2">
      <c r="B72" s="18" t="s">
        <v>285</v>
      </c>
      <c r="C72" s="16">
        <v>1739</v>
      </c>
      <c r="D72" s="16">
        <v>638</v>
      </c>
      <c r="E72" s="16">
        <f t="shared" si="10"/>
        <v>2377</v>
      </c>
      <c r="F72" s="17">
        <f t="shared" si="11"/>
        <v>4.4602480625973391E-2</v>
      </c>
      <c r="G72" s="16">
        <v>5460</v>
      </c>
      <c r="H72" s="16">
        <v>475</v>
      </c>
      <c r="I72" s="16">
        <v>418</v>
      </c>
      <c r="J72" s="16">
        <v>6353</v>
      </c>
      <c r="K72" s="17">
        <f t="shared" si="12"/>
        <v>6.6534707385530564E-2</v>
      </c>
      <c r="L72" s="16">
        <v>0</v>
      </c>
      <c r="M72" s="16">
        <f t="shared" si="9"/>
        <v>8730</v>
      </c>
    </row>
    <row r="73" spans="2:13" x14ac:dyDescent="0.2">
      <c r="B73" s="18" t="s">
        <v>286</v>
      </c>
      <c r="C73" s="16">
        <v>977</v>
      </c>
      <c r="D73" s="16">
        <v>242</v>
      </c>
      <c r="E73" s="16">
        <f t="shared" si="10"/>
        <v>1219</v>
      </c>
      <c r="F73" s="17">
        <f t="shared" si="11"/>
        <v>2.2873548120766328E-2</v>
      </c>
      <c r="G73" s="16">
        <v>2012</v>
      </c>
      <c r="H73" s="16">
        <v>271</v>
      </c>
      <c r="I73" s="16">
        <v>91</v>
      </c>
      <c r="J73" s="16">
        <v>2374</v>
      </c>
      <c r="K73" s="17">
        <f t="shared" si="12"/>
        <v>2.486280423945373E-2</v>
      </c>
      <c r="L73" s="16">
        <v>0</v>
      </c>
      <c r="M73" s="16">
        <f t="shared" si="9"/>
        <v>3593</v>
      </c>
    </row>
    <row r="74" spans="2:13" x14ac:dyDescent="0.2">
      <c r="B74" s="18" t="s">
        <v>287</v>
      </c>
      <c r="C74" s="16">
        <v>307</v>
      </c>
      <c r="D74" s="16">
        <v>126</v>
      </c>
      <c r="E74" s="16">
        <f t="shared" si="10"/>
        <v>433</v>
      </c>
      <c r="F74" s="17">
        <f t="shared" si="11"/>
        <v>8.1248944514288931E-3</v>
      </c>
      <c r="G74" s="16">
        <v>728</v>
      </c>
      <c r="H74" s="16">
        <v>37</v>
      </c>
      <c r="I74" s="16">
        <v>34</v>
      </c>
      <c r="J74" s="16">
        <v>799</v>
      </c>
      <c r="K74" s="17">
        <f t="shared" si="12"/>
        <v>8.3678940974404089E-3</v>
      </c>
      <c r="L74" s="16">
        <v>0</v>
      </c>
      <c r="M74" s="16">
        <f t="shared" si="9"/>
        <v>1232</v>
      </c>
    </row>
    <row r="75" spans="2:13" x14ac:dyDescent="0.2">
      <c r="B75" s="18" t="s">
        <v>288</v>
      </c>
      <c r="C75" s="16">
        <v>391</v>
      </c>
      <c r="D75" s="16">
        <v>111</v>
      </c>
      <c r="E75" s="16">
        <f t="shared" si="10"/>
        <v>502</v>
      </c>
      <c r="F75" s="17">
        <f t="shared" si="11"/>
        <v>9.4196235903401954E-3</v>
      </c>
      <c r="G75" s="16">
        <v>743</v>
      </c>
      <c r="H75" s="16">
        <v>37</v>
      </c>
      <c r="I75" s="16">
        <v>49</v>
      </c>
      <c r="J75" s="16">
        <v>829</v>
      </c>
      <c r="K75" s="17">
        <f t="shared" si="12"/>
        <v>8.6820828620501871E-3</v>
      </c>
      <c r="L75" s="16">
        <v>0</v>
      </c>
      <c r="M75" s="16">
        <f t="shared" si="9"/>
        <v>1331</v>
      </c>
    </row>
    <row r="76" spans="2:13" x14ac:dyDescent="0.2">
      <c r="B76" s="18" t="s">
        <v>289</v>
      </c>
      <c r="C76" s="16">
        <v>491</v>
      </c>
      <c r="D76" s="16">
        <v>208</v>
      </c>
      <c r="E76" s="16">
        <f t="shared" si="10"/>
        <v>699</v>
      </c>
      <c r="F76" s="17">
        <f t="shared" si="11"/>
        <v>1.3116169102884056E-2</v>
      </c>
      <c r="G76" s="16">
        <v>659</v>
      </c>
      <c r="H76" s="16">
        <v>31</v>
      </c>
      <c r="I76" s="16">
        <v>69</v>
      </c>
      <c r="J76" s="16">
        <v>759</v>
      </c>
      <c r="K76" s="17">
        <f t="shared" si="12"/>
        <v>7.9489757446273724E-3</v>
      </c>
      <c r="L76" s="16">
        <v>0</v>
      </c>
      <c r="M76" s="16">
        <f t="shared" si="9"/>
        <v>1458</v>
      </c>
    </row>
    <row r="77" spans="2:13" x14ac:dyDescent="0.2">
      <c r="B77" s="18" t="s">
        <v>290</v>
      </c>
      <c r="C77" s="16">
        <v>386</v>
      </c>
      <c r="D77" s="16">
        <v>161</v>
      </c>
      <c r="E77" s="16">
        <f t="shared" si="10"/>
        <v>547</v>
      </c>
      <c r="F77" s="17">
        <f t="shared" si="11"/>
        <v>1.0264012159195391E-2</v>
      </c>
      <c r="G77" s="16">
        <v>1044</v>
      </c>
      <c r="H77" s="16">
        <v>60</v>
      </c>
      <c r="I77" s="16">
        <v>87</v>
      </c>
      <c r="J77" s="16">
        <v>1191</v>
      </c>
      <c r="K77" s="17">
        <f t="shared" si="12"/>
        <v>1.247329395500817E-2</v>
      </c>
      <c r="L77" s="16">
        <v>0</v>
      </c>
      <c r="M77" s="16">
        <f t="shared" si="9"/>
        <v>1738</v>
      </c>
    </row>
    <row r="78" spans="2:13" x14ac:dyDescent="0.2">
      <c r="B78" s="18" t="s">
        <v>291</v>
      </c>
      <c r="C78" s="16">
        <v>1492</v>
      </c>
      <c r="D78" s="16">
        <v>529</v>
      </c>
      <c r="E78" s="16">
        <f t="shared" si="10"/>
        <v>2021</v>
      </c>
      <c r="F78" s="17">
        <f t="shared" si="11"/>
        <v>3.7922428836807839E-2</v>
      </c>
      <c r="G78" s="16">
        <v>4020</v>
      </c>
      <c r="H78" s="16">
        <v>334</v>
      </c>
      <c r="I78" s="16">
        <v>235</v>
      </c>
      <c r="J78" s="16">
        <v>4589</v>
      </c>
      <c r="K78" s="17">
        <f t="shared" si="12"/>
        <v>4.806040802647564E-2</v>
      </c>
      <c r="L78" s="16">
        <v>0</v>
      </c>
      <c r="M78" s="16">
        <f t="shared" si="9"/>
        <v>6610</v>
      </c>
    </row>
    <row r="79" spans="2:13" x14ac:dyDescent="0.2">
      <c r="B79" s="18" t="s">
        <v>292</v>
      </c>
      <c r="C79" s="16">
        <v>1773</v>
      </c>
      <c r="D79" s="16">
        <v>577</v>
      </c>
      <c r="E79" s="16">
        <f t="shared" si="10"/>
        <v>2350</v>
      </c>
      <c r="F79" s="17">
        <f t="shared" si="11"/>
        <v>4.4095847484660278E-2</v>
      </c>
      <c r="G79" s="16">
        <v>2772</v>
      </c>
      <c r="H79" s="16">
        <v>215</v>
      </c>
      <c r="I79" s="16">
        <v>214</v>
      </c>
      <c r="J79" s="16">
        <v>3201</v>
      </c>
      <c r="K79" s="17">
        <f t="shared" si="12"/>
        <v>3.3523941183863266E-2</v>
      </c>
      <c r="L79" s="16">
        <v>0</v>
      </c>
      <c r="M79" s="16">
        <f t="shared" si="9"/>
        <v>5551</v>
      </c>
    </row>
    <row r="80" spans="2:13" x14ac:dyDescent="0.2">
      <c r="B80" s="18" t="s">
        <v>293</v>
      </c>
      <c r="C80" s="16">
        <v>805</v>
      </c>
      <c r="D80" s="16">
        <v>259</v>
      </c>
      <c r="E80" s="16">
        <f t="shared" si="10"/>
        <v>1064</v>
      </c>
      <c r="F80" s="17">
        <f t="shared" si="11"/>
        <v>1.9965098605820651E-2</v>
      </c>
      <c r="G80" s="16">
        <v>1863</v>
      </c>
      <c r="H80" s="16">
        <v>156</v>
      </c>
      <c r="I80" s="16">
        <v>135</v>
      </c>
      <c r="J80" s="16">
        <v>2154</v>
      </c>
      <c r="K80" s="17">
        <f t="shared" si="12"/>
        <v>2.2558753298982027E-2</v>
      </c>
      <c r="L80" s="16">
        <v>0</v>
      </c>
      <c r="M80" s="16">
        <f t="shared" si="9"/>
        <v>3218</v>
      </c>
    </row>
    <row r="81" spans="2:13" x14ac:dyDescent="0.2">
      <c r="B81" s="18" t="s">
        <v>294</v>
      </c>
      <c r="C81" s="16">
        <v>685</v>
      </c>
      <c r="D81" s="16">
        <v>289</v>
      </c>
      <c r="E81" s="16">
        <f t="shared" si="10"/>
        <v>974</v>
      </c>
      <c r="F81" s="17">
        <f t="shared" si="11"/>
        <v>1.8276321468110257E-2</v>
      </c>
      <c r="G81" s="16">
        <v>1113</v>
      </c>
      <c r="H81" s="16">
        <v>66</v>
      </c>
      <c r="I81" s="16">
        <v>87</v>
      </c>
      <c r="J81" s="16">
        <v>1266</v>
      </c>
      <c r="K81" s="17">
        <f t="shared" si="12"/>
        <v>1.3258765866532614E-2</v>
      </c>
      <c r="L81" s="16">
        <v>0</v>
      </c>
      <c r="M81" s="16">
        <f t="shared" si="9"/>
        <v>2240</v>
      </c>
    </row>
    <row r="82" spans="2:13" x14ac:dyDescent="0.2">
      <c r="B82" s="18" t="s">
        <v>295</v>
      </c>
      <c r="C82" s="16">
        <v>566</v>
      </c>
      <c r="D82" s="16">
        <v>197</v>
      </c>
      <c r="E82" s="16">
        <f t="shared" si="10"/>
        <v>763</v>
      </c>
      <c r="F82" s="17">
        <f t="shared" si="11"/>
        <v>1.4317077289700336E-2</v>
      </c>
      <c r="G82" s="16">
        <v>685</v>
      </c>
      <c r="H82" s="16">
        <v>29</v>
      </c>
      <c r="I82" s="16">
        <v>54</v>
      </c>
      <c r="J82" s="16">
        <v>768</v>
      </c>
      <c r="K82" s="17">
        <f t="shared" si="12"/>
        <v>8.0432323740103062E-3</v>
      </c>
      <c r="L82" s="16">
        <v>0</v>
      </c>
      <c r="M82" s="16">
        <f t="shared" si="9"/>
        <v>1531</v>
      </c>
    </row>
    <row r="83" spans="2:13" x14ac:dyDescent="0.2">
      <c r="B83" s="18" t="s">
        <v>296</v>
      </c>
      <c r="C83" s="16">
        <v>1027</v>
      </c>
      <c r="D83" s="16">
        <v>318</v>
      </c>
      <c r="E83" s="16">
        <f t="shared" si="10"/>
        <v>1345</v>
      </c>
      <c r="F83" s="17">
        <f t="shared" si="11"/>
        <v>2.5237836113560879E-2</v>
      </c>
      <c r="G83" s="16">
        <v>2416</v>
      </c>
      <c r="H83" s="16">
        <v>241</v>
      </c>
      <c r="I83" s="16">
        <v>195</v>
      </c>
      <c r="J83" s="16">
        <v>2852</v>
      </c>
      <c r="K83" s="17">
        <f t="shared" si="12"/>
        <v>2.9868878555569519E-2</v>
      </c>
      <c r="L83" s="16">
        <v>0</v>
      </c>
      <c r="M83" s="16">
        <f t="shared" si="9"/>
        <v>4197</v>
      </c>
    </row>
    <row r="84" spans="2:13" x14ac:dyDescent="0.2">
      <c r="B84" s="18" t="s">
        <v>39</v>
      </c>
      <c r="C84" s="16">
        <f t="shared" ref="C84:D84" si="13">SUM(C52:C83)</f>
        <v>40127</v>
      </c>
      <c r="D84" s="16">
        <f t="shared" si="13"/>
        <v>13166</v>
      </c>
      <c r="E84" s="18">
        <f t="shared" ref="E84" si="14">C84+D84</f>
        <v>53293</v>
      </c>
      <c r="F84" s="19">
        <f t="shared" ref="F84" si="15">E84/$E$84</f>
        <v>1</v>
      </c>
      <c r="G84" s="16">
        <f t="shared" ref="G84:J84" si="16">SUM(G52:G83)</f>
        <v>81511</v>
      </c>
      <c r="H84" s="16">
        <f t="shared" si="16"/>
        <v>7759</v>
      </c>
      <c r="I84" s="16">
        <f t="shared" si="16"/>
        <v>6214</v>
      </c>
      <c r="J84" s="16">
        <f t="shared" si="16"/>
        <v>95484</v>
      </c>
      <c r="K84" s="17">
        <f t="shared" si="12"/>
        <v>1</v>
      </c>
      <c r="L84" s="16">
        <f t="shared" ref="L84" si="17">SUM(L52:L83)</f>
        <v>0</v>
      </c>
      <c r="M84" s="16">
        <f t="shared" si="9"/>
        <v>148777</v>
      </c>
    </row>
    <row r="85" spans="2:13" ht="24" x14ac:dyDescent="0.2">
      <c r="B85" s="28" t="s">
        <v>45</v>
      </c>
      <c r="C85" s="29">
        <f>+C84/M84</f>
        <v>0.26971238833959549</v>
      </c>
      <c r="D85" s="29">
        <f>+D84/M84</f>
        <v>8.8494861436915651E-2</v>
      </c>
      <c r="E85" s="30">
        <f>+E84/M84</f>
        <v>0.35820724977651114</v>
      </c>
      <c r="F85" s="30"/>
      <c r="G85" s="29">
        <f>+G84/M84</f>
        <v>0.54787366326784381</v>
      </c>
      <c r="H85" s="29">
        <f>+H84/M84</f>
        <v>5.2151878314524419E-2</v>
      </c>
      <c r="I85" s="29">
        <f>+I84/M84</f>
        <v>4.1767208641120601E-2</v>
      </c>
      <c r="J85" s="30">
        <f>+J84/M84</f>
        <v>0.64179275022348881</v>
      </c>
      <c r="K85" s="30"/>
      <c r="L85" s="30">
        <f>+L84/M84</f>
        <v>0</v>
      </c>
      <c r="M85" s="30">
        <f>J85+L85+E85</f>
        <v>1</v>
      </c>
    </row>
    <row r="86" spans="2:13" x14ac:dyDescent="0.2">
      <c r="B86" s="21" t="s">
        <v>78</v>
      </c>
    </row>
    <row r="87" spans="2:13" x14ac:dyDescent="0.2">
      <c r="B87" s="21" t="s">
        <v>79</v>
      </c>
    </row>
  </sheetData>
  <mergeCells count="10">
    <mergeCell ref="B6:K6"/>
    <mergeCell ref="B5:K5"/>
    <mergeCell ref="B47:K47"/>
    <mergeCell ref="B46:K46"/>
    <mergeCell ref="B8:M8"/>
    <mergeCell ref="B50:B51"/>
    <mergeCell ref="B9:B10"/>
    <mergeCell ref="C9:L9"/>
    <mergeCell ref="C50:L50"/>
    <mergeCell ref="B49:M49"/>
  </mergeCells>
  <hyperlinks>
    <hyperlink ref="M5" location="'Índice PGU y SPS'!A1" display="Volver Sistema de Pensiones Solidarias" xr:uid="{C4A25D80-C142-4219-A4DA-E479CF4A5044}"/>
  </hyperlinks>
  <pageMargins left="0.74803149606299213" right="0.74803149606299213" top="0.98425196850393704" bottom="0.98425196850393704" header="0" footer="0"/>
  <pageSetup scale="77" fitToHeight="2" orientation="portrait" r:id="rId1"/>
  <headerFooter alignWithMargins="0"/>
  <rowBreaks count="1" manualBreakCount="1">
    <brk id="49" min="1" max="12"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28">
    <pageSetUpPr fitToPage="1"/>
  </sheetPr>
  <dimension ref="A1:P47"/>
  <sheetViews>
    <sheetView showGridLines="0" zoomScaleNormal="100" workbookViewId="0">
      <selection activeCell="M35" sqref="M35"/>
    </sheetView>
  </sheetViews>
  <sheetFormatPr baseColWidth="10" defaultRowHeight="12" x14ac:dyDescent="0.2"/>
  <cols>
    <col min="1" max="1" width="6" style="22" customWidth="1"/>
    <col min="2" max="2" width="18.140625" style="22" customWidth="1"/>
    <col min="3" max="4" width="8.42578125" style="22" bestFit="1" customWidth="1"/>
    <col min="5" max="6" width="8.42578125" style="22" customWidth="1"/>
    <col min="7" max="7" width="9.140625" style="22" bestFit="1" customWidth="1"/>
    <col min="8" max="8" width="8.28515625" style="22" bestFit="1" customWidth="1"/>
    <col min="9" max="11" width="8.28515625" style="22" customWidth="1"/>
    <col min="12" max="12" width="8.42578125" style="22" hidden="1" customWidth="1"/>
    <col min="13" max="251" width="11.42578125" style="22"/>
    <col min="252" max="252" width="18.140625" style="22" customWidth="1"/>
    <col min="253" max="254" width="8.42578125" style="22" bestFit="1" customWidth="1"/>
    <col min="255" max="256" width="8.42578125" style="22" customWidth="1"/>
    <col min="257" max="257" width="9.140625" style="22" bestFit="1" customWidth="1"/>
    <col min="258" max="258" width="8.28515625" style="22" bestFit="1" customWidth="1"/>
    <col min="259" max="261" width="8.28515625" style="22" customWidth="1"/>
    <col min="262" max="267" width="0" style="22" hidden="1" customWidth="1"/>
    <col min="268" max="268" width="8.42578125" style="22" customWidth="1"/>
    <col min="269" max="507" width="11.42578125" style="22"/>
    <col min="508" max="508" width="18.140625" style="22" customWidth="1"/>
    <col min="509" max="510" width="8.42578125" style="22" bestFit="1" customWidth="1"/>
    <col min="511" max="512" width="8.42578125" style="22" customWidth="1"/>
    <col min="513" max="513" width="9.140625" style="22" bestFit="1" customWidth="1"/>
    <col min="514" max="514" width="8.28515625" style="22" bestFit="1" customWidth="1"/>
    <col min="515" max="517" width="8.28515625" style="22" customWidth="1"/>
    <col min="518" max="523" width="0" style="22" hidden="1" customWidth="1"/>
    <col min="524" max="524" width="8.42578125" style="22" customWidth="1"/>
    <col min="525" max="763" width="11.42578125" style="22"/>
    <col min="764" max="764" width="18.140625" style="22" customWidth="1"/>
    <col min="765" max="766" width="8.42578125" style="22" bestFit="1" customWidth="1"/>
    <col min="767" max="768" width="8.42578125" style="22" customWidth="1"/>
    <col min="769" max="769" width="9.140625" style="22" bestFit="1" customWidth="1"/>
    <col min="770" max="770" width="8.28515625" style="22" bestFit="1" customWidth="1"/>
    <col min="771" max="773" width="8.28515625" style="22" customWidth="1"/>
    <col min="774" max="779" width="0" style="22" hidden="1" customWidth="1"/>
    <col min="780" max="780" width="8.42578125" style="22" customWidth="1"/>
    <col min="781" max="1019" width="11.42578125" style="22"/>
    <col min="1020" max="1020" width="18.140625" style="22" customWidth="1"/>
    <col min="1021" max="1022" width="8.42578125" style="22" bestFit="1" customWidth="1"/>
    <col min="1023" max="1024" width="8.42578125" style="22" customWidth="1"/>
    <col min="1025" max="1025" width="9.140625" style="22" bestFit="1" customWidth="1"/>
    <col min="1026" max="1026" width="8.28515625" style="22" bestFit="1" customWidth="1"/>
    <col min="1027" max="1029" width="8.28515625" style="22" customWidth="1"/>
    <col min="1030" max="1035" width="0" style="22" hidden="1" customWidth="1"/>
    <col min="1036" max="1036" width="8.42578125" style="22" customWidth="1"/>
    <col min="1037" max="1275" width="11.42578125" style="22"/>
    <col min="1276" max="1276" width="18.140625" style="22" customWidth="1"/>
    <col min="1277" max="1278" width="8.42578125" style="22" bestFit="1" customWidth="1"/>
    <col min="1279" max="1280" width="8.42578125" style="22" customWidth="1"/>
    <col min="1281" max="1281" width="9.140625" style="22" bestFit="1" customWidth="1"/>
    <col min="1282" max="1282" width="8.28515625" style="22" bestFit="1" customWidth="1"/>
    <col min="1283" max="1285" width="8.28515625" style="22" customWidth="1"/>
    <col min="1286" max="1291" width="0" style="22" hidden="1" customWidth="1"/>
    <col min="1292" max="1292" width="8.42578125" style="22" customWidth="1"/>
    <col min="1293" max="1531" width="11.42578125" style="22"/>
    <col min="1532" max="1532" width="18.140625" style="22" customWidth="1"/>
    <col min="1533" max="1534" width="8.42578125" style="22" bestFit="1" customWidth="1"/>
    <col min="1535" max="1536" width="8.42578125" style="22" customWidth="1"/>
    <col min="1537" max="1537" width="9.140625" style="22" bestFit="1" customWidth="1"/>
    <col min="1538" max="1538" width="8.28515625" style="22" bestFit="1" customWidth="1"/>
    <col min="1539" max="1541" width="8.28515625" style="22" customWidth="1"/>
    <col min="1542" max="1547" width="0" style="22" hidden="1" customWidth="1"/>
    <col min="1548" max="1548" width="8.42578125" style="22" customWidth="1"/>
    <col min="1549" max="1787" width="11.42578125" style="22"/>
    <col min="1788" max="1788" width="18.140625" style="22" customWidth="1"/>
    <col min="1789" max="1790" width="8.42578125" style="22" bestFit="1" customWidth="1"/>
    <col min="1791" max="1792" width="8.42578125" style="22" customWidth="1"/>
    <col min="1793" max="1793" width="9.140625" style="22" bestFit="1" customWidth="1"/>
    <col min="1794" max="1794" width="8.28515625" style="22" bestFit="1" customWidth="1"/>
    <col min="1795" max="1797" width="8.28515625" style="22" customWidth="1"/>
    <col min="1798" max="1803" width="0" style="22" hidden="1" customWidth="1"/>
    <col min="1804" max="1804" width="8.42578125" style="22" customWidth="1"/>
    <col min="1805" max="2043" width="11.42578125" style="22"/>
    <col min="2044" max="2044" width="18.140625" style="22" customWidth="1"/>
    <col min="2045" max="2046" width="8.42578125" style="22" bestFit="1" customWidth="1"/>
    <col min="2047" max="2048" width="8.42578125" style="22" customWidth="1"/>
    <col min="2049" max="2049" width="9.140625" style="22" bestFit="1" customWidth="1"/>
    <col min="2050" max="2050" width="8.28515625" style="22" bestFit="1" customWidth="1"/>
    <col min="2051" max="2053" width="8.28515625" style="22" customWidth="1"/>
    <col min="2054" max="2059" width="0" style="22" hidden="1" customWidth="1"/>
    <col min="2060" max="2060" width="8.42578125" style="22" customWidth="1"/>
    <col min="2061" max="2299" width="11.42578125" style="22"/>
    <col min="2300" max="2300" width="18.140625" style="22" customWidth="1"/>
    <col min="2301" max="2302" width="8.42578125" style="22" bestFit="1" customWidth="1"/>
    <col min="2303" max="2304" width="8.42578125" style="22" customWidth="1"/>
    <col min="2305" max="2305" width="9.140625" style="22" bestFit="1" customWidth="1"/>
    <col min="2306" max="2306" width="8.28515625" style="22" bestFit="1" customWidth="1"/>
    <col min="2307" max="2309" width="8.28515625" style="22" customWidth="1"/>
    <col min="2310" max="2315" width="0" style="22" hidden="1" customWidth="1"/>
    <col min="2316" max="2316" width="8.42578125" style="22" customWidth="1"/>
    <col min="2317" max="2555" width="11.42578125" style="22"/>
    <col min="2556" max="2556" width="18.140625" style="22" customWidth="1"/>
    <col min="2557" max="2558" width="8.42578125" style="22" bestFit="1" customWidth="1"/>
    <col min="2559" max="2560" width="8.42578125" style="22" customWidth="1"/>
    <col min="2561" max="2561" width="9.140625" style="22" bestFit="1" customWidth="1"/>
    <col min="2562" max="2562" width="8.28515625" style="22" bestFit="1" customWidth="1"/>
    <col min="2563" max="2565" width="8.28515625" style="22" customWidth="1"/>
    <col min="2566" max="2571" width="0" style="22" hidden="1" customWidth="1"/>
    <col min="2572" max="2572" width="8.42578125" style="22" customWidth="1"/>
    <col min="2573" max="2811" width="11.42578125" style="22"/>
    <col min="2812" max="2812" width="18.140625" style="22" customWidth="1"/>
    <col min="2813" max="2814" width="8.42578125" style="22" bestFit="1" customWidth="1"/>
    <col min="2815" max="2816" width="8.42578125" style="22" customWidth="1"/>
    <col min="2817" max="2817" width="9.140625" style="22" bestFit="1" customWidth="1"/>
    <col min="2818" max="2818" width="8.28515625" style="22" bestFit="1" customWidth="1"/>
    <col min="2819" max="2821" width="8.28515625" style="22" customWidth="1"/>
    <col min="2822" max="2827" width="0" style="22" hidden="1" customWidth="1"/>
    <col min="2828" max="2828" width="8.42578125" style="22" customWidth="1"/>
    <col min="2829" max="3067" width="11.42578125" style="22"/>
    <col min="3068" max="3068" width="18.140625" style="22" customWidth="1"/>
    <col min="3069" max="3070" width="8.42578125" style="22" bestFit="1" customWidth="1"/>
    <col min="3071" max="3072" width="8.42578125" style="22" customWidth="1"/>
    <col min="3073" max="3073" width="9.140625" style="22" bestFit="1" customWidth="1"/>
    <col min="3074" max="3074" width="8.28515625" style="22" bestFit="1" customWidth="1"/>
    <col min="3075" max="3077" width="8.28515625" style="22" customWidth="1"/>
    <col min="3078" max="3083" width="0" style="22" hidden="1" customWidth="1"/>
    <col min="3084" max="3084" width="8.42578125" style="22" customWidth="1"/>
    <col min="3085" max="3323" width="11.42578125" style="22"/>
    <col min="3324" max="3324" width="18.140625" style="22" customWidth="1"/>
    <col min="3325" max="3326" width="8.42578125" style="22" bestFit="1" customWidth="1"/>
    <col min="3327" max="3328" width="8.42578125" style="22" customWidth="1"/>
    <col min="3329" max="3329" width="9.140625" style="22" bestFit="1" customWidth="1"/>
    <col min="3330" max="3330" width="8.28515625" style="22" bestFit="1" customWidth="1"/>
    <col min="3331" max="3333" width="8.28515625" style="22" customWidth="1"/>
    <col min="3334" max="3339" width="0" style="22" hidden="1" customWidth="1"/>
    <col min="3340" max="3340" width="8.42578125" style="22" customWidth="1"/>
    <col min="3341" max="3579" width="11.42578125" style="22"/>
    <col min="3580" max="3580" width="18.140625" style="22" customWidth="1"/>
    <col min="3581" max="3582" width="8.42578125" style="22" bestFit="1" customWidth="1"/>
    <col min="3583" max="3584" width="8.42578125" style="22" customWidth="1"/>
    <col min="3585" max="3585" width="9.140625" style="22" bestFit="1" customWidth="1"/>
    <col min="3586" max="3586" width="8.28515625" style="22" bestFit="1" customWidth="1"/>
    <col min="3587" max="3589" width="8.28515625" style="22" customWidth="1"/>
    <col min="3590" max="3595" width="0" style="22" hidden="1" customWidth="1"/>
    <col min="3596" max="3596" width="8.42578125" style="22" customWidth="1"/>
    <col min="3597" max="3835" width="11.42578125" style="22"/>
    <col min="3836" max="3836" width="18.140625" style="22" customWidth="1"/>
    <col min="3837" max="3838" width="8.42578125" style="22" bestFit="1" customWidth="1"/>
    <col min="3839" max="3840" width="8.42578125" style="22" customWidth="1"/>
    <col min="3841" max="3841" width="9.140625" style="22" bestFit="1" customWidth="1"/>
    <col min="3842" max="3842" width="8.28515625" style="22" bestFit="1" customWidth="1"/>
    <col min="3843" max="3845" width="8.28515625" style="22" customWidth="1"/>
    <col min="3846" max="3851" width="0" style="22" hidden="1" customWidth="1"/>
    <col min="3852" max="3852" width="8.42578125" style="22" customWidth="1"/>
    <col min="3853" max="4091" width="11.42578125" style="22"/>
    <col min="4092" max="4092" width="18.140625" style="22" customWidth="1"/>
    <col min="4093" max="4094" width="8.42578125" style="22" bestFit="1" customWidth="1"/>
    <col min="4095" max="4096" width="8.42578125" style="22" customWidth="1"/>
    <col min="4097" max="4097" width="9.140625" style="22" bestFit="1" customWidth="1"/>
    <col min="4098" max="4098" width="8.28515625" style="22" bestFit="1" customWidth="1"/>
    <col min="4099" max="4101" width="8.28515625" style="22" customWidth="1"/>
    <col min="4102" max="4107" width="0" style="22" hidden="1" customWidth="1"/>
    <col min="4108" max="4108" width="8.42578125" style="22" customWidth="1"/>
    <col min="4109" max="4347" width="11.42578125" style="22"/>
    <col min="4348" max="4348" width="18.140625" style="22" customWidth="1"/>
    <col min="4349" max="4350" width="8.42578125" style="22" bestFit="1" customWidth="1"/>
    <col min="4351" max="4352" width="8.42578125" style="22" customWidth="1"/>
    <col min="4353" max="4353" width="9.140625" style="22" bestFit="1" customWidth="1"/>
    <col min="4354" max="4354" width="8.28515625" style="22" bestFit="1" customWidth="1"/>
    <col min="4355" max="4357" width="8.28515625" style="22" customWidth="1"/>
    <col min="4358" max="4363" width="0" style="22" hidden="1" customWidth="1"/>
    <col min="4364" max="4364" width="8.42578125" style="22" customWidth="1"/>
    <col min="4365" max="4603" width="11.42578125" style="22"/>
    <col min="4604" max="4604" width="18.140625" style="22" customWidth="1"/>
    <col min="4605" max="4606" width="8.42578125" style="22" bestFit="1" customWidth="1"/>
    <col min="4607" max="4608" width="8.42578125" style="22" customWidth="1"/>
    <col min="4609" max="4609" width="9.140625" style="22" bestFit="1" customWidth="1"/>
    <col min="4610" max="4610" width="8.28515625" style="22" bestFit="1" customWidth="1"/>
    <col min="4611" max="4613" width="8.28515625" style="22" customWidth="1"/>
    <col min="4614" max="4619" width="0" style="22" hidden="1" customWidth="1"/>
    <col min="4620" max="4620" width="8.42578125" style="22" customWidth="1"/>
    <col min="4621" max="4859" width="11.42578125" style="22"/>
    <col min="4860" max="4860" width="18.140625" style="22" customWidth="1"/>
    <col min="4861" max="4862" width="8.42578125" style="22" bestFit="1" customWidth="1"/>
    <col min="4863" max="4864" width="8.42578125" style="22" customWidth="1"/>
    <col min="4865" max="4865" width="9.140625" style="22" bestFit="1" customWidth="1"/>
    <col min="4866" max="4866" width="8.28515625" style="22" bestFit="1" customWidth="1"/>
    <col min="4867" max="4869" width="8.28515625" style="22" customWidth="1"/>
    <col min="4870" max="4875" width="0" style="22" hidden="1" customWidth="1"/>
    <col min="4876" max="4876" width="8.42578125" style="22" customWidth="1"/>
    <col min="4877" max="5115" width="11.42578125" style="22"/>
    <col min="5116" max="5116" width="18.140625" style="22" customWidth="1"/>
    <col min="5117" max="5118" width="8.42578125" style="22" bestFit="1" customWidth="1"/>
    <col min="5119" max="5120" width="8.42578125" style="22" customWidth="1"/>
    <col min="5121" max="5121" width="9.140625" style="22" bestFit="1" customWidth="1"/>
    <col min="5122" max="5122" width="8.28515625" style="22" bestFit="1" customWidth="1"/>
    <col min="5123" max="5125" width="8.28515625" style="22" customWidth="1"/>
    <col min="5126" max="5131" width="0" style="22" hidden="1" customWidth="1"/>
    <col min="5132" max="5132" width="8.42578125" style="22" customWidth="1"/>
    <col min="5133" max="5371" width="11.42578125" style="22"/>
    <col min="5372" max="5372" width="18.140625" style="22" customWidth="1"/>
    <col min="5373" max="5374" width="8.42578125" style="22" bestFit="1" customWidth="1"/>
    <col min="5375" max="5376" width="8.42578125" style="22" customWidth="1"/>
    <col min="5377" max="5377" width="9.140625" style="22" bestFit="1" customWidth="1"/>
    <col min="5378" max="5378" width="8.28515625" style="22" bestFit="1" customWidth="1"/>
    <col min="5379" max="5381" width="8.28515625" style="22" customWidth="1"/>
    <col min="5382" max="5387" width="0" style="22" hidden="1" customWidth="1"/>
    <col min="5388" max="5388" width="8.42578125" style="22" customWidth="1"/>
    <col min="5389" max="5627" width="11.42578125" style="22"/>
    <col min="5628" max="5628" width="18.140625" style="22" customWidth="1"/>
    <col min="5629" max="5630" width="8.42578125" style="22" bestFit="1" customWidth="1"/>
    <col min="5631" max="5632" width="8.42578125" style="22" customWidth="1"/>
    <col min="5633" max="5633" width="9.140625" style="22" bestFit="1" customWidth="1"/>
    <col min="5634" max="5634" width="8.28515625" style="22" bestFit="1" customWidth="1"/>
    <col min="5635" max="5637" width="8.28515625" style="22" customWidth="1"/>
    <col min="5638" max="5643" width="0" style="22" hidden="1" customWidth="1"/>
    <col min="5644" max="5644" width="8.42578125" style="22" customWidth="1"/>
    <col min="5645" max="5883" width="11.42578125" style="22"/>
    <col min="5884" max="5884" width="18.140625" style="22" customWidth="1"/>
    <col min="5885" max="5886" width="8.42578125" style="22" bestFit="1" customWidth="1"/>
    <col min="5887" max="5888" width="8.42578125" style="22" customWidth="1"/>
    <col min="5889" max="5889" width="9.140625" style="22" bestFit="1" customWidth="1"/>
    <col min="5890" max="5890" width="8.28515625" style="22" bestFit="1" customWidth="1"/>
    <col min="5891" max="5893" width="8.28515625" style="22" customWidth="1"/>
    <col min="5894" max="5899" width="0" style="22" hidden="1" customWidth="1"/>
    <col min="5900" max="5900" width="8.42578125" style="22" customWidth="1"/>
    <col min="5901" max="6139" width="11.42578125" style="22"/>
    <col min="6140" max="6140" width="18.140625" style="22" customWidth="1"/>
    <col min="6141" max="6142" width="8.42578125" style="22" bestFit="1" customWidth="1"/>
    <col min="6143" max="6144" width="8.42578125" style="22" customWidth="1"/>
    <col min="6145" max="6145" width="9.140625" style="22" bestFit="1" customWidth="1"/>
    <col min="6146" max="6146" width="8.28515625" style="22" bestFit="1" customWidth="1"/>
    <col min="6147" max="6149" width="8.28515625" style="22" customWidth="1"/>
    <col min="6150" max="6155" width="0" style="22" hidden="1" customWidth="1"/>
    <col min="6156" max="6156" width="8.42578125" style="22" customWidth="1"/>
    <col min="6157" max="6395" width="11.42578125" style="22"/>
    <col min="6396" max="6396" width="18.140625" style="22" customWidth="1"/>
    <col min="6397" max="6398" width="8.42578125" style="22" bestFit="1" customWidth="1"/>
    <col min="6399" max="6400" width="8.42578125" style="22" customWidth="1"/>
    <col min="6401" max="6401" width="9.140625" style="22" bestFit="1" customWidth="1"/>
    <col min="6402" max="6402" width="8.28515625" style="22" bestFit="1" customWidth="1"/>
    <col min="6403" max="6405" width="8.28515625" style="22" customWidth="1"/>
    <col min="6406" max="6411" width="0" style="22" hidden="1" customWidth="1"/>
    <col min="6412" max="6412" width="8.42578125" style="22" customWidth="1"/>
    <col min="6413" max="6651" width="11.42578125" style="22"/>
    <col min="6652" max="6652" width="18.140625" style="22" customWidth="1"/>
    <col min="6653" max="6654" width="8.42578125" style="22" bestFit="1" customWidth="1"/>
    <col min="6655" max="6656" width="8.42578125" style="22" customWidth="1"/>
    <col min="6657" max="6657" width="9.140625" style="22" bestFit="1" customWidth="1"/>
    <col min="6658" max="6658" width="8.28515625" style="22" bestFit="1" customWidth="1"/>
    <col min="6659" max="6661" width="8.28515625" style="22" customWidth="1"/>
    <col min="6662" max="6667" width="0" style="22" hidden="1" customWidth="1"/>
    <col min="6668" max="6668" width="8.42578125" style="22" customWidth="1"/>
    <col min="6669" max="6907" width="11.42578125" style="22"/>
    <col min="6908" max="6908" width="18.140625" style="22" customWidth="1"/>
    <col min="6909" max="6910" width="8.42578125" style="22" bestFit="1" customWidth="1"/>
    <col min="6911" max="6912" width="8.42578125" style="22" customWidth="1"/>
    <col min="6913" max="6913" width="9.140625" style="22" bestFit="1" customWidth="1"/>
    <col min="6914" max="6914" width="8.28515625" style="22" bestFit="1" customWidth="1"/>
    <col min="6915" max="6917" width="8.28515625" style="22" customWidth="1"/>
    <col min="6918" max="6923" width="0" style="22" hidden="1" customWidth="1"/>
    <col min="6924" max="6924" width="8.42578125" style="22" customWidth="1"/>
    <col min="6925" max="7163" width="11.42578125" style="22"/>
    <col min="7164" max="7164" width="18.140625" style="22" customWidth="1"/>
    <col min="7165" max="7166" width="8.42578125" style="22" bestFit="1" customWidth="1"/>
    <col min="7167" max="7168" width="8.42578125" style="22" customWidth="1"/>
    <col min="7169" max="7169" width="9.140625" style="22" bestFit="1" customWidth="1"/>
    <col min="7170" max="7170" width="8.28515625" style="22" bestFit="1" customWidth="1"/>
    <col min="7171" max="7173" width="8.28515625" style="22" customWidth="1"/>
    <col min="7174" max="7179" width="0" style="22" hidden="1" customWidth="1"/>
    <col min="7180" max="7180" width="8.42578125" style="22" customWidth="1"/>
    <col min="7181" max="7419" width="11.42578125" style="22"/>
    <col min="7420" max="7420" width="18.140625" style="22" customWidth="1"/>
    <col min="7421" max="7422" width="8.42578125" style="22" bestFit="1" customWidth="1"/>
    <col min="7423" max="7424" width="8.42578125" style="22" customWidth="1"/>
    <col min="7425" max="7425" width="9.140625" style="22" bestFit="1" customWidth="1"/>
    <col min="7426" max="7426" width="8.28515625" style="22" bestFit="1" customWidth="1"/>
    <col min="7427" max="7429" width="8.28515625" style="22" customWidth="1"/>
    <col min="7430" max="7435" width="0" style="22" hidden="1" customWidth="1"/>
    <col min="7436" max="7436" width="8.42578125" style="22" customWidth="1"/>
    <col min="7437" max="7675" width="11.42578125" style="22"/>
    <col min="7676" max="7676" width="18.140625" style="22" customWidth="1"/>
    <col min="7677" max="7678" width="8.42578125" style="22" bestFit="1" customWidth="1"/>
    <col min="7679" max="7680" width="8.42578125" style="22" customWidth="1"/>
    <col min="7681" max="7681" width="9.140625" style="22" bestFit="1" customWidth="1"/>
    <col min="7682" max="7682" width="8.28515625" style="22" bestFit="1" customWidth="1"/>
    <col min="7683" max="7685" width="8.28515625" style="22" customWidth="1"/>
    <col min="7686" max="7691" width="0" style="22" hidden="1" customWidth="1"/>
    <col min="7692" max="7692" width="8.42578125" style="22" customWidth="1"/>
    <col min="7693" max="7931" width="11.42578125" style="22"/>
    <col min="7932" max="7932" width="18.140625" style="22" customWidth="1"/>
    <col min="7933" max="7934" width="8.42578125" style="22" bestFit="1" customWidth="1"/>
    <col min="7935" max="7936" width="8.42578125" style="22" customWidth="1"/>
    <col min="7937" max="7937" width="9.140625" style="22" bestFit="1" customWidth="1"/>
    <col min="7938" max="7938" width="8.28515625" style="22" bestFit="1" customWidth="1"/>
    <col min="7939" max="7941" width="8.28515625" style="22" customWidth="1"/>
    <col min="7942" max="7947" width="0" style="22" hidden="1" customWidth="1"/>
    <col min="7948" max="7948" width="8.42578125" style="22" customWidth="1"/>
    <col min="7949" max="8187" width="11.42578125" style="22"/>
    <col min="8188" max="8188" width="18.140625" style="22" customWidth="1"/>
    <col min="8189" max="8190" width="8.42578125" style="22" bestFit="1" customWidth="1"/>
    <col min="8191" max="8192" width="8.42578125" style="22" customWidth="1"/>
    <col min="8193" max="8193" width="9.140625" style="22" bestFit="1" customWidth="1"/>
    <col min="8194" max="8194" width="8.28515625" style="22" bestFit="1" customWidth="1"/>
    <col min="8195" max="8197" width="8.28515625" style="22" customWidth="1"/>
    <col min="8198" max="8203" width="0" style="22" hidden="1" customWidth="1"/>
    <col min="8204" max="8204" width="8.42578125" style="22" customWidth="1"/>
    <col min="8205" max="8443" width="11.42578125" style="22"/>
    <col min="8444" max="8444" width="18.140625" style="22" customWidth="1"/>
    <col min="8445" max="8446" width="8.42578125" style="22" bestFit="1" customWidth="1"/>
    <col min="8447" max="8448" width="8.42578125" style="22" customWidth="1"/>
    <col min="8449" max="8449" width="9.140625" style="22" bestFit="1" customWidth="1"/>
    <col min="8450" max="8450" width="8.28515625" style="22" bestFit="1" customWidth="1"/>
    <col min="8451" max="8453" width="8.28515625" style="22" customWidth="1"/>
    <col min="8454" max="8459" width="0" style="22" hidden="1" customWidth="1"/>
    <col min="8460" max="8460" width="8.42578125" style="22" customWidth="1"/>
    <col min="8461" max="8699" width="11.42578125" style="22"/>
    <col min="8700" max="8700" width="18.140625" style="22" customWidth="1"/>
    <col min="8701" max="8702" width="8.42578125" style="22" bestFit="1" customWidth="1"/>
    <col min="8703" max="8704" width="8.42578125" style="22" customWidth="1"/>
    <col min="8705" max="8705" width="9.140625" style="22" bestFit="1" customWidth="1"/>
    <col min="8706" max="8706" width="8.28515625" style="22" bestFit="1" customWidth="1"/>
    <col min="8707" max="8709" width="8.28515625" style="22" customWidth="1"/>
    <col min="8710" max="8715" width="0" style="22" hidden="1" customWidth="1"/>
    <col min="8716" max="8716" width="8.42578125" style="22" customWidth="1"/>
    <col min="8717" max="8955" width="11.42578125" style="22"/>
    <col min="8956" max="8956" width="18.140625" style="22" customWidth="1"/>
    <col min="8957" max="8958" width="8.42578125" style="22" bestFit="1" customWidth="1"/>
    <col min="8959" max="8960" width="8.42578125" style="22" customWidth="1"/>
    <col min="8961" max="8961" width="9.140625" style="22" bestFit="1" customWidth="1"/>
    <col min="8962" max="8962" width="8.28515625" style="22" bestFit="1" customWidth="1"/>
    <col min="8963" max="8965" width="8.28515625" style="22" customWidth="1"/>
    <col min="8966" max="8971" width="0" style="22" hidden="1" customWidth="1"/>
    <col min="8972" max="8972" width="8.42578125" style="22" customWidth="1"/>
    <col min="8973" max="9211" width="11.42578125" style="22"/>
    <col min="9212" max="9212" width="18.140625" style="22" customWidth="1"/>
    <col min="9213" max="9214" width="8.42578125" style="22" bestFit="1" customWidth="1"/>
    <col min="9215" max="9216" width="8.42578125" style="22" customWidth="1"/>
    <col min="9217" max="9217" width="9.140625" style="22" bestFit="1" customWidth="1"/>
    <col min="9218" max="9218" width="8.28515625" style="22" bestFit="1" customWidth="1"/>
    <col min="9219" max="9221" width="8.28515625" style="22" customWidth="1"/>
    <col min="9222" max="9227" width="0" style="22" hidden="1" customWidth="1"/>
    <col min="9228" max="9228" width="8.42578125" style="22" customWidth="1"/>
    <col min="9229" max="9467" width="11.42578125" style="22"/>
    <col min="9468" max="9468" width="18.140625" style="22" customWidth="1"/>
    <col min="9469" max="9470" width="8.42578125" style="22" bestFit="1" customWidth="1"/>
    <col min="9471" max="9472" width="8.42578125" style="22" customWidth="1"/>
    <col min="9473" max="9473" width="9.140625" style="22" bestFit="1" customWidth="1"/>
    <col min="9474" max="9474" width="8.28515625" style="22" bestFit="1" customWidth="1"/>
    <col min="9475" max="9477" width="8.28515625" style="22" customWidth="1"/>
    <col min="9478" max="9483" width="0" style="22" hidden="1" customWidth="1"/>
    <col min="9484" max="9484" width="8.42578125" style="22" customWidth="1"/>
    <col min="9485" max="9723" width="11.42578125" style="22"/>
    <col min="9724" max="9724" width="18.140625" style="22" customWidth="1"/>
    <col min="9725" max="9726" width="8.42578125" style="22" bestFit="1" customWidth="1"/>
    <col min="9727" max="9728" width="8.42578125" style="22" customWidth="1"/>
    <col min="9729" max="9729" width="9.140625" style="22" bestFit="1" customWidth="1"/>
    <col min="9730" max="9730" width="8.28515625" style="22" bestFit="1" customWidth="1"/>
    <col min="9731" max="9733" width="8.28515625" style="22" customWidth="1"/>
    <col min="9734" max="9739" width="0" style="22" hidden="1" customWidth="1"/>
    <col min="9740" max="9740" width="8.42578125" style="22" customWidth="1"/>
    <col min="9741" max="9979" width="11.42578125" style="22"/>
    <col min="9980" max="9980" width="18.140625" style="22" customWidth="1"/>
    <col min="9981" max="9982" width="8.42578125" style="22" bestFit="1" customWidth="1"/>
    <col min="9983" max="9984" width="8.42578125" style="22" customWidth="1"/>
    <col min="9985" max="9985" width="9.140625" style="22" bestFit="1" customWidth="1"/>
    <col min="9986" max="9986" width="8.28515625" style="22" bestFit="1" customWidth="1"/>
    <col min="9987" max="9989" width="8.28515625" style="22" customWidth="1"/>
    <col min="9990" max="9995" width="0" style="22" hidden="1" customWidth="1"/>
    <col min="9996" max="9996" width="8.42578125" style="22" customWidth="1"/>
    <col min="9997" max="10235" width="11.42578125" style="22"/>
    <col min="10236" max="10236" width="18.140625" style="22" customWidth="1"/>
    <col min="10237" max="10238" width="8.42578125" style="22" bestFit="1" customWidth="1"/>
    <col min="10239" max="10240" width="8.42578125" style="22" customWidth="1"/>
    <col min="10241" max="10241" width="9.140625" style="22" bestFit="1" customWidth="1"/>
    <col min="10242" max="10242" width="8.28515625" style="22" bestFit="1" customWidth="1"/>
    <col min="10243" max="10245" width="8.28515625" style="22" customWidth="1"/>
    <col min="10246" max="10251" width="0" style="22" hidden="1" customWidth="1"/>
    <col min="10252" max="10252" width="8.42578125" style="22" customWidth="1"/>
    <col min="10253" max="10491" width="11.42578125" style="22"/>
    <col min="10492" max="10492" width="18.140625" style="22" customWidth="1"/>
    <col min="10493" max="10494" width="8.42578125" style="22" bestFit="1" customWidth="1"/>
    <col min="10495" max="10496" width="8.42578125" style="22" customWidth="1"/>
    <col min="10497" max="10497" width="9.140625" style="22" bestFit="1" customWidth="1"/>
    <col min="10498" max="10498" width="8.28515625" style="22" bestFit="1" customWidth="1"/>
    <col min="10499" max="10501" width="8.28515625" style="22" customWidth="1"/>
    <col min="10502" max="10507" width="0" style="22" hidden="1" customWidth="1"/>
    <col min="10508" max="10508" width="8.42578125" style="22" customWidth="1"/>
    <col min="10509" max="10747" width="11.42578125" style="22"/>
    <col min="10748" max="10748" width="18.140625" style="22" customWidth="1"/>
    <col min="10749" max="10750" width="8.42578125" style="22" bestFit="1" customWidth="1"/>
    <col min="10751" max="10752" width="8.42578125" style="22" customWidth="1"/>
    <col min="10753" max="10753" width="9.140625" style="22" bestFit="1" customWidth="1"/>
    <col min="10754" max="10754" width="8.28515625" style="22" bestFit="1" customWidth="1"/>
    <col min="10755" max="10757" width="8.28515625" style="22" customWidth="1"/>
    <col min="10758" max="10763" width="0" style="22" hidden="1" customWidth="1"/>
    <col min="10764" max="10764" width="8.42578125" style="22" customWidth="1"/>
    <col min="10765" max="11003" width="11.42578125" style="22"/>
    <col min="11004" max="11004" width="18.140625" style="22" customWidth="1"/>
    <col min="11005" max="11006" width="8.42578125" style="22" bestFit="1" customWidth="1"/>
    <col min="11007" max="11008" width="8.42578125" style="22" customWidth="1"/>
    <col min="11009" max="11009" width="9.140625" style="22" bestFit="1" customWidth="1"/>
    <col min="11010" max="11010" width="8.28515625" style="22" bestFit="1" customWidth="1"/>
    <col min="11011" max="11013" width="8.28515625" style="22" customWidth="1"/>
    <col min="11014" max="11019" width="0" style="22" hidden="1" customWidth="1"/>
    <col min="11020" max="11020" width="8.42578125" style="22" customWidth="1"/>
    <col min="11021" max="11259" width="11.42578125" style="22"/>
    <col min="11260" max="11260" width="18.140625" style="22" customWidth="1"/>
    <col min="11261" max="11262" width="8.42578125" style="22" bestFit="1" customWidth="1"/>
    <col min="11263" max="11264" width="8.42578125" style="22" customWidth="1"/>
    <col min="11265" max="11265" width="9.140625" style="22" bestFit="1" customWidth="1"/>
    <col min="11266" max="11266" width="8.28515625" style="22" bestFit="1" customWidth="1"/>
    <col min="11267" max="11269" width="8.28515625" style="22" customWidth="1"/>
    <col min="11270" max="11275" width="0" style="22" hidden="1" customWidth="1"/>
    <col min="11276" max="11276" width="8.42578125" style="22" customWidth="1"/>
    <col min="11277" max="11515" width="11.42578125" style="22"/>
    <col min="11516" max="11516" width="18.140625" style="22" customWidth="1"/>
    <col min="11517" max="11518" width="8.42578125" style="22" bestFit="1" customWidth="1"/>
    <col min="11519" max="11520" width="8.42578125" style="22" customWidth="1"/>
    <col min="11521" max="11521" width="9.140625" style="22" bestFit="1" customWidth="1"/>
    <col min="11522" max="11522" width="8.28515625" style="22" bestFit="1" customWidth="1"/>
    <col min="11523" max="11525" width="8.28515625" style="22" customWidth="1"/>
    <col min="11526" max="11531" width="0" style="22" hidden="1" customWidth="1"/>
    <col min="11532" max="11532" width="8.42578125" style="22" customWidth="1"/>
    <col min="11533" max="11771" width="11.42578125" style="22"/>
    <col min="11772" max="11772" width="18.140625" style="22" customWidth="1"/>
    <col min="11773" max="11774" width="8.42578125" style="22" bestFit="1" customWidth="1"/>
    <col min="11775" max="11776" width="8.42578125" style="22" customWidth="1"/>
    <col min="11777" max="11777" width="9.140625" style="22" bestFit="1" customWidth="1"/>
    <col min="11778" max="11778" width="8.28515625" style="22" bestFit="1" customWidth="1"/>
    <col min="11779" max="11781" width="8.28515625" style="22" customWidth="1"/>
    <col min="11782" max="11787" width="0" style="22" hidden="1" customWidth="1"/>
    <col min="11788" max="11788" width="8.42578125" style="22" customWidth="1"/>
    <col min="11789" max="12027" width="11.42578125" style="22"/>
    <col min="12028" max="12028" width="18.140625" style="22" customWidth="1"/>
    <col min="12029" max="12030" width="8.42578125" style="22" bestFit="1" customWidth="1"/>
    <col min="12031" max="12032" width="8.42578125" style="22" customWidth="1"/>
    <col min="12033" max="12033" width="9.140625" style="22" bestFit="1" customWidth="1"/>
    <col min="12034" max="12034" width="8.28515625" style="22" bestFit="1" customWidth="1"/>
    <col min="12035" max="12037" width="8.28515625" style="22" customWidth="1"/>
    <col min="12038" max="12043" width="0" style="22" hidden="1" customWidth="1"/>
    <col min="12044" max="12044" width="8.42578125" style="22" customWidth="1"/>
    <col min="12045" max="12283" width="11.42578125" style="22"/>
    <col min="12284" max="12284" width="18.140625" style="22" customWidth="1"/>
    <col min="12285" max="12286" width="8.42578125" style="22" bestFit="1" customWidth="1"/>
    <col min="12287" max="12288" width="8.42578125" style="22" customWidth="1"/>
    <col min="12289" max="12289" width="9.140625" style="22" bestFit="1" customWidth="1"/>
    <col min="12290" max="12290" width="8.28515625" style="22" bestFit="1" customWidth="1"/>
    <col min="12291" max="12293" width="8.28515625" style="22" customWidth="1"/>
    <col min="12294" max="12299" width="0" style="22" hidden="1" customWidth="1"/>
    <col min="12300" max="12300" width="8.42578125" style="22" customWidth="1"/>
    <col min="12301" max="12539" width="11.42578125" style="22"/>
    <col min="12540" max="12540" width="18.140625" style="22" customWidth="1"/>
    <col min="12541" max="12542" width="8.42578125" style="22" bestFit="1" customWidth="1"/>
    <col min="12543" max="12544" width="8.42578125" style="22" customWidth="1"/>
    <col min="12545" max="12545" width="9.140625" style="22" bestFit="1" customWidth="1"/>
    <col min="12546" max="12546" width="8.28515625" style="22" bestFit="1" customWidth="1"/>
    <col min="12547" max="12549" width="8.28515625" style="22" customWidth="1"/>
    <col min="12550" max="12555" width="0" style="22" hidden="1" customWidth="1"/>
    <col min="12556" max="12556" width="8.42578125" style="22" customWidth="1"/>
    <col min="12557" max="12795" width="11.42578125" style="22"/>
    <col min="12796" max="12796" width="18.140625" style="22" customWidth="1"/>
    <col min="12797" max="12798" width="8.42578125" style="22" bestFit="1" customWidth="1"/>
    <col min="12799" max="12800" width="8.42578125" style="22" customWidth="1"/>
    <col min="12801" max="12801" width="9.140625" style="22" bestFit="1" customWidth="1"/>
    <col min="12802" max="12802" width="8.28515625" style="22" bestFit="1" customWidth="1"/>
    <col min="12803" max="12805" width="8.28515625" style="22" customWidth="1"/>
    <col min="12806" max="12811" width="0" style="22" hidden="1" customWidth="1"/>
    <col min="12812" max="12812" width="8.42578125" style="22" customWidth="1"/>
    <col min="12813" max="13051" width="11.42578125" style="22"/>
    <col min="13052" max="13052" width="18.140625" style="22" customWidth="1"/>
    <col min="13053" max="13054" width="8.42578125" style="22" bestFit="1" customWidth="1"/>
    <col min="13055" max="13056" width="8.42578125" style="22" customWidth="1"/>
    <col min="13057" max="13057" width="9.140625" style="22" bestFit="1" customWidth="1"/>
    <col min="13058" max="13058" width="8.28515625" style="22" bestFit="1" customWidth="1"/>
    <col min="13059" max="13061" width="8.28515625" style="22" customWidth="1"/>
    <col min="13062" max="13067" width="0" style="22" hidden="1" customWidth="1"/>
    <col min="13068" max="13068" width="8.42578125" style="22" customWidth="1"/>
    <col min="13069" max="13307" width="11.42578125" style="22"/>
    <col min="13308" max="13308" width="18.140625" style="22" customWidth="1"/>
    <col min="13309" max="13310" width="8.42578125" style="22" bestFit="1" customWidth="1"/>
    <col min="13311" max="13312" width="8.42578125" style="22" customWidth="1"/>
    <col min="13313" max="13313" width="9.140625" style="22" bestFit="1" customWidth="1"/>
    <col min="13314" max="13314" width="8.28515625" style="22" bestFit="1" customWidth="1"/>
    <col min="13315" max="13317" width="8.28515625" style="22" customWidth="1"/>
    <col min="13318" max="13323" width="0" style="22" hidden="1" customWidth="1"/>
    <col min="13324" max="13324" width="8.42578125" style="22" customWidth="1"/>
    <col min="13325" max="13563" width="11.42578125" style="22"/>
    <col min="13564" max="13564" width="18.140625" style="22" customWidth="1"/>
    <col min="13565" max="13566" width="8.42578125" style="22" bestFit="1" customWidth="1"/>
    <col min="13567" max="13568" width="8.42578125" style="22" customWidth="1"/>
    <col min="13569" max="13569" width="9.140625" style="22" bestFit="1" customWidth="1"/>
    <col min="13570" max="13570" width="8.28515625" style="22" bestFit="1" customWidth="1"/>
    <col min="13571" max="13573" width="8.28515625" style="22" customWidth="1"/>
    <col min="13574" max="13579" width="0" style="22" hidden="1" customWidth="1"/>
    <col min="13580" max="13580" width="8.42578125" style="22" customWidth="1"/>
    <col min="13581" max="13819" width="11.42578125" style="22"/>
    <col min="13820" max="13820" width="18.140625" style="22" customWidth="1"/>
    <col min="13821" max="13822" width="8.42578125" style="22" bestFit="1" customWidth="1"/>
    <col min="13823" max="13824" width="8.42578125" style="22" customWidth="1"/>
    <col min="13825" max="13825" width="9.140625" style="22" bestFit="1" customWidth="1"/>
    <col min="13826" max="13826" width="8.28515625" style="22" bestFit="1" customWidth="1"/>
    <col min="13827" max="13829" width="8.28515625" style="22" customWidth="1"/>
    <col min="13830" max="13835" width="0" style="22" hidden="1" customWidth="1"/>
    <col min="13836" max="13836" width="8.42578125" style="22" customWidth="1"/>
    <col min="13837" max="14075" width="11.42578125" style="22"/>
    <col min="14076" max="14076" width="18.140625" style="22" customWidth="1"/>
    <col min="14077" max="14078" width="8.42578125" style="22" bestFit="1" customWidth="1"/>
    <col min="14079" max="14080" width="8.42578125" style="22" customWidth="1"/>
    <col min="14081" max="14081" width="9.140625" style="22" bestFit="1" customWidth="1"/>
    <col min="14082" max="14082" width="8.28515625" style="22" bestFit="1" customWidth="1"/>
    <col min="14083" max="14085" width="8.28515625" style="22" customWidth="1"/>
    <col min="14086" max="14091" width="0" style="22" hidden="1" customWidth="1"/>
    <col min="14092" max="14092" width="8.42578125" style="22" customWidth="1"/>
    <col min="14093" max="14331" width="11.42578125" style="22"/>
    <col min="14332" max="14332" width="18.140625" style="22" customWidth="1"/>
    <col min="14333" max="14334" width="8.42578125" style="22" bestFit="1" customWidth="1"/>
    <col min="14335" max="14336" width="8.42578125" style="22" customWidth="1"/>
    <col min="14337" max="14337" width="9.140625" style="22" bestFit="1" customWidth="1"/>
    <col min="14338" max="14338" width="8.28515625" style="22" bestFit="1" customWidth="1"/>
    <col min="14339" max="14341" width="8.28515625" style="22" customWidth="1"/>
    <col min="14342" max="14347" width="0" style="22" hidden="1" customWidth="1"/>
    <col min="14348" max="14348" width="8.42578125" style="22" customWidth="1"/>
    <col min="14349" max="14587" width="11.42578125" style="22"/>
    <col min="14588" max="14588" width="18.140625" style="22" customWidth="1"/>
    <col min="14589" max="14590" width="8.42578125" style="22" bestFit="1" customWidth="1"/>
    <col min="14591" max="14592" width="8.42578125" style="22" customWidth="1"/>
    <col min="14593" max="14593" width="9.140625" style="22" bestFit="1" customWidth="1"/>
    <col min="14594" max="14594" width="8.28515625" style="22" bestFit="1" customWidth="1"/>
    <col min="14595" max="14597" width="8.28515625" style="22" customWidth="1"/>
    <col min="14598" max="14603" width="0" style="22" hidden="1" customWidth="1"/>
    <col min="14604" max="14604" width="8.42578125" style="22" customWidth="1"/>
    <col min="14605" max="14843" width="11.42578125" style="22"/>
    <col min="14844" max="14844" width="18.140625" style="22" customWidth="1"/>
    <col min="14845" max="14846" width="8.42578125" style="22" bestFit="1" customWidth="1"/>
    <col min="14847" max="14848" width="8.42578125" style="22" customWidth="1"/>
    <col min="14849" max="14849" width="9.140625" style="22" bestFit="1" customWidth="1"/>
    <col min="14850" max="14850" width="8.28515625" style="22" bestFit="1" customWidth="1"/>
    <col min="14851" max="14853" width="8.28515625" style="22" customWidth="1"/>
    <col min="14854" max="14859" width="0" style="22" hidden="1" customWidth="1"/>
    <col min="14860" max="14860" width="8.42578125" style="22" customWidth="1"/>
    <col min="14861" max="15099" width="11.42578125" style="22"/>
    <col min="15100" max="15100" width="18.140625" style="22" customWidth="1"/>
    <col min="15101" max="15102" width="8.42578125" style="22" bestFit="1" customWidth="1"/>
    <col min="15103" max="15104" width="8.42578125" style="22" customWidth="1"/>
    <col min="15105" max="15105" width="9.140625" style="22" bestFit="1" customWidth="1"/>
    <col min="15106" max="15106" width="8.28515625" style="22" bestFit="1" customWidth="1"/>
    <col min="15107" max="15109" width="8.28515625" style="22" customWidth="1"/>
    <col min="15110" max="15115" width="0" style="22" hidden="1" customWidth="1"/>
    <col min="15116" max="15116" width="8.42578125" style="22" customWidth="1"/>
    <col min="15117" max="15355" width="11.42578125" style="22"/>
    <col min="15356" max="15356" width="18.140625" style="22" customWidth="1"/>
    <col min="15357" max="15358" width="8.42578125" style="22" bestFit="1" customWidth="1"/>
    <col min="15359" max="15360" width="8.42578125" style="22" customWidth="1"/>
    <col min="15361" max="15361" width="9.140625" style="22" bestFit="1" customWidth="1"/>
    <col min="15362" max="15362" width="8.28515625" style="22" bestFit="1" customWidth="1"/>
    <col min="15363" max="15365" width="8.28515625" style="22" customWidth="1"/>
    <col min="15366" max="15371" width="0" style="22" hidden="1" customWidth="1"/>
    <col min="15372" max="15372" width="8.42578125" style="22" customWidth="1"/>
    <col min="15373" max="15611" width="11.42578125" style="22"/>
    <col min="15612" max="15612" width="18.140625" style="22" customWidth="1"/>
    <col min="15613" max="15614" width="8.42578125" style="22" bestFit="1" customWidth="1"/>
    <col min="15615" max="15616" width="8.42578125" style="22" customWidth="1"/>
    <col min="15617" max="15617" width="9.140625" style="22" bestFit="1" customWidth="1"/>
    <col min="15618" max="15618" width="8.28515625" style="22" bestFit="1" customWidth="1"/>
    <col min="15619" max="15621" width="8.28515625" style="22" customWidth="1"/>
    <col min="15622" max="15627" width="0" style="22" hidden="1" customWidth="1"/>
    <col min="15628" max="15628" width="8.42578125" style="22" customWidth="1"/>
    <col min="15629" max="15867" width="11.42578125" style="22"/>
    <col min="15868" max="15868" width="18.140625" style="22" customWidth="1"/>
    <col min="15869" max="15870" width="8.42578125" style="22" bestFit="1" customWidth="1"/>
    <col min="15871" max="15872" width="8.42578125" style="22" customWidth="1"/>
    <col min="15873" max="15873" width="9.140625" style="22" bestFit="1" customWidth="1"/>
    <col min="15874" max="15874" width="8.28515625" style="22" bestFit="1" customWidth="1"/>
    <col min="15875" max="15877" width="8.28515625" style="22" customWidth="1"/>
    <col min="15878" max="15883" width="0" style="22" hidden="1" customWidth="1"/>
    <col min="15884" max="15884" width="8.42578125" style="22" customWidth="1"/>
    <col min="15885" max="16123" width="11.42578125" style="22"/>
    <col min="16124" max="16124" width="18.140625" style="22" customWidth="1"/>
    <col min="16125" max="16126" width="8.42578125" style="22" bestFit="1" customWidth="1"/>
    <col min="16127" max="16128" width="8.42578125" style="22" customWidth="1"/>
    <col min="16129" max="16129" width="9.140625" style="22" bestFit="1" customWidth="1"/>
    <col min="16130" max="16130" width="8.28515625" style="22" bestFit="1" customWidth="1"/>
    <col min="16131" max="16133" width="8.28515625" style="22" customWidth="1"/>
    <col min="16134" max="16139" width="0" style="22" hidden="1" customWidth="1"/>
    <col min="16140" max="16140" width="8.42578125" style="22" customWidth="1"/>
    <col min="16141" max="16384" width="11.42578125" style="22"/>
  </cols>
  <sheetData>
    <row r="1" spans="1:16" s="23" customFormat="1" x14ac:dyDescent="0.2"/>
    <row r="2" spans="1:16" s="23" customFormat="1" x14ac:dyDescent="0.2">
      <c r="A2" s="40" t="s">
        <v>58</v>
      </c>
    </row>
    <row r="3" spans="1:16" s="23" customFormat="1" ht="15" x14ac:dyDescent="0.25">
      <c r="A3" s="40" t="s">
        <v>59</v>
      </c>
      <c r="J3" s="88"/>
    </row>
    <row r="4" spans="1:16" s="23" customFormat="1" x14ac:dyDescent="0.2"/>
    <row r="5" spans="1:16" s="23" customFormat="1" ht="12.75" x14ac:dyDescent="0.2">
      <c r="B5" s="344" t="s">
        <v>573</v>
      </c>
      <c r="C5" s="344"/>
      <c r="D5" s="344"/>
      <c r="E5" s="344"/>
      <c r="F5" s="344"/>
      <c r="G5" s="344"/>
      <c r="H5" s="344"/>
      <c r="I5" s="344"/>
      <c r="J5" s="344"/>
      <c r="K5" s="344"/>
      <c r="M5" s="110" t="s">
        <v>509</v>
      </c>
      <c r="O5" s="89"/>
    </row>
    <row r="6" spans="1:16" s="23" customFormat="1" ht="12.75" x14ac:dyDescent="0.2">
      <c r="B6" s="374" t="str">
        <f>'Solicitudes Regiones'!$B$6:$R$6</f>
        <v>Julio de 2008 a junio de 2022</v>
      </c>
      <c r="C6" s="374"/>
      <c r="D6" s="374"/>
      <c r="E6" s="374"/>
      <c r="F6" s="374"/>
      <c r="G6" s="374"/>
      <c r="H6" s="374"/>
      <c r="I6" s="374"/>
      <c r="J6" s="374"/>
      <c r="K6" s="374"/>
      <c r="L6" s="54"/>
    </row>
    <row r="7" spans="1:16" s="26" customFormat="1" x14ac:dyDescent="0.2">
      <c r="B7" s="24"/>
      <c r="C7" s="25"/>
      <c r="D7" s="25"/>
      <c r="E7" s="25"/>
      <c r="F7" s="25"/>
      <c r="G7" s="25"/>
      <c r="H7" s="25"/>
      <c r="I7" s="25"/>
      <c r="J7" s="25"/>
      <c r="K7" s="25"/>
      <c r="L7" s="25"/>
    </row>
    <row r="8" spans="1:16" ht="15" customHeight="1" x14ac:dyDescent="0.2">
      <c r="B8" s="373" t="s">
        <v>595</v>
      </c>
      <c r="C8" s="373"/>
      <c r="D8" s="373"/>
      <c r="E8" s="373"/>
      <c r="F8" s="373"/>
      <c r="G8" s="373"/>
      <c r="H8" s="373"/>
      <c r="I8" s="373"/>
      <c r="J8" s="373"/>
      <c r="K8" s="373"/>
      <c r="L8" s="373"/>
      <c r="M8" s="373"/>
    </row>
    <row r="9" spans="1:16" ht="20.25" customHeight="1" x14ac:dyDescent="0.2">
      <c r="B9" s="373" t="s">
        <v>41</v>
      </c>
      <c r="C9" s="370" t="s">
        <v>544</v>
      </c>
      <c r="D9" s="371"/>
      <c r="E9" s="371"/>
      <c r="F9" s="371"/>
      <c r="G9" s="371"/>
      <c r="H9" s="371"/>
      <c r="I9" s="371"/>
      <c r="J9" s="371"/>
      <c r="K9" s="371"/>
      <c r="L9" s="372"/>
      <c r="M9" s="307"/>
    </row>
    <row r="10" spans="1:16" ht="60" x14ac:dyDescent="0.2">
      <c r="B10" s="373"/>
      <c r="C10" s="20" t="s">
        <v>540</v>
      </c>
      <c r="D10" s="20" t="s">
        <v>42</v>
      </c>
      <c r="E10" s="20" t="s">
        <v>553</v>
      </c>
      <c r="F10" s="20" t="s">
        <v>554</v>
      </c>
      <c r="G10" s="20" t="s">
        <v>542</v>
      </c>
      <c r="H10" s="20" t="s">
        <v>2</v>
      </c>
      <c r="I10" s="20" t="s">
        <v>43</v>
      </c>
      <c r="J10" s="20" t="s">
        <v>549</v>
      </c>
      <c r="K10" s="296" t="s">
        <v>550</v>
      </c>
      <c r="L10" s="296" t="s">
        <v>523</v>
      </c>
      <c r="M10" s="296" t="s">
        <v>641</v>
      </c>
    </row>
    <row r="11" spans="1:16" x14ac:dyDescent="0.2">
      <c r="B11" s="16" t="s">
        <v>297</v>
      </c>
      <c r="C11" s="16">
        <v>4992</v>
      </c>
      <c r="D11" s="16">
        <v>3163</v>
      </c>
      <c r="E11" s="16">
        <f>C11+D11</f>
        <v>8155</v>
      </c>
      <c r="F11" s="17">
        <f>E11/$E$23</f>
        <v>0.3078520196300491</v>
      </c>
      <c r="G11" s="16">
        <v>17240</v>
      </c>
      <c r="H11" s="16">
        <v>3537</v>
      </c>
      <c r="I11" s="16">
        <v>1664</v>
      </c>
      <c r="J11" s="16">
        <v>22441</v>
      </c>
      <c r="K11" s="17">
        <f>J11/$J$23</f>
        <v>0.41805141579731742</v>
      </c>
      <c r="L11" s="16">
        <v>0</v>
      </c>
      <c r="M11" s="16">
        <f>L11+J11+E11</f>
        <v>30596</v>
      </c>
      <c r="P11" s="27"/>
    </row>
    <row r="12" spans="1:16" x14ac:dyDescent="0.2">
      <c r="B12" s="16" t="s">
        <v>298</v>
      </c>
      <c r="C12" s="16">
        <v>226</v>
      </c>
      <c r="D12" s="16">
        <v>159</v>
      </c>
      <c r="E12" s="16">
        <f t="shared" ref="E12:E22" si="0">C12+D12</f>
        <v>385</v>
      </c>
      <c r="F12" s="17">
        <f t="shared" ref="F12:F22" si="1">E12/$E$23</f>
        <v>1.4533786334465837E-2</v>
      </c>
      <c r="G12" s="16">
        <v>613</v>
      </c>
      <c r="H12" s="16">
        <v>88</v>
      </c>
      <c r="I12" s="16">
        <v>58</v>
      </c>
      <c r="J12" s="16">
        <v>759</v>
      </c>
      <c r="K12" s="17">
        <f t="shared" ref="K12:K23" si="2">J12/$J$23</f>
        <v>1.4139344262295081E-2</v>
      </c>
      <c r="L12" s="16">
        <v>0</v>
      </c>
      <c r="M12" s="16">
        <f t="shared" ref="M12:M23" si="3">L12+J12+E12</f>
        <v>1144</v>
      </c>
      <c r="P12" s="27"/>
    </row>
    <row r="13" spans="1:16" x14ac:dyDescent="0.2">
      <c r="B13" s="16" t="s">
        <v>299</v>
      </c>
      <c r="C13" s="16">
        <v>832</v>
      </c>
      <c r="D13" s="16">
        <v>594</v>
      </c>
      <c r="E13" s="16">
        <f t="shared" si="0"/>
        <v>1426</v>
      </c>
      <c r="F13" s="17">
        <f t="shared" si="1"/>
        <v>5.3831634579086449E-2</v>
      </c>
      <c r="G13" s="16">
        <v>1923</v>
      </c>
      <c r="H13" s="16">
        <v>267</v>
      </c>
      <c r="I13" s="16">
        <v>229</v>
      </c>
      <c r="J13" s="16">
        <v>2419</v>
      </c>
      <c r="K13" s="17">
        <f t="shared" si="2"/>
        <v>4.506333830104322E-2</v>
      </c>
      <c r="L13" s="16">
        <v>0</v>
      </c>
      <c r="M13" s="16">
        <f t="shared" si="3"/>
        <v>3845</v>
      </c>
      <c r="P13" s="27"/>
    </row>
    <row r="14" spans="1:16" x14ac:dyDescent="0.2">
      <c r="B14" s="16" t="s">
        <v>35</v>
      </c>
      <c r="C14" s="16">
        <v>893</v>
      </c>
      <c r="D14" s="16">
        <v>612</v>
      </c>
      <c r="E14" s="16">
        <f t="shared" si="0"/>
        <v>1505</v>
      </c>
      <c r="F14" s="17">
        <f t="shared" si="1"/>
        <v>5.6813892034730085E-2</v>
      </c>
      <c r="G14" s="16">
        <v>2254</v>
      </c>
      <c r="H14" s="16">
        <v>301</v>
      </c>
      <c r="I14" s="16">
        <v>220</v>
      </c>
      <c r="J14" s="16">
        <v>2775</v>
      </c>
      <c r="K14" s="17">
        <f t="shared" si="2"/>
        <v>5.1695230998509686E-2</v>
      </c>
      <c r="L14" s="16">
        <v>0</v>
      </c>
      <c r="M14" s="16">
        <f t="shared" si="3"/>
        <v>4280</v>
      </c>
      <c r="P14" s="27"/>
    </row>
    <row r="15" spans="1:16" x14ac:dyDescent="0.2">
      <c r="B15" s="16" t="s">
        <v>300</v>
      </c>
      <c r="C15" s="16">
        <v>293</v>
      </c>
      <c r="D15" s="16">
        <v>267</v>
      </c>
      <c r="E15" s="16">
        <f t="shared" si="0"/>
        <v>560</v>
      </c>
      <c r="F15" s="17">
        <f t="shared" si="1"/>
        <v>2.1140052850132124E-2</v>
      </c>
      <c r="G15" s="16">
        <v>892</v>
      </c>
      <c r="H15" s="16">
        <v>122</v>
      </c>
      <c r="I15" s="16">
        <v>96</v>
      </c>
      <c r="J15" s="16">
        <v>1110</v>
      </c>
      <c r="K15" s="17">
        <f t="shared" si="2"/>
        <v>2.0678092399403873E-2</v>
      </c>
      <c r="L15" s="16">
        <v>0</v>
      </c>
      <c r="M15" s="16">
        <f t="shared" si="3"/>
        <v>1670</v>
      </c>
      <c r="P15" s="27"/>
    </row>
    <row r="16" spans="1:16" ht="24" x14ac:dyDescent="0.2">
      <c r="B16" s="16" t="s">
        <v>301</v>
      </c>
      <c r="C16" s="16">
        <v>865</v>
      </c>
      <c r="D16" s="16">
        <v>704</v>
      </c>
      <c r="E16" s="16">
        <f t="shared" si="0"/>
        <v>1569</v>
      </c>
      <c r="F16" s="17">
        <f t="shared" si="1"/>
        <v>5.9229898074745185E-2</v>
      </c>
      <c r="G16" s="16">
        <v>1968</v>
      </c>
      <c r="H16" s="16">
        <v>299</v>
      </c>
      <c r="I16" s="16">
        <v>294</v>
      </c>
      <c r="J16" s="16">
        <v>2561</v>
      </c>
      <c r="K16" s="17">
        <f t="shared" si="2"/>
        <v>4.7708643815201193E-2</v>
      </c>
      <c r="L16" s="16">
        <v>0</v>
      </c>
      <c r="M16" s="16">
        <f t="shared" si="3"/>
        <v>4130</v>
      </c>
      <c r="P16" s="27"/>
    </row>
    <row r="17" spans="2:16" x14ac:dyDescent="0.2">
      <c r="B17" s="16" t="s">
        <v>302</v>
      </c>
      <c r="C17" s="16">
        <v>1082</v>
      </c>
      <c r="D17" s="16">
        <v>929</v>
      </c>
      <c r="E17" s="16">
        <f t="shared" si="0"/>
        <v>2011</v>
      </c>
      <c r="F17" s="17">
        <f t="shared" si="1"/>
        <v>7.5915439788599465E-2</v>
      </c>
      <c r="G17" s="16">
        <v>2578</v>
      </c>
      <c r="H17" s="16">
        <v>357</v>
      </c>
      <c r="I17" s="16">
        <v>291</v>
      </c>
      <c r="J17" s="16">
        <v>3226</v>
      </c>
      <c r="K17" s="17">
        <f t="shared" si="2"/>
        <v>6.0096870342771981E-2</v>
      </c>
      <c r="L17" s="16">
        <v>0</v>
      </c>
      <c r="M17" s="16">
        <f t="shared" si="3"/>
        <v>5237</v>
      </c>
      <c r="P17" s="240"/>
    </row>
    <row r="18" spans="2:16" x14ac:dyDescent="0.2">
      <c r="B18" s="16" t="s">
        <v>303</v>
      </c>
      <c r="C18" s="16">
        <v>1804</v>
      </c>
      <c r="D18" s="16">
        <v>1199</v>
      </c>
      <c r="E18" s="16">
        <f t="shared" si="0"/>
        <v>3003</v>
      </c>
      <c r="F18" s="17">
        <f t="shared" si="1"/>
        <v>0.11336353340883353</v>
      </c>
      <c r="G18" s="16">
        <v>3215</v>
      </c>
      <c r="H18" s="16">
        <v>411</v>
      </c>
      <c r="I18" s="16">
        <v>398</v>
      </c>
      <c r="J18" s="16">
        <v>4024</v>
      </c>
      <c r="K18" s="17">
        <f t="shared" si="2"/>
        <v>7.4962742175856925E-2</v>
      </c>
      <c r="L18" s="16">
        <v>0</v>
      </c>
      <c r="M18" s="16">
        <f t="shared" si="3"/>
        <v>7027</v>
      </c>
      <c r="P18" s="27"/>
    </row>
    <row r="19" spans="2:16" x14ac:dyDescent="0.2">
      <c r="B19" s="16" t="s">
        <v>304</v>
      </c>
      <c r="C19" s="16">
        <v>1746</v>
      </c>
      <c r="D19" s="16">
        <v>1041</v>
      </c>
      <c r="E19" s="16">
        <f t="shared" si="0"/>
        <v>2787</v>
      </c>
      <c r="F19" s="17">
        <f t="shared" si="1"/>
        <v>0.10520951302378256</v>
      </c>
      <c r="G19" s="16">
        <v>5142</v>
      </c>
      <c r="H19" s="16">
        <v>916</v>
      </c>
      <c r="I19" s="16">
        <v>562</v>
      </c>
      <c r="J19" s="16">
        <v>6620</v>
      </c>
      <c r="K19" s="17">
        <f t="shared" si="2"/>
        <v>0.12332339791356185</v>
      </c>
      <c r="L19" s="16">
        <v>0</v>
      </c>
      <c r="M19" s="16">
        <f t="shared" si="3"/>
        <v>9407</v>
      </c>
      <c r="P19" s="27"/>
    </row>
    <row r="20" spans="2:16" x14ac:dyDescent="0.2">
      <c r="B20" s="16" t="s">
        <v>305</v>
      </c>
      <c r="C20" s="16">
        <v>725</v>
      </c>
      <c r="D20" s="16">
        <v>483</v>
      </c>
      <c r="E20" s="16">
        <f t="shared" si="0"/>
        <v>1208</v>
      </c>
      <c r="F20" s="17">
        <f t="shared" si="1"/>
        <v>4.5602114005285015E-2</v>
      </c>
      <c r="G20" s="16">
        <v>1326</v>
      </c>
      <c r="H20" s="16">
        <v>187</v>
      </c>
      <c r="I20" s="16">
        <v>133</v>
      </c>
      <c r="J20" s="16">
        <v>1646</v>
      </c>
      <c r="K20" s="17">
        <f t="shared" si="2"/>
        <v>3.0663189269746646E-2</v>
      </c>
      <c r="L20" s="16">
        <v>0</v>
      </c>
      <c r="M20" s="16">
        <f t="shared" si="3"/>
        <v>2854</v>
      </c>
      <c r="P20" s="27"/>
    </row>
    <row r="21" spans="2:16" x14ac:dyDescent="0.2">
      <c r="B21" s="16" t="s">
        <v>306</v>
      </c>
      <c r="C21" s="16">
        <v>566</v>
      </c>
      <c r="D21" s="16">
        <v>394</v>
      </c>
      <c r="E21" s="16">
        <f t="shared" si="0"/>
        <v>960</v>
      </c>
      <c r="F21" s="17">
        <f t="shared" si="1"/>
        <v>3.6240090600226503E-2</v>
      </c>
      <c r="G21" s="16">
        <v>956</v>
      </c>
      <c r="H21" s="16">
        <v>111</v>
      </c>
      <c r="I21" s="16">
        <v>120</v>
      </c>
      <c r="J21" s="16">
        <v>1187</v>
      </c>
      <c r="K21" s="17">
        <f t="shared" si="2"/>
        <v>2.2112518628912073E-2</v>
      </c>
      <c r="L21" s="16">
        <v>0</v>
      </c>
      <c r="M21" s="16">
        <f t="shared" si="3"/>
        <v>2147</v>
      </c>
      <c r="P21" s="27"/>
    </row>
    <row r="22" spans="2:16" x14ac:dyDescent="0.2">
      <c r="B22" s="16" t="s">
        <v>307</v>
      </c>
      <c r="C22" s="16">
        <v>1824</v>
      </c>
      <c r="D22" s="16">
        <v>1097</v>
      </c>
      <c r="E22" s="16">
        <f t="shared" si="0"/>
        <v>2921</v>
      </c>
      <c r="F22" s="17">
        <f t="shared" si="1"/>
        <v>0.11026802567006418</v>
      </c>
      <c r="G22" s="16">
        <v>3934</v>
      </c>
      <c r="H22" s="16">
        <v>517</v>
      </c>
      <c r="I22" s="16">
        <v>461</v>
      </c>
      <c r="J22" s="16">
        <v>4912</v>
      </c>
      <c r="K22" s="17">
        <f t="shared" si="2"/>
        <v>9.1505216095380024E-2</v>
      </c>
      <c r="L22" s="16">
        <v>0</v>
      </c>
      <c r="M22" s="16">
        <f t="shared" si="3"/>
        <v>7833</v>
      </c>
      <c r="P22" s="27"/>
    </row>
    <row r="23" spans="2:16" x14ac:dyDescent="0.2">
      <c r="B23" s="18" t="s">
        <v>39</v>
      </c>
      <c r="C23" s="16">
        <f t="shared" ref="C23:D23" si="4">SUM(C11:C22)</f>
        <v>15848</v>
      </c>
      <c r="D23" s="16">
        <f t="shared" si="4"/>
        <v>10642</v>
      </c>
      <c r="E23" s="18">
        <f t="shared" ref="E23" si="5">C23+D23</f>
        <v>26490</v>
      </c>
      <c r="F23" s="19">
        <f t="shared" ref="F23" si="6">E23/$E$23</f>
        <v>1</v>
      </c>
      <c r="G23" s="16">
        <f t="shared" ref="G23:J23" si="7">SUM(G11:G22)</f>
        <v>42041</v>
      </c>
      <c r="H23" s="16">
        <f t="shared" si="7"/>
        <v>7113</v>
      </c>
      <c r="I23" s="16">
        <f t="shared" si="7"/>
        <v>4526</v>
      </c>
      <c r="J23" s="16">
        <f t="shared" si="7"/>
        <v>53680</v>
      </c>
      <c r="K23" s="17">
        <f t="shared" si="2"/>
        <v>1</v>
      </c>
      <c r="L23" s="16">
        <f t="shared" ref="L23" si="8">SUM(L11:L22)</f>
        <v>0</v>
      </c>
      <c r="M23" s="16">
        <f t="shared" si="3"/>
        <v>80170</v>
      </c>
      <c r="P23" s="27"/>
    </row>
    <row r="24" spans="2:16" ht="25.5" customHeight="1" x14ac:dyDescent="0.2">
      <c r="B24" s="28" t="s">
        <v>44</v>
      </c>
      <c r="C24" s="29">
        <f>+C23/M23</f>
        <v>0.19767993014843457</v>
      </c>
      <c r="D24" s="29">
        <f>+D23/M23</f>
        <v>0.13274292129225396</v>
      </c>
      <c r="E24" s="30">
        <f>+E23/M23</f>
        <v>0.33042285144068856</v>
      </c>
      <c r="F24" s="30"/>
      <c r="G24" s="29">
        <f>+G23/M23</f>
        <v>0.52439815392291378</v>
      </c>
      <c r="H24" s="29">
        <f>+H23/M23</f>
        <v>8.8723961581639019E-2</v>
      </c>
      <c r="I24" s="29">
        <f>+I23/M23</f>
        <v>5.6455033054758637E-2</v>
      </c>
      <c r="J24" s="30">
        <f>+J23/M23</f>
        <v>0.6695771485593115</v>
      </c>
      <c r="K24" s="30"/>
      <c r="L24" s="30">
        <f>+L23/M23</f>
        <v>0</v>
      </c>
      <c r="M24" s="30">
        <f>J24+L24+E24</f>
        <v>1</v>
      </c>
    </row>
    <row r="25" spans="2:16" x14ac:dyDescent="0.2">
      <c r="B25" s="31"/>
      <c r="C25" s="32"/>
      <c r="D25" s="32"/>
      <c r="E25" s="33"/>
      <c r="F25" s="33"/>
      <c r="G25" s="32"/>
      <c r="H25" s="32"/>
      <c r="I25" s="33"/>
      <c r="J25" s="33"/>
      <c r="K25" s="33"/>
      <c r="L25" s="33"/>
    </row>
    <row r="26" spans="2:16" ht="12.75" x14ac:dyDescent="0.2">
      <c r="B26" s="344" t="s">
        <v>574</v>
      </c>
      <c r="C26" s="344"/>
      <c r="D26" s="344"/>
      <c r="E26" s="344"/>
      <c r="F26" s="344"/>
      <c r="G26" s="344"/>
      <c r="H26" s="344"/>
      <c r="I26" s="344"/>
      <c r="J26" s="344"/>
      <c r="K26" s="344"/>
      <c r="L26" s="33"/>
    </row>
    <row r="27" spans="2:16" ht="12.75" x14ac:dyDescent="0.2">
      <c r="B27" s="374" t="str">
        <f>'Solicitudes Regiones'!$B$6:$R$6</f>
        <v>Julio de 2008 a junio de 2022</v>
      </c>
      <c r="C27" s="374"/>
      <c r="D27" s="374"/>
      <c r="E27" s="374"/>
      <c r="F27" s="374"/>
      <c r="G27" s="374"/>
      <c r="H27" s="374"/>
      <c r="I27" s="374"/>
      <c r="J27" s="374"/>
      <c r="K27" s="374"/>
      <c r="L27" s="33"/>
    </row>
    <row r="28" spans="2:16" x14ac:dyDescent="0.2">
      <c r="B28" s="21"/>
      <c r="C28" s="34"/>
      <c r="D28" s="34"/>
      <c r="E28" s="34"/>
      <c r="F28" s="34"/>
      <c r="G28" s="34"/>
      <c r="H28" s="34"/>
      <c r="I28" s="34"/>
      <c r="J28" s="34"/>
      <c r="K28" s="34"/>
    </row>
    <row r="29" spans="2:16" ht="15" customHeight="1" x14ac:dyDescent="0.2">
      <c r="B29" s="373" t="s">
        <v>596</v>
      </c>
      <c r="C29" s="373"/>
      <c r="D29" s="373"/>
      <c r="E29" s="373"/>
      <c r="F29" s="373"/>
      <c r="G29" s="373"/>
      <c r="H29" s="373"/>
      <c r="I29" s="373"/>
      <c r="J29" s="373"/>
      <c r="K29" s="373"/>
      <c r="L29" s="373"/>
      <c r="M29" s="373"/>
    </row>
    <row r="30" spans="2:16" ht="15" customHeight="1" x14ac:dyDescent="0.2">
      <c r="B30" s="373" t="s">
        <v>41</v>
      </c>
      <c r="C30" s="370" t="s">
        <v>544</v>
      </c>
      <c r="D30" s="371"/>
      <c r="E30" s="371"/>
      <c r="F30" s="371"/>
      <c r="G30" s="371"/>
      <c r="H30" s="371"/>
      <c r="I30" s="371"/>
      <c r="J30" s="371"/>
      <c r="K30" s="371"/>
      <c r="L30" s="372"/>
      <c r="M30" s="307"/>
    </row>
    <row r="31" spans="2:16" ht="60" x14ac:dyDescent="0.2">
      <c r="B31" s="373"/>
      <c r="C31" s="20" t="s">
        <v>540</v>
      </c>
      <c r="D31" s="20" t="s">
        <v>42</v>
      </c>
      <c r="E31" s="20" t="s">
        <v>553</v>
      </c>
      <c r="F31" s="20" t="s">
        <v>554</v>
      </c>
      <c r="G31" s="20" t="s">
        <v>542</v>
      </c>
      <c r="H31" s="20" t="s">
        <v>2</v>
      </c>
      <c r="I31" s="20" t="s">
        <v>43</v>
      </c>
      <c r="J31" s="20" t="s">
        <v>549</v>
      </c>
      <c r="K31" s="296" t="s">
        <v>550</v>
      </c>
      <c r="L31" s="296" t="s">
        <v>523</v>
      </c>
      <c r="M31" s="296" t="s">
        <v>641</v>
      </c>
    </row>
    <row r="32" spans="2:16" x14ac:dyDescent="0.2">
      <c r="B32" s="16" t="s">
        <v>297</v>
      </c>
      <c r="C32" s="16">
        <v>4433</v>
      </c>
      <c r="D32" s="16">
        <v>2290</v>
      </c>
      <c r="E32" s="16">
        <f>C32+D32</f>
        <v>6723</v>
      </c>
      <c r="F32" s="17">
        <f>E32/$E$44</f>
        <v>0.31382159361433976</v>
      </c>
      <c r="G32" s="16">
        <v>14460</v>
      </c>
      <c r="H32" s="16">
        <v>2172</v>
      </c>
      <c r="I32" s="16">
        <v>1426</v>
      </c>
      <c r="J32" s="16">
        <v>18058</v>
      </c>
      <c r="K32" s="17">
        <f>J32/$J$44</f>
        <v>0.4075929938605995</v>
      </c>
      <c r="L32" s="16">
        <v>0</v>
      </c>
      <c r="M32" s="16">
        <f t="shared" ref="M32:M44" si="9">L32+J32+E32</f>
        <v>24781</v>
      </c>
    </row>
    <row r="33" spans="2:13" x14ac:dyDescent="0.2">
      <c r="B33" s="16" t="s">
        <v>298</v>
      </c>
      <c r="C33" s="16">
        <v>209</v>
      </c>
      <c r="D33" s="16">
        <v>107</v>
      </c>
      <c r="E33" s="16">
        <f t="shared" ref="E33:E43" si="10">C33+D33</f>
        <v>316</v>
      </c>
      <c r="F33" s="17">
        <f t="shared" ref="F33:F43" si="11">E33/$E$44</f>
        <v>1.4750501797133922E-2</v>
      </c>
      <c r="G33" s="16">
        <v>554</v>
      </c>
      <c r="H33" s="16">
        <v>52</v>
      </c>
      <c r="I33" s="16">
        <v>50</v>
      </c>
      <c r="J33" s="16">
        <v>656</v>
      </c>
      <c r="K33" s="17">
        <f t="shared" ref="K33:K44" si="12">J33/$J$44</f>
        <v>1.4806789454676778E-2</v>
      </c>
      <c r="L33" s="16">
        <v>0</v>
      </c>
      <c r="M33" s="16">
        <f t="shared" si="9"/>
        <v>972</v>
      </c>
    </row>
    <row r="34" spans="2:13" x14ac:dyDescent="0.2">
      <c r="B34" s="16" t="s">
        <v>299</v>
      </c>
      <c r="C34" s="16">
        <v>771</v>
      </c>
      <c r="D34" s="16">
        <v>345</v>
      </c>
      <c r="E34" s="16">
        <f t="shared" si="10"/>
        <v>1116</v>
      </c>
      <c r="F34" s="17">
        <f t="shared" si="11"/>
        <v>5.2093544321523598E-2</v>
      </c>
      <c r="G34" s="16">
        <v>1751</v>
      </c>
      <c r="H34" s="16">
        <v>134</v>
      </c>
      <c r="I34" s="16">
        <v>196</v>
      </c>
      <c r="J34" s="16">
        <v>2081</v>
      </c>
      <c r="K34" s="17">
        <f t="shared" si="12"/>
        <v>4.6970928132899964E-2</v>
      </c>
      <c r="L34" s="16">
        <v>0</v>
      </c>
      <c r="M34" s="16">
        <f t="shared" si="9"/>
        <v>3197</v>
      </c>
    </row>
    <row r="35" spans="2:13" x14ac:dyDescent="0.2">
      <c r="B35" s="16" t="s">
        <v>35</v>
      </c>
      <c r="C35" s="16">
        <v>821</v>
      </c>
      <c r="D35" s="16">
        <v>410</v>
      </c>
      <c r="E35" s="16">
        <f t="shared" si="10"/>
        <v>1231</v>
      </c>
      <c r="F35" s="17">
        <f t="shared" si="11"/>
        <v>5.7461606684404615E-2</v>
      </c>
      <c r="G35" s="16">
        <v>2025</v>
      </c>
      <c r="H35" s="16">
        <v>180</v>
      </c>
      <c r="I35" s="16">
        <v>183</v>
      </c>
      <c r="J35" s="16">
        <v>2388</v>
      </c>
      <c r="K35" s="17">
        <f t="shared" si="12"/>
        <v>5.390032502708559E-2</v>
      </c>
      <c r="L35" s="16">
        <v>0</v>
      </c>
      <c r="M35" s="16">
        <f t="shared" si="9"/>
        <v>3619</v>
      </c>
    </row>
    <row r="36" spans="2:13" x14ac:dyDescent="0.2">
      <c r="B36" s="16" t="s">
        <v>300</v>
      </c>
      <c r="C36" s="16">
        <v>258</v>
      </c>
      <c r="D36" s="16">
        <v>146</v>
      </c>
      <c r="E36" s="16">
        <f t="shared" si="10"/>
        <v>404</v>
      </c>
      <c r="F36" s="17">
        <f t="shared" si="11"/>
        <v>1.8858236474816787E-2</v>
      </c>
      <c r="G36" s="16">
        <v>814</v>
      </c>
      <c r="H36" s="16">
        <v>75</v>
      </c>
      <c r="I36" s="16">
        <v>84</v>
      </c>
      <c r="J36" s="16">
        <v>973</v>
      </c>
      <c r="K36" s="17">
        <f t="shared" si="12"/>
        <v>2.1961899602744674E-2</v>
      </c>
      <c r="L36" s="16">
        <v>0</v>
      </c>
      <c r="M36" s="16">
        <f t="shared" si="9"/>
        <v>1377</v>
      </c>
    </row>
    <row r="37" spans="2:13" ht="24" x14ac:dyDescent="0.2">
      <c r="B37" s="16" t="s">
        <v>301</v>
      </c>
      <c r="C37" s="16">
        <v>818</v>
      </c>
      <c r="D37" s="16">
        <v>435</v>
      </c>
      <c r="E37" s="16">
        <f t="shared" si="10"/>
        <v>1253</v>
      </c>
      <c r="F37" s="17">
        <f t="shared" si="11"/>
        <v>5.8488540353825329E-2</v>
      </c>
      <c r="G37" s="16">
        <v>1788</v>
      </c>
      <c r="H37" s="16">
        <v>166</v>
      </c>
      <c r="I37" s="16">
        <v>253</v>
      </c>
      <c r="J37" s="16">
        <v>2207</v>
      </c>
      <c r="K37" s="17">
        <f t="shared" si="12"/>
        <v>4.9814915131816538E-2</v>
      </c>
      <c r="L37" s="16">
        <v>0</v>
      </c>
      <c r="M37" s="16">
        <f t="shared" si="9"/>
        <v>3460</v>
      </c>
    </row>
    <row r="38" spans="2:13" x14ac:dyDescent="0.2">
      <c r="B38" s="16" t="s">
        <v>302</v>
      </c>
      <c r="C38" s="16">
        <v>968</v>
      </c>
      <c r="D38" s="16">
        <v>529</v>
      </c>
      <c r="E38" s="16">
        <f t="shared" si="10"/>
        <v>1497</v>
      </c>
      <c r="F38" s="17">
        <f t="shared" si="11"/>
        <v>6.9878168323764173E-2</v>
      </c>
      <c r="G38" s="16">
        <v>2243</v>
      </c>
      <c r="H38" s="16">
        <v>185</v>
      </c>
      <c r="I38" s="16">
        <v>249</v>
      </c>
      <c r="J38" s="16">
        <v>2677</v>
      </c>
      <c r="K38" s="17">
        <f t="shared" si="12"/>
        <v>6.0423438064283137E-2</v>
      </c>
      <c r="L38" s="16">
        <v>0</v>
      </c>
      <c r="M38" s="16">
        <f t="shared" si="9"/>
        <v>4174</v>
      </c>
    </row>
    <row r="39" spans="2:13" x14ac:dyDescent="0.2">
      <c r="B39" s="16" t="s">
        <v>303</v>
      </c>
      <c r="C39" s="16">
        <v>1660</v>
      </c>
      <c r="D39" s="16">
        <v>793</v>
      </c>
      <c r="E39" s="16">
        <f t="shared" si="10"/>
        <v>2453</v>
      </c>
      <c r="F39" s="17">
        <f t="shared" si="11"/>
        <v>0.11450310414040984</v>
      </c>
      <c r="G39" s="16">
        <v>2734</v>
      </c>
      <c r="H39" s="16">
        <v>231</v>
      </c>
      <c r="I39" s="16">
        <v>336</v>
      </c>
      <c r="J39" s="16">
        <v>3301</v>
      </c>
      <c r="K39" s="17">
        <f t="shared" si="12"/>
        <v>7.450794510653666E-2</v>
      </c>
      <c r="L39" s="16">
        <v>0</v>
      </c>
      <c r="M39" s="16">
        <f t="shared" si="9"/>
        <v>5754</v>
      </c>
    </row>
    <row r="40" spans="2:13" x14ac:dyDescent="0.2">
      <c r="B40" s="16" t="s">
        <v>304</v>
      </c>
      <c r="C40" s="16">
        <v>1573</v>
      </c>
      <c r="D40" s="16">
        <v>718</v>
      </c>
      <c r="E40" s="16">
        <f t="shared" si="10"/>
        <v>2291</v>
      </c>
      <c r="F40" s="17">
        <f t="shared" si="11"/>
        <v>0.10694113802922094</v>
      </c>
      <c r="G40" s="16">
        <v>4458</v>
      </c>
      <c r="H40" s="16">
        <v>486</v>
      </c>
      <c r="I40" s="16">
        <v>496</v>
      </c>
      <c r="J40" s="16">
        <v>5440</v>
      </c>
      <c r="K40" s="17">
        <f t="shared" si="12"/>
        <v>0.12278801011195377</v>
      </c>
      <c r="L40" s="16">
        <v>0</v>
      </c>
      <c r="M40" s="16">
        <f t="shared" si="9"/>
        <v>7731</v>
      </c>
    </row>
    <row r="41" spans="2:13" x14ac:dyDescent="0.2">
      <c r="B41" s="16" t="s">
        <v>305</v>
      </c>
      <c r="C41" s="16">
        <v>651</v>
      </c>
      <c r="D41" s="16">
        <v>316</v>
      </c>
      <c r="E41" s="16">
        <f t="shared" si="10"/>
        <v>967</v>
      </c>
      <c r="F41" s="17">
        <f t="shared" si="11"/>
        <v>4.5138402651356019E-2</v>
      </c>
      <c r="G41" s="16">
        <v>1169</v>
      </c>
      <c r="H41" s="16">
        <v>101</v>
      </c>
      <c r="I41" s="16">
        <v>117</v>
      </c>
      <c r="J41" s="16">
        <v>1387</v>
      </c>
      <c r="K41" s="17">
        <f t="shared" si="12"/>
        <v>3.1306428313470566E-2</v>
      </c>
      <c r="L41" s="16">
        <v>0</v>
      </c>
      <c r="M41" s="16">
        <f t="shared" si="9"/>
        <v>2354</v>
      </c>
    </row>
    <row r="42" spans="2:13" x14ac:dyDescent="0.2">
      <c r="B42" s="16" t="s">
        <v>306</v>
      </c>
      <c r="C42" s="16">
        <v>537</v>
      </c>
      <c r="D42" s="16">
        <v>254</v>
      </c>
      <c r="E42" s="16">
        <f t="shared" si="10"/>
        <v>791</v>
      </c>
      <c r="F42" s="17">
        <f t="shared" si="11"/>
        <v>3.6922933295990293E-2</v>
      </c>
      <c r="G42" s="16">
        <v>862</v>
      </c>
      <c r="H42" s="16">
        <v>60</v>
      </c>
      <c r="I42" s="16">
        <v>104</v>
      </c>
      <c r="J42" s="16">
        <v>1026</v>
      </c>
      <c r="K42" s="17">
        <f t="shared" si="12"/>
        <v>2.3158179848320692E-2</v>
      </c>
      <c r="L42" s="16">
        <v>0</v>
      </c>
      <c r="M42" s="16">
        <f t="shared" si="9"/>
        <v>1817</v>
      </c>
    </row>
    <row r="43" spans="2:13" x14ac:dyDescent="0.2">
      <c r="B43" s="16" t="s">
        <v>307</v>
      </c>
      <c r="C43" s="16">
        <v>1663</v>
      </c>
      <c r="D43" s="16">
        <v>718</v>
      </c>
      <c r="E43" s="16">
        <f t="shared" si="10"/>
        <v>2381</v>
      </c>
      <c r="F43" s="17">
        <f t="shared" si="11"/>
        <v>0.11114223031321477</v>
      </c>
      <c r="G43" s="16">
        <v>3437</v>
      </c>
      <c r="H43" s="16">
        <v>271</v>
      </c>
      <c r="I43" s="16">
        <v>402</v>
      </c>
      <c r="J43" s="16">
        <v>4110</v>
      </c>
      <c r="K43" s="17">
        <f t="shared" si="12"/>
        <v>9.2768147345612131E-2</v>
      </c>
      <c r="L43" s="16">
        <v>0</v>
      </c>
      <c r="M43" s="16">
        <f t="shared" si="9"/>
        <v>6491</v>
      </c>
    </row>
    <row r="44" spans="2:13" x14ac:dyDescent="0.2">
      <c r="B44" s="18" t="s">
        <v>39</v>
      </c>
      <c r="C44" s="16">
        <f t="shared" ref="C44:D44" si="13">SUM(C32:C43)</f>
        <v>14362</v>
      </c>
      <c r="D44" s="16">
        <f t="shared" si="13"/>
        <v>7061</v>
      </c>
      <c r="E44" s="18">
        <f t="shared" ref="E44" si="14">C44+D44</f>
        <v>21423</v>
      </c>
      <c r="F44" s="19">
        <f t="shared" ref="F44" si="15">E44/$E$44</f>
        <v>1</v>
      </c>
      <c r="G44" s="16">
        <f t="shared" ref="G44:J44" si="16">SUM(G32:G43)</f>
        <v>36295</v>
      </c>
      <c r="H44" s="16">
        <f t="shared" si="16"/>
        <v>4113</v>
      </c>
      <c r="I44" s="16">
        <f t="shared" si="16"/>
        <v>3896</v>
      </c>
      <c r="J44" s="16">
        <f t="shared" si="16"/>
        <v>44304</v>
      </c>
      <c r="K44" s="17">
        <f t="shared" si="12"/>
        <v>1</v>
      </c>
      <c r="L44" s="16">
        <f t="shared" ref="L44" si="17">SUM(L32:L43)</f>
        <v>0</v>
      </c>
      <c r="M44" s="16">
        <f t="shared" si="9"/>
        <v>65727</v>
      </c>
    </row>
    <row r="45" spans="2:13" ht="24" x14ac:dyDescent="0.2">
      <c r="B45" s="28" t="s">
        <v>45</v>
      </c>
      <c r="C45" s="29">
        <f>+C44/M44</f>
        <v>0.21850989699818948</v>
      </c>
      <c r="D45" s="29">
        <f>+D44/M44</f>
        <v>0.10742921478235733</v>
      </c>
      <c r="E45" s="30">
        <f>+E44/M44</f>
        <v>0.3259391117805468</v>
      </c>
      <c r="F45" s="30"/>
      <c r="G45" s="29">
        <f>+G44/M44</f>
        <v>0.55220837707487025</v>
      </c>
      <c r="H45" s="29">
        <f>+H44/M44</f>
        <v>6.2577023141174859E-2</v>
      </c>
      <c r="I45" s="29">
        <f>+I44/M44</f>
        <v>5.9275488003408039E-2</v>
      </c>
      <c r="J45" s="30">
        <f>+J44/M44</f>
        <v>0.6740608882194532</v>
      </c>
      <c r="K45" s="30"/>
      <c r="L45" s="30">
        <f>+L44/M44</f>
        <v>0</v>
      </c>
      <c r="M45" s="30">
        <f>J45+L45+E45</f>
        <v>1</v>
      </c>
    </row>
    <row r="46" spans="2:13" x14ac:dyDescent="0.2">
      <c r="B46" s="21" t="s">
        <v>78</v>
      </c>
    </row>
    <row r="47" spans="2:13" x14ac:dyDescent="0.2">
      <c r="B47" s="21" t="s">
        <v>79</v>
      </c>
    </row>
  </sheetData>
  <mergeCells count="10">
    <mergeCell ref="B6:K6"/>
    <mergeCell ref="B5:K5"/>
    <mergeCell ref="B27:K27"/>
    <mergeCell ref="B26:K26"/>
    <mergeCell ref="B8:M8"/>
    <mergeCell ref="B30:B31"/>
    <mergeCell ref="B9:B10"/>
    <mergeCell ref="C9:L9"/>
    <mergeCell ref="C30:L30"/>
    <mergeCell ref="B29:M29"/>
  </mergeCells>
  <hyperlinks>
    <hyperlink ref="M5" location="'Índice PGU y SPS'!A1" display="Volver Sistema de Pensiones Solidarias" xr:uid="{50093103-D06A-410F-8F96-347BDB2EF3E0}"/>
  </hyperlinks>
  <pageMargins left="0.74803149606299213" right="0.74803149606299213" top="0.98425196850393704" bottom="0.98425196850393704" header="0" footer="0"/>
  <pageSetup scale="78"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29"/>
  <dimension ref="A1:P83"/>
  <sheetViews>
    <sheetView showGridLines="0" zoomScaleNormal="100" workbookViewId="0">
      <selection activeCell="M35" sqref="M35"/>
    </sheetView>
  </sheetViews>
  <sheetFormatPr baseColWidth="10" defaultRowHeight="12" x14ac:dyDescent="0.2"/>
  <cols>
    <col min="1" max="1" width="6" style="22" customWidth="1"/>
    <col min="2" max="2" width="18.140625" style="22" customWidth="1"/>
    <col min="3" max="3" width="7.85546875" style="22" bestFit="1" customWidth="1"/>
    <col min="4" max="4" width="7.28515625" style="22" bestFit="1" customWidth="1"/>
    <col min="5" max="6" width="7.28515625" style="22" customWidth="1"/>
    <col min="7" max="8" width="7.28515625" style="22" bestFit="1" customWidth="1"/>
    <col min="9" max="11" width="7.28515625" style="22" customWidth="1"/>
    <col min="12" max="12" width="7.85546875" style="22" hidden="1" customWidth="1"/>
    <col min="13" max="251" width="11.42578125" style="22"/>
    <col min="252" max="252" width="18.140625" style="22" customWidth="1"/>
    <col min="253" max="253" width="7.85546875" style="22" bestFit="1" customWidth="1"/>
    <col min="254" max="254" width="7.28515625" style="22" bestFit="1" customWidth="1"/>
    <col min="255" max="256" width="7.28515625" style="22" customWidth="1"/>
    <col min="257" max="258" width="7.28515625" style="22" bestFit="1" customWidth="1"/>
    <col min="259" max="261" width="7.28515625" style="22" customWidth="1"/>
    <col min="262" max="267" width="0" style="22" hidden="1" customWidth="1"/>
    <col min="268" max="268" width="7.85546875" style="22" customWidth="1"/>
    <col min="269" max="507" width="11.42578125" style="22"/>
    <col min="508" max="508" width="18.140625" style="22" customWidth="1"/>
    <col min="509" max="509" width="7.85546875" style="22" bestFit="1" customWidth="1"/>
    <col min="510" max="510" width="7.28515625" style="22" bestFit="1" customWidth="1"/>
    <col min="511" max="512" width="7.28515625" style="22" customWidth="1"/>
    <col min="513" max="514" width="7.28515625" style="22" bestFit="1" customWidth="1"/>
    <col min="515" max="517" width="7.28515625" style="22" customWidth="1"/>
    <col min="518" max="523" width="0" style="22" hidden="1" customWidth="1"/>
    <col min="524" max="524" width="7.85546875" style="22" customWidth="1"/>
    <col min="525" max="763" width="11.42578125" style="22"/>
    <col min="764" max="764" width="18.140625" style="22" customWidth="1"/>
    <col min="765" max="765" width="7.85546875" style="22" bestFit="1" customWidth="1"/>
    <col min="766" max="766" width="7.28515625" style="22" bestFit="1" customWidth="1"/>
    <col min="767" max="768" width="7.28515625" style="22" customWidth="1"/>
    <col min="769" max="770" width="7.28515625" style="22" bestFit="1" customWidth="1"/>
    <col min="771" max="773" width="7.28515625" style="22" customWidth="1"/>
    <col min="774" max="779" width="0" style="22" hidden="1" customWidth="1"/>
    <col min="780" max="780" width="7.85546875" style="22" customWidth="1"/>
    <col min="781" max="1019" width="11.42578125" style="22"/>
    <col min="1020" max="1020" width="18.140625" style="22" customWidth="1"/>
    <col min="1021" max="1021" width="7.85546875" style="22" bestFit="1" customWidth="1"/>
    <col min="1022" max="1022" width="7.28515625" style="22" bestFit="1" customWidth="1"/>
    <col min="1023" max="1024" width="7.28515625" style="22" customWidth="1"/>
    <col min="1025" max="1026" width="7.28515625" style="22" bestFit="1" customWidth="1"/>
    <col min="1027" max="1029" width="7.28515625" style="22" customWidth="1"/>
    <col min="1030" max="1035" width="0" style="22" hidden="1" customWidth="1"/>
    <col min="1036" max="1036" width="7.85546875" style="22" customWidth="1"/>
    <col min="1037" max="1275" width="11.42578125" style="22"/>
    <col min="1276" max="1276" width="18.140625" style="22" customWidth="1"/>
    <col min="1277" max="1277" width="7.85546875" style="22" bestFit="1" customWidth="1"/>
    <col min="1278" max="1278" width="7.28515625" style="22" bestFit="1" customWidth="1"/>
    <col min="1279" max="1280" width="7.28515625" style="22" customWidth="1"/>
    <col min="1281" max="1282" width="7.28515625" style="22" bestFit="1" customWidth="1"/>
    <col min="1283" max="1285" width="7.28515625" style="22" customWidth="1"/>
    <col min="1286" max="1291" width="0" style="22" hidden="1" customWidth="1"/>
    <col min="1292" max="1292" width="7.85546875" style="22" customWidth="1"/>
    <col min="1293" max="1531" width="11.42578125" style="22"/>
    <col min="1532" max="1532" width="18.140625" style="22" customWidth="1"/>
    <col min="1533" max="1533" width="7.85546875" style="22" bestFit="1" customWidth="1"/>
    <col min="1534" max="1534" width="7.28515625" style="22" bestFit="1" customWidth="1"/>
    <col min="1535" max="1536" width="7.28515625" style="22" customWidth="1"/>
    <col min="1537" max="1538" width="7.28515625" style="22" bestFit="1" customWidth="1"/>
    <col min="1539" max="1541" width="7.28515625" style="22" customWidth="1"/>
    <col min="1542" max="1547" width="0" style="22" hidden="1" customWidth="1"/>
    <col min="1548" max="1548" width="7.85546875" style="22" customWidth="1"/>
    <col min="1549" max="1787" width="11.42578125" style="22"/>
    <col min="1788" max="1788" width="18.140625" style="22" customWidth="1"/>
    <col min="1789" max="1789" width="7.85546875" style="22" bestFit="1" customWidth="1"/>
    <col min="1790" max="1790" width="7.28515625" style="22" bestFit="1" customWidth="1"/>
    <col min="1791" max="1792" width="7.28515625" style="22" customWidth="1"/>
    <col min="1793" max="1794" width="7.28515625" style="22" bestFit="1" customWidth="1"/>
    <col min="1795" max="1797" width="7.28515625" style="22" customWidth="1"/>
    <col min="1798" max="1803" width="0" style="22" hidden="1" customWidth="1"/>
    <col min="1804" max="1804" width="7.85546875" style="22" customWidth="1"/>
    <col min="1805" max="2043" width="11.42578125" style="22"/>
    <col min="2044" max="2044" width="18.140625" style="22" customWidth="1"/>
    <col min="2045" max="2045" width="7.85546875" style="22" bestFit="1" customWidth="1"/>
    <col min="2046" max="2046" width="7.28515625" style="22" bestFit="1" customWidth="1"/>
    <col min="2047" max="2048" width="7.28515625" style="22" customWidth="1"/>
    <col min="2049" max="2050" width="7.28515625" style="22" bestFit="1" customWidth="1"/>
    <col min="2051" max="2053" width="7.28515625" style="22" customWidth="1"/>
    <col min="2054" max="2059" width="0" style="22" hidden="1" customWidth="1"/>
    <col min="2060" max="2060" width="7.85546875" style="22" customWidth="1"/>
    <col min="2061" max="2299" width="11.42578125" style="22"/>
    <col min="2300" max="2300" width="18.140625" style="22" customWidth="1"/>
    <col min="2301" max="2301" width="7.85546875" style="22" bestFit="1" customWidth="1"/>
    <col min="2302" max="2302" width="7.28515625" style="22" bestFit="1" customWidth="1"/>
    <col min="2303" max="2304" width="7.28515625" style="22" customWidth="1"/>
    <col min="2305" max="2306" width="7.28515625" style="22" bestFit="1" customWidth="1"/>
    <col min="2307" max="2309" width="7.28515625" style="22" customWidth="1"/>
    <col min="2310" max="2315" width="0" style="22" hidden="1" customWidth="1"/>
    <col min="2316" max="2316" width="7.85546875" style="22" customWidth="1"/>
    <col min="2317" max="2555" width="11.42578125" style="22"/>
    <col min="2556" max="2556" width="18.140625" style="22" customWidth="1"/>
    <col min="2557" max="2557" width="7.85546875" style="22" bestFit="1" customWidth="1"/>
    <col min="2558" max="2558" width="7.28515625" style="22" bestFit="1" customWidth="1"/>
    <col min="2559" max="2560" width="7.28515625" style="22" customWidth="1"/>
    <col min="2561" max="2562" width="7.28515625" style="22" bestFit="1" customWidth="1"/>
    <col min="2563" max="2565" width="7.28515625" style="22" customWidth="1"/>
    <col min="2566" max="2571" width="0" style="22" hidden="1" customWidth="1"/>
    <col min="2572" max="2572" width="7.85546875" style="22" customWidth="1"/>
    <col min="2573" max="2811" width="11.42578125" style="22"/>
    <col min="2812" max="2812" width="18.140625" style="22" customWidth="1"/>
    <col min="2813" max="2813" width="7.85546875" style="22" bestFit="1" customWidth="1"/>
    <col min="2814" max="2814" width="7.28515625" style="22" bestFit="1" customWidth="1"/>
    <col min="2815" max="2816" width="7.28515625" style="22" customWidth="1"/>
    <col min="2817" max="2818" width="7.28515625" style="22" bestFit="1" customWidth="1"/>
    <col min="2819" max="2821" width="7.28515625" style="22" customWidth="1"/>
    <col min="2822" max="2827" width="0" style="22" hidden="1" customWidth="1"/>
    <col min="2828" max="2828" width="7.85546875" style="22" customWidth="1"/>
    <col min="2829" max="3067" width="11.42578125" style="22"/>
    <col min="3068" max="3068" width="18.140625" style="22" customWidth="1"/>
    <col min="3069" max="3069" width="7.85546875" style="22" bestFit="1" customWidth="1"/>
    <col min="3070" max="3070" width="7.28515625" style="22" bestFit="1" customWidth="1"/>
    <col min="3071" max="3072" width="7.28515625" style="22" customWidth="1"/>
    <col min="3073" max="3074" width="7.28515625" style="22" bestFit="1" customWidth="1"/>
    <col min="3075" max="3077" width="7.28515625" style="22" customWidth="1"/>
    <col min="3078" max="3083" width="0" style="22" hidden="1" customWidth="1"/>
    <col min="3084" max="3084" width="7.85546875" style="22" customWidth="1"/>
    <col min="3085" max="3323" width="11.42578125" style="22"/>
    <col min="3324" max="3324" width="18.140625" style="22" customWidth="1"/>
    <col min="3325" max="3325" width="7.85546875" style="22" bestFit="1" customWidth="1"/>
    <col min="3326" max="3326" width="7.28515625" style="22" bestFit="1" customWidth="1"/>
    <col min="3327" max="3328" width="7.28515625" style="22" customWidth="1"/>
    <col min="3329" max="3330" width="7.28515625" style="22" bestFit="1" customWidth="1"/>
    <col min="3331" max="3333" width="7.28515625" style="22" customWidth="1"/>
    <col min="3334" max="3339" width="0" style="22" hidden="1" customWidth="1"/>
    <col min="3340" max="3340" width="7.85546875" style="22" customWidth="1"/>
    <col min="3341" max="3579" width="11.42578125" style="22"/>
    <col min="3580" max="3580" width="18.140625" style="22" customWidth="1"/>
    <col min="3581" max="3581" width="7.85546875" style="22" bestFit="1" customWidth="1"/>
    <col min="3582" max="3582" width="7.28515625" style="22" bestFit="1" customWidth="1"/>
    <col min="3583" max="3584" width="7.28515625" style="22" customWidth="1"/>
    <col min="3585" max="3586" width="7.28515625" style="22" bestFit="1" customWidth="1"/>
    <col min="3587" max="3589" width="7.28515625" style="22" customWidth="1"/>
    <col min="3590" max="3595" width="0" style="22" hidden="1" customWidth="1"/>
    <col min="3596" max="3596" width="7.85546875" style="22" customWidth="1"/>
    <col min="3597" max="3835" width="11.42578125" style="22"/>
    <col min="3836" max="3836" width="18.140625" style="22" customWidth="1"/>
    <col min="3837" max="3837" width="7.85546875" style="22" bestFit="1" customWidth="1"/>
    <col min="3838" max="3838" width="7.28515625" style="22" bestFit="1" customWidth="1"/>
    <col min="3839" max="3840" width="7.28515625" style="22" customWidth="1"/>
    <col min="3841" max="3842" width="7.28515625" style="22" bestFit="1" customWidth="1"/>
    <col min="3843" max="3845" width="7.28515625" style="22" customWidth="1"/>
    <col min="3846" max="3851" width="0" style="22" hidden="1" customWidth="1"/>
    <col min="3852" max="3852" width="7.85546875" style="22" customWidth="1"/>
    <col min="3853" max="4091" width="11.42578125" style="22"/>
    <col min="4092" max="4092" width="18.140625" style="22" customWidth="1"/>
    <col min="4093" max="4093" width="7.85546875" style="22" bestFit="1" customWidth="1"/>
    <col min="4094" max="4094" width="7.28515625" style="22" bestFit="1" customWidth="1"/>
    <col min="4095" max="4096" width="7.28515625" style="22" customWidth="1"/>
    <col min="4097" max="4098" width="7.28515625" style="22" bestFit="1" customWidth="1"/>
    <col min="4099" max="4101" width="7.28515625" style="22" customWidth="1"/>
    <col min="4102" max="4107" width="0" style="22" hidden="1" customWidth="1"/>
    <col min="4108" max="4108" width="7.85546875" style="22" customWidth="1"/>
    <col min="4109" max="4347" width="11.42578125" style="22"/>
    <col min="4348" max="4348" width="18.140625" style="22" customWidth="1"/>
    <col min="4349" max="4349" width="7.85546875" style="22" bestFit="1" customWidth="1"/>
    <col min="4350" max="4350" width="7.28515625" style="22" bestFit="1" customWidth="1"/>
    <col min="4351" max="4352" width="7.28515625" style="22" customWidth="1"/>
    <col min="4353" max="4354" width="7.28515625" style="22" bestFit="1" customWidth="1"/>
    <col min="4355" max="4357" width="7.28515625" style="22" customWidth="1"/>
    <col min="4358" max="4363" width="0" style="22" hidden="1" customWidth="1"/>
    <col min="4364" max="4364" width="7.85546875" style="22" customWidth="1"/>
    <col min="4365" max="4603" width="11.42578125" style="22"/>
    <col min="4604" max="4604" width="18.140625" style="22" customWidth="1"/>
    <col min="4605" max="4605" width="7.85546875" style="22" bestFit="1" customWidth="1"/>
    <col min="4606" max="4606" width="7.28515625" style="22" bestFit="1" customWidth="1"/>
    <col min="4607" max="4608" width="7.28515625" style="22" customWidth="1"/>
    <col min="4609" max="4610" width="7.28515625" style="22" bestFit="1" customWidth="1"/>
    <col min="4611" max="4613" width="7.28515625" style="22" customWidth="1"/>
    <col min="4614" max="4619" width="0" style="22" hidden="1" customWidth="1"/>
    <col min="4620" max="4620" width="7.85546875" style="22" customWidth="1"/>
    <col min="4621" max="4859" width="11.42578125" style="22"/>
    <col min="4860" max="4860" width="18.140625" style="22" customWidth="1"/>
    <col min="4861" max="4861" width="7.85546875" style="22" bestFit="1" customWidth="1"/>
    <col min="4862" max="4862" width="7.28515625" style="22" bestFit="1" customWidth="1"/>
    <col min="4863" max="4864" width="7.28515625" style="22" customWidth="1"/>
    <col min="4865" max="4866" width="7.28515625" style="22" bestFit="1" customWidth="1"/>
    <col min="4867" max="4869" width="7.28515625" style="22" customWidth="1"/>
    <col min="4870" max="4875" width="0" style="22" hidden="1" customWidth="1"/>
    <col min="4876" max="4876" width="7.85546875" style="22" customWidth="1"/>
    <col min="4877" max="5115" width="11.42578125" style="22"/>
    <col min="5116" max="5116" width="18.140625" style="22" customWidth="1"/>
    <col min="5117" max="5117" width="7.85546875" style="22" bestFit="1" customWidth="1"/>
    <col min="5118" max="5118" width="7.28515625" style="22" bestFit="1" customWidth="1"/>
    <col min="5119" max="5120" width="7.28515625" style="22" customWidth="1"/>
    <col min="5121" max="5122" width="7.28515625" style="22" bestFit="1" customWidth="1"/>
    <col min="5123" max="5125" width="7.28515625" style="22" customWidth="1"/>
    <col min="5126" max="5131" width="0" style="22" hidden="1" customWidth="1"/>
    <col min="5132" max="5132" width="7.85546875" style="22" customWidth="1"/>
    <col min="5133" max="5371" width="11.42578125" style="22"/>
    <col min="5372" max="5372" width="18.140625" style="22" customWidth="1"/>
    <col min="5373" max="5373" width="7.85546875" style="22" bestFit="1" customWidth="1"/>
    <col min="5374" max="5374" width="7.28515625" style="22" bestFit="1" customWidth="1"/>
    <col min="5375" max="5376" width="7.28515625" style="22" customWidth="1"/>
    <col min="5377" max="5378" width="7.28515625" style="22" bestFit="1" customWidth="1"/>
    <col min="5379" max="5381" width="7.28515625" style="22" customWidth="1"/>
    <col min="5382" max="5387" width="0" style="22" hidden="1" customWidth="1"/>
    <col min="5388" max="5388" width="7.85546875" style="22" customWidth="1"/>
    <col min="5389" max="5627" width="11.42578125" style="22"/>
    <col min="5628" max="5628" width="18.140625" style="22" customWidth="1"/>
    <col min="5629" max="5629" width="7.85546875" style="22" bestFit="1" customWidth="1"/>
    <col min="5630" max="5630" width="7.28515625" style="22" bestFit="1" customWidth="1"/>
    <col min="5631" max="5632" width="7.28515625" style="22" customWidth="1"/>
    <col min="5633" max="5634" width="7.28515625" style="22" bestFit="1" customWidth="1"/>
    <col min="5635" max="5637" width="7.28515625" style="22" customWidth="1"/>
    <col min="5638" max="5643" width="0" style="22" hidden="1" customWidth="1"/>
    <col min="5644" max="5644" width="7.85546875" style="22" customWidth="1"/>
    <col min="5645" max="5883" width="11.42578125" style="22"/>
    <col min="5884" max="5884" width="18.140625" style="22" customWidth="1"/>
    <col min="5885" max="5885" width="7.85546875" style="22" bestFit="1" customWidth="1"/>
    <col min="5886" max="5886" width="7.28515625" style="22" bestFit="1" customWidth="1"/>
    <col min="5887" max="5888" width="7.28515625" style="22" customWidth="1"/>
    <col min="5889" max="5890" width="7.28515625" style="22" bestFit="1" customWidth="1"/>
    <col min="5891" max="5893" width="7.28515625" style="22" customWidth="1"/>
    <col min="5894" max="5899" width="0" style="22" hidden="1" customWidth="1"/>
    <col min="5900" max="5900" width="7.85546875" style="22" customWidth="1"/>
    <col min="5901" max="6139" width="11.42578125" style="22"/>
    <col min="6140" max="6140" width="18.140625" style="22" customWidth="1"/>
    <col min="6141" max="6141" width="7.85546875" style="22" bestFit="1" customWidth="1"/>
    <col min="6142" max="6142" width="7.28515625" style="22" bestFit="1" customWidth="1"/>
    <col min="6143" max="6144" width="7.28515625" style="22" customWidth="1"/>
    <col min="6145" max="6146" width="7.28515625" style="22" bestFit="1" customWidth="1"/>
    <col min="6147" max="6149" width="7.28515625" style="22" customWidth="1"/>
    <col min="6150" max="6155" width="0" style="22" hidden="1" customWidth="1"/>
    <col min="6156" max="6156" width="7.85546875" style="22" customWidth="1"/>
    <col min="6157" max="6395" width="11.42578125" style="22"/>
    <col min="6396" max="6396" width="18.140625" style="22" customWidth="1"/>
    <col min="6397" max="6397" width="7.85546875" style="22" bestFit="1" customWidth="1"/>
    <col min="6398" max="6398" width="7.28515625" style="22" bestFit="1" customWidth="1"/>
    <col min="6399" max="6400" width="7.28515625" style="22" customWidth="1"/>
    <col min="6401" max="6402" width="7.28515625" style="22" bestFit="1" customWidth="1"/>
    <col min="6403" max="6405" width="7.28515625" style="22" customWidth="1"/>
    <col min="6406" max="6411" width="0" style="22" hidden="1" customWidth="1"/>
    <col min="6412" max="6412" width="7.85546875" style="22" customWidth="1"/>
    <col min="6413" max="6651" width="11.42578125" style="22"/>
    <col min="6652" max="6652" width="18.140625" style="22" customWidth="1"/>
    <col min="6653" max="6653" width="7.85546875" style="22" bestFit="1" customWidth="1"/>
    <col min="6654" max="6654" width="7.28515625" style="22" bestFit="1" customWidth="1"/>
    <col min="6655" max="6656" width="7.28515625" style="22" customWidth="1"/>
    <col min="6657" max="6658" width="7.28515625" style="22" bestFit="1" customWidth="1"/>
    <col min="6659" max="6661" width="7.28515625" style="22" customWidth="1"/>
    <col min="6662" max="6667" width="0" style="22" hidden="1" customWidth="1"/>
    <col min="6668" max="6668" width="7.85546875" style="22" customWidth="1"/>
    <col min="6669" max="6907" width="11.42578125" style="22"/>
    <col min="6908" max="6908" width="18.140625" style="22" customWidth="1"/>
    <col min="6909" max="6909" width="7.85546875" style="22" bestFit="1" customWidth="1"/>
    <col min="6910" max="6910" width="7.28515625" style="22" bestFit="1" customWidth="1"/>
    <col min="6911" max="6912" width="7.28515625" style="22" customWidth="1"/>
    <col min="6913" max="6914" width="7.28515625" style="22" bestFit="1" customWidth="1"/>
    <col min="6915" max="6917" width="7.28515625" style="22" customWidth="1"/>
    <col min="6918" max="6923" width="0" style="22" hidden="1" customWidth="1"/>
    <col min="6924" max="6924" width="7.85546875" style="22" customWidth="1"/>
    <col min="6925" max="7163" width="11.42578125" style="22"/>
    <col min="7164" max="7164" width="18.140625" style="22" customWidth="1"/>
    <col min="7165" max="7165" width="7.85546875" style="22" bestFit="1" customWidth="1"/>
    <col min="7166" max="7166" width="7.28515625" style="22" bestFit="1" customWidth="1"/>
    <col min="7167" max="7168" width="7.28515625" style="22" customWidth="1"/>
    <col min="7169" max="7170" width="7.28515625" style="22" bestFit="1" customWidth="1"/>
    <col min="7171" max="7173" width="7.28515625" style="22" customWidth="1"/>
    <col min="7174" max="7179" width="0" style="22" hidden="1" customWidth="1"/>
    <col min="7180" max="7180" width="7.85546875" style="22" customWidth="1"/>
    <col min="7181" max="7419" width="11.42578125" style="22"/>
    <col min="7420" max="7420" width="18.140625" style="22" customWidth="1"/>
    <col min="7421" max="7421" width="7.85546875" style="22" bestFit="1" customWidth="1"/>
    <col min="7422" max="7422" width="7.28515625" style="22" bestFit="1" customWidth="1"/>
    <col min="7423" max="7424" width="7.28515625" style="22" customWidth="1"/>
    <col min="7425" max="7426" width="7.28515625" style="22" bestFit="1" customWidth="1"/>
    <col min="7427" max="7429" width="7.28515625" style="22" customWidth="1"/>
    <col min="7430" max="7435" width="0" style="22" hidden="1" customWidth="1"/>
    <col min="7436" max="7436" width="7.85546875" style="22" customWidth="1"/>
    <col min="7437" max="7675" width="11.42578125" style="22"/>
    <col min="7676" max="7676" width="18.140625" style="22" customWidth="1"/>
    <col min="7677" max="7677" width="7.85546875" style="22" bestFit="1" customWidth="1"/>
    <col min="7678" max="7678" width="7.28515625" style="22" bestFit="1" customWidth="1"/>
    <col min="7679" max="7680" width="7.28515625" style="22" customWidth="1"/>
    <col min="7681" max="7682" width="7.28515625" style="22" bestFit="1" customWidth="1"/>
    <col min="7683" max="7685" width="7.28515625" style="22" customWidth="1"/>
    <col min="7686" max="7691" width="0" style="22" hidden="1" customWidth="1"/>
    <col min="7692" max="7692" width="7.85546875" style="22" customWidth="1"/>
    <col min="7693" max="7931" width="11.42578125" style="22"/>
    <col min="7932" max="7932" width="18.140625" style="22" customWidth="1"/>
    <col min="7933" max="7933" width="7.85546875" style="22" bestFit="1" customWidth="1"/>
    <col min="7934" max="7934" width="7.28515625" style="22" bestFit="1" customWidth="1"/>
    <col min="7935" max="7936" width="7.28515625" style="22" customWidth="1"/>
    <col min="7937" max="7938" width="7.28515625" style="22" bestFit="1" customWidth="1"/>
    <col min="7939" max="7941" width="7.28515625" style="22" customWidth="1"/>
    <col min="7942" max="7947" width="0" style="22" hidden="1" customWidth="1"/>
    <col min="7948" max="7948" width="7.85546875" style="22" customWidth="1"/>
    <col min="7949" max="8187" width="11.42578125" style="22"/>
    <col min="8188" max="8188" width="18.140625" style="22" customWidth="1"/>
    <col min="8189" max="8189" width="7.85546875" style="22" bestFit="1" customWidth="1"/>
    <col min="8190" max="8190" width="7.28515625" style="22" bestFit="1" customWidth="1"/>
    <col min="8191" max="8192" width="7.28515625" style="22" customWidth="1"/>
    <col min="8193" max="8194" width="7.28515625" style="22" bestFit="1" customWidth="1"/>
    <col min="8195" max="8197" width="7.28515625" style="22" customWidth="1"/>
    <col min="8198" max="8203" width="0" style="22" hidden="1" customWidth="1"/>
    <col min="8204" max="8204" width="7.85546875" style="22" customWidth="1"/>
    <col min="8205" max="8443" width="11.42578125" style="22"/>
    <col min="8444" max="8444" width="18.140625" style="22" customWidth="1"/>
    <col min="8445" max="8445" width="7.85546875" style="22" bestFit="1" customWidth="1"/>
    <col min="8446" max="8446" width="7.28515625" style="22" bestFit="1" customWidth="1"/>
    <col min="8447" max="8448" width="7.28515625" style="22" customWidth="1"/>
    <col min="8449" max="8450" width="7.28515625" style="22" bestFit="1" customWidth="1"/>
    <col min="8451" max="8453" width="7.28515625" style="22" customWidth="1"/>
    <col min="8454" max="8459" width="0" style="22" hidden="1" customWidth="1"/>
    <col min="8460" max="8460" width="7.85546875" style="22" customWidth="1"/>
    <col min="8461" max="8699" width="11.42578125" style="22"/>
    <col min="8700" max="8700" width="18.140625" style="22" customWidth="1"/>
    <col min="8701" max="8701" width="7.85546875" style="22" bestFit="1" customWidth="1"/>
    <col min="8702" max="8702" width="7.28515625" style="22" bestFit="1" customWidth="1"/>
    <col min="8703" max="8704" width="7.28515625" style="22" customWidth="1"/>
    <col min="8705" max="8706" width="7.28515625" style="22" bestFit="1" customWidth="1"/>
    <col min="8707" max="8709" width="7.28515625" style="22" customWidth="1"/>
    <col min="8710" max="8715" width="0" style="22" hidden="1" customWidth="1"/>
    <col min="8716" max="8716" width="7.85546875" style="22" customWidth="1"/>
    <col min="8717" max="8955" width="11.42578125" style="22"/>
    <col min="8956" max="8956" width="18.140625" style="22" customWidth="1"/>
    <col min="8957" max="8957" width="7.85546875" style="22" bestFit="1" customWidth="1"/>
    <col min="8958" max="8958" width="7.28515625" style="22" bestFit="1" customWidth="1"/>
    <col min="8959" max="8960" width="7.28515625" style="22" customWidth="1"/>
    <col min="8961" max="8962" width="7.28515625" style="22" bestFit="1" customWidth="1"/>
    <col min="8963" max="8965" width="7.28515625" style="22" customWidth="1"/>
    <col min="8966" max="8971" width="0" style="22" hidden="1" customWidth="1"/>
    <col min="8972" max="8972" width="7.85546875" style="22" customWidth="1"/>
    <col min="8973" max="9211" width="11.42578125" style="22"/>
    <col min="9212" max="9212" width="18.140625" style="22" customWidth="1"/>
    <col min="9213" max="9213" width="7.85546875" style="22" bestFit="1" customWidth="1"/>
    <col min="9214" max="9214" width="7.28515625" style="22" bestFit="1" customWidth="1"/>
    <col min="9215" max="9216" width="7.28515625" style="22" customWidth="1"/>
    <col min="9217" max="9218" width="7.28515625" style="22" bestFit="1" customWidth="1"/>
    <col min="9219" max="9221" width="7.28515625" style="22" customWidth="1"/>
    <col min="9222" max="9227" width="0" style="22" hidden="1" customWidth="1"/>
    <col min="9228" max="9228" width="7.85546875" style="22" customWidth="1"/>
    <col min="9229" max="9467" width="11.42578125" style="22"/>
    <col min="9468" max="9468" width="18.140625" style="22" customWidth="1"/>
    <col min="9469" max="9469" width="7.85546875" style="22" bestFit="1" customWidth="1"/>
    <col min="9470" max="9470" width="7.28515625" style="22" bestFit="1" customWidth="1"/>
    <col min="9471" max="9472" width="7.28515625" style="22" customWidth="1"/>
    <col min="9473" max="9474" width="7.28515625" style="22" bestFit="1" customWidth="1"/>
    <col min="9475" max="9477" width="7.28515625" style="22" customWidth="1"/>
    <col min="9478" max="9483" width="0" style="22" hidden="1" customWidth="1"/>
    <col min="9484" max="9484" width="7.85546875" style="22" customWidth="1"/>
    <col min="9485" max="9723" width="11.42578125" style="22"/>
    <col min="9724" max="9724" width="18.140625" style="22" customWidth="1"/>
    <col min="9725" max="9725" width="7.85546875" style="22" bestFit="1" customWidth="1"/>
    <col min="9726" max="9726" width="7.28515625" style="22" bestFit="1" customWidth="1"/>
    <col min="9727" max="9728" width="7.28515625" style="22" customWidth="1"/>
    <col min="9729" max="9730" width="7.28515625" style="22" bestFit="1" customWidth="1"/>
    <col min="9731" max="9733" width="7.28515625" style="22" customWidth="1"/>
    <col min="9734" max="9739" width="0" style="22" hidden="1" customWidth="1"/>
    <col min="9740" max="9740" width="7.85546875" style="22" customWidth="1"/>
    <col min="9741" max="9979" width="11.42578125" style="22"/>
    <col min="9980" max="9980" width="18.140625" style="22" customWidth="1"/>
    <col min="9981" max="9981" width="7.85546875" style="22" bestFit="1" customWidth="1"/>
    <col min="9982" max="9982" width="7.28515625" style="22" bestFit="1" customWidth="1"/>
    <col min="9983" max="9984" width="7.28515625" style="22" customWidth="1"/>
    <col min="9985" max="9986" width="7.28515625" style="22" bestFit="1" customWidth="1"/>
    <col min="9987" max="9989" width="7.28515625" style="22" customWidth="1"/>
    <col min="9990" max="9995" width="0" style="22" hidden="1" customWidth="1"/>
    <col min="9996" max="9996" width="7.85546875" style="22" customWidth="1"/>
    <col min="9997" max="10235" width="11.42578125" style="22"/>
    <col min="10236" max="10236" width="18.140625" style="22" customWidth="1"/>
    <col min="10237" max="10237" width="7.85546875" style="22" bestFit="1" customWidth="1"/>
    <col min="10238" max="10238" width="7.28515625" style="22" bestFit="1" customWidth="1"/>
    <col min="10239" max="10240" width="7.28515625" style="22" customWidth="1"/>
    <col min="10241" max="10242" width="7.28515625" style="22" bestFit="1" customWidth="1"/>
    <col min="10243" max="10245" width="7.28515625" style="22" customWidth="1"/>
    <col min="10246" max="10251" width="0" style="22" hidden="1" customWidth="1"/>
    <col min="10252" max="10252" width="7.85546875" style="22" customWidth="1"/>
    <col min="10253" max="10491" width="11.42578125" style="22"/>
    <col min="10492" max="10492" width="18.140625" style="22" customWidth="1"/>
    <col min="10493" max="10493" width="7.85546875" style="22" bestFit="1" customWidth="1"/>
    <col min="10494" max="10494" width="7.28515625" style="22" bestFit="1" customWidth="1"/>
    <col min="10495" max="10496" width="7.28515625" style="22" customWidth="1"/>
    <col min="10497" max="10498" width="7.28515625" style="22" bestFit="1" customWidth="1"/>
    <col min="10499" max="10501" width="7.28515625" style="22" customWidth="1"/>
    <col min="10502" max="10507" width="0" style="22" hidden="1" customWidth="1"/>
    <col min="10508" max="10508" width="7.85546875" style="22" customWidth="1"/>
    <col min="10509" max="10747" width="11.42578125" style="22"/>
    <col min="10748" max="10748" width="18.140625" style="22" customWidth="1"/>
    <col min="10749" max="10749" width="7.85546875" style="22" bestFit="1" customWidth="1"/>
    <col min="10750" max="10750" width="7.28515625" style="22" bestFit="1" customWidth="1"/>
    <col min="10751" max="10752" width="7.28515625" style="22" customWidth="1"/>
    <col min="10753" max="10754" width="7.28515625" style="22" bestFit="1" customWidth="1"/>
    <col min="10755" max="10757" width="7.28515625" style="22" customWidth="1"/>
    <col min="10758" max="10763" width="0" style="22" hidden="1" customWidth="1"/>
    <col min="10764" max="10764" width="7.85546875" style="22" customWidth="1"/>
    <col min="10765" max="11003" width="11.42578125" style="22"/>
    <col min="11004" max="11004" width="18.140625" style="22" customWidth="1"/>
    <col min="11005" max="11005" width="7.85546875" style="22" bestFit="1" customWidth="1"/>
    <col min="11006" max="11006" width="7.28515625" style="22" bestFit="1" customWidth="1"/>
    <col min="11007" max="11008" width="7.28515625" style="22" customWidth="1"/>
    <col min="11009" max="11010" width="7.28515625" style="22" bestFit="1" customWidth="1"/>
    <col min="11011" max="11013" width="7.28515625" style="22" customWidth="1"/>
    <col min="11014" max="11019" width="0" style="22" hidden="1" customWidth="1"/>
    <col min="11020" max="11020" width="7.85546875" style="22" customWidth="1"/>
    <col min="11021" max="11259" width="11.42578125" style="22"/>
    <col min="11260" max="11260" width="18.140625" style="22" customWidth="1"/>
    <col min="11261" max="11261" width="7.85546875" style="22" bestFit="1" customWidth="1"/>
    <col min="11262" max="11262" width="7.28515625" style="22" bestFit="1" customWidth="1"/>
    <col min="11263" max="11264" width="7.28515625" style="22" customWidth="1"/>
    <col min="11265" max="11266" width="7.28515625" style="22" bestFit="1" customWidth="1"/>
    <col min="11267" max="11269" width="7.28515625" style="22" customWidth="1"/>
    <col min="11270" max="11275" width="0" style="22" hidden="1" customWidth="1"/>
    <col min="11276" max="11276" width="7.85546875" style="22" customWidth="1"/>
    <col min="11277" max="11515" width="11.42578125" style="22"/>
    <col min="11516" max="11516" width="18.140625" style="22" customWidth="1"/>
    <col min="11517" max="11517" width="7.85546875" style="22" bestFit="1" customWidth="1"/>
    <col min="11518" max="11518" width="7.28515625" style="22" bestFit="1" customWidth="1"/>
    <col min="11519" max="11520" width="7.28515625" style="22" customWidth="1"/>
    <col min="11521" max="11522" width="7.28515625" style="22" bestFit="1" customWidth="1"/>
    <col min="11523" max="11525" width="7.28515625" style="22" customWidth="1"/>
    <col min="11526" max="11531" width="0" style="22" hidden="1" customWidth="1"/>
    <col min="11532" max="11532" width="7.85546875" style="22" customWidth="1"/>
    <col min="11533" max="11771" width="11.42578125" style="22"/>
    <col min="11772" max="11772" width="18.140625" style="22" customWidth="1"/>
    <col min="11773" max="11773" width="7.85546875" style="22" bestFit="1" customWidth="1"/>
    <col min="11774" max="11774" width="7.28515625" style="22" bestFit="1" customWidth="1"/>
    <col min="11775" max="11776" width="7.28515625" style="22" customWidth="1"/>
    <col min="11777" max="11778" width="7.28515625" style="22" bestFit="1" customWidth="1"/>
    <col min="11779" max="11781" width="7.28515625" style="22" customWidth="1"/>
    <col min="11782" max="11787" width="0" style="22" hidden="1" customWidth="1"/>
    <col min="11788" max="11788" width="7.85546875" style="22" customWidth="1"/>
    <col min="11789" max="12027" width="11.42578125" style="22"/>
    <col min="12028" max="12028" width="18.140625" style="22" customWidth="1"/>
    <col min="12029" max="12029" width="7.85546875" style="22" bestFit="1" customWidth="1"/>
    <col min="12030" max="12030" width="7.28515625" style="22" bestFit="1" customWidth="1"/>
    <col min="12031" max="12032" width="7.28515625" style="22" customWidth="1"/>
    <col min="12033" max="12034" width="7.28515625" style="22" bestFit="1" customWidth="1"/>
    <col min="12035" max="12037" width="7.28515625" style="22" customWidth="1"/>
    <col min="12038" max="12043" width="0" style="22" hidden="1" customWidth="1"/>
    <col min="12044" max="12044" width="7.85546875" style="22" customWidth="1"/>
    <col min="12045" max="12283" width="11.42578125" style="22"/>
    <col min="12284" max="12284" width="18.140625" style="22" customWidth="1"/>
    <col min="12285" max="12285" width="7.85546875" style="22" bestFit="1" customWidth="1"/>
    <col min="12286" max="12286" width="7.28515625" style="22" bestFit="1" customWidth="1"/>
    <col min="12287" max="12288" width="7.28515625" style="22" customWidth="1"/>
    <col min="12289" max="12290" width="7.28515625" style="22" bestFit="1" customWidth="1"/>
    <col min="12291" max="12293" width="7.28515625" style="22" customWidth="1"/>
    <col min="12294" max="12299" width="0" style="22" hidden="1" customWidth="1"/>
    <col min="12300" max="12300" width="7.85546875" style="22" customWidth="1"/>
    <col min="12301" max="12539" width="11.42578125" style="22"/>
    <col min="12540" max="12540" width="18.140625" style="22" customWidth="1"/>
    <col min="12541" max="12541" width="7.85546875" style="22" bestFit="1" customWidth="1"/>
    <col min="12542" max="12542" width="7.28515625" style="22" bestFit="1" customWidth="1"/>
    <col min="12543" max="12544" width="7.28515625" style="22" customWidth="1"/>
    <col min="12545" max="12546" width="7.28515625" style="22" bestFit="1" customWidth="1"/>
    <col min="12547" max="12549" width="7.28515625" style="22" customWidth="1"/>
    <col min="12550" max="12555" width="0" style="22" hidden="1" customWidth="1"/>
    <col min="12556" max="12556" width="7.85546875" style="22" customWidth="1"/>
    <col min="12557" max="12795" width="11.42578125" style="22"/>
    <col min="12796" max="12796" width="18.140625" style="22" customWidth="1"/>
    <col min="12797" max="12797" width="7.85546875" style="22" bestFit="1" customWidth="1"/>
    <col min="12798" max="12798" width="7.28515625" style="22" bestFit="1" customWidth="1"/>
    <col min="12799" max="12800" width="7.28515625" style="22" customWidth="1"/>
    <col min="12801" max="12802" width="7.28515625" style="22" bestFit="1" customWidth="1"/>
    <col min="12803" max="12805" width="7.28515625" style="22" customWidth="1"/>
    <col min="12806" max="12811" width="0" style="22" hidden="1" customWidth="1"/>
    <col min="12812" max="12812" width="7.85546875" style="22" customWidth="1"/>
    <col min="12813" max="13051" width="11.42578125" style="22"/>
    <col min="13052" max="13052" width="18.140625" style="22" customWidth="1"/>
    <col min="13053" max="13053" width="7.85546875" style="22" bestFit="1" customWidth="1"/>
    <col min="13054" max="13054" width="7.28515625" style="22" bestFit="1" customWidth="1"/>
    <col min="13055" max="13056" width="7.28515625" style="22" customWidth="1"/>
    <col min="13057" max="13058" width="7.28515625" style="22" bestFit="1" customWidth="1"/>
    <col min="13059" max="13061" width="7.28515625" style="22" customWidth="1"/>
    <col min="13062" max="13067" width="0" style="22" hidden="1" customWidth="1"/>
    <col min="13068" max="13068" width="7.85546875" style="22" customWidth="1"/>
    <col min="13069" max="13307" width="11.42578125" style="22"/>
    <col min="13308" max="13308" width="18.140625" style="22" customWidth="1"/>
    <col min="13309" max="13309" width="7.85546875" style="22" bestFit="1" customWidth="1"/>
    <col min="13310" max="13310" width="7.28515625" style="22" bestFit="1" customWidth="1"/>
    <col min="13311" max="13312" width="7.28515625" style="22" customWidth="1"/>
    <col min="13313" max="13314" width="7.28515625" style="22" bestFit="1" customWidth="1"/>
    <col min="13315" max="13317" width="7.28515625" style="22" customWidth="1"/>
    <col min="13318" max="13323" width="0" style="22" hidden="1" customWidth="1"/>
    <col min="13324" max="13324" width="7.85546875" style="22" customWidth="1"/>
    <col min="13325" max="13563" width="11.42578125" style="22"/>
    <col min="13564" max="13564" width="18.140625" style="22" customWidth="1"/>
    <col min="13565" max="13565" width="7.85546875" style="22" bestFit="1" customWidth="1"/>
    <col min="13566" max="13566" width="7.28515625" style="22" bestFit="1" customWidth="1"/>
    <col min="13567" max="13568" width="7.28515625" style="22" customWidth="1"/>
    <col min="13569" max="13570" width="7.28515625" style="22" bestFit="1" customWidth="1"/>
    <col min="13571" max="13573" width="7.28515625" style="22" customWidth="1"/>
    <col min="13574" max="13579" width="0" style="22" hidden="1" customWidth="1"/>
    <col min="13580" max="13580" width="7.85546875" style="22" customWidth="1"/>
    <col min="13581" max="13819" width="11.42578125" style="22"/>
    <col min="13820" max="13820" width="18.140625" style="22" customWidth="1"/>
    <col min="13821" max="13821" width="7.85546875" style="22" bestFit="1" customWidth="1"/>
    <col min="13822" max="13822" width="7.28515625" style="22" bestFit="1" customWidth="1"/>
    <col min="13823" max="13824" width="7.28515625" style="22" customWidth="1"/>
    <col min="13825" max="13826" width="7.28515625" style="22" bestFit="1" customWidth="1"/>
    <col min="13827" max="13829" width="7.28515625" style="22" customWidth="1"/>
    <col min="13830" max="13835" width="0" style="22" hidden="1" customWidth="1"/>
    <col min="13836" max="13836" width="7.85546875" style="22" customWidth="1"/>
    <col min="13837" max="14075" width="11.42578125" style="22"/>
    <col min="14076" max="14076" width="18.140625" style="22" customWidth="1"/>
    <col min="14077" max="14077" width="7.85546875" style="22" bestFit="1" customWidth="1"/>
    <col min="14078" max="14078" width="7.28515625" style="22" bestFit="1" customWidth="1"/>
    <col min="14079" max="14080" width="7.28515625" style="22" customWidth="1"/>
    <col min="14081" max="14082" width="7.28515625" style="22" bestFit="1" customWidth="1"/>
    <col min="14083" max="14085" width="7.28515625" style="22" customWidth="1"/>
    <col min="14086" max="14091" width="0" style="22" hidden="1" customWidth="1"/>
    <col min="14092" max="14092" width="7.85546875" style="22" customWidth="1"/>
    <col min="14093" max="14331" width="11.42578125" style="22"/>
    <col min="14332" max="14332" width="18.140625" style="22" customWidth="1"/>
    <col min="14333" max="14333" width="7.85546875" style="22" bestFit="1" customWidth="1"/>
    <col min="14334" max="14334" width="7.28515625" style="22" bestFit="1" customWidth="1"/>
    <col min="14335" max="14336" width="7.28515625" style="22" customWidth="1"/>
    <col min="14337" max="14338" width="7.28515625" style="22" bestFit="1" customWidth="1"/>
    <col min="14339" max="14341" width="7.28515625" style="22" customWidth="1"/>
    <col min="14342" max="14347" width="0" style="22" hidden="1" customWidth="1"/>
    <col min="14348" max="14348" width="7.85546875" style="22" customWidth="1"/>
    <col min="14349" max="14587" width="11.42578125" style="22"/>
    <col min="14588" max="14588" width="18.140625" style="22" customWidth="1"/>
    <col min="14589" max="14589" width="7.85546875" style="22" bestFit="1" customWidth="1"/>
    <col min="14590" max="14590" width="7.28515625" style="22" bestFit="1" customWidth="1"/>
    <col min="14591" max="14592" width="7.28515625" style="22" customWidth="1"/>
    <col min="14593" max="14594" width="7.28515625" style="22" bestFit="1" customWidth="1"/>
    <col min="14595" max="14597" width="7.28515625" style="22" customWidth="1"/>
    <col min="14598" max="14603" width="0" style="22" hidden="1" customWidth="1"/>
    <col min="14604" max="14604" width="7.85546875" style="22" customWidth="1"/>
    <col min="14605" max="14843" width="11.42578125" style="22"/>
    <col min="14844" max="14844" width="18.140625" style="22" customWidth="1"/>
    <col min="14845" max="14845" width="7.85546875" style="22" bestFit="1" customWidth="1"/>
    <col min="14846" max="14846" width="7.28515625" style="22" bestFit="1" customWidth="1"/>
    <col min="14847" max="14848" width="7.28515625" style="22" customWidth="1"/>
    <col min="14849" max="14850" width="7.28515625" style="22" bestFit="1" customWidth="1"/>
    <col min="14851" max="14853" width="7.28515625" style="22" customWidth="1"/>
    <col min="14854" max="14859" width="0" style="22" hidden="1" customWidth="1"/>
    <col min="14860" max="14860" width="7.85546875" style="22" customWidth="1"/>
    <col min="14861" max="15099" width="11.42578125" style="22"/>
    <col min="15100" max="15100" width="18.140625" style="22" customWidth="1"/>
    <col min="15101" max="15101" width="7.85546875" style="22" bestFit="1" customWidth="1"/>
    <col min="15102" max="15102" width="7.28515625" style="22" bestFit="1" customWidth="1"/>
    <col min="15103" max="15104" width="7.28515625" style="22" customWidth="1"/>
    <col min="15105" max="15106" width="7.28515625" style="22" bestFit="1" customWidth="1"/>
    <col min="15107" max="15109" width="7.28515625" style="22" customWidth="1"/>
    <col min="15110" max="15115" width="0" style="22" hidden="1" customWidth="1"/>
    <col min="15116" max="15116" width="7.85546875" style="22" customWidth="1"/>
    <col min="15117" max="15355" width="11.42578125" style="22"/>
    <col min="15356" max="15356" width="18.140625" style="22" customWidth="1"/>
    <col min="15357" max="15357" width="7.85546875" style="22" bestFit="1" customWidth="1"/>
    <col min="15358" max="15358" width="7.28515625" style="22" bestFit="1" customWidth="1"/>
    <col min="15359" max="15360" width="7.28515625" style="22" customWidth="1"/>
    <col min="15361" max="15362" width="7.28515625" style="22" bestFit="1" customWidth="1"/>
    <col min="15363" max="15365" width="7.28515625" style="22" customWidth="1"/>
    <col min="15366" max="15371" width="0" style="22" hidden="1" customWidth="1"/>
    <col min="15372" max="15372" width="7.85546875" style="22" customWidth="1"/>
    <col min="15373" max="15611" width="11.42578125" style="22"/>
    <col min="15612" max="15612" width="18.140625" style="22" customWidth="1"/>
    <col min="15613" max="15613" width="7.85546875" style="22" bestFit="1" customWidth="1"/>
    <col min="15614" max="15614" width="7.28515625" style="22" bestFit="1" customWidth="1"/>
    <col min="15615" max="15616" width="7.28515625" style="22" customWidth="1"/>
    <col min="15617" max="15618" width="7.28515625" style="22" bestFit="1" customWidth="1"/>
    <col min="15619" max="15621" width="7.28515625" style="22" customWidth="1"/>
    <col min="15622" max="15627" width="0" style="22" hidden="1" customWidth="1"/>
    <col min="15628" max="15628" width="7.85546875" style="22" customWidth="1"/>
    <col min="15629" max="15867" width="11.42578125" style="22"/>
    <col min="15868" max="15868" width="18.140625" style="22" customWidth="1"/>
    <col min="15869" max="15869" width="7.85546875" style="22" bestFit="1" customWidth="1"/>
    <col min="15870" max="15870" width="7.28515625" style="22" bestFit="1" customWidth="1"/>
    <col min="15871" max="15872" width="7.28515625" style="22" customWidth="1"/>
    <col min="15873" max="15874" width="7.28515625" style="22" bestFit="1" customWidth="1"/>
    <col min="15875" max="15877" width="7.28515625" style="22" customWidth="1"/>
    <col min="15878" max="15883" width="0" style="22" hidden="1" customWidth="1"/>
    <col min="15884" max="15884" width="7.85546875" style="22" customWidth="1"/>
    <col min="15885" max="16123" width="11.42578125" style="22"/>
    <col min="16124" max="16124" width="18.140625" style="22" customWidth="1"/>
    <col min="16125" max="16125" width="7.85546875" style="22" bestFit="1" customWidth="1"/>
    <col min="16126" max="16126" width="7.28515625" style="22" bestFit="1" customWidth="1"/>
    <col min="16127" max="16128" width="7.28515625" style="22" customWidth="1"/>
    <col min="16129" max="16130" width="7.28515625" style="22" bestFit="1" customWidth="1"/>
    <col min="16131" max="16133" width="7.28515625" style="22" customWidth="1"/>
    <col min="16134" max="16139" width="0" style="22" hidden="1" customWidth="1"/>
    <col min="16140" max="16140" width="7.85546875" style="22" customWidth="1"/>
    <col min="16141" max="16384" width="11.42578125" style="22"/>
  </cols>
  <sheetData>
    <row r="1" spans="1:16" s="23" customFormat="1" x14ac:dyDescent="0.2"/>
    <row r="2" spans="1:16" s="23" customFormat="1" x14ac:dyDescent="0.2">
      <c r="A2" s="40" t="s">
        <v>58</v>
      </c>
    </row>
    <row r="3" spans="1:16" s="23" customFormat="1" ht="15" x14ac:dyDescent="0.25">
      <c r="A3" s="40" t="s">
        <v>59</v>
      </c>
      <c r="K3" s="88"/>
    </row>
    <row r="4" spans="1:16" s="23" customFormat="1" x14ac:dyDescent="0.2"/>
    <row r="5" spans="1:16" s="23" customFormat="1" ht="12.75" x14ac:dyDescent="0.2">
      <c r="B5" s="344" t="s">
        <v>571</v>
      </c>
      <c r="C5" s="344"/>
      <c r="D5" s="344"/>
      <c r="E5" s="344"/>
      <c r="F5" s="344"/>
      <c r="G5" s="344"/>
      <c r="H5" s="344"/>
      <c r="I5" s="344"/>
      <c r="J5" s="344"/>
      <c r="K5" s="344"/>
      <c r="M5" s="110" t="s">
        <v>509</v>
      </c>
      <c r="O5" s="89"/>
    </row>
    <row r="6" spans="1:16" s="23" customFormat="1" ht="12.75" x14ac:dyDescent="0.2">
      <c r="B6" s="374" t="str">
        <f>'Solicitudes Regiones'!$B$6:$R$6</f>
        <v>Julio de 2008 a junio de 2022</v>
      </c>
      <c r="C6" s="374"/>
      <c r="D6" s="374"/>
      <c r="E6" s="374"/>
      <c r="F6" s="374"/>
      <c r="G6" s="374"/>
      <c r="H6" s="374"/>
      <c r="I6" s="374"/>
      <c r="J6" s="374"/>
      <c r="K6" s="374"/>
      <c r="L6" s="48"/>
    </row>
    <row r="7" spans="1:16" s="26" customFormat="1" x14ac:dyDescent="0.2">
      <c r="B7" s="24"/>
      <c r="C7" s="25"/>
      <c r="D7" s="25"/>
      <c r="E7" s="25"/>
      <c r="F7" s="25"/>
      <c r="G7" s="25"/>
      <c r="H7" s="25"/>
      <c r="I7" s="25"/>
      <c r="J7" s="25"/>
      <c r="K7" s="25"/>
      <c r="L7" s="25"/>
    </row>
    <row r="8" spans="1:16" ht="15" customHeight="1" x14ac:dyDescent="0.2">
      <c r="B8" s="373" t="s">
        <v>595</v>
      </c>
      <c r="C8" s="373"/>
      <c r="D8" s="373"/>
      <c r="E8" s="373"/>
      <c r="F8" s="373"/>
      <c r="G8" s="373"/>
      <c r="H8" s="373"/>
      <c r="I8" s="373"/>
      <c r="J8" s="373"/>
      <c r="K8" s="373"/>
      <c r="L8" s="373"/>
      <c r="M8" s="373"/>
    </row>
    <row r="9" spans="1:16" ht="20.25" customHeight="1" x14ac:dyDescent="0.2">
      <c r="B9" s="373" t="s">
        <v>41</v>
      </c>
      <c r="C9" s="370" t="s">
        <v>544</v>
      </c>
      <c r="D9" s="371"/>
      <c r="E9" s="371"/>
      <c r="F9" s="371"/>
      <c r="G9" s="371"/>
      <c r="H9" s="371"/>
      <c r="I9" s="371"/>
      <c r="J9" s="371"/>
      <c r="K9" s="371"/>
      <c r="L9" s="372"/>
      <c r="M9" s="307"/>
    </row>
    <row r="10" spans="1:16" ht="60" x14ac:dyDescent="0.2">
      <c r="B10" s="373"/>
      <c r="C10" s="20" t="s">
        <v>540</v>
      </c>
      <c r="D10" s="20" t="s">
        <v>42</v>
      </c>
      <c r="E10" s="20" t="s">
        <v>553</v>
      </c>
      <c r="F10" s="20" t="s">
        <v>554</v>
      </c>
      <c r="G10" s="20" t="s">
        <v>542</v>
      </c>
      <c r="H10" s="20" t="s">
        <v>2</v>
      </c>
      <c r="I10" s="20" t="s">
        <v>43</v>
      </c>
      <c r="J10" s="20" t="s">
        <v>549</v>
      </c>
      <c r="K10" s="296" t="s">
        <v>550</v>
      </c>
      <c r="L10" s="296" t="s">
        <v>523</v>
      </c>
      <c r="M10" s="296" t="s">
        <v>641</v>
      </c>
    </row>
    <row r="11" spans="1:16" x14ac:dyDescent="0.2">
      <c r="B11" s="16" t="s">
        <v>308</v>
      </c>
      <c r="C11" s="16">
        <v>1896</v>
      </c>
      <c r="D11" s="16">
        <v>947</v>
      </c>
      <c r="E11" s="16">
        <f>C11+D11</f>
        <v>2843</v>
      </c>
      <c r="F11" s="17">
        <f>E11/$E$41</f>
        <v>5.5355439163535115E-2</v>
      </c>
      <c r="G11" s="16">
        <v>2513</v>
      </c>
      <c r="H11" s="16">
        <v>280</v>
      </c>
      <c r="I11" s="16">
        <v>236</v>
      </c>
      <c r="J11" s="16">
        <v>3029</v>
      </c>
      <c r="K11" s="17">
        <f>J11/$J$41</f>
        <v>3.1943052992354337E-2</v>
      </c>
      <c r="L11" s="16">
        <v>0</v>
      </c>
      <c r="M11" s="16">
        <f>L11+J11+E11</f>
        <v>5872</v>
      </c>
      <c r="P11" s="27"/>
    </row>
    <row r="12" spans="1:16" x14ac:dyDescent="0.2">
      <c r="B12" s="16" t="s">
        <v>309</v>
      </c>
      <c r="C12" s="16">
        <v>1094</v>
      </c>
      <c r="D12" s="16">
        <v>576</v>
      </c>
      <c r="E12" s="16">
        <f t="shared" ref="E12:E40" si="0">C12+D12</f>
        <v>1670</v>
      </c>
      <c r="F12" s="17">
        <f t="shared" ref="F12:F40" si="1">E12/$E$41</f>
        <v>3.2516209427753656E-2</v>
      </c>
      <c r="G12" s="16">
        <v>3617</v>
      </c>
      <c r="H12" s="16">
        <v>643</v>
      </c>
      <c r="I12" s="16">
        <v>202</v>
      </c>
      <c r="J12" s="16">
        <v>4462</v>
      </c>
      <c r="K12" s="17">
        <f t="shared" ref="K12:K41" si="2">J12/$J$41</f>
        <v>4.705510150276826E-2</v>
      </c>
      <c r="L12" s="16">
        <v>0</v>
      </c>
      <c r="M12" s="16">
        <f t="shared" ref="M12:M41" si="3">L12+J12+E12</f>
        <v>6132</v>
      </c>
      <c r="P12" s="27"/>
    </row>
    <row r="13" spans="1:16" x14ac:dyDescent="0.2">
      <c r="B13" s="16" t="s">
        <v>310</v>
      </c>
      <c r="C13" s="16">
        <v>795</v>
      </c>
      <c r="D13" s="16">
        <v>623</v>
      </c>
      <c r="E13" s="16">
        <f t="shared" si="0"/>
        <v>1418</v>
      </c>
      <c r="F13" s="17">
        <f t="shared" si="1"/>
        <v>2.7609571837457894E-2</v>
      </c>
      <c r="G13" s="16">
        <v>1702</v>
      </c>
      <c r="H13" s="16">
        <v>156</v>
      </c>
      <c r="I13" s="16">
        <v>218</v>
      </c>
      <c r="J13" s="16">
        <v>2076</v>
      </c>
      <c r="K13" s="17">
        <f t="shared" si="2"/>
        <v>2.1892960717110468E-2</v>
      </c>
      <c r="L13" s="16">
        <v>0</v>
      </c>
      <c r="M13" s="16">
        <f t="shared" si="3"/>
        <v>3494</v>
      </c>
      <c r="P13" s="27"/>
    </row>
    <row r="14" spans="1:16" x14ac:dyDescent="0.2">
      <c r="B14" s="16" t="s">
        <v>311</v>
      </c>
      <c r="C14" s="16">
        <v>549</v>
      </c>
      <c r="D14" s="16">
        <v>377</v>
      </c>
      <c r="E14" s="16">
        <f t="shared" si="0"/>
        <v>926</v>
      </c>
      <c r="F14" s="17">
        <f t="shared" si="1"/>
        <v>1.8029946065928074E-2</v>
      </c>
      <c r="G14" s="16">
        <v>669</v>
      </c>
      <c r="H14" s="16">
        <v>92</v>
      </c>
      <c r="I14" s="16">
        <v>74</v>
      </c>
      <c r="J14" s="16">
        <v>835</v>
      </c>
      <c r="K14" s="17">
        <f t="shared" si="2"/>
        <v>8.8056947007645655E-3</v>
      </c>
      <c r="L14" s="16">
        <v>0</v>
      </c>
      <c r="M14" s="16">
        <f t="shared" si="3"/>
        <v>1761</v>
      </c>
      <c r="P14" s="27"/>
    </row>
    <row r="15" spans="1:16" x14ac:dyDescent="0.2">
      <c r="B15" s="16" t="s">
        <v>312</v>
      </c>
      <c r="C15" s="16">
        <v>968</v>
      </c>
      <c r="D15" s="16">
        <v>651</v>
      </c>
      <c r="E15" s="16">
        <f t="shared" si="0"/>
        <v>1619</v>
      </c>
      <c r="F15" s="17">
        <f t="shared" si="1"/>
        <v>3.1523199439241416E-2</v>
      </c>
      <c r="G15" s="16">
        <v>2696</v>
      </c>
      <c r="H15" s="16">
        <v>391</v>
      </c>
      <c r="I15" s="16">
        <v>270</v>
      </c>
      <c r="J15" s="16">
        <v>3357</v>
      </c>
      <c r="K15" s="17">
        <f t="shared" si="2"/>
        <v>3.5402056419720537E-2</v>
      </c>
      <c r="L15" s="16">
        <v>0</v>
      </c>
      <c r="M15" s="16">
        <f t="shared" si="3"/>
        <v>4976</v>
      </c>
      <c r="P15" s="27"/>
    </row>
    <row r="16" spans="1:16" x14ac:dyDescent="0.2">
      <c r="B16" s="16" t="s">
        <v>313</v>
      </c>
      <c r="C16" s="16">
        <v>670</v>
      </c>
      <c r="D16" s="16">
        <v>598</v>
      </c>
      <c r="E16" s="16">
        <f t="shared" si="0"/>
        <v>1268</v>
      </c>
      <c r="F16" s="17">
        <f t="shared" si="1"/>
        <v>2.4688954224186609E-2</v>
      </c>
      <c r="G16" s="16">
        <v>1554</v>
      </c>
      <c r="H16" s="16">
        <v>198</v>
      </c>
      <c r="I16" s="16">
        <v>219</v>
      </c>
      <c r="J16" s="16">
        <v>1971</v>
      </c>
      <c r="K16" s="17">
        <f t="shared" si="2"/>
        <v>2.0785657790667017E-2</v>
      </c>
      <c r="L16" s="16">
        <v>0</v>
      </c>
      <c r="M16" s="16">
        <f t="shared" si="3"/>
        <v>3239</v>
      </c>
      <c r="P16" s="27"/>
    </row>
    <row r="17" spans="2:16" x14ac:dyDescent="0.2">
      <c r="B17" s="16" t="s">
        <v>314</v>
      </c>
      <c r="C17" s="16">
        <v>137</v>
      </c>
      <c r="D17" s="16">
        <v>42</v>
      </c>
      <c r="E17" s="16">
        <f t="shared" si="0"/>
        <v>179</v>
      </c>
      <c r="F17" s="17">
        <f t="shared" si="1"/>
        <v>3.4852703518370685E-3</v>
      </c>
      <c r="G17" s="16">
        <v>226</v>
      </c>
      <c r="H17" s="16">
        <v>19</v>
      </c>
      <c r="I17" s="16">
        <v>8</v>
      </c>
      <c r="J17" s="16">
        <v>253</v>
      </c>
      <c r="K17" s="17">
        <f t="shared" si="2"/>
        <v>2.6680727656208806E-3</v>
      </c>
      <c r="L17" s="16">
        <v>0</v>
      </c>
      <c r="M17" s="16">
        <f t="shared" si="3"/>
        <v>432</v>
      </c>
      <c r="P17" s="27"/>
    </row>
    <row r="18" spans="2:16" x14ac:dyDescent="0.2">
      <c r="B18" s="16" t="s">
        <v>315</v>
      </c>
      <c r="C18" s="16">
        <v>6587</v>
      </c>
      <c r="D18" s="16">
        <v>3763</v>
      </c>
      <c r="E18" s="16">
        <f t="shared" si="0"/>
        <v>10350</v>
      </c>
      <c r="F18" s="17">
        <f t="shared" si="1"/>
        <v>0.20152261531571877</v>
      </c>
      <c r="G18" s="16">
        <v>18284</v>
      </c>
      <c r="H18" s="16">
        <v>3170</v>
      </c>
      <c r="I18" s="16">
        <v>1771</v>
      </c>
      <c r="J18" s="16">
        <v>23225</v>
      </c>
      <c r="K18" s="17">
        <f t="shared" si="2"/>
        <v>0.2449248615871342</v>
      </c>
      <c r="L18" s="16">
        <v>0</v>
      </c>
      <c r="M18" s="16">
        <f t="shared" si="3"/>
        <v>33575</v>
      </c>
      <c r="P18" s="27"/>
    </row>
    <row r="19" spans="2:16" x14ac:dyDescent="0.2">
      <c r="B19" s="16" t="s">
        <v>316</v>
      </c>
      <c r="C19" s="16">
        <v>299</v>
      </c>
      <c r="D19" s="16">
        <v>111</v>
      </c>
      <c r="E19" s="16">
        <f t="shared" si="0"/>
        <v>410</v>
      </c>
      <c r="F19" s="17">
        <f t="shared" si="1"/>
        <v>7.9830214762748493E-3</v>
      </c>
      <c r="G19" s="16">
        <v>324</v>
      </c>
      <c r="H19" s="16">
        <v>23</v>
      </c>
      <c r="I19" s="16">
        <v>23</v>
      </c>
      <c r="J19" s="16">
        <v>370</v>
      </c>
      <c r="K19" s="17">
        <f t="shared" si="2"/>
        <v>3.9019245979435803E-3</v>
      </c>
      <c r="L19" s="16">
        <v>0</v>
      </c>
      <c r="M19" s="16">
        <f t="shared" si="3"/>
        <v>780</v>
      </c>
      <c r="P19" s="27"/>
    </row>
    <row r="20" spans="2:16" x14ac:dyDescent="0.2">
      <c r="B20" s="16" t="s">
        <v>317</v>
      </c>
      <c r="C20" s="16">
        <v>1217</v>
      </c>
      <c r="D20" s="16">
        <v>755</v>
      </c>
      <c r="E20" s="16">
        <f t="shared" si="0"/>
        <v>1972</v>
      </c>
      <c r="F20" s="17">
        <f t="shared" si="1"/>
        <v>3.8396386222473176E-2</v>
      </c>
      <c r="G20" s="16">
        <v>1198</v>
      </c>
      <c r="H20" s="16">
        <v>110</v>
      </c>
      <c r="I20" s="16">
        <v>110</v>
      </c>
      <c r="J20" s="16">
        <v>1418</v>
      </c>
      <c r="K20" s="17">
        <f t="shared" si="2"/>
        <v>1.4953862378064856E-2</v>
      </c>
      <c r="L20" s="16">
        <v>0</v>
      </c>
      <c r="M20" s="16">
        <f t="shared" si="3"/>
        <v>3390</v>
      </c>
      <c r="P20" s="27"/>
    </row>
    <row r="21" spans="2:16" x14ac:dyDescent="0.2">
      <c r="B21" s="16" t="s">
        <v>318</v>
      </c>
      <c r="C21" s="16">
        <v>1530</v>
      </c>
      <c r="D21" s="16">
        <v>989</v>
      </c>
      <c r="E21" s="16">
        <f t="shared" si="0"/>
        <v>2519</v>
      </c>
      <c r="F21" s="17">
        <f t="shared" si="1"/>
        <v>4.9046905118869139E-2</v>
      </c>
      <c r="G21" s="16">
        <v>5085</v>
      </c>
      <c r="H21" s="16">
        <v>693</v>
      </c>
      <c r="I21" s="16">
        <v>375</v>
      </c>
      <c r="J21" s="16">
        <v>6153</v>
      </c>
      <c r="K21" s="17">
        <f t="shared" si="2"/>
        <v>6.4887951489586079E-2</v>
      </c>
      <c r="L21" s="16">
        <v>0</v>
      </c>
      <c r="M21" s="16">
        <f t="shared" si="3"/>
        <v>8672</v>
      </c>
      <c r="P21" s="27"/>
    </row>
    <row r="22" spans="2:16" x14ac:dyDescent="0.2">
      <c r="B22" s="16" t="s">
        <v>319</v>
      </c>
      <c r="C22" s="16">
        <v>243</v>
      </c>
      <c r="D22" s="16">
        <v>175</v>
      </c>
      <c r="E22" s="16">
        <f t="shared" si="0"/>
        <v>418</v>
      </c>
      <c r="F22" s="17">
        <f t="shared" si="1"/>
        <v>8.1387877489826517E-3</v>
      </c>
      <c r="G22" s="16">
        <v>375</v>
      </c>
      <c r="H22" s="16">
        <v>36</v>
      </c>
      <c r="I22" s="16">
        <v>42</v>
      </c>
      <c r="J22" s="16">
        <v>453</v>
      </c>
      <c r="K22" s="17">
        <f t="shared" si="2"/>
        <v>4.7772211969417345E-3</v>
      </c>
      <c r="L22" s="16">
        <v>0</v>
      </c>
      <c r="M22" s="16">
        <f t="shared" si="3"/>
        <v>871</v>
      </c>
      <c r="P22" s="27"/>
    </row>
    <row r="23" spans="2:16" x14ac:dyDescent="0.2">
      <c r="B23" s="16" t="s">
        <v>320</v>
      </c>
      <c r="C23" s="16">
        <v>245</v>
      </c>
      <c r="D23" s="16">
        <v>161</v>
      </c>
      <c r="E23" s="16">
        <f t="shared" si="0"/>
        <v>406</v>
      </c>
      <c r="F23" s="17">
        <f t="shared" si="1"/>
        <v>7.9051383399209481E-3</v>
      </c>
      <c r="G23" s="16">
        <v>455</v>
      </c>
      <c r="H23" s="16">
        <v>36</v>
      </c>
      <c r="I23" s="16">
        <v>47</v>
      </c>
      <c r="J23" s="16">
        <v>538</v>
      </c>
      <c r="K23" s="17">
        <f t="shared" si="2"/>
        <v>5.6736092802530981E-3</v>
      </c>
      <c r="L23" s="16">
        <v>0</v>
      </c>
      <c r="M23" s="16">
        <f t="shared" si="3"/>
        <v>944</v>
      </c>
      <c r="P23" s="27"/>
    </row>
    <row r="24" spans="2:16" x14ac:dyDescent="0.2">
      <c r="B24" s="16" t="s">
        <v>321</v>
      </c>
      <c r="C24" s="16">
        <v>526</v>
      </c>
      <c r="D24" s="16">
        <v>426</v>
      </c>
      <c r="E24" s="16">
        <f t="shared" si="0"/>
        <v>952</v>
      </c>
      <c r="F24" s="17">
        <f t="shared" si="1"/>
        <v>1.8536186452228431E-2</v>
      </c>
      <c r="G24" s="16">
        <v>1169</v>
      </c>
      <c r="H24" s="16">
        <v>153</v>
      </c>
      <c r="I24" s="16">
        <v>160</v>
      </c>
      <c r="J24" s="16">
        <v>1482</v>
      </c>
      <c r="K24" s="17">
        <f t="shared" si="2"/>
        <v>1.5628789876087529E-2</v>
      </c>
      <c r="L24" s="16">
        <v>0</v>
      </c>
      <c r="M24" s="16">
        <f t="shared" si="3"/>
        <v>2434</v>
      </c>
      <c r="P24" s="27"/>
    </row>
    <row r="25" spans="2:16" ht="16.5" customHeight="1" x14ac:dyDescent="0.2">
      <c r="B25" s="16" t="s">
        <v>322</v>
      </c>
      <c r="C25" s="16">
        <v>676</v>
      </c>
      <c r="D25" s="16">
        <v>528</v>
      </c>
      <c r="E25" s="16">
        <f t="shared" si="0"/>
        <v>1204</v>
      </c>
      <c r="F25" s="17">
        <f t="shared" si="1"/>
        <v>2.3442824042524193E-2</v>
      </c>
      <c r="G25" s="16">
        <v>583</v>
      </c>
      <c r="H25" s="16">
        <v>49</v>
      </c>
      <c r="I25" s="16">
        <v>99</v>
      </c>
      <c r="J25" s="16">
        <v>731</v>
      </c>
      <c r="K25" s="17">
        <f t="shared" si="2"/>
        <v>7.7089375164777225E-3</v>
      </c>
      <c r="L25" s="16">
        <v>0</v>
      </c>
      <c r="M25" s="16">
        <f t="shared" si="3"/>
        <v>1935</v>
      </c>
      <c r="P25" s="27"/>
    </row>
    <row r="26" spans="2:16" x14ac:dyDescent="0.2">
      <c r="B26" s="16" t="s">
        <v>323</v>
      </c>
      <c r="C26" s="16">
        <v>181</v>
      </c>
      <c r="D26" s="16">
        <v>79</v>
      </c>
      <c r="E26" s="16">
        <f t="shared" si="0"/>
        <v>260</v>
      </c>
      <c r="F26" s="17">
        <f t="shared" si="1"/>
        <v>5.0624038630035628E-3</v>
      </c>
      <c r="G26" s="16">
        <v>283</v>
      </c>
      <c r="H26" s="16">
        <v>14</v>
      </c>
      <c r="I26" s="16">
        <v>15</v>
      </c>
      <c r="J26" s="16">
        <v>312</v>
      </c>
      <c r="K26" s="17">
        <f t="shared" si="2"/>
        <v>3.2902715528605325E-3</v>
      </c>
      <c r="L26" s="16">
        <v>0</v>
      </c>
      <c r="M26" s="16">
        <f t="shared" si="3"/>
        <v>572</v>
      </c>
      <c r="P26" s="27"/>
    </row>
    <row r="27" spans="2:16" x14ac:dyDescent="0.2">
      <c r="B27" s="16" t="s">
        <v>324</v>
      </c>
      <c r="C27" s="16">
        <v>403</v>
      </c>
      <c r="D27" s="16">
        <v>318</v>
      </c>
      <c r="E27" s="16">
        <f t="shared" si="0"/>
        <v>721</v>
      </c>
      <c r="F27" s="17">
        <f t="shared" si="1"/>
        <v>1.4038435327790651E-2</v>
      </c>
      <c r="G27" s="16">
        <v>602</v>
      </c>
      <c r="H27" s="16">
        <v>55</v>
      </c>
      <c r="I27" s="16">
        <v>81</v>
      </c>
      <c r="J27" s="16">
        <v>738</v>
      </c>
      <c r="K27" s="17">
        <f t="shared" si="2"/>
        <v>7.7827577115739521E-3</v>
      </c>
      <c r="L27" s="16">
        <v>0</v>
      </c>
      <c r="M27" s="16">
        <f t="shared" si="3"/>
        <v>1459</v>
      </c>
      <c r="P27" s="27"/>
    </row>
    <row r="28" spans="2:16" x14ac:dyDescent="0.2">
      <c r="B28" s="16" t="s">
        <v>325</v>
      </c>
      <c r="C28" s="16">
        <v>5555</v>
      </c>
      <c r="D28" s="16">
        <v>3770</v>
      </c>
      <c r="E28" s="16">
        <f t="shared" si="0"/>
        <v>9325</v>
      </c>
      <c r="F28" s="17">
        <f t="shared" si="1"/>
        <v>0.18156506162503164</v>
      </c>
      <c r="G28" s="16">
        <v>17297</v>
      </c>
      <c r="H28" s="16">
        <v>3297</v>
      </c>
      <c r="I28" s="16">
        <v>2014</v>
      </c>
      <c r="J28" s="16">
        <v>22608</v>
      </c>
      <c r="K28" s="17">
        <f t="shared" si="2"/>
        <v>0.23841813867650935</v>
      </c>
      <c r="L28" s="16">
        <v>0</v>
      </c>
      <c r="M28" s="16">
        <f t="shared" si="3"/>
        <v>31933</v>
      </c>
      <c r="P28" s="27"/>
    </row>
    <row r="29" spans="2:16" x14ac:dyDescent="0.2">
      <c r="B29" s="16" t="s">
        <v>326</v>
      </c>
      <c r="C29" s="16">
        <v>575</v>
      </c>
      <c r="D29" s="16">
        <v>469</v>
      </c>
      <c r="E29" s="16">
        <f t="shared" si="0"/>
        <v>1044</v>
      </c>
      <c r="F29" s="17">
        <f t="shared" si="1"/>
        <v>2.0327498588368152E-2</v>
      </c>
      <c r="G29" s="16">
        <v>1150</v>
      </c>
      <c r="H29" s="16">
        <v>118</v>
      </c>
      <c r="I29" s="16">
        <v>162</v>
      </c>
      <c r="J29" s="16">
        <v>1430</v>
      </c>
      <c r="K29" s="17">
        <f t="shared" si="2"/>
        <v>1.5080411283944108E-2</v>
      </c>
      <c r="L29" s="16">
        <v>0</v>
      </c>
      <c r="M29" s="16">
        <f t="shared" si="3"/>
        <v>2474</v>
      </c>
      <c r="P29" s="27"/>
    </row>
    <row r="30" spans="2:16" x14ac:dyDescent="0.2">
      <c r="B30" s="16" t="s">
        <v>327</v>
      </c>
      <c r="C30" s="16">
        <v>357</v>
      </c>
      <c r="D30" s="16">
        <v>280</v>
      </c>
      <c r="E30" s="16">
        <f t="shared" si="0"/>
        <v>637</v>
      </c>
      <c r="F30" s="17">
        <f t="shared" si="1"/>
        <v>1.2402889464358731E-2</v>
      </c>
      <c r="G30" s="16">
        <v>780</v>
      </c>
      <c r="H30" s="16">
        <v>109</v>
      </c>
      <c r="I30" s="16">
        <v>93</v>
      </c>
      <c r="J30" s="16">
        <v>982</v>
      </c>
      <c r="K30" s="17">
        <f t="shared" si="2"/>
        <v>1.0355918797785394E-2</v>
      </c>
      <c r="L30" s="16">
        <v>0</v>
      </c>
      <c r="M30" s="16">
        <f t="shared" si="3"/>
        <v>1619</v>
      </c>
      <c r="P30" s="27"/>
    </row>
    <row r="31" spans="2:16" x14ac:dyDescent="0.2">
      <c r="B31" s="16" t="s">
        <v>328</v>
      </c>
      <c r="C31" s="16">
        <v>709</v>
      </c>
      <c r="D31" s="16">
        <v>444</v>
      </c>
      <c r="E31" s="16">
        <f t="shared" si="0"/>
        <v>1153</v>
      </c>
      <c r="F31" s="17">
        <f t="shared" si="1"/>
        <v>2.2449814054011957E-2</v>
      </c>
      <c r="G31" s="16">
        <v>1947</v>
      </c>
      <c r="H31" s="16">
        <v>284</v>
      </c>
      <c r="I31" s="16">
        <v>127</v>
      </c>
      <c r="J31" s="16">
        <v>2358</v>
      </c>
      <c r="K31" s="17">
        <f t="shared" si="2"/>
        <v>2.486686000527287E-2</v>
      </c>
      <c r="L31" s="16">
        <v>0</v>
      </c>
      <c r="M31" s="16">
        <f t="shared" si="3"/>
        <v>3511</v>
      </c>
      <c r="P31" s="27"/>
    </row>
    <row r="32" spans="2:16" x14ac:dyDescent="0.2">
      <c r="B32" s="16" t="s">
        <v>329</v>
      </c>
      <c r="C32" s="16">
        <v>779</v>
      </c>
      <c r="D32" s="16">
        <v>431</v>
      </c>
      <c r="E32" s="16">
        <f t="shared" si="0"/>
        <v>1210</v>
      </c>
      <c r="F32" s="17">
        <f t="shared" si="1"/>
        <v>2.3559648747055045E-2</v>
      </c>
      <c r="G32" s="16">
        <v>1235</v>
      </c>
      <c r="H32" s="16">
        <v>159</v>
      </c>
      <c r="I32" s="16">
        <v>103</v>
      </c>
      <c r="J32" s="16">
        <v>1497</v>
      </c>
      <c r="K32" s="17">
        <f t="shared" si="2"/>
        <v>1.5786976008436593E-2</v>
      </c>
      <c r="L32" s="16">
        <v>0</v>
      </c>
      <c r="M32" s="16">
        <f t="shared" si="3"/>
        <v>2707</v>
      </c>
      <c r="P32" s="27"/>
    </row>
    <row r="33" spans="2:16" x14ac:dyDescent="0.2">
      <c r="B33" s="16" t="s">
        <v>330</v>
      </c>
      <c r="C33" s="16">
        <v>638</v>
      </c>
      <c r="D33" s="16">
        <v>511</v>
      </c>
      <c r="E33" s="16">
        <f t="shared" si="0"/>
        <v>1149</v>
      </c>
      <c r="F33" s="17">
        <f t="shared" si="1"/>
        <v>2.2371930917658055E-2</v>
      </c>
      <c r="G33" s="16">
        <v>1927</v>
      </c>
      <c r="H33" s="16">
        <v>340</v>
      </c>
      <c r="I33" s="16">
        <v>138</v>
      </c>
      <c r="J33" s="16">
        <v>2405</v>
      </c>
      <c r="K33" s="17">
        <f t="shared" si="2"/>
        <v>2.5362509886633272E-2</v>
      </c>
      <c r="L33" s="16">
        <v>0</v>
      </c>
      <c r="M33" s="16">
        <f t="shared" si="3"/>
        <v>3554</v>
      </c>
      <c r="P33" s="27"/>
    </row>
    <row r="34" spans="2:16" x14ac:dyDescent="0.2">
      <c r="B34" s="16" t="s">
        <v>331</v>
      </c>
      <c r="C34" s="16">
        <v>1312</v>
      </c>
      <c r="D34" s="16">
        <v>856</v>
      </c>
      <c r="E34" s="16">
        <f t="shared" si="0"/>
        <v>2168</v>
      </c>
      <c r="F34" s="17">
        <f t="shared" si="1"/>
        <v>4.2212659903814329E-2</v>
      </c>
      <c r="G34" s="16">
        <v>1521</v>
      </c>
      <c r="H34" s="16">
        <v>153</v>
      </c>
      <c r="I34" s="16">
        <v>127</v>
      </c>
      <c r="J34" s="16">
        <v>1801</v>
      </c>
      <c r="K34" s="17">
        <f t="shared" si="2"/>
        <v>1.8992881624044292E-2</v>
      </c>
      <c r="L34" s="16">
        <v>0</v>
      </c>
      <c r="M34" s="16">
        <f t="shared" si="3"/>
        <v>3969</v>
      </c>
      <c r="P34" s="27"/>
    </row>
    <row r="35" spans="2:16" x14ac:dyDescent="0.2">
      <c r="B35" s="16" t="s">
        <v>332</v>
      </c>
      <c r="C35" s="16">
        <v>1502</v>
      </c>
      <c r="D35" s="16">
        <v>1064</v>
      </c>
      <c r="E35" s="16">
        <f t="shared" si="0"/>
        <v>2566</v>
      </c>
      <c r="F35" s="17">
        <f t="shared" si="1"/>
        <v>4.9962031971027471E-2</v>
      </c>
      <c r="G35" s="16">
        <v>4577</v>
      </c>
      <c r="H35" s="16">
        <v>828</v>
      </c>
      <c r="I35" s="16">
        <v>433</v>
      </c>
      <c r="J35" s="16">
        <v>5838</v>
      </c>
      <c r="K35" s="17">
        <f t="shared" si="2"/>
        <v>6.1566042710255738E-2</v>
      </c>
      <c r="L35" s="16">
        <v>0</v>
      </c>
      <c r="M35" s="16">
        <f t="shared" si="3"/>
        <v>8404</v>
      </c>
      <c r="P35" s="27"/>
    </row>
    <row r="36" spans="2:16" x14ac:dyDescent="0.2">
      <c r="B36" s="16" t="s">
        <v>333</v>
      </c>
      <c r="C36" s="16">
        <v>536</v>
      </c>
      <c r="D36" s="16">
        <v>362</v>
      </c>
      <c r="E36" s="16">
        <f t="shared" si="0"/>
        <v>898</v>
      </c>
      <c r="F36" s="17">
        <f t="shared" si="1"/>
        <v>1.7484764111450769E-2</v>
      </c>
      <c r="G36" s="16">
        <v>1412</v>
      </c>
      <c r="H36" s="16">
        <v>138</v>
      </c>
      <c r="I36" s="16">
        <v>129</v>
      </c>
      <c r="J36" s="16">
        <v>1679</v>
      </c>
      <c r="K36" s="17">
        <f t="shared" si="2"/>
        <v>1.7706301080938572E-2</v>
      </c>
      <c r="L36" s="16">
        <v>0</v>
      </c>
      <c r="M36" s="16">
        <f t="shared" si="3"/>
        <v>2577</v>
      </c>
      <c r="P36" s="27"/>
    </row>
    <row r="37" spans="2:16" x14ac:dyDescent="0.2">
      <c r="B37" s="16" t="s">
        <v>334</v>
      </c>
      <c r="C37" s="16">
        <v>573</v>
      </c>
      <c r="D37" s="16">
        <v>306</v>
      </c>
      <c r="E37" s="16">
        <f t="shared" si="0"/>
        <v>879</v>
      </c>
      <c r="F37" s="17">
        <f t="shared" si="1"/>
        <v>1.7114819213769738E-2</v>
      </c>
      <c r="G37" s="16">
        <v>1040</v>
      </c>
      <c r="H37" s="16">
        <v>93</v>
      </c>
      <c r="I37" s="16">
        <v>131</v>
      </c>
      <c r="J37" s="16">
        <v>1264</v>
      </c>
      <c r="K37" s="17">
        <f t="shared" si="2"/>
        <v>1.3329818085947798E-2</v>
      </c>
      <c r="L37" s="16">
        <v>0</v>
      </c>
      <c r="M37" s="16">
        <f t="shared" si="3"/>
        <v>2143</v>
      </c>
      <c r="P37" s="27"/>
    </row>
    <row r="38" spans="2:16" x14ac:dyDescent="0.2">
      <c r="B38" s="16" t="s">
        <v>335</v>
      </c>
      <c r="C38" s="16">
        <v>178</v>
      </c>
      <c r="D38" s="16">
        <v>95</v>
      </c>
      <c r="E38" s="16">
        <f t="shared" si="0"/>
        <v>273</v>
      </c>
      <c r="F38" s="17">
        <f t="shared" si="1"/>
        <v>5.3155240561537417E-3</v>
      </c>
      <c r="G38" s="16">
        <v>407</v>
      </c>
      <c r="H38" s="16">
        <v>34</v>
      </c>
      <c r="I38" s="16">
        <v>35</v>
      </c>
      <c r="J38" s="16">
        <v>476</v>
      </c>
      <c r="K38" s="17">
        <f t="shared" si="2"/>
        <v>5.0197732665436326E-3</v>
      </c>
      <c r="L38" s="16">
        <v>0</v>
      </c>
      <c r="M38" s="16">
        <f t="shared" si="3"/>
        <v>749</v>
      </c>
      <c r="P38" s="27"/>
    </row>
    <row r="39" spans="2:16" x14ac:dyDescent="0.2">
      <c r="B39" s="16" t="s">
        <v>336</v>
      </c>
      <c r="C39" s="16">
        <v>513</v>
      </c>
      <c r="D39" s="16">
        <v>269</v>
      </c>
      <c r="E39" s="16">
        <f t="shared" si="0"/>
        <v>782</v>
      </c>
      <c r="F39" s="17">
        <f t="shared" si="1"/>
        <v>1.5226153157187641E-2</v>
      </c>
      <c r="G39" s="16">
        <v>671</v>
      </c>
      <c r="H39" s="16">
        <v>64</v>
      </c>
      <c r="I39" s="16">
        <v>60</v>
      </c>
      <c r="J39" s="16">
        <v>795</v>
      </c>
      <c r="K39" s="17">
        <f t="shared" si="2"/>
        <v>8.3838650145003947E-3</v>
      </c>
      <c r="L39" s="16">
        <v>0</v>
      </c>
      <c r="M39" s="16">
        <f t="shared" si="3"/>
        <v>1577</v>
      </c>
      <c r="P39" s="27"/>
    </row>
    <row r="40" spans="2:16" x14ac:dyDescent="0.2">
      <c r="B40" s="16" t="s">
        <v>337</v>
      </c>
      <c r="C40" s="16">
        <v>115</v>
      </c>
      <c r="D40" s="16">
        <v>25</v>
      </c>
      <c r="E40" s="16">
        <f t="shared" si="0"/>
        <v>140</v>
      </c>
      <c r="F40" s="17">
        <f t="shared" si="1"/>
        <v>2.725909772386534E-3</v>
      </c>
      <c r="G40" s="16">
        <v>247</v>
      </c>
      <c r="H40" s="16">
        <v>33</v>
      </c>
      <c r="I40" s="16">
        <v>9</v>
      </c>
      <c r="J40" s="16">
        <v>289</v>
      </c>
      <c r="K40" s="17">
        <f t="shared" si="2"/>
        <v>3.0477194832586344E-3</v>
      </c>
      <c r="L40" s="16">
        <v>0</v>
      </c>
      <c r="M40" s="16">
        <f t="shared" si="3"/>
        <v>429</v>
      </c>
      <c r="P40" s="27"/>
    </row>
    <row r="41" spans="2:16" x14ac:dyDescent="0.2">
      <c r="B41" s="18" t="s">
        <v>39</v>
      </c>
      <c r="C41" s="16">
        <f t="shared" ref="C41:D41" si="4">SUM(C11:C40)</f>
        <v>31358</v>
      </c>
      <c r="D41" s="16">
        <f t="shared" si="4"/>
        <v>20001</v>
      </c>
      <c r="E41" s="18">
        <f t="shared" ref="E41" si="5">C41+D41</f>
        <v>51359</v>
      </c>
      <c r="F41" s="19">
        <f t="shared" ref="F41" si="6">E41/$E$41</f>
        <v>1</v>
      </c>
      <c r="G41" s="16">
        <f t="shared" ref="G41:J41" si="7">SUM(G11:G40)</f>
        <v>75546</v>
      </c>
      <c r="H41" s="16">
        <f t="shared" si="7"/>
        <v>11768</v>
      </c>
      <c r="I41" s="16">
        <f t="shared" si="7"/>
        <v>7511</v>
      </c>
      <c r="J41" s="16">
        <f t="shared" si="7"/>
        <v>94825</v>
      </c>
      <c r="K41" s="17">
        <f t="shared" si="2"/>
        <v>1</v>
      </c>
      <c r="L41" s="16">
        <f t="shared" ref="L41" si="8">SUM(L11:L40)</f>
        <v>0</v>
      </c>
      <c r="M41" s="18">
        <f t="shared" si="3"/>
        <v>146184</v>
      </c>
      <c r="P41" s="27"/>
    </row>
    <row r="42" spans="2:16" ht="25.5" customHeight="1" x14ac:dyDescent="0.2">
      <c r="B42" s="28" t="s">
        <v>44</v>
      </c>
      <c r="C42" s="29">
        <f>+C41/M41</f>
        <v>0.21451047994308542</v>
      </c>
      <c r="D42" s="29">
        <f>+D41/M41</f>
        <v>0.13682071909374488</v>
      </c>
      <c r="E42" s="30">
        <f>+E41/M41</f>
        <v>0.3513311990368303</v>
      </c>
      <c r="F42" s="30"/>
      <c r="G42" s="29">
        <f>+G41/M41</f>
        <v>0.51678706287965848</v>
      </c>
      <c r="H42" s="29">
        <f>+H41/M41</f>
        <v>8.0501286050456963E-2</v>
      </c>
      <c r="I42" s="29">
        <f>+I41/M41</f>
        <v>5.1380452033054233E-2</v>
      </c>
      <c r="J42" s="30">
        <f>+J41/M41</f>
        <v>0.6486688009631697</v>
      </c>
      <c r="K42" s="30"/>
      <c r="L42" s="30">
        <f>+L41/M41</f>
        <v>0</v>
      </c>
      <c r="M42" s="30">
        <f>J42+L42+E42</f>
        <v>1</v>
      </c>
    </row>
    <row r="43" spans="2:16" x14ac:dyDescent="0.2">
      <c r="B43" s="21"/>
      <c r="C43" s="34"/>
      <c r="D43" s="34"/>
      <c r="E43" s="34"/>
      <c r="F43" s="34"/>
      <c r="G43" s="34"/>
      <c r="H43" s="34"/>
      <c r="I43" s="34"/>
      <c r="J43" s="34"/>
      <c r="K43" s="34"/>
    </row>
    <row r="44" spans="2:16" ht="12.75" x14ac:dyDescent="0.2">
      <c r="B44" s="344" t="s">
        <v>572</v>
      </c>
      <c r="C44" s="344"/>
      <c r="D44" s="344"/>
      <c r="E44" s="344"/>
      <c r="F44" s="344"/>
      <c r="G44" s="344"/>
      <c r="H44" s="344"/>
      <c r="I44" s="344"/>
      <c r="J44" s="344"/>
      <c r="K44" s="344"/>
    </row>
    <row r="45" spans="2:16" ht="12.75" x14ac:dyDescent="0.2">
      <c r="B45" s="374" t="str">
        <f>'Solicitudes Regiones'!$B$6:$R$6</f>
        <v>Julio de 2008 a junio de 2022</v>
      </c>
      <c r="C45" s="374"/>
      <c r="D45" s="374"/>
      <c r="E45" s="374"/>
      <c r="F45" s="374"/>
      <c r="G45" s="374"/>
      <c r="H45" s="374"/>
      <c r="I45" s="374"/>
      <c r="J45" s="374"/>
      <c r="K45" s="374"/>
    </row>
    <row r="47" spans="2:16" ht="15" customHeight="1" x14ac:dyDescent="0.2">
      <c r="B47" s="373" t="s">
        <v>596</v>
      </c>
      <c r="C47" s="373"/>
      <c r="D47" s="373"/>
      <c r="E47" s="373"/>
      <c r="F47" s="373"/>
      <c r="G47" s="373"/>
      <c r="H47" s="373"/>
      <c r="I47" s="373"/>
      <c r="J47" s="373"/>
      <c r="K47" s="373"/>
      <c r="L47" s="373"/>
      <c r="M47" s="373"/>
    </row>
    <row r="48" spans="2:16" ht="15" customHeight="1" x14ac:dyDescent="0.2">
      <c r="B48" s="373" t="s">
        <v>41</v>
      </c>
      <c r="C48" s="370" t="s">
        <v>544</v>
      </c>
      <c r="D48" s="371"/>
      <c r="E48" s="371"/>
      <c r="F48" s="371"/>
      <c r="G48" s="371"/>
      <c r="H48" s="371"/>
      <c r="I48" s="371"/>
      <c r="J48" s="371"/>
      <c r="K48" s="371"/>
      <c r="L48" s="372"/>
      <c r="M48" s="307"/>
    </row>
    <row r="49" spans="2:13" ht="60" x14ac:dyDescent="0.2">
      <c r="B49" s="373"/>
      <c r="C49" s="20" t="s">
        <v>540</v>
      </c>
      <c r="D49" s="20" t="s">
        <v>42</v>
      </c>
      <c r="E49" s="20" t="s">
        <v>553</v>
      </c>
      <c r="F49" s="20" t="s">
        <v>554</v>
      </c>
      <c r="G49" s="20" t="s">
        <v>542</v>
      </c>
      <c r="H49" s="20" t="s">
        <v>2</v>
      </c>
      <c r="I49" s="20" t="s">
        <v>43</v>
      </c>
      <c r="J49" s="20" t="s">
        <v>549</v>
      </c>
      <c r="K49" s="296" t="s">
        <v>550</v>
      </c>
      <c r="L49" s="296" t="s">
        <v>523</v>
      </c>
      <c r="M49" s="296" t="s">
        <v>641</v>
      </c>
    </row>
    <row r="50" spans="2:13" x14ac:dyDescent="0.2">
      <c r="B50" s="16" t="s">
        <v>308</v>
      </c>
      <c r="C50" s="16">
        <v>1779</v>
      </c>
      <c r="D50" s="16">
        <v>445</v>
      </c>
      <c r="E50" s="16">
        <f>C50+D50</f>
        <v>2224</v>
      </c>
      <c r="F50" s="17">
        <f>E50/$E$80</f>
        <v>5.6027207456858547E-2</v>
      </c>
      <c r="G50" s="16">
        <v>2211</v>
      </c>
      <c r="H50" s="16">
        <v>130</v>
      </c>
      <c r="I50" s="16">
        <v>204</v>
      </c>
      <c r="J50" s="16">
        <v>2545</v>
      </c>
      <c r="K50" s="17">
        <f>J50/$J$80</f>
        <v>3.2264607817036217E-2</v>
      </c>
      <c r="L50" s="16">
        <v>0</v>
      </c>
      <c r="M50" s="16">
        <f t="shared" ref="M50:M80" si="9">L50+J50+E50</f>
        <v>4769</v>
      </c>
    </row>
    <row r="51" spans="2:13" x14ac:dyDescent="0.2">
      <c r="B51" s="16" t="s">
        <v>309</v>
      </c>
      <c r="C51" s="16">
        <v>952</v>
      </c>
      <c r="D51" s="16">
        <v>300</v>
      </c>
      <c r="E51" s="16">
        <f t="shared" ref="E51:E79" si="10">C51+D51</f>
        <v>1252</v>
      </c>
      <c r="F51" s="17">
        <f t="shared" ref="F51:F79" si="11">E51/$E$80</f>
        <v>3.1540496284166775E-2</v>
      </c>
      <c r="G51" s="16">
        <v>2943</v>
      </c>
      <c r="H51" s="16">
        <v>370</v>
      </c>
      <c r="I51" s="16">
        <v>168</v>
      </c>
      <c r="J51" s="16">
        <v>3481</v>
      </c>
      <c r="K51" s="17">
        <f t="shared" ref="K51:K80" si="12">J51/$J$80</f>
        <v>4.4130884012221247E-2</v>
      </c>
      <c r="L51" s="16">
        <v>0</v>
      </c>
      <c r="M51" s="16">
        <f t="shared" si="9"/>
        <v>4733</v>
      </c>
    </row>
    <row r="52" spans="2:13" x14ac:dyDescent="0.2">
      <c r="B52" s="16" t="s">
        <v>310</v>
      </c>
      <c r="C52" s="16">
        <v>740</v>
      </c>
      <c r="D52" s="16">
        <v>276</v>
      </c>
      <c r="E52" s="16">
        <f t="shared" si="10"/>
        <v>1016</v>
      </c>
      <c r="F52" s="17">
        <f t="shared" si="11"/>
        <v>2.5595163118780701E-2</v>
      </c>
      <c r="G52" s="16">
        <v>1541</v>
      </c>
      <c r="H52" s="16">
        <v>77</v>
      </c>
      <c r="I52" s="16">
        <v>193</v>
      </c>
      <c r="J52" s="16">
        <v>1811</v>
      </c>
      <c r="K52" s="17">
        <f t="shared" si="12"/>
        <v>2.2959216014401804E-2</v>
      </c>
      <c r="L52" s="16">
        <v>0</v>
      </c>
      <c r="M52" s="16">
        <f t="shared" si="9"/>
        <v>2827</v>
      </c>
    </row>
    <row r="53" spans="2:13" x14ac:dyDescent="0.2">
      <c r="B53" s="16" t="s">
        <v>311</v>
      </c>
      <c r="C53" s="16">
        <v>534</v>
      </c>
      <c r="D53" s="16">
        <v>150</v>
      </c>
      <c r="E53" s="16">
        <f t="shared" si="10"/>
        <v>684</v>
      </c>
      <c r="F53" s="17">
        <f t="shared" si="11"/>
        <v>1.7231389343746063E-2</v>
      </c>
      <c r="G53" s="16">
        <v>567</v>
      </c>
      <c r="H53" s="16">
        <v>38</v>
      </c>
      <c r="I53" s="16">
        <v>63</v>
      </c>
      <c r="J53" s="16">
        <v>668</v>
      </c>
      <c r="K53" s="17">
        <f t="shared" si="12"/>
        <v>8.4686671991277777E-3</v>
      </c>
      <c r="L53" s="16">
        <v>0</v>
      </c>
      <c r="M53" s="16">
        <f t="shared" si="9"/>
        <v>1352</v>
      </c>
    </row>
    <row r="54" spans="2:13" x14ac:dyDescent="0.2">
      <c r="B54" s="16" t="s">
        <v>312</v>
      </c>
      <c r="C54" s="16">
        <v>898</v>
      </c>
      <c r="D54" s="16">
        <v>429</v>
      </c>
      <c r="E54" s="16">
        <f t="shared" si="10"/>
        <v>1327</v>
      </c>
      <c r="F54" s="17">
        <f t="shared" si="11"/>
        <v>3.3429903010454717E-2</v>
      </c>
      <c r="G54" s="16">
        <v>2456</v>
      </c>
      <c r="H54" s="16">
        <v>256</v>
      </c>
      <c r="I54" s="16">
        <v>226</v>
      </c>
      <c r="J54" s="16">
        <v>2938</v>
      </c>
      <c r="K54" s="17">
        <f t="shared" si="12"/>
        <v>3.7246922501553009E-2</v>
      </c>
      <c r="L54" s="16">
        <v>0</v>
      </c>
      <c r="M54" s="16">
        <f t="shared" si="9"/>
        <v>4265</v>
      </c>
    </row>
    <row r="55" spans="2:13" x14ac:dyDescent="0.2">
      <c r="B55" s="16" t="s">
        <v>313</v>
      </c>
      <c r="C55" s="16">
        <v>619</v>
      </c>
      <c r="D55" s="16">
        <v>373</v>
      </c>
      <c r="E55" s="16">
        <f t="shared" si="10"/>
        <v>992</v>
      </c>
      <c r="F55" s="17">
        <f t="shared" si="11"/>
        <v>2.4990552966368561E-2</v>
      </c>
      <c r="G55" s="16">
        <v>1421</v>
      </c>
      <c r="H55" s="16">
        <v>137</v>
      </c>
      <c r="I55" s="16">
        <v>190</v>
      </c>
      <c r="J55" s="16">
        <v>1748</v>
      </c>
      <c r="K55" s="17">
        <f t="shared" si="12"/>
        <v>2.2160524347418196E-2</v>
      </c>
      <c r="L55" s="16">
        <v>0</v>
      </c>
      <c r="M55" s="16">
        <f t="shared" si="9"/>
        <v>2740</v>
      </c>
    </row>
    <row r="56" spans="2:13" x14ac:dyDescent="0.2">
      <c r="B56" s="16" t="s">
        <v>314</v>
      </c>
      <c r="C56" s="16">
        <v>123</v>
      </c>
      <c r="D56" s="16">
        <v>21</v>
      </c>
      <c r="E56" s="16">
        <f t="shared" si="10"/>
        <v>144</v>
      </c>
      <c r="F56" s="17">
        <f t="shared" si="11"/>
        <v>3.6276609144728555E-3</v>
      </c>
      <c r="G56" s="16">
        <v>191</v>
      </c>
      <c r="H56" s="16">
        <v>6</v>
      </c>
      <c r="I56" s="16">
        <v>7</v>
      </c>
      <c r="J56" s="16">
        <v>204</v>
      </c>
      <c r="K56" s="17">
        <f t="shared" si="12"/>
        <v>2.5862396835659683E-3</v>
      </c>
      <c r="L56" s="16">
        <v>0</v>
      </c>
      <c r="M56" s="16">
        <f t="shared" si="9"/>
        <v>348</v>
      </c>
    </row>
    <row r="57" spans="2:13" x14ac:dyDescent="0.2">
      <c r="B57" s="16" t="s">
        <v>315</v>
      </c>
      <c r="C57" s="16">
        <v>5875</v>
      </c>
      <c r="D57" s="16">
        <v>2127</v>
      </c>
      <c r="E57" s="16">
        <f t="shared" si="10"/>
        <v>8002</v>
      </c>
      <c r="F57" s="17">
        <f t="shared" si="11"/>
        <v>0.20158710165008187</v>
      </c>
      <c r="G57" s="16">
        <v>15590</v>
      </c>
      <c r="H57" s="16">
        <v>1841</v>
      </c>
      <c r="I57" s="16">
        <v>1453</v>
      </c>
      <c r="J57" s="16">
        <v>18884</v>
      </c>
      <c r="K57" s="17">
        <f t="shared" si="12"/>
        <v>0.23940465776695952</v>
      </c>
      <c r="L57" s="16">
        <v>0</v>
      </c>
      <c r="M57" s="16">
        <f t="shared" si="9"/>
        <v>26886</v>
      </c>
    </row>
    <row r="58" spans="2:13" x14ac:dyDescent="0.2">
      <c r="B58" s="16" t="s">
        <v>316</v>
      </c>
      <c r="C58" s="16">
        <v>280</v>
      </c>
      <c r="D58" s="16">
        <v>56</v>
      </c>
      <c r="E58" s="16">
        <f t="shared" si="10"/>
        <v>336</v>
      </c>
      <c r="F58" s="17">
        <f t="shared" si="11"/>
        <v>8.4645421337699971E-3</v>
      </c>
      <c r="G58" s="16">
        <v>286</v>
      </c>
      <c r="H58" s="16">
        <v>11</v>
      </c>
      <c r="I58" s="16">
        <v>22</v>
      </c>
      <c r="J58" s="16">
        <v>319</v>
      </c>
      <c r="K58" s="17">
        <f t="shared" si="12"/>
        <v>4.0441689169487443E-3</v>
      </c>
      <c r="L58" s="16">
        <v>0</v>
      </c>
      <c r="M58" s="16">
        <f t="shared" si="9"/>
        <v>655</v>
      </c>
    </row>
    <row r="59" spans="2:13" x14ac:dyDescent="0.2">
      <c r="B59" s="16" t="s">
        <v>317</v>
      </c>
      <c r="C59" s="16">
        <v>1149</v>
      </c>
      <c r="D59" s="16">
        <v>319</v>
      </c>
      <c r="E59" s="16">
        <f t="shared" si="10"/>
        <v>1468</v>
      </c>
      <c r="F59" s="17">
        <f t="shared" si="11"/>
        <v>3.6981987655876056E-2</v>
      </c>
      <c r="G59" s="16">
        <v>1070</v>
      </c>
      <c r="H59" s="16">
        <v>63</v>
      </c>
      <c r="I59" s="16">
        <v>94</v>
      </c>
      <c r="J59" s="16">
        <v>1227</v>
      </c>
      <c r="K59" s="17">
        <f t="shared" si="12"/>
        <v>1.5555471037918838E-2</v>
      </c>
      <c r="L59" s="16">
        <v>0</v>
      </c>
      <c r="M59" s="16">
        <f t="shared" si="9"/>
        <v>2695</v>
      </c>
    </row>
    <row r="60" spans="2:13" x14ac:dyDescent="0.2">
      <c r="B60" s="16" t="s">
        <v>318</v>
      </c>
      <c r="C60" s="16">
        <v>1376</v>
      </c>
      <c r="D60" s="16">
        <v>514</v>
      </c>
      <c r="E60" s="16">
        <f t="shared" si="10"/>
        <v>1890</v>
      </c>
      <c r="F60" s="17">
        <f t="shared" si="11"/>
        <v>4.7613049502456227E-2</v>
      </c>
      <c r="G60" s="16">
        <v>4394</v>
      </c>
      <c r="H60" s="16">
        <v>370</v>
      </c>
      <c r="I60" s="16">
        <v>303</v>
      </c>
      <c r="J60" s="16">
        <v>5067</v>
      </c>
      <c r="K60" s="17">
        <f t="shared" si="12"/>
        <v>6.4237629787395889E-2</v>
      </c>
      <c r="L60" s="16">
        <v>0</v>
      </c>
      <c r="M60" s="16">
        <f t="shared" si="9"/>
        <v>6957</v>
      </c>
    </row>
    <row r="61" spans="2:13" x14ac:dyDescent="0.2">
      <c r="B61" s="16" t="s">
        <v>319</v>
      </c>
      <c r="C61" s="16">
        <v>237</v>
      </c>
      <c r="D61" s="16">
        <v>68</v>
      </c>
      <c r="E61" s="16">
        <f t="shared" si="10"/>
        <v>305</v>
      </c>
      <c r="F61" s="17">
        <f t="shared" si="11"/>
        <v>7.6835873535709785E-3</v>
      </c>
      <c r="G61" s="16">
        <v>324</v>
      </c>
      <c r="H61" s="16">
        <v>13</v>
      </c>
      <c r="I61" s="16">
        <v>36</v>
      </c>
      <c r="J61" s="16">
        <v>373</v>
      </c>
      <c r="K61" s="17">
        <f t="shared" si="12"/>
        <v>4.7287617743632651E-3</v>
      </c>
      <c r="L61" s="16">
        <v>0</v>
      </c>
      <c r="M61" s="16">
        <f t="shared" si="9"/>
        <v>678</v>
      </c>
    </row>
    <row r="62" spans="2:13" x14ac:dyDescent="0.2">
      <c r="B62" s="16" t="s">
        <v>320</v>
      </c>
      <c r="C62" s="16">
        <v>234</v>
      </c>
      <c r="D62" s="16">
        <v>98</v>
      </c>
      <c r="E62" s="16">
        <f t="shared" si="10"/>
        <v>332</v>
      </c>
      <c r="F62" s="17">
        <f t="shared" si="11"/>
        <v>8.3637737750346386E-3</v>
      </c>
      <c r="G62" s="16">
        <v>421</v>
      </c>
      <c r="H62" s="16">
        <v>27</v>
      </c>
      <c r="I62" s="16">
        <v>41</v>
      </c>
      <c r="J62" s="16">
        <v>489</v>
      </c>
      <c r="K62" s="17">
        <f t="shared" si="12"/>
        <v>6.1993686532537179E-3</v>
      </c>
      <c r="L62" s="16">
        <v>0</v>
      </c>
      <c r="M62" s="16">
        <f t="shared" si="9"/>
        <v>821</v>
      </c>
    </row>
    <row r="63" spans="2:13" x14ac:dyDescent="0.2">
      <c r="B63" s="16" t="s">
        <v>321</v>
      </c>
      <c r="C63" s="16">
        <v>451</v>
      </c>
      <c r="D63" s="16">
        <v>265</v>
      </c>
      <c r="E63" s="16">
        <f t="shared" si="10"/>
        <v>716</v>
      </c>
      <c r="F63" s="17">
        <f t="shared" si="11"/>
        <v>1.803753621362892E-2</v>
      </c>
      <c r="G63" s="16">
        <v>1066</v>
      </c>
      <c r="H63" s="16">
        <v>87</v>
      </c>
      <c r="I63" s="16">
        <v>122</v>
      </c>
      <c r="J63" s="16">
        <v>1275</v>
      </c>
      <c r="K63" s="17">
        <f t="shared" si="12"/>
        <v>1.6163998022287299E-2</v>
      </c>
      <c r="L63" s="16">
        <v>0</v>
      </c>
      <c r="M63" s="16">
        <f t="shared" si="9"/>
        <v>1991</v>
      </c>
    </row>
    <row r="64" spans="2:13" ht="13.5" customHeight="1" x14ac:dyDescent="0.2">
      <c r="B64" s="16" t="s">
        <v>322</v>
      </c>
      <c r="C64" s="16">
        <v>638</v>
      </c>
      <c r="D64" s="16">
        <v>321</v>
      </c>
      <c r="E64" s="16">
        <f t="shared" si="10"/>
        <v>959</v>
      </c>
      <c r="F64" s="17">
        <f t="shared" si="11"/>
        <v>2.4159214006801863E-2</v>
      </c>
      <c r="G64" s="16">
        <v>530</v>
      </c>
      <c r="H64" s="16">
        <v>28</v>
      </c>
      <c r="I64" s="16">
        <v>79</v>
      </c>
      <c r="J64" s="16">
        <v>637</v>
      </c>
      <c r="K64" s="17">
        <f t="shared" si="12"/>
        <v>8.0756601883898126E-3</v>
      </c>
      <c r="L64" s="16">
        <v>0</v>
      </c>
      <c r="M64" s="16">
        <f t="shared" si="9"/>
        <v>1596</v>
      </c>
    </row>
    <row r="65" spans="2:13" x14ac:dyDescent="0.2">
      <c r="B65" s="16" t="s">
        <v>323</v>
      </c>
      <c r="C65" s="16">
        <v>168</v>
      </c>
      <c r="D65" s="16">
        <v>36</v>
      </c>
      <c r="E65" s="16">
        <f t="shared" si="10"/>
        <v>204</v>
      </c>
      <c r="F65" s="17">
        <f t="shared" si="11"/>
        <v>5.1391862955032118E-3</v>
      </c>
      <c r="G65" s="16">
        <v>244</v>
      </c>
      <c r="H65" s="16">
        <v>9</v>
      </c>
      <c r="I65" s="16">
        <v>9</v>
      </c>
      <c r="J65" s="16">
        <v>262</v>
      </c>
      <c r="K65" s="17">
        <f t="shared" si="12"/>
        <v>3.3215431230111943E-3</v>
      </c>
      <c r="L65" s="16">
        <v>0</v>
      </c>
      <c r="M65" s="16">
        <f t="shared" si="9"/>
        <v>466</v>
      </c>
    </row>
    <row r="66" spans="2:13" x14ac:dyDescent="0.2">
      <c r="B66" s="16" t="s">
        <v>324</v>
      </c>
      <c r="C66" s="16">
        <v>380</v>
      </c>
      <c r="D66" s="16">
        <v>134</v>
      </c>
      <c r="E66" s="16">
        <f t="shared" si="10"/>
        <v>514</v>
      </c>
      <c r="F66" s="17">
        <f t="shared" si="11"/>
        <v>1.2948734097493387E-2</v>
      </c>
      <c r="G66" s="16">
        <v>533</v>
      </c>
      <c r="H66" s="16">
        <v>38</v>
      </c>
      <c r="I66" s="16">
        <v>53</v>
      </c>
      <c r="J66" s="16">
        <v>624</v>
      </c>
      <c r="K66" s="17">
        <f t="shared" si="12"/>
        <v>7.9108507967900199E-3</v>
      </c>
      <c r="L66" s="16">
        <v>0</v>
      </c>
      <c r="M66" s="16">
        <f t="shared" si="9"/>
        <v>1138</v>
      </c>
    </row>
    <row r="67" spans="2:13" x14ac:dyDescent="0.2">
      <c r="B67" s="16" t="s">
        <v>325</v>
      </c>
      <c r="C67" s="16">
        <v>4974</v>
      </c>
      <c r="D67" s="16">
        <v>2728</v>
      </c>
      <c r="E67" s="16">
        <f t="shared" si="10"/>
        <v>7702</v>
      </c>
      <c r="F67" s="17">
        <f t="shared" si="11"/>
        <v>0.1940294747449301</v>
      </c>
      <c r="G67" s="16">
        <v>14993</v>
      </c>
      <c r="H67" s="16">
        <v>2220</v>
      </c>
      <c r="I67" s="16">
        <v>1730</v>
      </c>
      <c r="J67" s="16">
        <v>18943</v>
      </c>
      <c r="K67" s="17">
        <f t="shared" si="12"/>
        <v>0.24015263885191243</v>
      </c>
      <c r="L67" s="16">
        <v>0</v>
      </c>
      <c r="M67" s="16">
        <f t="shared" si="9"/>
        <v>26645</v>
      </c>
    </row>
    <row r="68" spans="2:13" x14ac:dyDescent="0.2">
      <c r="B68" s="16" t="s">
        <v>326</v>
      </c>
      <c r="C68" s="16">
        <v>543</v>
      </c>
      <c r="D68" s="16">
        <v>296</v>
      </c>
      <c r="E68" s="16">
        <f t="shared" si="10"/>
        <v>839</v>
      </c>
      <c r="F68" s="17">
        <f t="shared" si="11"/>
        <v>2.113616324474115E-2</v>
      </c>
      <c r="G68" s="16">
        <v>1062</v>
      </c>
      <c r="H68" s="16">
        <v>83</v>
      </c>
      <c r="I68" s="16">
        <v>138</v>
      </c>
      <c r="J68" s="16">
        <v>1283</v>
      </c>
      <c r="K68" s="17">
        <f t="shared" si="12"/>
        <v>1.626541918634871E-2</v>
      </c>
      <c r="L68" s="16">
        <v>0</v>
      </c>
      <c r="M68" s="16">
        <f t="shared" si="9"/>
        <v>2122</v>
      </c>
    </row>
    <row r="69" spans="2:13" x14ac:dyDescent="0.2">
      <c r="B69" s="16" t="s">
        <v>327</v>
      </c>
      <c r="C69" s="16">
        <v>317</v>
      </c>
      <c r="D69" s="16">
        <v>177</v>
      </c>
      <c r="E69" s="16">
        <f t="shared" si="10"/>
        <v>494</v>
      </c>
      <c r="F69" s="17">
        <f t="shared" si="11"/>
        <v>1.2444892303816601E-2</v>
      </c>
      <c r="G69" s="16">
        <v>704</v>
      </c>
      <c r="H69" s="16">
        <v>60</v>
      </c>
      <c r="I69" s="16">
        <v>83</v>
      </c>
      <c r="J69" s="16">
        <v>847</v>
      </c>
      <c r="K69" s="17">
        <f t="shared" si="12"/>
        <v>1.0737965745001838E-2</v>
      </c>
      <c r="L69" s="16">
        <v>0</v>
      </c>
      <c r="M69" s="16">
        <f t="shared" si="9"/>
        <v>1341</v>
      </c>
    </row>
    <row r="70" spans="2:13" x14ac:dyDescent="0.2">
      <c r="B70" s="16" t="s">
        <v>328</v>
      </c>
      <c r="C70" s="16">
        <v>638</v>
      </c>
      <c r="D70" s="16">
        <v>210</v>
      </c>
      <c r="E70" s="16">
        <f t="shared" si="10"/>
        <v>848</v>
      </c>
      <c r="F70" s="17">
        <f t="shared" si="11"/>
        <v>2.1362892051895704E-2</v>
      </c>
      <c r="G70" s="16">
        <v>1706</v>
      </c>
      <c r="H70" s="16">
        <v>167</v>
      </c>
      <c r="I70" s="16">
        <v>102</v>
      </c>
      <c r="J70" s="16">
        <v>1975</v>
      </c>
      <c r="K70" s="17">
        <f t="shared" si="12"/>
        <v>2.503834987766072E-2</v>
      </c>
      <c r="L70" s="16">
        <v>0</v>
      </c>
      <c r="M70" s="16">
        <f t="shared" si="9"/>
        <v>2823</v>
      </c>
    </row>
    <row r="71" spans="2:13" x14ac:dyDescent="0.2">
      <c r="B71" s="16" t="s">
        <v>329</v>
      </c>
      <c r="C71" s="16">
        <v>700</v>
      </c>
      <c r="D71" s="16">
        <v>197</v>
      </c>
      <c r="E71" s="16">
        <f t="shared" si="10"/>
        <v>897</v>
      </c>
      <c r="F71" s="17">
        <f t="shared" si="11"/>
        <v>2.2597304446403829E-2</v>
      </c>
      <c r="G71" s="16">
        <v>1111</v>
      </c>
      <c r="H71" s="16">
        <v>94</v>
      </c>
      <c r="I71" s="16">
        <v>78</v>
      </c>
      <c r="J71" s="16">
        <v>1283</v>
      </c>
      <c r="K71" s="17">
        <f t="shared" si="12"/>
        <v>1.626541918634871E-2</v>
      </c>
      <c r="L71" s="16">
        <v>0</v>
      </c>
      <c r="M71" s="16">
        <f t="shared" si="9"/>
        <v>2180</v>
      </c>
    </row>
    <row r="72" spans="2:13" x14ac:dyDescent="0.2">
      <c r="B72" s="16" t="s">
        <v>330</v>
      </c>
      <c r="C72" s="16">
        <v>570</v>
      </c>
      <c r="D72" s="16">
        <v>202</v>
      </c>
      <c r="E72" s="16">
        <f t="shared" si="10"/>
        <v>772</v>
      </c>
      <c r="F72" s="17">
        <f t="shared" si="11"/>
        <v>1.9448293235923921E-2</v>
      </c>
      <c r="G72" s="16">
        <v>1655</v>
      </c>
      <c r="H72" s="16">
        <v>201</v>
      </c>
      <c r="I72" s="16">
        <v>118</v>
      </c>
      <c r="J72" s="16">
        <v>1974</v>
      </c>
      <c r="K72" s="17">
        <f t="shared" si="12"/>
        <v>2.5025672232153046E-2</v>
      </c>
      <c r="L72" s="16">
        <v>0</v>
      </c>
      <c r="M72" s="16">
        <f t="shared" si="9"/>
        <v>2746</v>
      </c>
    </row>
    <row r="73" spans="2:13" x14ac:dyDescent="0.2">
      <c r="B73" s="16" t="s">
        <v>331</v>
      </c>
      <c r="C73" s="16">
        <v>1195</v>
      </c>
      <c r="D73" s="16">
        <v>352</v>
      </c>
      <c r="E73" s="16">
        <f t="shared" si="10"/>
        <v>1547</v>
      </c>
      <c r="F73" s="17">
        <f t="shared" si="11"/>
        <v>3.897216274089936E-2</v>
      </c>
      <c r="G73" s="16">
        <v>1333</v>
      </c>
      <c r="H73" s="16">
        <v>74</v>
      </c>
      <c r="I73" s="16">
        <v>110</v>
      </c>
      <c r="J73" s="16">
        <v>1517</v>
      </c>
      <c r="K73" s="17">
        <f t="shared" si="12"/>
        <v>1.9231988235144968E-2</v>
      </c>
      <c r="L73" s="16">
        <v>0</v>
      </c>
      <c r="M73" s="16">
        <f t="shared" si="9"/>
        <v>3064</v>
      </c>
    </row>
    <row r="74" spans="2:13" x14ac:dyDescent="0.2">
      <c r="B74" s="16" t="s">
        <v>332</v>
      </c>
      <c r="C74" s="16">
        <v>1334</v>
      </c>
      <c r="D74" s="16">
        <v>567</v>
      </c>
      <c r="E74" s="16">
        <f t="shared" si="10"/>
        <v>1901</v>
      </c>
      <c r="F74" s="17">
        <f t="shared" si="11"/>
        <v>4.7890162488978462E-2</v>
      </c>
      <c r="G74" s="16">
        <v>3881</v>
      </c>
      <c r="H74" s="16">
        <v>394</v>
      </c>
      <c r="I74" s="16">
        <v>376</v>
      </c>
      <c r="J74" s="16">
        <v>4651</v>
      </c>
      <c r="K74" s="17">
        <f t="shared" si="12"/>
        <v>5.8963729256202538E-2</v>
      </c>
      <c r="L74" s="16">
        <v>0</v>
      </c>
      <c r="M74" s="16">
        <f t="shared" si="9"/>
        <v>6552</v>
      </c>
    </row>
    <row r="75" spans="2:13" x14ac:dyDescent="0.2">
      <c r="B75" s="16" t="s">
        <v>333</v>
      </c>
      <c r="C75" s="16">
        <v>501</v>
      </c>
      <c r="D75" s="16">
        <v>187</v>
      </c>
      <c r="E75" s="16">
        <f t="shared" si="10"/>
        <v>688</v>
      </c>
      <c r="F75" s="17">
        <f t="shared" si="11"/>
        <v>1.7332157702481421E-2</v>
      </c>
      <c r="G75" s="16">
        <v>1249</v>
      </c>
      <c r="H75" s="16">
        <v>79</v>
      </c>
      <c r="I75" s="16">
        <v>104</v>
      </c>
      <c r="J75" s="16">
        <v>1432</v>
      </c>
      <c r="K75" s="17">
        <f t="shared" si="12"/>
        <v>1.8154388366992482E-2</v>
      </c>
      <c r="L75" s="16">
        <v>0</v>
      </c>
      <c r="M75" s="16">
        <f t="shared" si="9"/>
        <v>2120</v>
      </c>
    </row>
    <row r="76" spans="2:13" x14ac:dyDescent="0.2">
      <c r="B76" s="16" t="s">
        <v>334</v>
      </c>
      <c r="C76" s="16">
        <v>542</v>
      </c>
      <c r="D76" s="16">
        <v>148</v>
      </c>
      <c r="E76" s="16">
        <f t="shared" si="10"/>
        <v>690</v>
      </c>
      <c r="F76" s="17">
        <f t="shared" si="11"/>
        <v>1.7382541881849099E-2</v>
      </c>
      <c r="G76" s="16">
        <v>921</v>
      </c>
      <c r="H76" s="16">
        <v>55</v>
      </c>
      <c r="I76" s="16">
        <v>111</v>
      </c>
      <c r="J76" s="16">
        <v>1087</v>
      </c>
      <c r="K76" s="17">
        <f t="shared" si="12"/>
        <v>1.3780600666844153E-2</v>
      </c>
      <c r="L76" s="16">
        <v>0</v>
      </c>
      <c r="M76" s="16">
        <f t="shared" si="9"/>
        <v>1777</v>
      </c>
    </row>
    <row r="77" spans="2:13" x14ac:dyDescent="0.2">
      <c r="B77" s="16" t="s">
        <v>335</v>
      </c>
      <c r="C77" s="16">
        <v>165</v>
      </c>
      <c r="D77" s="16">
        <v>54</v>
      </c>
      <c r="E77" s="16">
        <f t="shared" si="10"/>
        <v>219</v>
      </c>
      <c r="F77" s="17">
        <f t="shared" si="11"/>
        <v>5.5170676407608008E-3</v>
      </c>
      <c r="G77" s="16">
        <v>358</v>
      </c>
      <c r="H77" s="16">
        <v>16</v>
      </c>
      <c r="I77" s="16">
        <v>31</v>
      </c>
      <c r="J77" s="16">
        <v>405</v>
      </c>
      <c r="K77" s="17">
        <f t="shared" si="12"/>
        <v>5.134446430608907E-3</v>
      </c>
      <c r="L77" s="16">
        <v>0</v>
      </c>
      <c r="M77" s="16">
        <f t="shared" si="9"/>
        <v>624</v>
      </c>
    </row>
    <row r="78" spans="2:13" x14ac:dyDescent="0.2">
      <c r="B78" s="16" t="s">
        <v>336</v>
      </c>
      <c r="C78" s="16">
        <v>495</v>
      </c>
      <c r="D78" s="16">
        <v>116</v>
      </c>
      <c r="E78" s="16">
        <f t="shared" si="10"/>
        <v>611</v>
      </c>
      <c r="F78" s="17">
        <f t="shared" si="11"/>
        <v>1.5392366796825797E-2</v>
      </c>
      <c r="G78" s="16">
        <v>603</v>
      </c>
      <c r="H78" s="16">
        <v>36</v>
      </c>
      <c r="I78" s="16">
        <v>49</v>
      </c>
      <c r="J78" s="16">
        <v>688</v>
      </c>
      <c r="K78" s="17">
        <f t="shared" si="12"/>
        <v>8.7222201092813038E-3</v>
      </c>
      <c r="L78" s="16">
        <v>0</v>
      </c>
      <c r="M78" s="16">
        <f t="shared" si="9"/>
        <v>1299</v>
      </c>
    </row>
    <row r="79" spans="2:13" x14ac:dyDescent="0.2">
      <c r="B79" s="16" t="s">
        <v>337</v>
      </c>
      <c r="C79" s="16">
        <v>107</v>
      </c>
      <c r="D79" s="16">
        <v>15</v>
      </c>
      <c r="E79" s="16">
        <f t="shared" si="10"/>
        <v>122</v>
      </c>
      <c r="F79" s="17">
        <f t="shared" si="11"/>
        <v>3.0734349414283913E-3</v>
      </c>
      <c r="G79" s="16">
        <v>214</v>
      </c>
      <c r="H79" s="16">
        <v>19</v>
      </c>
      <c r="I79" s="16">
        <v>9</v>
      </c>
      <c r="J79" s="16">
        <v>242</v>
      </c>
      <c r="K79" s="17">
        <f t="shared" si="12"/>
        <v>3.0679902128576682E-3</v>
      </c>
      <c r="L79" s="16">
        <v>0</v>
      </c>
      <c r="M79" s="16">
        <f t="shared" si="9"/>
        <v>364</v>
      </c>
    </row>
    <row r="80" spans="2:13" x14ac:dyDescent="0.2">
      <c r="B80" s="18" t="s">
        <v>39</v>
      </c>
      <c r="C80" s="16">
        <f t="shared" ref="C80:D80" si="13">SUM(C50:C79)</f>
        <v>28514</v>
      </c>
      <c r="D80" s="16">
        <f t="shared" si="13"/>
        <v>11181</v>
      </c>
      <c r="E80" s="18">
        <f t="shared" ref="E80" si="14">C80+D80</f>
        <v>39695</v>
      </c>
      <c r="F80" s="19">
        <f t="shared" ref="F80" si="15">E80/$E$80</f>
        <v>1</v>
      </c>
      <c r="G80" s="16">
        <f t="shared" ref="G80:J80" si="16">SUM(G50:G79)</f>
        <v>65578</v>
      </c>
      <c r="H80" s="16">
        <f t="shared" si="16"/>
        <v>6999</v>
      </c>
      <c r="I80" s="16">
        <f t="shared" si="16"/>
        <v>6302</v>
      </c>
      <c r="J80" s="16">
        <f t="shared" si="16"/>
        <v>78879</v>
      </c>
      <c r="K80" s="17">
        <f t="shared" si="12"/>
        <v>1</v>
      </c>
      <c r="L80" s="16">
        <f t="shared" ref="L80" si="17">SUM(L50:L79)</f>
        <v>0</v>
      </c>
      <c r="M80" s="18">
        <f t="shared" si="9"/>
        <v>118574</v>
      </c>
    </row>
    <row r="81" spans="2:13" ht="24" x14ac:dyDescent="0.2">
      <c r="B81" s="28" t="s">
        <v>45</v>
      </c>
      <c r="C81" s="29">
        <f>+C80/M80</f>
        <v>0.2404743029669236</v>
      </c>
      <c r="D81" s="29">
        <f>+D80/M80</f>
        <v>9.4295545397810654E-2</v>
      </c>
      <c r="E81" s="30">
        <f>+E80/M80</f>
        <v>0.33476984836473428</v>
      </c>
      <c r="F81" s="30"/>
      <c r="G81" s="29">
        <f>+G80/M80</f>
        <v>0.55305547590534176</v>
      </c>
      <c r="H81" s="29">
        <f>+H80/M80</f>
        <v>5.9026430752104168E-2</v>
      </c>
      <c r="I81" s="29">
        <f>+I80/M80</f>
        <v>5.314824497781976E-2</v>
      </c>
      <c r="J81" s="30">
        <f>+J80/M80</f>
        <v>0.66523015163526578</v>
      </c>
      <c r="K81" s="30"/>
      <c r="L81" s="30">
        <f>+L80/M80</f>
        <v>0</v>
      </c>
      <c r="M81" s="30">
        <f>J81+L81+E81</f>
        <v>1</v>
      </c>
    </row>
    <row r="82" spans="2:13" x14ac:dyDescent="0.2">
      <c r="B82" s="21" t="s">
        <v>78</v>
      </c>
    </row>
    <row r="83" spans="2:13" x14ac:dyDescent="0.2">
      <c r="B83" s="21" t="s">
        <v>79</v>
      </c>
    </row>
  </sheetData>
  <mergeCells count="10">
    <mergeCell ref="B6:K6"/>
    <mergeCell ref="B5:K5"/>
    <mergeCell ref="B45:K45"/>
    <mergeCell ref="B44:K44"/>
    <mergeCell ref="B8:M8"/>
    <mergeCell ref="B48:B49"/>
    <mergeCell ref="B9:B10"/>
    <mergeCell ref="C9:L9"/>
    <mergeCell ref="C48:L48"/>
    <mergeCell ref="B47:M47"/>
  </mergeCells>
  <hyperlinks>
    <hyperlink ref="M5" location="'Índice PGU y SPS'!A1" display="Volver Sistema de Pensiones Solidarias" xr:uid="{B0E2D31B-1761-435D-A093-8826C410877D}"/>
  </hyperlinks>
  <pageMargins left="0.74803149606299213" right="0.74803149606299213" top="0.98425196850393704" bottom="0.98425196850393704" header="0" footer="0"/>
  <pageSetup scale="83" fitToHeight="2" orientation="portrait" r:id="rId1"/>
  <headerFooter alignWithMargins="0"/>
  <rowBreaks count="1" manualBreakCount="1">
    <brk id="47" min="1" max="12"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pageSetUpPr fitToPage="1"/>
  </sheetPr>
  <dimension ref="A1:P43"/>
  <sheetViews>
    <sheetView showGridLines="0" zoomScaleNormal="100" workbookViewId="0">
      <selection activeCell="M35" sqref="M35"/>
    </sheetView>
  </sheetViews>
  <sheetFormatPr baseColWidth="10" defaultRowHeight="12" x14ac:dyDescent="0.2"/>
  <cols>
    <col min="1" max="1" width="6" style="22" customWidth="1"/>
    <col min="2" max="2" width="18.140625" style="22" customWidth="1"/>
    <col min="3" max="3" width="8" style="22" bestFit="1" customWidth="1"/>
    <col min="4" max="4" width="7.42578125" style="22" bestFit="1" customWidth="1"/>
    <col min="5" max="6" width="7.42578125" style="22" customWidth="1"/>
    <col min="7" max="7" width="8.28515625" style="22" bestFit="1" customWidth="1"/>
    <col min="8" max="8" width="7.42578125" style="22" bestFit="1" customWidth="1"/>
    <col min="9" max="11" width="7.42578125" style="22" customWidth="1"/>
    <col min="12" max="12" width="7.85546875" style="22" hidden="1" customWidth="1"/>
    <col min="13" max="251" width="11.42578125" style="22"/>
    <col min="252" max="252" width="18.140625" style="22" customWidth="1"/>
    <col min="253" max="253" width="8" style="22" bestFit="1" customWidth="1"/>
    <col min="254" max="254" width="7.42578125" style="22" bestFit="1" customWidth="1"/>
    <col min="255" max="256" width="7.42578125" style="22" customWidth="1"/>
    <col min="257" max="257" width="8.28515625" style="22" bestFit="1" customWidth="1"/>
    <col min="258" max="258" width="7.42578125" style="22" bestFit="1" customWidth="1"/>
    <col min="259" max="261" width="7.42578125" style="22" customWidth="1"/>
    <col min="262" max="267" width="0" style="22" hidden="1" customWidth="1"/>
    <col min="268" max="268" width="7.85546875" style="22" customWidth="1"/>
    <col min="269" max="507" width="11.42578125" style="22"/>
    <col min="508" max="508" width="18.140625" style="22" customWidth="1"/>
    <col min="509" max="509" width="8" style="22" bestFit="1" customWidth="1"/>
    <col min="510" max="510" width="7.42578125" style="22" bestFit="1" customWidth="1"/>
    <col min="511" max="512" width="7.42578125" style="22" customWidth="1"/>
    <col min="513" max="513" width="8.28515625" style="22" bestFit="1" customWidth="1"/>
    <col min="514" max="514" width="7.42578125" style="22" bestFit="1" customWidth="1"/>
    <col min="515" max="517" width="7.42578125" style="22" customWidth="1"/>
    <col min="518" max="523" width="0" style="22" hidden="1" customWidth="1"/>
    <col min="524" max="524" width="7.85546875" style="22" customWidth="1"/>
    <col min="525" max="763" width="11.42578125" style="22"/>
    <col min="764" max="764" width="18.140625" style="22" customWidth="1"/>
    <col min="765" max="765" width="8" style="22" bestFit="1" customWidth="1"/>
    <col min="766" max="766" width="7.42578125" style="22" bestFit="1" customWidth="1"/>
    <col min="767" max="768" width="7.42578125" style="22" customWidth="1"/>
    <col min="769" max="769" width="8.28515625" style="22" bestFit="1" customWidth="1"/>
    <col min="770" max="770" width="7.42578125" style="22" bestFit="1" customWidth="1"/>
    <col min="771" max="773" width="7.42578125" style="22" customWidth="1"/>
    <col min="774" max="779" width="0" style="22" hidden="1" customWidth="1"/>
    <col min="780" max="780" width="7.85546875" style="22" customWidth="1"/>
    <col min="781" max="1019" width="11.42578125" style="22"/>
    <col min="1020" max="1020" width="18.140625" style="22" customWidth="1"/>
    <col min="1021" max="1021" width="8" style="22" bestFit="1" customWidth="1"/>
    <col min="1022" max="1022" width="7.42578125" style="22" bestFit="1" customWidth="1"/>
    <col min="1023" max="1024" width="7.42578125" style="22" customWidth="1"/>
    <col min="1025" max="1025" width="8.28515625" style="22" bestFit="1" customWidth="1"/>
    <col min="1026" max="1026" width="7.42578125" style="22" bestFit="1" customWidth="1"/>
    <col min="1027" max="1029" width="7.42578125" style="22" customWidth="1"/>
    <col min="1030" max="1035" width="0" style="22" hidden="1" customWidth="1"/>
    <col min="1036" max="1036" width="7.85546875" style="22" customWidth="1"/>
    <col min="1037" max="1275" width="11.42578125" style="22"/>
    <col min="1276" max="1276" width="18.140625" style="22" customWidth="1"/>
    <col min="1277" max="1277" width="8" style="22" bestFit="1" customWidth="1"/>
    <col min="1278" max="1278" width="7.42578125" style="22" bestFit="1" customWidth="1"/>
    <col min="1279" max="1280" width="7.42578125" style="22" customWidth="1"/>
    <col min="1281" max="1281" width="8.28515625" style="22" bestFit="1" customWidth="1"/>
    <col min="1282" max="1282" width="7.42578125" style="22" bestFit="1" customWidth="1"/>
    <col min="1283" max="1285" width="7.42578125" style="22" customWidth="1"/>
    <col min="1286" max="1291" width="0" style="22" hidden="1" customWidth="1"/>
    <col min="1292" max="1292" width="7.85546875" style="22" customWidth="1"/>
    <col min="1293" max="1531" width="11.42578125" style="22"/>
    <col min="1532" max="1532" width="18.140625" style="22" customWidth="1"/>
    <col min="1533" max="1533" width="8" style="22" bestFit="1" customWidth="1"/>
    <col min="1534" max="1534" width="7.42578125" style="22" bestFit="1" customWidth="1"/>
    <col min="1535" max="1536" width="7.42578125" style="22" customWidth="1"/>
    <col min="1537" max="1537" width="8.28515625" style="22" bestFit="1" customWidth="1"/>
    <col min="1538" max="1538" width="7.42578125" style="22" bestFit="1" customWidth="1"/>
    <col min="1539" max="1541" width="7.42578125" style="22" customWidth="1"/>
    <col min="1542" max="1547" width="0" style="22" hidden="1" customWidth="1"/>
    <col min="1548" max="1548" width="7.85546875" style="22" customWidth="1"/>
    <col min="1549" max="1787" width="11.42578125" style="22"/>
    <col min="1788" max="1788" width="18.140625" style="22" customWidth="1"/>
    <col min="1789" max="1789" width="8" style="22" bestFit="1" customWidth="1"/>
    <col min="1790" max="1790" width="7.42578125" style="22" bestFit="1" customWidth="1"/>
    <col min="1791" max="1792" width="7.42578125" style="22" customWidth="1"/>
    <col min="1793" max="1793" width="8.28515625" style="22" bestFit="1" customWidth="1"/>
    <col min="1794" max="1794" width="7.42578125" style="22" bestFit="1" customWidth="1"/>
    <col min="1795" max="1797" width="7.42578125" style="22" customWidth="1"/>
    <col min="1798" max="1803" width="0" style="22" hidden="1" customWidth="1"/>
    <col min="1804" max="1804" width="7.85546875" style="22" customWidth="1"/>
    <col min="1805" max="2043" width="11.42578125" style="22"/>
    <col min="2044" max="2044" width="18.140625" style="22" customWidth="1"/>
    <col min="2045" max="2045" width="8" style="22" bestFit="1" customWidth="1"/>
    <col min="2046" max="2046" width="7.42578125" style="22" bestFit="1" customWidth="1"/>
    <col min="2047" max="2048" width="7.42578125" style="22" customWidth="1"/>
    <col min="2049" max="2049" width="8.28515625" style="22" bestFit="1" customWidth="1"/>
    <col min="2050" max="2050" width="7.42578125" style="22" bestFit="1" customWidth="1"/>
    <col min="2051" max="2053" width="7.42578125" style="22" customWidth="1"/>
    <col min="2054" max="2059" width="0" style="22" hidden="1" customWidth="1"/>
    <col min="2060" max="2060" width="7.85546875" style="22" customWidth="1"/>
    <col min="2061" max="2299" width="11.42578125" style="22"/>
    <col min="2300" max="2300" width="18.140625" style="22" customWidth="1"/>
    <col min="2301" max="2301" width="8" style="22" bestFit="1" customWidth="1"/>
    <col min="2302" max="2302" width="7.42578125" style="22" bestFit="1" customWidth="1"/>
    <col min="2303" max="2304" width="7.42578125" style="22" customWidth="1"/>
    <col min="2305" max="2305" width="8.28515625" style="22" bestFit="1" customWidth="1"/>
    <col min="2306" max="2306" width="7.42578125" style="22" bestFit="1" customWidth="1"/>
    <col min="2307" max="2309" width="7.42578125" style="22" customWidth="1"/>
    <col min="2310" max="2315" width="0" style="22" hidden="1" customWidth="1"/>
    <col min="2316" max="2316" width="7.85546875" style="22" customWidth="1"/>
    <col min="2317" max="2555" width="11.42578125" style="22"/>
    <col min="2556" max="2556" width="18.140625" style="22" customWidth="1"/>
    <col min="2557" max="2557" width="8" style="22" bestFit="1" customWidth="1"/>
    <col min="2558" max="2558" width="7.42578125" style="22" bestFit="1" customWidth="1"/>
    <col min="2559" max="2560" width="7.42578125" style="22" customWidth="1"/>
    <col min="2561" max="2561" width="8.28515625" style="22" bestFit="1" customWidth="1"/>
    <col min="2562" max="2562" width="7.42578125" style="22" bestFit="1" customWidth="1"/>
    <col min="2563" max="2565" width="7.42578125" style="22" customWidth="1"/>
    <col min="2566" max="2571" width="0" style="22" hidden="1" customWidth="1"/>
    <col min="2572" max="2572" width="7.85546875" style="22" customWidth="1"/>
    <col min="2573" max="2811" width="11.42578125" style="22"/>
    <col min="2812" max="2812" width="18.140625" style="22" customWidth="1"/>
    <col min="2813" max="2813" width="8" style="22" bestFit="1" customWidth="1"/>
    <col min="2814" max="2814" width="7.42578125" style="22" bestFit="1" customWidth="1"/>
    <col min="2815" max="2816" width="7.42578125" style="22" customWidth="1"/>
    <col min="2817" max="2817" width="8.28515625" style="22" bestFit="1" customWidth="1"/>
    <col min="2818" max="2818" width="7.42578125" style="22" bestFit="1" customWidth="1"/>
    <col min="2819" max="2821" width="7.42578125" style="22" customWidth="1"/>
    <col min="2822" max="2827" width="0" style="22" hidden="1" customWidth="1"/>
    <col min="2828" max="2828" width="7.85546875" style="22" customWidth="1"/>
    <col min="2829" max="3067" width="11.42578125" style="22"/>
    <col min="3068" max="3068" width="18.140625" style="22" customWidth="1"/>
    <col min="3069" max="3069" width="8" style="22" bestFit="1" customWidth="1"/>
    <col min="3070" max="3070" width="7.42578125" style="22" bestFit="1" customWidth="1"/>
    <col min="3071" max="3072" width="7.42578125" style="22" customWidth="1"/>
    <col min="3073" max="3073" width="8.28515625" style="22" bestFit="1" customWidth="1"/>
    <col min="3074" max="3074" width="7.42578125" style="22" bestFit="1" customWidth="1"/>
    <col min="3075" max="3077" width="7.42578125" style="22" customWidth="1"/>
    <col min="3078" max="3083" width="0" style="22" hidden="1" customWidth="1"/>
    <col min="3084" max="3084" width="7.85546875" style="22" customWidth="1"/>
    <col min="3085" max="3323" width="11.42578125" style="22"/>
    <col min="3324" max="3324" width="18.140625" style="22" customWidth="1"/>
    <col min="3325" max="3325" width="8" style="22" bestFit="1" customWidth="1"/>
    <col min="3326" max="3326" width="7.42578125" style="22" bestFit="1" customWidth="1"/>
    <col min="3327" max="3328" width="7.42578125" style="22" customWidth="1"/>
    <col min="3329" max="3329" width="8.28515625" style="22" bestFit="1" customWidth="1"/>
    <col min="3330" max="3330" width="7.42578125" style="22" bestFit="1" customWidth="1"/>
    <col min="3331" max="3333" width="7.42578125" style="22" customWidth="1"/>
    <col min="3334" max="3339" width="0" style="22" hidden="1" customWidth="1"/>
    <col min="3340" max="3340" width="7.85546875" style="22" customWidth="1"/>
    <col min="3341" max="3579" width="11.42578125" style="22"/>
    <col min="3580" max="3580" width="18.140625" style="22" customWidth="1"/>
    <col min="3581" max="3581" width="8" style="22" bestFit="1" customWidth="1"/>
    <col min="3582" max="3582" width="7.42578125" style="22" bestFit="1" customWidth="1"/>
    <col min="3583" max="3584" width="7.42578125" style="22" customWidth="1"/>
    <col min="3585" max="3585" width="8.28515625" style="22" bestFit="1" customWidth="1"/>
    <col min="3586" max="3586" width="7.42578125" style="22" bestFit="1" customWidth="1"/>
    <col min="3587" max="3589" width="7.42578125" style="22" customWidth="1"/>
    <col min="3590" max="3595" width="0" style="22" hidden="1" customWidth="1"/>
    <col min="3596" max="3596" width="7.85546875" style="22" customWidth="1"/>
    <col min="3597" max="3835" width="11.42578125" style="22"/>
    <col min="3836" max="3836" width="18.140625" style="22" customWidth="1"/>
    <col min="3837" max="3837" width="8" style="22" bestFit="1" customWidth="1"/>
    <col min="3838" max="3838" width="7.42578125" style="22" bestFit="1" customWidth="1"/>
    <col min="3839" max="3840" width="7.42578125" style="22" customWidth="1"/>
    <col min="3841" max="3841" width="8.28515625" style="22" bestFit="1" customWidth="1"/>
    <col min="3842" max="3842" width="7.42578125" style="22" bestFit="1" customWidth="1"/>
    <col min="3843" max="3845" width="7.42578125" style="22" customWidth="1"/>
    <col min="3846" max="3851" width="0" style="22" hidden="1" customWidth="1"/>
    <col min="3852" max="3852" width="7.85546875" style="22" customWidth="1"/>
    <col min="3853" max="4091" width="11.42578125" style="22"/>
    <col min="4092" max="4092" width="18.140625" style="22" customWidth="1"/>
    <col min="4093" max="4093" width="8" style="22" bestFit="1" customWidth="1"/>
    <col min="4094" max="4094" width="7.42578125" style="22" bestFit="1" customWidth="1"/>
    <col min="4095" max="4096" width="7.42578125" style="22" customWidth="1"/>
    <col min="4097" max="4097" width="8.28515625" style="22" bestFit="1" customWidth="1"/>
    <col min="4098" max="4098" width="7.42578125" style="22" bestFit="1" customWidth="1"/>
    <col min="4099" max="4101" width="7.42578125" style="22" customWidth="1"/>
    <col min="4102" max="4107" width="0" style="22" hidden="1" customWidth="1"/>
    <col min="4108" max="4108" width="7.85546875" style="22" customWidth="1"/>
    <col min="4109" max="4347" width="11.42578125" style="22"/>
    <col min="4348" max="4348" width="18.140625" style="22" customWidth="1"/>
    <col min="4349" max="4349" width="8" style="22" bestFit="1" customWidth="1"/>
    <col min="4350" max="4350" width="7.42578125" style="22" bestFit="1" customWidth="1"/>
    <col min="4351" max="4352" width="7.42578125" style="22" customWidth="1"/>
    <col min="4353" max="4353" width="8.28515625" style="22" bestFit="1" customWidth="1"/>
    <col min="4354" max="4354" width="7.42578125" style="22" bestFit="1" customWidth="1"/>
    <col min="4355" max="4357" width="7.42578125" style="22" customWidth="1"/>
    <col min="4358" max="4363" width="0" style="22" hidden="1" customWidth="1"/>
    <col min="4364" max="4364" width="7.85546875" style="22" customWidth="1"/>
    <col min="4365" max="4603" width="11.42578125" style="22"/>
    <col min="4604" max="4604" width="18.140625" style="22" customWidth="1"/>
    <col min="4605" max="4605" width="8" style="22" bestFit="1" customWidth="1"/>
    <col min="4606" max="4606" width="7.42578125" style="22" bestFit="1" customWidth="1"/>
    <col min="4607" max="4608" width="7.42578125" style="22" customWidth="1"/>
    <col min="4609" max="4609" width="8.28515625" style="22" bestFit="1" customWidth="1"/>
    <col min="4610" max="4610" width="7.42578125" style="22" bestFit="1" customWidth="1"/>
    <col min="4611" max="4613" width="7.42578125" style="22" customWidth="1"/>
    <col min="4614" max="4619" width="0" style="22" hidden="1" customWidth="1"/>
    <col min="4620" max="4620" width="7.85546875" style="22" customWidth="1"/>
    <col min="4621" max="4859" width="11.42578125" style="22"/>
    <col min="4860" max="4860" width="18.140625" style="22" customWidth="1"/>
    <col min="4861" max="4861" width="8" style="22" bestFit="1" customWidth="1"/>
    <col min="4862" max="4862" width="7.42578125" style="22" bestFit="1" customWidth="1"/>
    <col min="4863" max="4864" width="7.42578125" style="22" customWidth="1"/>
    <col min="4865" max="4865" width="8.28515625" style="22" bestFit="1" customWidth="1"/>
    <col min="4866" max="4866" width="7.42578125" style="22" bestFit="1" customWidth="1"/>
    <col min="4867" max="4869" width="7.42578125" style="22" customWidth="1"/>
    <col min="4870" max="4875" width="0" style="22" hidden="1" customWidth="1"/>
    <col min="4876" max="4876" width="7.85546875" style="22" customWidth="1"/>
    <col min="4877" max="5115" width="11.42578125" style="22"/>
    <col min="5116" max="5116" width="18.140625" style="22" customWidth="1"/>
    <col min="5117" max="5117" width="8" style="22" bestFit="1" customWidth="1"/>
    <col min="5118" max="5118" width="7.42578125" style="22" bestFit="1" customWidth="1"/>
    <col min="5119" max="5120" width="7.42578125" style="22" customWidth="1"/>
    <col min="5121" max="5121" width="8.28515625" style="22" bestFit="1" customWidth="1"/>
    <col min="5122" max="5122" width="7.42578125" style="22" bestFit="1" customWidth="1"/>
    <col min="5123" max="5125" width="7.42578125" style="22" customWidth="1"/>
    <col min="5126" max="5131" width="0" style="22" hidden="1" customWidth="1"/>
    <col min="5132" max="5132" width="7.85546875" style="22" customWidth="1"/>
    <col min="5133" max="5371" width="11.42578125" style="22"/>
    <col min="5372" max="5372" width="18.140625" style="22" customWidth="1"/>
    <col min="5373" max="5373" width="8" style="22" bestFit="1" customWidth="1"/>
    <col min="5374" max="5374" width="7.42578125" style="22" bestFit="1" customWidth="1"/>
    <col min="5375" max="5376" width="7.42578125" style="22" customWidth="1"/>
    <col min="5377" max="5377" width="8.28515625" style="22" bestFit="1" customWidth="1"/>
    <col min="5378" max="5378" width="7.42578125" style="22" bestFit="1" customWidth="1"/>
    <col min="5379" max="5381" width="7.42578125" style="22" customWidth="1"/>
    <col min="5382" max="5387" width="0" style="22" hidden="1" customWidth="1"/>
    <col min="5388" max="5388" width="7.85546875" style="22" customWidth="1"/>
    <col min="5389" max="5627" width="11.42578125" style="22"/>
    <col min="5628" max="5628" width="18.140625" style="22" customWidth="1"/>
    <col min="5629" max="5629" width="8" style="22" bestFit="1" customWidth="1"/>
    <col min="5630" max="5630" width="7.42578125" style="22" bestFit="1" customWidth="1"/>
    <col min="5631" max="5632" width="7.42578125" style="22" customWidth="1"/>
    <col min="5633" max="5633" width="8.28515625" style="22" bestFit="1" customWidth="1"/>
    <col min="5634" max="5634" width="7.42578125" style="22" bestFit="1" customWidth="1"/>
    <col min="5635" max="5637" width="7.42578125" style="22" customWidth="1"/>
    <col min="5638" max="5643" width="0" style="22" hidden="1" customWidth="1"/>
    <col min="5644" max="5644" width="7.85546875" style="22" customWidth="1"/>
    <col min="5645" max="5883" width="11.42578125" style="22"/>
    <col min="5884" max="5884" width="18.140625" style="22" customWidth="1"/>
    <col min="5885" max="5885" width="8" style="22" bestFit="1" customWidth="1"/>
    <col min="5886" max="5886" width="7.42578125" style="22" bestFit="1" customWidth="1"/>
    <col min="5887" max="5888" width="7.42578125" style="22" customWidth="1"/>
    <col min="5889" max="5889" width="8.28515625" style="22" bestFit="1" customWidth="1"/>
    <col min="5890" max="5890" width="7.42578125" style="22" bestFit="1" customWidth="1"/>
    <col min="5891" max="5893" width="7.42578125" style="22" customWidth="1"/>
    <col min="5894" max="5899" width="0" style="22" hidden="1" customWidth="1"/>
    <col min="5900" max="5900" width="7.85546875" style="22" customWidth="1"/>
    <col min="5901" max="6139" width="11.42578125" style="22"/>
    <col min="6140" max="6140" width="18.140625" style="22" customWidth="1"/>
    <col min="6141" max="6141" width="8" style="22" bestFit="1" customWidth="1"/>
    <col min="6142" max="6142" width="7.42578125" style="22" bestFit="1" customWidth="1"/>
    <col min="6143" max="6144" width="7.42578125" style="22" customWidth="1"/>
    <col min="6145" max="6145" width="8.28515625" style="22" bestFit="1" customWidth="1"/>
    <col min="6146" max="6146" width="7.42578125" style="22" bestFit="1" customWidth="1"/>
    <col min="6147" max="6149" width="7.42578125" style="22" customWidth="1"/>
    <col min="6150" max="6155" width="0" style="22" hidden="1" customWidth="1"/>
    <col min="6156" max="6156" width="7.85546875" style="22" customWidth="1"/>
    <col min="6157" max="6395" width="11.42578125" style="22"/>
    <col min="6396" max="6396" width="18.140625" style="22" customWidth="1"/>
    <col min="6397" max="6397" width="8" style="22" bestFit="1" customWidth="1"/>
    <col min="6398" max="6398" width="7.42578125" style="22" bestFit="1" customWidth="1"/>
    <col min="6399" max="6400" width="7.42578125" style="22" customWidth="1"/>
    <col min="6401" max="6401" width="8.28515625" style="22" bestFit="1" customWidth="1"/>
    <col min="6402" max="6402" width="7.42578125" style="22" bestFit="1" customWidth="1"/>
    <col min="6403" max="6405" width="7.42578125" style="22" customWidth="1"/>
    <col min="6406" max="6411" width="0" style="22" hidden="1" customWidth="1"/>
    <col min="6412" max="6412" width="7.85546875" style="22" customWidth="1"/>
    <col min="6413" max="6651" width="11.42578125" style="22"/>
    <col min="6652" max="6652" width="18.140625" style="22" customWidth="1"/>
    <col min="6653" max="6653" width="8" style="22" bestFit="1" customWidth="1"/>
    <col min="6654" max="6654" width="7.42578125" style="22" bestFit="1" customWidth="1"/>
    <col min="6655" max="6656" width="7.42578125" style="22" customWidth="1"/>
    <col min="6657" max="6657" width="8.28515625" style="22" bestFit="1" customWidth="1"/>
    <col min="6658" max="6658" width="7.42578125" style="22" bestFit="1" customWidth="1"/>
    <col min="6659" max="6661" width="7.42578125" style="22" customWidth="1"/>
    <col min="6662" max="6667" width="0" style="22" hidden="1" customWidth="1"/>
    <col min="6668" max="6668" width="7.85546875" style="22" customWidth="1"/>
    <col min="6669" max="6907" width="11.42578125" style="22"/>
    <col min="6908" max="6908" width="18.140625" style="22" customWidth="1"/>
    <col min="6909" max="6909" width="8" style="22" bestFit="1" customWidth="1"/>
    <col min="6910" max="6910" width="7.42578125" style="22" bestFit="1" customWidth="1"/>
    <col min="6911" max="6912" width="7.42578125" style="22" customWidth="1"/>
    <col min="6913" max="6913" width="8.28515625" style="22" bestFit="1" customWidth="1"/>
    <col min="6914" max="6914" width="7.42578125" style="22" bestFit="1" customWidth="1"/>
    <col min="6915" max="6917" width="7.42578125" style="22" customWidth="1"/>
    <col min="6918" max="6923" width="0" style="22" hidden="1" customWidth="1"/>
    <col min="6924" max="6924" width="7.85546875" style="22" customWidth="1"/>
    <col min="6925" max="7163" width="11.42578125" style="22"/>
    <col min="7164" max="7164" width="18.140625" style="22" customWidth="1"/>
    <col min="7165" max="7165" width="8" style="22" bestFit="1" customWidth="1"/>
    <col min="7166" max="7166" width="7.42578125" style="22" bestFit="1" customWidth="1"/>
    <col min="7167" max="7168" width="7.42578125" style="22" customWidth="1"/>
    <col min="7169" max="7169" width="8.28515625" style="22" bestFit="1" customWidth="1"/>
    <col min="7170" max="7170" width="7.42578125" style="22" bestFit="1" customWidth="1"/>
    <col min="7171" max="7173" width="7.42578125" style="22" customWidth="1"/>
    <col min="7174" max="7179" width="0" style="22" hidden="1" customWidth="1"/>
    <col min="7180" max="7180" width="7.85546875" style="22" customWidth="1"/>
    <col min="7181" max="7419" width="11.42578125" style="22"/>
    <col min="7420" max="7420" width="18.140625" style="22" customWidth="1"/>
    <col min="7421" max="7421" width="8" style="22" bestFit="1" customWidth="1"/>
    <col min="7422" max="7422" width="7.42578125" style="22" bestFit="1" customWidth="1"/>
    <col min="7423" max="7424" width="7.42578125" style="22" customWidth="1"/>
    <col min="7425" max="7425" width="8.28515625" style="22" bestFit="1" customWidth="1"/>
    <col min="7426" max="7426" width="7.42578125" style="22" bestFit="1" customWidth="1"/>
    <col min="7427" max="7429" width="7.42578125" style="22" customWidth="1"/>
    <col min="7430" max="7435" width="0" style="22" hidden="1" customWidth="1"/>
    <col min="7436" max="7436" width="7.85546875" style="22" customWidth="1"/>
    <col min="7437" max="7675" width="11.42578125" style="22"/>
    <col min="7676" max="7676" width="18.140625" style="22" customWidth="1"/>
    <col min="7677" max="7677" width="8" style="22" bestFit="1" customWidth="1"/>
    <col min="7678" max="7678" width="7.42578125" style="22" bestFit="1" customWidth="1"/>
    <col min="7679" max="7680" width="7.42578125" style="22" customWidth="1"/>
    <col min="7681" max="7681" width="8.28515625" style="22" bestFit="1" customWidth="1"/>
    <col min="7682" max="7682" width="7.42578125" style="22" bestFit="1" customWidth="1"/>
    <col min="7683" max="7685" width="7.42578125" style="22" customWidth="1"/>
    <col min="7686" max="7691" width="0" style="22" hidden="1" customWidth="1"/>
    <col min="7692" max="7692" width="7.85546875" style="22" customWidth="1"/>
    <col min="7693" max="7931" width="11.42578125" style="22"/>
    <col min="7932" max="7932" width="18.140625" style="22" customWidth="1"/>
    <col min="7933" max="7933" width="8" style="22" bestFit="1" customWidth="1"/>
    <col min="7934" max="7934" width="7.42578125" style="22" bestFit="1" customWidth="1"/>
    <col min="7935" max="7936" width="7.42578125" style="22" customWidth="1"/>
    <col min="7937" max="7937" width="8.28515625" style="22" bestFit="1" customWidth="1"/>
    <col min="7938" max="7938" width="7.42578125" style="22" bestFit="1" customWidth="1"/>
    <col min="7939" max="7941" width="7.42578125" style="22" customWidth="1"/>
    <col min="7942" max="7947" width="0" style="22" hidden="1" customWidth="1"/>
    <col min="7948" max="7948" width="7.85546875" style="22" customWidth="1"/>
    <col min="7949" max="8187" width="11.42578125" style="22"/>
    <col min="8188" max="8188" width="18.140625" style="22" customWidth="1"/>
    <col min="8189" max="8189" width="8" style="22" bestFit="1" customWidth="1"/>
    <col min="8190" max="8190" width="7.42578125" style="22" bestFit="1" customWidth="1"/>
    <col min="8191" max="8192" width="7.42578125" style="22" customWidth="1"/>
    <col min="8193" max="8193" width="8.28515625" style="22" bestFit="1" customWidth="1"/>
    <col min="8194" max="8194" width="7.42578125" style="22" bestFit="1" customWidth="1"/>
    <col min="8195" max="8197" width="7.42578125" style="22" customWidth="1"/>
    <col min="8198" max="8203" width="0" style="22" hidden="1" customWidth="1"/>
    <col min="8204" max="8204" width="7.85546875" style="22" customWidth="1"/>
    <col min="8205" max="8443" width="11.42578125" style="22"/>
    <col min="8444" max="8444" width="18.140625" style="22" customWidth="1"/>
    <col min="8445" max="8445" width="8" style="22" bestFit="1" customWidth="1"/>
    <col min="8446" max="8446" width="7.42578125" style="22" bestFit="1" customWidth="1"/>
    <col min="8447" max="8448" width="7.42578125" style="22" customWidth="1"/>
    <col min="8449" max="8449" width="8.28515625" style="22" bestFit="1" customWidth="1"/>
    <col min="8450" max="8450" width="7.42578125" style="22" bestFit="1" customWidth="1"/>
    <col min="8451" max="8453" width="7.42578125" style="22" customWidth="1"/>
    <col min="8454" max="8459" width="0" style="22" hidden="1" customWidth="1"/>
    <col min="8460" max="8460" width="7.85546875" style="22" customWidth="1"/>
    <col min="8461" max="8699" width="11.42578125" style="22"/>
    <col min="8700" max="8700" width="18.140625" style="22" customWidth="1"/>
    <col min="8701" max="8701" width="8" style="22" bestFit="1" customWidth="1"/>
    <col min="8702" max="8702" width="7.42578125" style="22" bestFit="1" customWidth="1"/>
    <col min="8703" max="8704" width="7.42578125" style="22" customWidth="1"/>
    <col min="8705" max="8705" width="8.28515625" style="22" bestFit="1" customWidth="1"/>
    <col min="8706" max="8706" width="7.42578125" style="22" bestFit="1" customWidth="1"/>
    <col min="8707" max="8709" width="7.42578125" style="22" customWidth="1"/>
    <col min="8710" max="8715" width="0" style="22" hidden="1" customWidth="1"/>
    <col min="8716" max="8716" width="7.85546875" style="22" customWidth="1"/>
    <col min="8717" max="8955" width="11.42578125" style="22"/>
    <col min="8956" max="8956" width="18.140625" style="22" customWidth="1"/>
    <col min="8957" max="8957" width="8" style="22" bestFit="1" customWidth="1"/>
    <col min="8958" max="8958" width="7.42578125" style="22" bestFit="1" customWidth="1"/>
    <col min="8959" max="8960" width="7.42578125" style="22" customWidth="1"/>
    <col min="8961" max="8961" width="8.28515625" style="22" bestFit="1" customWidth="1"/>
    <col min="8962" max="8962" width="7.42578125" style="22" bestFit="1" customWidth="1"/>
    <col min="8963" max="8965" width="7.42578125" style="22" customWidth="1"/>
    <col min="8966" max="8971" width="0" style="22" hidden="1" customWidth="1"/>
    <col min="8972" max="8972" width="7.85546875" style="22" customWidth="1"/>
    <col min="8973" max="9211" width="11.42578125" style="22"/>
    <col min="9212" max="9212" width="18.140625" style="22" customWidth="1"/>
    <col min="9213" max="9213" width="8" style="22" bestFit="1" customWidth="1"/>
    <col min="9214" max="9214" width="7.42578125" style="22" bestFit="1" customWidth="1"/>
    <col min="9215" max="9216" width="7.42578125" style="22" customWidth="1"/>
    <col min="9217" max="9217" width="8.28515625" style="22" bestFit="1" customWidth="1"/>
    <col min="9218" max="9218" width="7.42578125" style="22" bestFit="1" customWidth="1"/>
    <col min="9219" max="9221" width="7.42578125" style="22" customWidth="1"/>
    <col min="9222" max="9227" width="0" style="22" hidden="1" customWidth="1"/>
    <col min="9228" max="9228" width="7.85546875" style="22" customWidth="1"/>
    <col min="9229" max="9467" width="11.42578125" style="22"/>
    <col min="9468" max="9468" width="18.140625" style="22" customWidth="1"/>
    <col min="9469" max="9469" width="8" style="22" bestFit="1" customWidth="1"/>
    <col min="9470" max="9470" width="7.42578125" style="22" bestFit="1" customWidth="1"/>
    <col min="9471" max="9472" width="7.42578125" style="22" customWidth="1"/>
    <col min="9473" max="9473" width="8.28515625" style="22" bestFit="1" customWidth="1"/>
    <col min="9474" max="9474" width="7.42578125" style="22" bestFit="1" customWidth="1"/>
    <col min="9475" max="9477" width="7.42578125" style="22" customWidth="1"/>
    <col min="9478" max="9483" width="0" style="22" hidden="1" customWidth="1"/>
    <col min="9484" max="9484" width="7.85546875" style="22" customWidth="1"/>
    <col min="9485" max="9723" width="11.42578125" style="22"/>
    <col min="9724" max="9724" width="18.140625" style="22" customWidth="1"/>
    <col min="9725" max="9725" width="8" style="22" bestFit="1" customWidth="1"/>
    <col min="9726" max="9726" width="7.42578125" style="22" bestFit="1" customWidth="1"/>
    <col min="9727" max="9728" width="7.42578125" style="22" customWidth="1"/>
    <col min="9729" max="9729" width="8.28515625" style="22" bestFit="1" customWidth="1"/>
    <col min="9730" max="9730" width="7.42578125" style="22" bestFit="1" customWidth="1"/>
    <col min="9731" max="9733" width="7.42578125" style="22" customWidth="1"/>
    <col min="9734" max="9739" width="0" style="22" hidden="1" customWidth="1"/>
    <col min="9740" max="9740" width="7.85546875" style="22" customWidth="1"/>
    <col min="9741" max="9979" width="11.42578125" style="22"/>
    <col min="9980" max="9980" width="18.140625" style="22" customWidth="1"/>
    <col min="9981" max="9981" width="8" style="22" bestFit="1" customWidth="1"/>
    <col min="9982" max="9982" width="7.42578125" style="22" bestFit="1" customWidth="1"/>
    <col min="9983" max="9984" width="7.42578125" style="22" customWidth="1"/>
    <col min="9985" max="9985" width="8.28515625" style="22" bestFit="1" customWidth="1"/>
    <col min="9986" max="9986" width="7.42578125" style="22" bestFit="1" customWidth="1"/>
    <col min="9987" max="9989" width="7.42578125" style="22" customWidth="1"/>
    <col min="9990" max="9995" width="0" style="22" hidden="1" customWidth="1"/>
    <col min="9996" max="9996" width="7.85546875" style="22" customWidth="1"/>
    <col min="9997" max="10235" width="11.42578125" style="22"/>
    <col min="10236" max="10236" width="18.140625" style="22" customWidth="1"/>
    <col min="10237" max="10237" width="8" style="22" bestFit="1" customWidth="1"/>
    <col min="10238" max="10238" width="7.42578125" style="22" bestFit="1" customWidth="1"/>
    <col min="10239" max="10240" width="7.42578125" style="22" customWidth="1"/>
    <col min="10241" max="10241" width="8.28515625" style="22" bestFit="1" customWidth="1"/>
    <col min="10242" max="10242" width="7.42578125" style="22" bestFit="1" customWidth="1"/>
    <col min="10243" max="10245" width="7.42578125" style="22" customWidth="1"/>
    <col min="10246" max="10251" width="0" style="22" hidden="1" customWidth="1"/>
    <col min="10252" max="10252" width="7.85546875" style="22" customWidth="1"/>
    <col min="10253" max="10491" width="11.42578125" style="22"/>
    <col min="10492" max="10492" width="18.140625" style="22" customWidth="1"/>
    <col min="10493" max="10493" width="8" style="22" bestFit="1" customWidth="1"/>
    <col min="10494" max="10494" width="7.42578125" style="22" bestFit="1" customWidth="1"/>
    <col min="10495" max="10496" width="7.42578125" style="22" customWidth="1"/>
    <col min="10497" max="10497" width="8.28515625" style="22" bestFit="1" customWidth="1"/>
    <col min="10498" max="10498" width="7.42578125" style="22" bestFit="1" customWidth="1"/>
    <col min="10499" max="10501" width="7.42578125" style="22" customWidth="1"/>
    <col min="10502" max="10507" width="0" style="22" hidden="1" customWidth="1"/>
    <col min="10508" max="10508" width="7.85546875" style="22" customWidth="1"/>
    <col min="10509" max="10747" width="11.42578125" style="22"/>
    <col min="10748" max="10748" width="18.140625" style="22" customWidth="1"/>
    <col min="10749" max="10749" width="8" style="22" bestFit="1" customWidth="1"/>
    <col min="10750" max="10750" width="7.42578125" style="22" bestFit="1" customWidth="1"/>
    <col min="10751" max="10752" width="7.42578125" style="22" customWidth="1"/>
    <col min="10753" max="10753" width="8.28515625" style="22" bestFit="1" customWidth="1"/>
    <col min="10754" max="10754" width="7.42578125" style="22" bestFit="1" customWidth="1"/>
    <col min="10755" max="10757" width="7.42578125" style="22" customWidth="1"/>
    <col min="10758" max="10763" width="0" style="22" hidden="1" customWidth="1"/>
    <col min="10764" max="10764" width="7.85546875" style="22" customWidth="1"/>
    <col min="10765" max="11003" width="11.42578125" style="22"/>
    <col min="11004" max="11004" width="18.140625" style="22" customWidth="1"/>
    <col min="11005" max="11005" width="8" style="22" bestFit="1" customWidth="1"/>
    <col min="11006" max="11006" width="7.42578125" style="22" bestFit="1" customWidth="1"/>
    <col min="11007" max="11008" width="7.42578125" style="22" customWidth="1"/>
    <col min="11009" max="11009" width="8.28515625" style="22" bestFit="1" customWidth="1"/>
    <col min="11010" max="11010" width="7.42578125" style="22" bestFit="1" customWidth="1"/>
    <col min="11011" max="11013" width="7.42578125" style="22" customWidth="1"/>
    <col min="11014" max="11019" width="0" style="22" hidden="1" customWidth="1"/>
    <col min="11020" max="11020" width="7.85546875" style="22" customWidth="1"/>
    <col min="11021" max="11259" width="11.42578125" style="22"/>
    <col min="11260" max="11260" width="18.140625" style="22" customWidth="1"/>
    <col min="11261" max="11261" width="8" style="22" bestFit="1" customWidth="1"/>
    <col min="11262" max="11262" width="7.42578125" style="22" bestFit="1" customWidth="1"/>
    <col min="11263" max="11264" width="7.42578125" style="22" customWidth="1"/>
    <col min="11265" max="11265" width="8.28515625" style="22" bestFit="1" customWidth="1"/>
    <col min="11266" max="11266" width="7.42578125" style="22" bestFit="1" customWidth="1"/>
    <col min="11267" max="11269" width="7.42578125" style="22" customWidth="1"/>
    <col min="11270" max="11275" width="0" style="22" hidden="1" customWidth="1"/>
    <col min="11276" max="11276" width="7.85546875" style="22" customWidth="1"/>
    <col min="11277" max="11515" width="11.42578125" style="22"/>
    <col min="11516" max="11516" width="18.140625" style="22" customWidth="1"/>
    <col min="11517" max="11517" width="8" style="22" bestFit="1" customWidth="1"/>
    <col min="11518" max="11518" width="7.42578125" style="22" bestFit="1" customWidth="1"/>
    <col min="11519" max="11520" width="7.42578125" style="22" customWidth="1"/>
    <col min="11521" max="11521" width="8.28515625" style="22" bestFit="1" customWidth="1"/>
    <col min="11522" max="11522" width="7.42578125" style="22" bestFit="1" customWidth="1"/>
    <col min="11523" max="11525" width="7.42578125" style="22" customWidth="1"/>
    <col min="11526" max="11531" width="0" style="22" hidden="1" customWidth="1"/>
    <col min="11532" max="11532" width="7.85546875" style="22" customWidth="1"/>
    <col min="11533" max="11771" width="11.42578125" style="22"/>
    <col min="11772" max="11772" width="18.140625" style="22" customWidth="1"/>
    <col min="11773" max="11773" width="8" style="22" bestFit="1" customWidth="1"/>
    <col min="11774" max="11774" width="7.42578125" style="22" bestFit="1" customWidth="1"/>
    <col min="11775" max="11776" width="7.42578125" style="22" customWidth="1"/>
    <col min="11777" max="11777" width="8.28515625" style="22" bestFit="1" customWidth="1"/>
    <col min="11778" max="11778" width="7.42578125" style="22" bestFit="1" customWidth="1"/>
    <col min="11779" max="11781" width="7.42578125" style="22" customWidth="1"/>
    <col min="11782" max="11787" width="0" style="22" hidden="1" customWidth="1"/>
    <col min="11788" max="11788" width="7.85546875" style="22" customWidth="1"/>
    <col min="11789" max="12027" width="11.42578125" style="22"/>
    <col min="12028" max="12028" width="18.140625" style="22" customWidth="1"/>
    <col min="12029" max="12029" width="8" style="22" bestFit="1" customWidth="1"/>
    <col min="12030" max="12030" width="7.42578125" style="22" bestFit="1" customWidth="1"/>
    <col min="12031" max="12032" width="7.42578125" style="22" customWidth="1"/>
    <col min="12033" max="12033" width="8.28515625" style="22" bestFit="1" customWidth="1"/>
    <col min="12034" max="12034" width="7.42578125" style="22" bestFit="1" customWidth="1"/>
    <col min="12035" max="12037" width="7.42578125" style="22" customWidth="1"/>
    <col min="12038" max="12043" width="0" style="22" hidden="1" customWidth="1"/>
    <col min="12044" max="12044" width="7.85546875" style="22" customWidth="1"/>
    <col min="12045" max="12283" width="11.42578125" style="22"/>
    <col min="12284" max="12284" width="18.140625" style="22" customWidth="1"/>
    <col min="12285" max="12285" width="8" style="22" bestFit="1" customWidth="1"/>
    <col min="12286" max="12286" width="7.42578125" style="22" bestFit="1" customWidth="1"/>
    <col min="12287" max="12288" width="7.42578125" style="22" customWidth="1"/>
    <col min="12289" max="12289" width="8.28515625" style="22" bestFit="1" customWidth="1"/>
    <col min="12290" max="12290" width="7.42578125" style="22" bestFit="1" customWidth="1"/>
    <col min="12291" max="12293" width="7.42578125" style="22" customWidth="1"/>
    <col min="12294" max="12299" width="0" style="22" hidden="1" customWidth="1"/>
    <col min="12300" max="12300" width="7.85546875" style="22" customWidth="1"/>
    <col min="12301" max="12539" width="11.42578125" style="22"/>
    <col min="12540" max="12540" width="18.140625" style="22" customWidth="1"/>
    <col min="12541" max="12541" width="8" style="22" bestFit="1" customWidth="1"/>
    <col min="12542" max="12542" width="7.42578125" style="22" bestFit="1" customWidth="1"/>
    <col min="12543" max="12544" width="7.42578125" style="22" customWidth="1"/>
    <col min="12545" max="12545" width="8.28515625" style="22" bestFit="1" customWidth="1"/>
    <col min="12546" max="12546" width="7.42578125" style="22" bestFit="1" customWidth="1"/>
    <col min="12547" max="12549" width="7.42578125" style="22" customWidth="1"/>
    <col min="12550" max="12555" width="0" style="22" hidden="1" customWidth="1"/>
    <col min="12556" max="12556" width="7.85546875" style="22" customWidth="1"/>
    <col min="12557" max="12795" width="11.42578125" style="22"/>
    <col min="12796" max="12796" width="18.140625" style="22" customWidth="1"/>
    <col min="12797" max="12797" width="8" style="22" bestFit="1" customWidth="1"/>
    <col min="12798" max="12798" width="7.42578125" style="22" bestFit="1" customWidth="1"/>
    <col min="12799" max="12800" width="7.42578125" style="22" customWidth="1"/>
    <col min="12801" max="12801" width="8.28515625" style="22" bestFit="1" customWidth="1"/>
    <col min="12802" max="12802" width="7.42578125" style="22" bestFit="1" customWidth="1"/>
    <col min="12803" max="12805" width="7.42578125" style="22" customWidth="1"/>
    <col min="12806" max="12811" width="0" style="22" hidden="1" customWidth="1"/>
    <col min="12812" max="12812" width="7.85546875" style="22" customWidth="1"/>
    <col min="12813" max="13051" width="11.42578125" style="22"/>
    <col min="13052" max="13052" width="18.140625" style="22" customWidth="1"/>
    <col min="13053" max="13053" width="8" style="22" bestFit="1" customWidth="1"/>
    <col min="13054" max="13054" width="7.42578125" style="22" bestFit="1" customWidth="1"/>
    <col min="13055" max="13056" width="7.42578125" style="22" customWidth="1"/>
    <col min="13057" max="13057" width="8.28515625" style="22" bestFit="1" customWidth="1"/>
    <col min="13058" max="13058" width="7.42578125" style="22" bestFit="1" customWidth="1"/>
    <col min="13059" max="13061" width="7.42578125" style="22" customWidth="1"/>
    <col min="13062" max="13067" width="0" style="22" hidden="1" customWidth="1"/>
    <col min="13068" max="13068" width="7.85546875" style="22" customWidth="1"/>
    <col min="13069" max="13307" width="11.42578125" style="22"/>
    <col min="13308" max="13308" width="18.140625" style="22" customWidth="1"/>
    <col min="13309" max="13309" width="8" style="22" bestFit="1" customWidth="1"/>
    <col min="13310" max="13310" width="7.42578125" style="22" bestFit="1" customWidth="1"/>
    <col min="13311" max="13312" width="7.42578125" style="22" customWidth="1"/>
    <col min="13313" max="13313" width="8.28515625" style="22" bestFit="1" customWidth="1"/>
    <col min="13314" max="13314" width="7.42578125" style="22" bestFit="1" customWidth="1"/>
    <col min="13315" max="13317" width="7.42578125" style="22" customWidth="1"/>
    <col min="13318" max="13323" width="0" style="22" hidden="1" customWidth="1"/>
    <col min="13324" max="13324" width="7.85546875" style="22" customWidth="1"/>
    <col min="13325" max="13563" width="11.42578125" style="22"/>
    <col min="13564" max="13564" width="18.140625" style="22" customWidth="1"/>
    <col min="13565" max="13565" width="8" style="22" bestFit="1" customWidth="1"/>
    <col min="13566" max="13566" width="7.42578125" style="22" bestFit="1" customWidth="1"/>
    <col min="13567" max="13568" width="7.42578125" style="22" customWidth="1"/>
    <col min="13569" max="13569" width="8.28515625" style="22" bestFit="1" customWidth="1"/>
    <col min="13570" max="13570" width="7.42578125" style="22" bestFit="1" customWidth="1"/>
    <col min="13571" max="13573" width="7.42578125" style="22" customWidth="1"/>
    <col min="13574" max="13579" width="0" style="22" hidden="1" customWidth="1"/>
    <col min="13580" max="13580" width="7.85546875" style="22" customWidth="1"/>
    <col min="13581" max="13819" width="11.42578125" style="22"/>
    <col min="13820" max="13820" width="18.140625" style="22" customWidth="1"/>
    <col min="13821" max="13821" width="8" style="22" bestFit="1" customWidth="1"/>
    <col min="13822" max="13822" width="7.42578125" style="22" bestFit="1" customWidth="1"/>
    <col min="13823" max="13824" width="7.42578125" style="22" customWidth="1"/>
    <col min="13825" max="13825" width="8.28515625" style="22" bestFit="1" customWidth="1"/>
    <col min="13826" max="13826" width="7.42578125" style="22" bestFit="1" customWidth="1"/>
    <col min="13827" max="13829" width="7.42578125" style="22" customWidth="1"/>
    <col min="13830" max="13835" width="0" style="22" hidden="1" customWidth="1"/>
    <col min="13836" max="13836" width="7.85546875" style="22" customWidth="1"/>
    <col min="13837" max="14075" width="11.42578125" style="22"/>
    <col min="14076" max="14076" width="18.140625" style="22" customWidth="1"/>
    <col min="14077" max="14077" width="8" style="22" bestFit="1" customWidth="1"/>
    <col min="14078" max="14078" width="7.42578125" style="22" bestFit="1" customWidth="1"/>
    <col min="14079" max="14080" width="7.42578125" style="22" customWidth="1"/>
    <col min="14081" max="14081" width="8.28515625" style="22" bestFit="1" customWidth="1"/>
    <col min="14082" max="14082" width="7.42578125" style="22" bestFit="1" customWidth="1"/>
    <col min="14083" max="14085" width="7.42578125" style="22" customWidth="1"/>
    <col min="14086" max="14091" width="0" style="22" hidden="1" customWidth="1"/>
    <col min="14092" max="14092" width="7.85546875" style="22" customWidth="1"/>
    <col min="14093" max="14331" width="11.42578125" style="22"/>
    <col min="14332" max="14332" width="18.140625" style="22" customWidth="1"/>
    <col min="14333" max="14333" width="8" style="22" bestFit="1" customWidth="1"/>
    <col min="14334" max="14334" width="7.42578125" style="22" bestFit="1" customWidth="1"/>
    <col min="14335" max="14336" width="7.42578125" style="22" customWidth="1"/>
    <col min="14337" max="14337" width="8.28515625" style="22" bestFit="1" customWidth="1"/>
    <col min="14338" max="14338" width="7.42578125" style="22" bestFit="1" customWidth="1"/>
    <col min="14339" max="14341" width="7.42578125" style="22" customWidth="1"/>
    <col min="14342" max="14347" width="0" style="22" hidden="1" customWidth="1"/>
    <col min="14348" max="14348" width="7.85546875" style="22" customWidth="1"/>
    <col min="14349" max="14587" width="11.42578125" style="22"/>
    <col min="14588" max="14588" width="18.140625" style="22" customWidth="1"/>
    <col min="14589" max="14589" width="8" style="22" bestFit="1" customWidth="1"/>
    <col min="14590" max="14590" width="7.42578125" style="22" bestFit="1" customWidth="1"/>
    <col min="14591" max="14592" width="7.42578125" style="22" customWidth="1"/>
    <col min="14593" max="14593" width="8.28515625" style="22" bestFit="1" customWidth="1"/>
    <col min="14594" max="14594" width="7.42578125" style="22" bestFit="1" customWidth="1"/>
    <col min="14595" max="14597" width="7.42578125" style="22" customWidth="1"/>
    <col min="14598" max="14603" width="0" style="22" hidden="1" customWidth="1"/>
    <col min="14604" max="14604" width="7.85546875" style="22" customWidth="1"/>
    <col min="14605" max="14843" width="11.42578125" style="22"/>
    <col min="14844" max="14844" width="18.140625" style="22" customWidth="1"/>
    <col min="14845" max="14845" width="8" style="22" bestFit="1" customWidth="1"/>
    <col min="14846" max="14846" width="7.42578125" style="22" bestFit="1" customWidth="1"/>
    <col min="14847" max="14848" width="7.42578125" style="22" customWidth="1"/>
    <col min="14849" max="14849" width="8.28515625" style="22" bestFit="1" customWidth="1"/>
    <col min="14850" max="14850" width="7.42578125" style="22" bestFit="1" customWidth="1"/>
    <col min="14851" max="14853" width="7.42578125" style="22" customWidth="1"/>
    <col min="14854" max="14859" width="0" style="22" hidden="1" customWidth="1"/>
    <col min="14860" max="14860" width="7.85546875" style="22" customWidth="1"/>
    <col min="14861" max="15099" width="11.42578125" style="22"/>
    <col min="15100" max="15100" width="18.140625" style="22" customWidth="1"/>
    <col min="15101" max="15101" width="8" style="22" bestFit="1" customWidth="1"/>
    <col min="15102" max="15102" width="7.42578125" style="22" bestFit="1" customWidth="1"/>
    <col min="15103" max="15104" width="7.42578125" style="22" customWidth="1"/>
    <col min="15105" max="15105" width="8.28515625" style="22" bestFit="1" customWidth="1"/>
    <col min="15106" max="15106" width="7.42578125" style="22" bestFit="1" customWidth="1"/>
    <col min="15107" max="15109" width="7.42578125" style="22" customWidth="1"/>
    <col min="15110" max="15115" width="0" style="22" hidden="1" customWidth="1"/>
    <col min="15116" max="15116" width="7.85546875" style="22" customWidth="1"/>
    <col min="15117" max="15355" width="11.42578125" style="22"/>
    <col min="15356" max="15356" width="18.140625" style="22" customWidth="1"/>
    <col min="15357" max="15357" width="8" style="22" bestFit="1" customWidth="1"/>
    <col min="15358" max="15358" width="7.42578125" style="22" bestFit="1" customWidth="1"/>
    <col min="15359" max="15360" width="7.42578125" style="22" customWidth="1"/>
    <col min="15361" max="15361" width="8.28515625" style="22" bestFit="1" customWidth="1"/>
    <col min="15362" max="15362" width="7.42578125" style="22" bestFit="1" customWidth="1"/>
    <col min="15363" max="15365" width="7.42578125" style="22" customWidth="1"/>
    <col min="15366" max="15371" width="0" style="22" hidden="1" customWidth="1"/>
    <col min="15372" max="15372" width="7.85546875" style="22" customWidth="1"/>
    <col min="15373" max="15611" width="11.42578125" style="22"/>
    <col min="15612" max="15612" width="18.140625" style="22" customWidth="1"/>
    <col min="15613" max="15613" width="8" style="22" bestFit="1" customWidth="1"/>
    <col min="15614" max="15614" width="7.42578125" style="22" bestFit="1" customWidth="1"/>
    <col min="15615" max="15616" width="7.42578125" style="22" customWidth="1"/>
    <col min="15617" max="15617" width="8.28515625" style="22" bestFit="1" customWidth="1"/>
    <col min="15618" max="15618" width="7.42578125" style="22" bestFit="1" customWidth="1"/>
    <col min="15619" max="15621" width="7.42578125" style="22" customWidth="1"/>
    <col min="15622" max="15627" width="0" style="22" hidden="1" customWidth="1"/>
    <col min="15628" max="15628" width="7.85546875" style="22" customWidth="1"/>
    <col min="15629" max="15867" width="11.42578125" style="22"/>
    <col min="15868" max="15868" width="18.140625" style="22" customWidth="1"/>
    <col min="15869" max="15869" width="8" style="22" bestFit="1" customWidth="1"/>
    <col min="15870" max="15870" width="7.42578125" style="22" bestFit="1" customWidth="1"/>
    <col min="15871" max="15872" width="7.42578125" style="22" customWidth="1"/>
    <col min="15873" max="15873" width="8.28515625" style="22" bestFit="1" customWidth="1"/>
    <col min="15874" max="15874" width="7.42578125" style="22" bestFit="1" customWidth="1"/>
    <col min="15875" max="15877" width="7.42578125" style="22" customWidth="1"/>
    <col min="15878" max="15883" width="0" style="22" hidden="1" customWidth="1"/>
    <col min="15884" max="15884" width="7.85546875" style="22" customWidth="1"/>
    <col min="15885" max="16123" width="11.42578125" style="22"/>
    <col min="16124" max="16124" width="18.140625" style="22" customWidth="1"/>
    <col min="16125" max="16125" width="8" style="22" bestFit="1" customWidth="1"/>
    <col min="16126" max="16126" width="7.42578125" style="22" bestFit="1" customWidth="1"/>
    <col min="16127" max="16128" width="7.42578125" style="22" customWidth="1"/>
    <col min="16129" max="16129" width="8.28515625" style="22" bestFit="1" customWidth="1"/>
    <col min="16130" max="16130" width="7.42578125" style="22" bestFit="1" customWidth="1"/>
    <col min="16131" max="16133" width="7.42578125" style="22" customWidth="1"/>
    <col min="16134" max="16139" width="0" style="22" hidden="1" customWidth="1"/>
    <col min="16140" max="16140" width="7.85546875" style="22" customWidth="1"/>
    <col min="16141" max="16384" width="11.42578125" style="22"/>
  </cols>
  <sheetData>
    <row r="1" spans="1:16" s="23" customFormat="1" x14ac:dyDescent="0.2">
      <c r="B1" s="21"/>
      <c r="C1" s="21"/>
      <c r="D1" s="21"/>
      <c r="E1" s="21"/>
      <c r="F1" s="21"/>
      <c r="G1" s="21"/>
      <c r="H1" s="21"/>
      <c r="I1" s="21"/>
      <c r="J1" s="21"/>
      <c r="K1" s="21"/>
      <c r="L1" s="21"/>
    </row>
    <row r="2" spans="1:16" s="23" customFormat="1" x14ac:dyDescent="0.2">
      <c r="A2" s="40" t="s">
        <v>58</v>
      </c>
      <c r="B2" s="21"/>
      <c r="C2" s="21"/>
      <c r="D2" s="21"/>
      <c r="E2" s="21"/>
      <c r="F2" s="21"/>
      <c r="G2" s="21"/>
      <c r="H2" s="21"/>
      <c r="I2" s="21"/>
      <c r="K2" s="21"/>
      <c r="L2" s="21"/>
    </row>
    <row r="3" spans="1:16" s="23" customFormat="1" ht="15" x14ac:dyDescent="0.25">
      <c r="A3" s="40" t="s">
        <v>59</v>
      </c>
      <c r="B3" s="21"/>
      <c r="C3" s="21"/>
      <c r="D3" s="21"/>
      <c r="E3" s="21"/>
      <c r="F3" s="21"/>
      <c r="G3" s="21"/>
      <c r="H3" s="21"/>
      <c r="I3" s="21"/>
      <c r="J3" s="21"/>
      <c r="K3" s="88"/>
      <c r="L3" s="21"/>
    </row>
    <row r="4" spans="1:16" s="23" customFormat="1" x14ac:dyDescent="0.2">
      <c r="B4" s="21"/>
      <c r="C4" s="21"/>
      <c r="D4" s="21"/>
      <c r="E4" s="21"/>
      <c r="F4" s="21"/>
      <c r="G4" s="21"/>
      <c r="H4" s="21"/>
      <c r="I4" s="21"/>
      <c r="J4" s="21"/>
      <c r="K4" s="21"/>
      <c r="L4" s="21"/>
    </row>
    <row r="5" spans="1:16" s="23" customFormat="1" ht="12.75" x14ac:dyDescent="0.2">
      <c r="B5" s="344" t="s">
        <v>569</v>
      </c>
      <c r="C5" s="344"/>
      <c r="D5" s="344"/>
      <c r="E5" s="344"/>
      <c r="F5" s="344"/>
      <c r="G5" s="344"/>
      <c r="H5" s="344"/>
      <c r="I5" s="344"/>
      <c r="J5" s="344"/>
      <c r="K5" s="344"/>
      <c r="M5" s="110" t="s">
        <v>509</v>
      </c>
      <c r="O5" s="89"/>
    </row>
    <row r="6" spans="1:16" s="23" customFormat="1" ht="12.75" x14ac:dyDescent="0.2">
      <c r="B6" s="374" t="str">
        <f>'Solicitudes Regiones'!$B$6:$R$6</f>
        <v>Julio de 2008 a junio de 2022</v>
      </c>
      <c r="C6" s="374"/>
      <c r="D6" s="374"/>
      <c r="E6" s="374"/>
      <c r="F6" s="374"/>
      <c r="G6" s="374"/>
      <c r="H6" s="374"/>
      <c r="I6" s="374"/>
      <c r="J6" s="374"/>
      <c r="K6" s="374"/>
      <c r="L6" s="48"/>
    </row>
    <row r="7" spans="1:16" x14ac:dyDescent="0.2">
      <c r="B7" s="24"/>
      <c r="C7" s="25"/>
      <c r="D7" s="25"/>
      <c r="E7" s="25"/>
      <c r="F7" s="25"/>
      <c r="G7" s="25"/>
      <c r="H7" s="25"/>
      <c r="I7" s="25"/>
      <c r="J7" s="25"/>
      <c r="K7" s="25"/>
      <c r="L7" s="25"/>
    </row>
    <row r="8" spans="1:16" ht="15" customHeight="1" x14ac:dyDescent="0.2">
      <c r="B8" s="373" t="s">
        <v>595</v>
      </c>
      <c r="C8" s="373"/>
      <c r="D8" s="373"/>
      <c r="E8" s="373"/>
      <c r="F8" s="373"/>
      <c r="G8" s="373"/>
      <c r="H8" s="373"/>
      <c r="I8" s="373"/>
      <c r="J8" s="373"/>
      <c r="K8" s="373"/>
      <c r="L8" s="373"/>
      <c r="M8" s="373"/>
    </row>
    <row r="9" spans="1:16" ht="20.25" customHeight="1" x14ac:dyDescent="0.2">
      <c r="B9" s="373" t="s">
        <v>41</v>
      </c>
      <c r="C9" s="370" t="s">
        <v>544</v>
      </c>
      <c r="D9" s="371"/>
      <c r="E9" s="371"/>
      <c r="F9" s="371"/>
      <c r="G9" s="371"/>
      <c r="H9" s="371"/>
      <c r="I9" s="371"/>
      <c r="J9" s="371"/>
      <c r="K9" s="371"/>
      <c r="L9" s="372"/>
      <c r="M9" s="307"/>
    </row>
    <row r="10" spans="1:16" ht="60" x14ac:dyDescent="0.2">
      <c r="B10" s="373"/>
      <c r="C10" s="20" t="s">
        <v>540</v>
      </c>
      <c r="D10" s="20" t="s">
        <v>42</v>
      </c>
      <c r="E10" s="20" t="s">
        <v>553</v>
      </c>
      <c r="F10" s="20" t="s">
        <v>554</v>
      </c>
      <c r="G10" s="20" t="s">
        <v>542</v>
      </c>
      <c r="H10" s="20" t="s">
        <v>2</v>
      </c>
      <c r="I10" s="20" t="s">
        <v>43</v>
      </c>
      <c r="J10" s="20" t="s">
        <v>549</v>
      </c>
      <c r="K10" s="296" t="s">
        <v>550</v>
      </c>
      <c r="L10" s="296" t="s">
        <v>523</v>
      </c>
      <c r="M10" s="296" t="s">
        <v>641</v>
      </c>
    </row>
    <row r="11" spans="1:16" x14ac:dyDescent="0.2">
      <c r="B11" s="16" t="s">
        <v>338</v>
      </c>
      <c r="C11" s="16">
        <v>1472</v>
      </c>
      <c r="D11" s="16">
        <v>986</v>
      </c>
      <c r="E11" s="16">
        <f>D11+C11</f>
        <v>2458</v>
      </c>
      <c r="F11" s="17">
        <f>E11/$E$21</f>
        <v>0.52905725355144206</v>
      </c>
      <c r="G11" s="16">
        <v>4872</v>
      </c>
      <c r="H11" s="16">
        <v>873</v>
      </c>
      <c r="I11" s="16">
        <v>475</v>
      </c>
      <c r="J11" s="16">
        <v>6220</v>
      </c>
      <c r="K11" s="17">
        <f>J11/$J$21</f>
        <v>0.57221711131554742</v>
      </c>
      <c r="L11" s="16">
        <v>0</v>
      </c>
      <c r="M11" s="16">
        <f>L11+J11+E11</f>
        <v>8678</v>
      </c>
      <c r="P11" s="27"/>
    </row>
    <row r="12" spans="1:16" x14ac:dyDescent="0.2">
      <c r="B12" s="16" t="s">
        <v>339</v>
      </c>
      <c r="C12" s="16">
        <v>41</v>
      </c>
      <c r="D12" s="16">
        <v>9</v>
      </c>
      <c r="E12" s="16">
        <f t="shared" ref="E12:E20" si="0">D12+C12</f>
        <v>50</v>
      </c>
      <c r="F12" s="17">
        <f t="shared" ref="F12:F20" si="1">E12/$E$21</f>
        <v>1.0761945759793371E-2</v>
      </c>
      <c r="G12" s="16">
        <v>103</v>
      </c>
      <c r="H12" s="16">
        <v>7</v>
      </c>
      <c r="I12" s="16">
        <v>3</v>
      </c>
      <c r="J12" s="16">
        <v>113</v>
      </c>
      <c r="K12" s="17">
        <f t="shared" ref="K12:K21" si="2">J12/$J$21</f>
        <v>1.0395584176632935E-2</v>
      </c>
      <c r="L12" s="16">
        <v>0</v>
      </c>
      <c r="M12" s="16">
        <f t="shared" ref="M12:M21" si="3">L12+J12+E12</f>
        <v>163</v>
      </c>
      <c r="P12" s="27"/>
    </row>
    <row r="13" spans="1:16" x14ac:dyDescent="0.2">
      <c r="B13" s="16" t="s">
        <v>340</v>
      </c>
      <c r="C13" s="16">
        <v>555</v>
      </c>
      <c r="D13" s="16">
        <v>333</v>
      </c>
      <c r="E13" s="16">
        <f t="shared" si="0"/>
        <v>888</v>
      </c>
      <c r="F13" s="17">
        <f t="shared" si="1"/>
        <v>0.19113215669393027</v>
      </c>
      <c r="G13" s="16">
        <v>2079</v>
      </c>
      <c r="H13" s="16">
        <v>274</v>
      </c>
      <c r="I13" s="16">
        <v>160</v>
      </c>
      <c r="J13" s="16">
        <v>2513</v>
      </c>
      <c r="K13" s="17">
        <f t="shared" si="2"/>
        <v>0.23118675252989881</v>
      </c>
      <c r="L13" s="16">
        <v>0</v>
      </c>
      <c r="M13" s="16">
        <f t="shared" si="3"/>
        <v>3401</v>
      </c>
      <c r="P13" s="27"/>
    </row>
    <row r="14" spans="1:16" x14ac:dyDescent="0.2">
      <c r="B14" s="16" t="s">
        <v>341</v>
      </c>
      <c r="C14" s="16">
        <v>131</v>
      </c>
      <c r="D14" s="16">
        <v>65</v>
      </c>
      <c r="E14" s="16">
        <f t="shared" si="0"/>
        <v>196</v>
      </c>
      <c r="F14" s="17">
        <f t="shared" si="1"/>
        <v>4.218682737839001E-2</v>
      </c>
      <c r="G14" s="16">
        <v>424</v>
      </c>
      <c r="H14" s="16">
        <v>51</v>
      </c>
      <c r="I14" s="16">
        <v>28</v>
      </c>
      <c r="J14" s="16">
        <v>503</v>
      </c>
      <c r="K14" s="17">
        <f t="shared" si="2"/>
        <v>4.627414903403864E-2</v>
      </c>
      <c r="L14" s="16">
        <v>0</v>
      </c>
      <c r="M14" s="16">
        <f t="shared" si="3"/>
        <v>699</v>
      </c>
      <c r="P14" s="27"/>
    </row>
    <row r="15" spans="1:16" x14ac:dyDescent="0.2">
      <c r="B15" s="16" t="s">
        <v>342</v>
      </c>
      <c r="C15" s="16">
        <v>44</v>
      </c>
      <c r="D15" s="16">
        <v>24</v>
      </c>
      <c r="E15" s="16">
        <f t="shared" si="0"/>
        <v>68</v>
      </c>
      <c r="F15" s="17">
        <f t="shared" si="1"/>
        <v>1.4636246233318984E-2</v>
      </c>
      <c r="G15" s="16">
        <v>83</v>
      </c>
      <c r="H15" s="16">
        <v>8</v>
      </c>
      <c r="I15" s="16">
        <v>7</v>
      </c>
      <c r="J15" s="16">
        <v>98</v>
      </c>
      <c r="K15" s="17">
        <f t="shared" si="2"/>
        <v>9.0156393744250229E-3</v>
      </c>
      <c r="L15" s="16">
        <v>0</v>
      </c>
      <c r="M15" s="16">
        <f t="shared" si="3"/>
        <v>166</v>
      </c>
      <c r="P15" s="27"/>
    </row>
    <row r="16" spans="1:16" x14ac:dyDescent="0.2">
      <c r="B16" s="16" t="s">
        <v>343</v>
      </c>
      <c r="C16" s="16">
        <v>157</v>
      </c>
      <c r="D16" s="16">
        <v>57</v>
      </c>
      <c r="E16" s="16">
        <f t="shared" si="0"/>
        <v>214</v>
      </c>
      <c r="F16" s="17">
        <f t="shared" si="1"/>
        <v>4.6061127851915629E-2</v>
      </c>
      <c r="G16" s="16">
        <v>271</v>
      </c>
      <c r="H16" s="16">
        <v>27</v>
      </c>
      <c r="I16" s="16">
        <v>14</v>
      </c>
      <c r="J16" s="16">
        <v>312</v>
      </c>
      <c r="K16" s="17">
        <f t="shared" si="2"/>
        <v>2.8702851885924564E-2</v>
      </c>
      <c r="L16" s="16">
        <v>0</v>
      </c>
      <c r="M16" s="16">
        <f t="shared" si="3"/>
        <v>526</v>
      </c>
      <c r="P16" s="27"/>
    </row>
    <row r="17" spans="2:16" x14ac:dyDescent="0.2">
      <c r="B17" s="16" t="s">
        <v>344</v>
      </c>
      <c r="C17" s="16">
        <v>8</v>
      </c>
      <c r="D17" s="16">
        <v>5</v>
      </c>
      <c r="E17" s="16">
        <f t="shared" si="0"/>
        <v>13</v>
      </c>
      <c r="F17" s="17">
        <f t="shared" si="1"/>
        <v>2.7981058975462764E-3</v>
      </c>
      <c r="G17" s="16">
        <v>26</v>
      </c>
      <c r="H17" s="16">
        <v>1</v>
      </c>
      <c r="I17" s="16">
        <v>1</v>
      </c>
      <c r="J17" s="16">
        <v>28</v>
      </c>
      <c r="K17" s="17">
        <f t="shared" si="2"/>
        <v>2.5758969641214353E-3</v>
      </c>
      <c r="L17" s="16">
        <v>0</v>
      </c>
      <c r="M17" s="16">
        <f t="shared" si="3"/>
        <v>41</v>
      </c>
      <c r="P17" s="27"/>
    </row>
    <row r="18" spans="2:16" x14ac:dyDescent="0.2">
      <c r="B18" s="16" t="s">
        <v>345</v>
      </c>
      <c r="C18" s="16">
        <v>10</v>
      </c>
      <c r="D18" s="16">
        <v>2</v>
      </c>
      <c r="E18" s="16">
        <f t="shared" si="0"/>
        <v>12</v>
      </c>
      <c r="F18" s="17">
        <f t="shared" si="1"/>
        <v>2.582866982350409E-3</v>
      </c>
      <c r="G18" s="16">
        <v>26</v>
      </c>
      <c r="H18" s="16">
        <v>4</v>
      </c>
      <c r="I18" s="16">
        <v>3</v>
      </c>
      <c r="J18" s="16">
        <v>33</v>
      </c>
      <c r="K18" s="17">
        <f t="shared" si="2"/>
        <v>3.0358785648574057E-3</v>
      </c>
      <c r="L18" s="16">
        <v>0</v>
      </c>
      <c r="M18" s="16">
        <f t="shared" si="3"/>
        <v>45</v>
      </c>
      <c r="P18" s="27"/>
    </row>
    <row r="19" spans="2:16" x14ac:dyDescent="0.2">
      <c r="B19" s="16" t="s">
        <v>346</v>
      </c>
      <c r="C19" s="16">
        <v>446</v>
      </c>
      <c r="D19" s="16">
        <v>128</v>
      </c>
      <c r="E19" s="16">
        <f t="shared" si="0"/>
        <v>574</v>
      </c>
      <c r="F19" s="17">
        <f t="shared" si="1"/>
        <v>0.12354713732242789</v>
      </c>
      <c r="G19" s="16">
        <v>612</v>
      </c>
      <c r="H19" s="16">
        <v>52</v>
      </c>
      <c r="I19" s="16">
        <v>50</v>
      </c>
      <c r="J19" s="16">
        <v>714</v>
      </c>
      <c r="K19" s="17">
        <f t="shared" si="2"/>
        <v>6.5685372585096602E-2</v>
      </c>
      <c r="L19" s="16">
        <v>0</v>
      </c>
      <c r="M19" s="16">
        <f t="shared" si="3"/>
        <v>1288</v>
      </c>
      <c r="P19" s="27"/>
    </row>
    <row r="20" spans="2:16" x14ac:dyDescent="0.2">
      <c r="B20" s="16" t="s">
        <v>347</v>
      </c>
      <c r="C20" s="16">
        <v>129</v>
      </c>
      <c r="D20" s="16">
        <v>44</v>
      </c>
      <c r="E20" s="16">
        <f t="shared" si="0"/>
        <v>173</v>
      </c>
      <c r="F20" s="17">
        <f t="shared" si="1"/>
        <v>3.7236332328885062E-2</v>
      </c>
      <c r="G20" s="16">
        <v>290</v>
      </c>
      <c r="H20" s="16">
        <v>29</v>
      </c>
      <c r="I20" s="16">
        <v>17</v>
      </c>
      <c r="J20" s="16">
        <v>336</v>
      </c>
      <c r="K20" s="17">
        <f t="shared" si="2"/>
        <v>3.0910763569457222E-2</v>
      </c>
      <c r="L20" s="16">
        <v>0</v>
      </c>
      <c r="M20" s="16">
        <f t="shared" si="3"/>
        <v>509</v>
      </c>
      <c r="P20" s="27"/>
    </row>
    <row r="21" spans="2:16" x14ac:dyDescent="0.2">
      <c r="B21" s="18" t="s">
        <v>39</v>
      </c>
      <c r="C21" s="16">
        <f t="shared" ref="C21:D21" si="4">SUM(C11:C20)</f>
        <v>2993</v>
      </c>
      <c r="D21" s="16">
        <f t="shared" si="4"/>
        <v>1653</v>
      </c>
      <c r="E21" s="18">
        <f t="shared" ref="E21" si="5">D21+C21</f>
        <v>4646</v>
      </c>
      <c r="F21" s="19">
        <f t="shared" ref="F21" si="6">E21/$E$21</f>
        <v>1</v>
      </c>
      <c r="G21" s="16">
        <f t="shared" ref="G21:J21" si="7">SUM(G11:G20)</f>
        <v>8786</v>
      </c>
      <c r="H21" s="16">
        <f t="shared" si="7"/>
        <v>1326</v>
      </c>
      <c r="I21" s="16">
        <f t="shared" si="7"/>
        <v>758</v>
      </c>
      <c r="J21" s="16">
        <f t="shared" si="7"/>
        <v>10870</v>
      </c>
      <c r="K21" s="17">
        <f t="shared" si="2"/>
        <v>1</v>
      </c>
      <c r="L21" s="16">
        <f t="shared" ref="L21" si="8">SUM(L11:L20)</f>
        <v>0</v>
      </c>
      <c r="M21" s="16">
        <f t="shared" si="3"/>
        <v>15516</v>
      </c>
      <c r="P21" s="27"/>
    </row>
    <row r="22" spans="2:16" ht="25.5" customHeight="1" x14ac:dyDescent="0.2">
      <c r="B22" s="28" t="s">
        <v>44</v>
      </c>
      <c r="C22" s="29">
        <f>+C21/M21</f>
        <v>0.19289765403454498</v>
      </c>
      <c r="D22" s="29">
        <f>+D21/M21</f>
        <v>0.10653518948182521</v>
      </c>
      <c r="E22" s="30">
        <f>+E21/M21</f>
        <v>0.29943284351637017</v>
      </c>
      <c r="F22" s="30"/>
      <c r="G22" s="29">
        <f>+G21/M21</f>
        <v>0.56625418922402682</v>
      </c>
      <c r="H22" s="29">
        <f>+H21/M21</f>
        <v>8.5460170146945083E-2</v>
      </c>
      <c r="I22" s="29">
        <f>+I21/M21</f>
        <v>4.88527971126579E-2</v>
      </c>
      <c r="J22" s="30">
        <f>+J21/M21</f>
        <v>0.70056715648362977</v>
      </c>
      <c r="K22" s="30"/>
      <c r="L22" s="30">
        <f>+L21/M21</f>
        <v>0</v>
      </c>
      <c r="M22" s="30">
        <f>J22+L22+E22</f>
        <v>1</v>
      </c>
    </row>
    <row r="23" spans="2:16" x14ac:dyDescent="0.2">
      <c r="B23" s="21"/>
      <c r="C23" s="34"/>
      <c r="D23" s="34"/>
      <c r="E23" s="34"/>
      <c r="F23" s="34"/>
      <c r="G23" s="34"/>
      <c r="H23" s="34"/>
      <c r="I23" s="34"/>
      <c r="J23" s="34"/>
      <c r="K23" s="34"/>
    </row>
    <row r="24" spans="2:16" ht="12.75" x14ac:dyDescent="0.2">
      <c r="B24" s="344" t="s">
        <v>570</v>
      </c>
      <c r="C24" s="344"/>
      <c r="D24" s="344"/>
      <c r="E24" s="344"/>
      <c r="F24" s="344"/>
      <c r="G24" s="344"/>
      <c r="H24" s="344"/>
      <c r="I24" s="344"/>
      <c r="J24" s="344"/>
      <c r="K24" s="344"/>
    </row>
    <row r="25" spans="2:16" ht="12.75" x14ac:dyDescent="0.2">
      <c r="B25" s="374" t="str">
        <f>'Solicitudes Regiones'!$B$6:$R$6</f>
        <v>Julio de 2008 a junio de 2022</v>
      </c>
      <c r="C25" s="374"/>
      <c r="D25" s="374"/>
      <c r="E25" s="374"/>
      <c r="F25" s="374"/>
      <c r="G25" s="374"/>
      <c r="H25" s="374"/>
      <c r="I25" s="374"/>
      <c r="J25" s="374"/>
      <c r="K25" s="374"/>
    </row>
    <row r="26" spans="2:16" x14ac:dyDescent="0.2">
      <c r="B26" s="21"/>
      <c r="C26" s="34"/>
      <c r="D26" s="34"/>
      <c r="E26" s="34"/>
      <c r="F26" s="34"/>
      <c r="G26" s="34"/>
      <c r="H26" s="34"/>
      <c r="I26" s="34"/>
      <c r="J26" s="34"/>
      <c r="K26" s="34"/>
    </row>
    <row r="27" spans="2:16" ht="15" customHeight="1" x14ac:dyDescent="0.2">
      <c r="B27" s="373" t="s">
        <v>596</v>
      </c>
      <c r="C27" s="373"/>
      <c r="D27" s="373"/>
      <c r="E27" s="373"/>
      <c r="F27" s="373"/>
      <c r="G27" s="373"/>
      <c r="H27" s="373"/>
      <c r="I27" s="373"/>
      <c r="J27" s="373"/>
      <c r="K27" s="373"/>
      <c r="L27" s="373"/>
      <c r="M27" s="373"/>
    </row>
    <row r="28" spans="2:16" ht="15" customHeight="1" x14ac:dyDescent="0.2">
      <c r="B28" s="373" t="s">
        <v>41</v>
      </c>
      <c r="C28" s="370" t="s">
        <v>544</v>
      </c>
      <c r="D28" s="371"/>
      <c r="E28" s="371"/>
      <c r="F28" s="371"/>
      <c r="G28" s="371"/>
      <c r="H28" s="371"/>
      <c r="I28" s="371"/>
      <c r="J28" s="371"/>
      <c r="K28" s="371"/>
      <c r="L28" s="372"/>
      <c r="M28" s="307"/>
    </row>
    <row r="29" spans="2:16" ht="60" x14ac:dyDescent="0.2">
      <c r="B29" s="373"/>
      <c r="C29" s="20" t="s">
        <v>540</v>
      </c>
      <c r="D29" s="20" t="s">
        <v>42</v>
      </c>
      <c r="E29" s="20" t="s">
        <v>553</v>
      </c>
      <c r="F29" s="20" t="s">
        <v>554</v>
      </c>
      <c r="G29" s="20" t="s">
        <v>542</v>
      </c>
      <c r="H29" s="20" t="s">
        <v>2</v>
      </c>
      <c r="I29" s="20" t="s">
        <v>43</v>
      </c>
      <c r="J29" s="20" t="s">
        <v>549</v>
      </c>
      <c r="K29" s="296" t="s">
        <v>550</v>
      </c>
      <c r="L29" s="296" t="s">
        <v>523</v>
      </c>
      <c r="M29" s="296" t="s">
        <v>641</v>
      </c>
    </row>
    <row r="30" spans="2:16" x14ac:dyDescent="0.2">
      <c r="B30" s="16" t="s">
        <v>338</v>
      </c>
      <c r="C30" s="16">
        <v>1241</v>
      </c>
      <c r="D30" s="16">
        <v>445</v>
      </c>
      <c r="E30" s="16">
        <f>C30+D30</f>
        <v>1686</v>
      </c>
      <c r="F30" s="17">
        <f>E30/$E$40</f>
        <v>0.49632028260229616</v>
      </c>
      <c r="G30" s="16">
        <v>4105</v>
      </c>
      <c r="H30" s="16">
        <v>407</v>
      </c>
      <c r="I30" s="16">
        <v>393</v>
      </c>
      <c r="J30" s="16">
        <v>4905</v>
      </c>
      <c r="K30" s="17">
        <f>J30/$J$40</f>
        <v>0.56548305280147571</v>
      </c>
      <c r="L30" s="16">
        <v>0</v>
      </c>
      <c r="M30" s="16">
        <f t="shared" ref="M30:M40" si="9">L30+J30+E30</f>
        <v>6591</v>
      </c>
    </row>
    <row r="31" spans="2:16" x14ac:dyDescent="0.2">
      <c r="B31" s="16" t="s">
        <v>339</v>
      </c>
      <c r="C31" s="16">
        <v>40</v>
      </c>
      <c r="D31" s="16">
        <v>3</v>
      </c>
      <c r="E31" s="16">
        <f t="shared" ref="E31:E39" si="10">C31+D31</f>
        <v>43</v>
      </c>
      <c r="F31" s="17">
        <f t="shared" ref="F31:F39" si="11">E31/$E$40</f>
        <v>1.2658227848101266E-2</v>
      </c>
      <c r="G31" s="16">
        <v>93</v>
      </c>
      <c r="H31" s="16">
        <v>2</v>
      </c>
      <c r="I31" s="16">
        <v>3</v>
      </c>
      <c r="J31" s="16">
        <v>98</v>
      </c>
      <c r="K31" s="17">
        <f t="shared" ref="K31:K40" si="12">J31/$J$40</f>
        <v>1.1298132349550381E-2</v>
      </c>
      <c r="L31" s="16">
        <v>0</v>
      </c>
      <c r="M31" s="16">
        <f t="shared" si="9"/>
        <v>141</v>
      </c>
    </row>
    <row r="32" spans="2:16" x14ac:dyDescent="0.2">
      <c r="B32" s="16" t="s">
        <v>340</v>
      </c>
      <c r="C32" s="16">
        <v>489</v>
      </c>
      <c r="D32" s="16">
        <v>184</v>
      </c>
      <c r="E32" s="16">
        <f t="shared" si="10"/>
        <v>673</v>
      </c>
      <c r="F32" s="17">
        <f t="shared" si="11"/>
        <v>0.19811598469237562</v>
      </c>
      <c r="G32" s="16">
        <v>1776</v>
      </c>
      <c r="H32" s="16">
        <v>109</v>
      </c>
      <c r="I32" s="16">
        <v>128</v>
      </c>
      <c r="J32" s="16">
        <v>2013</v>
      </c>
      <c r="K32" s="17">
        <f t="shared" si="12"/>
        <v>0.23207286142494812</v>
      </c>
      <c r="L32" s="16">
        <v>0</v>
      </c>
      <c r="M32" s="16">
        <f t="shared" si="9"/>
        <v>2686</v>
      </c>
    </row>
    <row r="33" spans="2:13" x14ac:dyDescent="0.2">
      <c r="B33" s="16" t="s">
        <v>341</v>
      </c>
      <c r="C33" s="16">
        <v>115</v>
      </c>
      <c r="D33" s="16">
        <v>33</v>
      </c>
      <c r="E33" s="16">
        <f t="shared" si="10"/>
        <v>148</v>
      </c>
      <c r="F33" s="17">
        <f t="shared" si="11"/>
        <v>4.356785398881366E-2</v>
      </c>
      <c r="G33" s="16">
        <v>370</v>
      </c>
      <c r="H33" s="16">
        <v>11</v>
      </c>
      <c r="I33" s="16">
        <v>20</v>
      </c>
      <c r="J33" s="16">
        <v>401</v>
      </c>
      <c r="K33" s="17">
        <f t="shared" si="12"/>
        <v>4.6230112981323498E-2</v>
      </c>
      <c r="L33" s="16">
        <v>0</v>
      </c>
      <c r="M33" s="16">
        <f t="shared" si="9"/>
        <v>549</v>
      </c>
    </row>
    <row r="34" spans="2:13" x14ac:dyDescent="0.2">
      <c r="B34" s="16" t="s">
        <v>342</v>
      </c>
      <c r="C34" s="16">
        <v>43</v>
      </c>
      <c r="D34" s="16">
        <v>11</v>
      </c>
      <c r="E34" s="16">
        <f t="shared" si="10"/>
        <v>54</v>
      </c>
      <c r="F34" s="17">
        <f t="shared" si="11"/>
        <v>1.5896379158080658E-2</v>
      </c>
      <c r="G34" s="16">
        <v>75</v>
      </c>
      <c r="H34" s="16">
        <v>2</v>
      </c>
      <c r="I34" s="16">
        <v>7</v>
      </c>
      <c r="J34" s="16">
        <v>84</v>
      </c>
      <c r="K34" s="17">
        <f t="shared" si="12"/>
        <v>9.6841134424717548E-3</v>
      </c>
      <c r="L34" s="16">
        <v>0</v>
      </c>
      <c r="M34" s="16">
        <f t="shared" si="9"/>
        <v>138</v>
      </c>
    </row>
    <row r="35" spans="2:13" x14ac:dyDescent="0.2">
      <c r="B35" s="16" t="s">
        <v>343</v>
      </c>
      <c r="C35" s="16">
        <v>143</v>
      </c>
      <c r="D35" s="16">
        <v>29</v>
      </c>
      <c r="E35" s="16">
        <f t="shared" si="10"/>
        <v>172</v>
      </c>
      <c r="F35" s="17">
        <f t="shared" si="11"/>
        <v>5.0632911392405063E-2</v>
      </c>
      <c r="G35" s="16">
        <v>232</v>
      </c>
      <c r="H35" s="16">
        <v>15</v>
      </c>
      <c r="I35" s="16">
        <v>7</v>
      </c>
      <c r="J35" s="16">
        <v>254</v>
      </c>
      <c r="K35" s="17">
        <f t="shared" si="12"/>
        <v>2.9282914456997926E-2</v>
      </c>
      <c r="L35" s="16">
        <v>0</v>
      </c>
      <c r="M35" s="16">
        <f t="shared" si="9"/>
        <v>426</v>
      </c>
    </row>
    <row r="36" spans="2:13" x14ac:dyDescent="0.2">
      <c r="B36" s="16" t="s">
        <v>344</v>
      </c>
      <c r="C36" s="16">
        <v>8</v>
      </c>
      <c r="D36" s="16">
        <v>0</v>
      </c>
      <c r="E36" s="16">
        <f t="shared" si="10"/>
        <v>8</v>
      </c>
      <c r="F36" s="17">
        <f t="shared" si="11"/>
        <v>2.3550191345304682E-3</v>
      </c>
      <c r="G36" s="16">
        <v>24</v>
      </c>
      <c r="H36" s="16">
        <v>0</v>
      </c>
      <c r="I36" s="16">
        <v>1</v>
      </c>
      <c r="J36" s="16">
        <v>25</v>
      </c>
      <c r="K36" s="17">
        <f t="shared" si="12"/>
        <v>2.8821766197832605E-3</v>
      </c>
      <c r="L36" s="16">
        <v>0</v>
      </c>
      <c r="M36" s="16">
        <f t="shared" si="9"/>
        <v>33</v>
      </c>
    </row>
    <row r="37" spans="2:13" x14ac:dyDescent="0.2">
      <c r="B37" s="16" t="s">
        <v>345</v>
      </c>
      <c r="C37" s="16">
        <v>10</v>
      </c>
      <c r="D37" s="16">
        <v>1</v>
      </c>
      <c r="E37" s="16">
        <f t="shared" si="10"/>
        <v>11</v>
      </c>
      <c r="F37" s="17">
        <f t="shared" si="11"/>
        <v>3.2381513099793936E-3</v>
      </c>
      <c r="G37" s="16">
        <v>23</v>
      </c>
      <c r="H37" s="16">
        <v>0</v>
      </c>
      <c r="I37" s="16">
        <v>3</v>
      </c>
      <c r="J37" s="16">
        <v>26</v>
      </c>
      <c r="K37" s="17">
        <f t="shared" si="12"/>
        <v>2.9974636845745907E-3</v>
      </c>
      <c r="L37" s="16">
        <v>0</v>
      </c>
      <c r="M37" s="16">
        <f t="shared" si="9"/>
        <v>37</v>
      </c>
    </row>
    <row r="38" spans="2:13" x14ac:dyDescent="0.2">
      <c r="B38" s="16" t="s">
        <v>346</v>
      </c>
      <c r="C38" s="16">
        <v>409</v>
      </c>
      <c r="D38" s="16">
        <v>65</v>
      </c>
      <c r="E38" s="16">
        <f t="shared" si="10"/>
        <v>474</v>
      </c>
      <c r="F38" s="17">
        <f t="shared" si="11"/>
        <v>0.13953488372093023</v>
      </c>
      <c r="G38" s="16">
        <v>526</v>
      </c>
      <c r="H38" s="16">
        <v>21</v>
      </c>
      <c r="I38" s="16">
        <v>35</v>
      </c>
      <c r="J38" s="16">
        <v>582</v>
      </c>
      <c r="K38" s="17">
        <f t="shared" si="12"/>
        <v>6.7097071708554307E-2</v>
      </c>
      <c r="L38" s="16">
        <v>0</v>
      </c>
      <c r="M38" s="16">
        <f t="shared" si="9"/>
        <v>1056</v>
      </c>
    </row>
    <row r="39" spans="2:13" x14ac:dyDescent="0.2">
      <c r="B39" s="16" t="s">
        <v>347</v>
      </c>
      <c r="C39" s="16">
        <v>105</v>
      </c>
      <c r="D39" s="16">
        <v>23</v>
      </c>
      <c r="E39" s="16">
        <f t="shared" si="10"/>
        <v>128</v>
      </c>
      <c r="F39" s="17">
        <f t="shared" si="11"/>
        <v>3.7680306152487492E-2</v>
      </c>
      <c r="G39" s="16">
        <v>264</v>
      </c>
      <c r="H39" s="16">
        <v>7</v>
      </c>
      <c r="I39" s="16">
        <v>15</v>
      </c>
      <c r="J39" s="16">
        <v>286</v>
      </c>
      <c r="K39" s="17">
        <f t="shared" si="12"/>
        <v>3.29721005303205E-2</v>
      </c>
      <c r="L39" s="16">
        <v>0</v>
      </c>
      <c r="M39" s="16">
        <f t="shared" si="9"/>
        <v>414</v>
      </c>
    </row>
    <row r="40" spans="2:13" x14ac:dyDescent="0.2">
      <c r="B40" s="18" t="s">
        <v>39</v>
      </c>
      <c r="C40" s="16">
        <f t="shared" ref="C40:D40" si="13">SUM(C30:C39)</f>
        <v>2603</v>
      </c>
      <c r="D40" s="16">
        <f t="shared" si="13"/>
        <v>794</v>
      </c>
      <c r="E40" s="18">
        <f t="shared" ref="E40" si="14">C40+D40</f>
        <v>3397</v>
      </c>
      <c r="F40" s="19">
        <f t="shared" ref="F40" si="15">E40/$E$40</f>
        <v>1</v>
      </c>
      <c r="G40" s="16">
        <f t="shared" ref="G40:J40" si="16">SUM(G30:G39)</f>
        <v>7488</v>
      </c>
      <c r="H40" s="16">
        <f t="shared" si="16"/>
        <v>574</v>
      </c>
      <c r="I40" s="16">
        <f t="shared" si="16"/>
        <v>612</v>
      </c>
      <c r="J40" s="16">
        <f t="shared" si="16"/>
        <v>8674</v>
      </c>
      <c r="K40" s="17">
        <f t="shared" si="12"/>
        <v>1</v>
      </c>
      <c r="L40" s="16">
        <f t="shared" ref="L40" si="17">SUM(L30:L39)</f>
        <v>0</v>
      </c>
      <c r="M40" s="16">
        <f t="shared" si="9"/>
        <v>12071</v>
      </c>
    </row>
    <row r="41" spans="2:13" ht="24" x14ac:dyDescent="0.2">
      <c r="B41" s="28" t="s">
        <v>45</v>
      </c>
      <c r="C41" s="29">
        <f>+C40/M40</f>
        <v>0.21564079198078037</v>
      </c>
      <c r="D41" s="29">
        <f>+D40/M40</f>
        <v>6.5777483224256486E-2</v>
      </c>
      <c r="E41" s="30">
        <f>+E40/M40</f>
        <v>0.28141827520503687</v>
      </c>
      <c r="F41" s="30"/>
      <c r="G41" s="29">
        <f>+G40/M40</f>
        <v>0.62032971584789998</v>
      </c>
      <c r="H41" s="29">
        <f>+H40/M40</f>
        <v>4.755198409410985E-2</v>
      </c>
      <c r="I41" s="29">
        <f>+I40/M40</f>
        <v>5.0700024852953357E-2</v>
      </c>
      <c r="J41" s="30">
        <f>+J40/M40</f>
        <v>0.71858172479496318</v>
      </c>
      <c r="K41" s="30"/>
      <c r="L41" s="30">
        <f>+L40/M40</f>
        <v>0</v>
      </c>
      <c r="M41" s="30">
        <f>J41+L41+E41</f>
        <v>1</v>
      </c>
    </row>
    <row r="42" spans="2:13" x14ac:dyDescent="0.2">
      <c r="B42" s="21" t="s">
        <v>78</v>
      </c>
    </row>
    <row r="43" spans="2:13" x14ac:dyDescent="0.2">
      <c r="B43" s="21" t="s">
        <v>79</v>
      </c>
    </row>
  </sheetData>
  <mergeCells count="10">
    <mergeCell ref="B6:K6"/>
    <mergeCell ref="B5:K5"/>
    <mergeCell ref="B25:K25"/>
    <mergeCell ref="B24:K24"/>
    <mergeCell ref="B8:M8"/>
    <mergeCell ref="B28:B29"/>
    <mergeCell ref="B9:B10"/>
    <mergeCell ref="C9:L9"/>
    <mergeCell ref="C28:L28"/>
    <mergeCell ref="B27:M27"/>
  </mergeCells>
  <hyperlinks>
    <hyperlink ref="M5" location="'Índice PGU y SPS'!A1" display="Volver Sistema de Pensiones Solidarias" xr:uid="{E0C82793-2D25-4B9D-A9B2-05A3AF754FC4}"/>
  </hyperlinks>
  <pageMargins left="0.74803149606299213" right="0.74803149606299213" top="0.98425196850393704" bottom="0.98425196850393704" header="0" footer="0"/>
  <pageSetup scale="81"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31">
    <pageSetUpPr fitToPage="1"/>
  </sheetPr>
  <dimension ref="A1:P45"/>
  <sheetViews>
    <sheetView showGridLines="0" zoomScale="90" zoomScaleNormal="90" workbookViewId="0">
      <selection activeCell="M35" sqref="M35"/>
    </sheetView>
  </sheetViews>
  <sheetFormatPr baseColWidth="10" defaultRowHeight="12" x14ac:dyDescent="0.2"/>
  <cols>
    <col min="1" max="1" width="6" style="22" customWidth="1"/>
    <col min="2" max="2" width="18.140625" style="22" customWidth="1"/>
    <col min="3" max="3" width="11.7109375" style="22" customWidth="1"/>
    <col min="4" max="4" width="8" style="22" bestFit="1" customWidth="1"/>
    <col min="5" max="6" width="11.5703125" style="22" customWidth="1"/>
    <col min="7" max="7" width="8.28515625" style="22" bestFit="1" customWidth="1"/>
    <col min="8" max="8" width="8" style="22" bestFit="1" customWidth="1"/>
    <col min="9" max="11" width="8" style="22" customWidth="1"/>
    <col min="12" max="12" width="7.85546875" style="22" hidden="1" customWidth="1"/>
    <col min="13" max="13" width="11.42578125" style="22" customWidth="1"/>
    <col min="14" max="251" width="11.42578125" style="22"/>
    <col min="252" max="252" width="18.140625" style="22" customWidth="1"/>
    <col min="253" max="253" width="8.42578125" style="22" bestFit="1" customWidth="1"/>
    <col min="254" max="254" width="8" style="22" bestFit="1" customWidth="1"/>
    <col min="255" max="256" width="8" style="22" customWidth="1"/>
    <col min="257" max="257" width="8.28515625" style="22" bestFit="1" customWidth="1"/>
    <col min="258" max="258" width="8" style="22" bestFit="1" customWidth="1"/>
    <col min="259" max="261" width="8" style="22" customWidth="1"/>
    <col min="262" max="267" width="0" style="22" hidden="1" customWidth="1"/>
    <col min="268" max="268" width="7.85546875" style="22" customWidth="1"/>
    <col min="269" max="507" width="11.42578125" style="22"/>
    <col min="508" max="508" width="18.140625" style="22" customWidth="1"/>
    <col min="509" max="509" width="8.42578125" style="22" bestFit="1" customWidth="1"/>
    <col min="510" max="510" width="8" style="22" bestFit="1" customWidth="1"/>
    <col min="511" max="512" width="8" style="22" customWidth="1"/>
    <col min="513" max="513" width="8.28515625" style="22" bestFit="1" customWidth="1"/>
    <col min="514" max="514" width="8" style="22" bestFit="1" customWidth="1"/>
    <col min="515" max="517" width="8" style="22" customWidth="1"/>
    <col min="518" max="523" width="0" style="22" hidden="1" customWidth="1"/>
    <col min="524" max="524" width="7.85546875" style="22" customWidth="1"/>
    <col min="525" max="763" width="11.42578125" style="22"/>
    <col min="764" max="764" width="18.140625" style="22" customWidth="1"/>
    <col min="765" max="765" width="8.42578125" style="22" bestFit="1" customWidth="1"/>
    <col min="766" max="766" width="8" style="22" bestFit="1" customWidth="1"/>
    <col min="767" max="768" width="8" style="22" customWidth="1"/>
    <col min="769" max="769" width="8.28515625" style="22" bestFit="1" customWidth="1"/>
    <col min="770" max="770" width="8" style="22" bestFit="1" customWidth="1"/>
    <col min="771" max="773" width="8" style="22" customWidth="1"/>
    <col min="774" max="779" width="0" style="22" hidden="1" customWidth="1"/>
    <col min="780" max="780" width="7.85546875" style="22" customWidth="1"/>
    <col min="781" max="1019" width="11.42578125" style="22"/>
    <col min="1020" max="1020" width="18.140625" style="22" customWidth="1"/>
    <col min="1021" max="1021" width="8.42578125" style="22" bestFit="1" customWidth="1"/>
    <col min="1022" max="1022" width="8" style="22" bestFit="1" customWidth="1"/>
    <col min="1023" max="1024" width="8" style="22" customWidth="1"/>
    <col min="1025" max="1025" width="8.28515625" style="22" bestFit="1" customWidth="1"/>
    <col min="1026" max="1026" width="8" style="22" bestFit="1" customWidth="1"/>
    <col min="1027" max="1029" width="8" style="22" customWidth="1"/>
    <col min="1030" max="1035" width="0" style="22" hidden="1" customWidth="1"/>
    <col min="1036" max="1036" width="7.85546875" style="22" customWidth="1"/>
    <col min="1037" max="1275" width="11.42578125" style="22"/>
    <col min="1276" max="1276" width="18.140625" style="22" customWidth="1"/>
    <col min="1277" max="1277" width="8.42578125" style="22" bestFit="1" customWidth="1"/>
    <col min="1278" max="1278" width="8" style="22" bestFit="1" customWidth="1"/>
    <col min="1279" max="1280" width="8" style="22" customWidth="1"/>
    <col min="1281" max="1281" width="8.28515625" style="22" bestFit="1" customWidth="1"/>
    <col min="1282" max="1282" width="8" style="22" bestFit="1" customWidth="1"/>
    <col min="1283" max="1285" width="8" style="22" customWidth="1"/>
    <col min="1286" max="1291" width="0" style="22" hidden="1" customWidth="1"/>
    <col min="1292" max="1292" width="7.85546875" style="22" customWidth="1"/>
    <col min="1293" max="1531" width="11.42578125" style="22"/>
    <col min="1532" max="1532" width="18.140625" style="22" customWidth="1"/>
    <col min="1533" max="1533" width="8.42578125" style="22" bestFit="1" customWidth="1"/>
    <col min="1534" max="1534" width="8" style="22" bestFit="1" customWidth="1"/>
    <col min="1535" max="1536" width="8" style="22" customWidth="1"/>
    <col min="1537" max="1537" width="8.28515625" style="22" bestFit="1" customWidth="1"/>
    <col min="1538" max="1538" width="8" style="22" bestFit="1" customWidth="1"/>
    <col min="1539" max="1541" width="8" style="22" customWidth="1"/>
    <col min="1542" max="1547" width="0" style="22" hidden="1" customWidth="1"/>
    <col min="1548" max="1548" width="7.85546875" style="22" customWidth="1"/>
    <col min="1549" max="1787" width="11.42578125" style="22"/>
    <col min="1788" max="1788" width="18.140625" style="22" customWidth="1"/>
    <col min="1789" max="1789" width="8.42578125" style="22" bestFit="1" customWidth="1"/>
    <col min="1790" max="1790" width="8" style="22" bestFit="1" customWidth="1"/>
    <col min="1791" max="1792" width="8" style="22" customWidth="1"/>
    <col min="1793" max="1793" width="8.28515625" style="22" bestFit="1" customWidth="1"/>
    <col min="1794" max="1794" width="8" style="22" bestFit="1" customWidth="1"/>
    <col min="1795" max="1797" width="8" style="22" customWidth="1"/>
    <col min="1798" max="1803" width="0" style="22" hidden="1" customWidth="1"/>
    <col min="1804" max="1804" width="7.85546875" style="22" customWidth="1"/>
    <col min="1805" max="2043" width="11.42578125" style="22"/>
    <col min="2044" max="2044" width="18.140625" style="22" customWidth="1"/>
    <col min="2045" max="2045" width="8.42578125" style="22" bestFit="1" customWidth="1"/>
    <col min="2046" max="2046" width="8" style="22" bestFit="1" customWidth="1"/>
    <col min="2047" max="2048" width="8" style="22" customWidth="1"/>
    <col min="2049" max="2049" width="8.28515625" style="22" bestFit="1" customWidth="1"/>
    <col min="2050" max="2050" width="8" style="22" bestFit="1" customWidth="1"/>
    <col min="2051" max="2053" width="8" style="22" customWidth="1"/>
    <col min="2054" max="2059" width="0" style="22" hidden="1" customWidth="1"/>
    <col min="2060" max="2060" width="7.85546875" style="22" customWidth="1"/>
    <col min="2061" max="2299" width="11.42578125" style="22"/>
    <col min="2300" max="2300" width="18.140625" style="22" customWidth="1"/>
    <col min="2301" max="2301" width="8.42578125" style="22" bestFit="1" customWidth="1"/>
    <col min="2302" max="2302" width="8" style="22" bestFit="1" customWidth="1"/>
    <col min="2303" max="2304" width="8" style="22" customWidth="1"/>
    <col min="2305" max="2305" width="8.28515625" style="22" bestFit="1" customWidth="1"/>
    <col min="2306" max="2306" width="8" style="22" bestFit="1" customWidth="1"/>
    <col min="2307" max="2309" width="8" style="22" customWidth="1"/>
    <col min="2310" max="2315" width="0" style="22" hidden="1" customWidth="1"/>
    <col min="2316" max="2316" width="7.85546875" style="22" customWidth="1"/>
    <col min="2317" max="2555" width="11.42578125" style="22"/>
    <col min="2556" max="2556" width="18.140625" style="22" customWidth="1"/>
    <col min="2557" max="2557" width="8.42578125" style="22" bestFit="1" customWidth="1"/>
    <col min="2558" max="2558" width="8" style="22" bestFit="1" customWidth="1"/>
    <col min="2559" max="2560" width="8" style="22" customWidth="1"/>
    <col min="2561" max="2561" width="8.28515625" style="22" bestFit="1" customWidth="1"/>
    <col min="2562" max="2562" width="8" style="22" bestFit="1" customWidth="1"/>
    <col min="2563" max="2565" width="8" style="22" customWidth="1"/>
    <col min="2566" max="2571" width="0" style="22" hidden="1" customWidth="1"/>
    <col min="2572" max="2572" width="7.85546875" style="22" customWidth="1"/>
    <col min="2573" max="2811" width="11.42578125" style="22"/>
    <col min="2812" max="2812" width="18.140625" style="22" customWidth="1"/>
    <col min="2813" max="2813" width="8.42578125" style="22" bestFit="1" customWidth="1"/>
    <col min="2814" max="2814" width="8" style="22" bestFit="1" customWidth="1"/>
    <col min="2815" max="2816" width="8" style="22" customWidth="1"/>
    <col min="2817" max="2817" width="8.28515625" style="22" bestFit="1" customWidth="1"/>
    <col min="2818" max="2818" width="8" style="22" bestFit="1" customWidth="1"/>
    <col min="2819" max="2821" width="8" style="22" customWidth="1"/>
    <col min="2822" max="2827" width="0" style="22" hidden="1" customWidth="1"/>
    <col min="2828" max="2828" width="7.85546875" style="22" customWidth="1"/>
    <col min="2829" max="3067" width="11.42578125" style="22"/>
    <col min="3068" max="3068" width="18.140625" style="22" customWidth="1"/>
    <col min="3069" max="3069" width="8.42578125" style="22" bestFit="1" customWidth="1"/>
    <col min="3070" max="3070" width="8" style="22" bestFit="1" customWidth="1"/>
    <col min="3071" max="3072" width="8" style="22" customWidth="1"/>
    <col min="3073" max="3073" width="8.28515625" style="22" bestFit="1" customWidth="1"/>
    <col min="3074" max="3074" width="8" style="22" bestFit="1" customWidth="1"/>
    <col min="3075" max="3077" width="8" style="22" customWidth="1"/>
    <col min="3078" max="3083" width="0" style="22" hidden="1" customWidth="1"/>
    <col min="3084" max="3084" width="7.85546875" style="22" customWidth="1"/>
    <col min="3085" max="3323" width="11.42578125" style="22"/>
    <col min="3324" max="3324" width="18.140625" style="22" customWidth="1"/>
    <col min="3325" max="3325" width="8.42578125" style="22" bestFit="1" customWidth="1"/>
    <col min="3326" max="3326" width="8" style="22" bestFit="1" customWidth="1"/>
    <col min="3327" max="3328" width="8" style="22" customWidth="1"/>
    <col min="3329" max="3329" width="8.28515625" style="22" bestFit="1" customWidth="1"/>
    <col min="3330" max="3330" width="8" style="22" bestFit="1" customWidth="1"/>
    <col min="3331" max="3333" width="8" style="22" customWidth="1"/>
    <col min="3334" max="3339" width="0" style="22" hidden="1" customWidth="1"/>
    <col min="3340" max="3340" width="7.85546875" style="22" customWidth="1"/>
    <col min="3341" max="3579" width="11.42578125" style="22"/>
    <col min="3580" max="3580" width="18.140625" style="22" customWidth="1"/>
    <col min="3581" max="3581" width="8.42578125" style="22" bestFit="1" customWidth="1"/>
    <col min="3582" max="3582" width="8" style="22" bestFit="1" customWidth="1"/>
    <col min="3583" max="3584" width="8" style="22" customWidth="1"/>
    <col min="3585" max="3585" width="8.28515625" style="22" bestFit="1" customWidth="1"/>
    <col min="3586" max="3586" width="8" style="22" bestFit="1" customWidth="1"/>
    <col min="3587" max="3589" width="8" style="22" customWidth="1"/>
    <col min="3590" max="3595" width="0" style="22" hidden="1" customWidth="1"/>
    <col min="3596" max="3596" width="7.85546875" style="22" customWidth="1"/>
    <col min="3597" max="3835" width="11.42578125" style="22"/>
    <col min="3836" max="3836" width="18.140625" style="22" customWidth="1"/>
    <col min="3837" max="3837" width="8.42578125" style="22" bestFit="1" customWidth="1"/>
    <col min="3838" max="3838" width="8" style="22" bestFit="1" customWidth="1"/>
    <col min="3839" max="3840" width="8" style="22" customWidth="1"/>
    <col min="3841" max="3841" width="8.28515625" style="22" bestFit="1" customWidth="1"/>
    <col min="3842" max="3842" width="8" style="22" bestFit="1" customWidth="1"/>
    <col min="3843" max="3845" width="8" style="22" customWidth="1"/>
    <col min="3846" max="3851" width="0" style="22" hidden="1" customWidth="1"/>
    <col min="3852" max="3852" width="7.85546875" style="22" customWidth="1"/>
    <col min="3853" max="4091" width="11.42578125" style="22"/>
    <col min="4092" max="4092" width="18.140625" style="22" customWidth="1"/>
    <col min="4093" max="4093" width="8.42578125" style="22" bestFit="1" customWidth="1"/>
    <col min="4094" max="4094" width="8" style="22" bestFit="1" customWidth="1"/>
    <col min="4095" max="4096" width="8" style="22" customWidth="1"/>
    <col min="4097" max="4097" width="8.28515625" style="22" bestFit="1" customWidth="1"/>
    <col min="4098" max="4098" width="8" style="22" bestFit="1" customWidth="1"/>
    <col min="4099" max="4101" width="8" style="22" customWidth="1"/>
    <col min="4102" max="4107" width="0" style="22" hidden="1" customWidth="1"/>
    <col min="4108" max="4108" width="7.85546875" style="22" customWidth="1"/>
    <col min="4109" max="4347" width="11.42578125" style="22"/>
    <col min="4348" max="4348" width="18.140625" style="22" customWidth="1"/>
    <col min="4349" max="4349" width="8.42578125" style="22" bestFit="1" customWidth="1"/>
    <col min="4350" max="4350" width="8" style="22" bestFit="1" customWidth="1"/>
    <col min="4351" max="4352" width="8" style="22" customWidth="1"/>
    <col min="4353" max="4353" width="8.28515625" style="22" bestFit="1" customWidth="1"/>
    <col min="4354" max="4354" width="8" style="22" bestFit="1" customWidth="1"/>
    <col min="4355" max="4357" width="8" style="22" customWidth="1"/>
    <col min="4358" max="4363" width="0" style="22" hidden="1" customWidth="1"/>
    <col min="4364" max="4364" width="7.85546875" style="22" customWidth="1"/>
    <col min="4365" max="4603" width="11.42578125" style="22"/>
    <col min="4604" max="4604" width="18.140625" style="22" customWidth="1"/>
    <col min="4605" max="4605" width="8.42578125" style="22" bestFit="1" customWidth="1"/>
    <col min="4606" max="4606" width="8" style="22" bestFit="1" customWidth="1"/>
    <col min="4607" max="4608" width="8" style="22" customWidth="1"/>
    <col min="4609" max="4609" width="8.28515625" style="22" bestFit="1" customWidth="1"/>
    <col min="4610" max="4610" width="8" style="22" bestFit="1" customWidth="1"/>
    <col min="4611" max="4613" width="8" style="22" customWidth="1"/>
    <col min="4614" max="4619" width="0" style="22" hidden="1" customWidth="1"/>
    <col min="4620" max="4620" width="7.85546875" style="22" customWidth="1"/>
    <col min="4621" max="4859" width="11.42578125" style="22"/>
    <col min="4860" max="4860" width="18.140625" style="22" customWidth="1"/>
    <col min="4861" max="4861" width="8.42578125" style="22" bestFit="1" customWidth="1"/>
    <col min="4862" max="4862" width="8" style="22" bestFit="1" customWidth="1"/>
    <col min="4863" max="4864" width="8" style="22" customWidth="1"/>
    <col min="4865" max="4865" width="8.28515625" style="22" bestFit="1" customWidth="1"/>
    <col min="4866" max="4866" width="8" style="22" bestFit="1" customWidth="1"/>
    <col min="4867" max="4869" width="8" style="22" customWidth="1"/>
    <col min="4870" max="4875" width="0" style="22" hidden="1" customWidth="1"/>
    <col min="4876" max="4876" width="7.85546875" style="22" customWidth="1"/>
    <col min="4877" max="5115" width="11.42578125" style="22"/>
    <col min="5116" max="5116" width="18.140625" style="22" customWidth="1"/>
    <col min="5117" max="5117" width="8.42578125" style="22" bestFit="1" customWidth="1"/>
    <col min="5118" max="5118" width="8" style="22" bestFit="1" customWidth="1"/>
    <col min="5119" max="5120" width="8" style="22" customWidth="1"/>
    <col min="5121" max="5121" width="8.28515625" style="22" bestFit="1" customWidth="1"/>
    <col min="5122" max="5122" width="8" style="22" bestFit="1" customWidth="1"/>
    <col min="5123" max="5125" width="8" style="22" customWidth="1"/>
    <col min="5126" max="5131" width="0" style="22" hidden="1" customWidth="1"/>
    <col min="5132" max="5132" width="7.85546875" style="22" customWidth="1"/>
    <col min="5133" max="5371" width="11.42578125" style="22"/>
    <col min="5372" max="5372" width="18.140625" style="22" customWidth="1"/>
    <col min="5373" max="5373" width="8.42578125" style="22" bestFit="1" customWidth="1"/>
    <col min="5374" max="5374" width="8" style="22" bestFit="1" customWidth="1"/>
    <col min="5375" max="5376" width="8" style="22" customWidth="1"/>
    <col min="5377" max="5377" width="8.28515625" style="22" bestFit="1" customWidth="1"/>
    <col min="5378" max="5378" width="8" style="22" bestFit="1" customWidth="1"/>
    <col min="5379" max="5381" width="8" style="22" customWidth="1"/>
    <col min="5382" max="5387" width="0" style="22" hidden="1" customWidth="1"/>
    <col min="5388" max="5388" width="7.85546875" style="22" customWidth="1"/>
    <col min="5389" max="5627" width="11.42578125" style="22"/>
    <col min="5628" max="5628" width="18.140625" style="22" customWidth="1"/>
    <col min="5629" max="5629" width="8.42578125" style="22" bestFit="1" customWidth="1"/>
    <col min="5630" max="5630" width="8" style="22" bestFit="1" customWidth="1"/>
    <col min="5631" max="5632" width="8" style="22" customWidth="1"/>
    <col min="5633" max="5633" width="8.28515625" style="22" bestFit="1" customWidth="1"/>
    <col min="5634" max="5634" width="8" style="22" bestFit="1" customWidth="1"/>
    <col min="5635" max="5637" width="8" style="22" customWidth="1"/>
    <col min="5638" max="5643" width="0" style="22" hidden="1" customWidth="1"/>
    <col min="5644" max="5644" width="7.85546875" style="22" customWidth="1"/>
    <col min="5645" max="5883" width="11.42578125" style="22"/>
    <col min="5884" max="5884" width="18.140625" style="22" customWidth="1"/>
    <col min="5885" max="5885" width="8.42578125" style="22" bestFit="1" customWidth="1"/>
    <col min="5886" max="5886" width="8" style="22" bestFit="1" customWidth="1"/>
    <col min="5887" max="5888" width="8" style="22" customWidth="1"/>
    <col min="5889" max="5889" width="8.28515625" style="22" bestFit="1" customWidth="1"/>
    <col min="5890" max="5890" width="8" style="22" bestFit="1" customWidth="1"/>
    <col min="5891" max="5893" width="8" style="22" customWidth="1"/>
    <col min="5894" max="5899" width="0" style="22" hidden="1" customWidth="1"/>
    <col min="5900" max="5900" width="7.85546875" style="22" customWidth="1"/>
    <col min="5901" max="6139" width="11.42578125" style="22"/>
    <col min="6140" max="6140" width="18.140625" style="22" customWidth="1"/>
    <col min="6141" max="6141" width="8.42578125" style="22" bestFit="1" customWidth="1"/>
    <col min="6142" max="6142" width="8" style="22" bestFit="1" customWidth="1"/>
    <col min="6143" max="6144" width="8" style="22" customWidth="1"/>
    <col min="6145" max="6145" width="8.28515625" style="22" bestFit="1" customWidth="1"/>
    <col min="6146" max="6146" width="8" style="22" bestFit="1" customWidth="1"/>
    <col min="6147" max="6149" width="8" style="22" customWidth="1"/>
    <col min="6150" max="6155" width="0" style="22" hidden="1" customWidth="1"/>
    <col min="6156" max="6156" width="7.85546875" style="22" customWidth="1"/>
    <col min="6157" max="6395" width="11.42578125" style="22"/>
    <col min="6396" max="6396" width="18.140625" style="22" customWidth="1"/>
    <col min="6397" max="6397" width="8.42578125" style="22" bestFit="1" customWidth="1"/>
    <col min="6398" max="6398" width="8" style="22" bestFit="1" customWidth="1"/>
    <col min="6399" max="6400" width="8" style="22" customWidth="1"/>
    <col min="6401" max="6401" width="8.28515625" style="22" bestFit="1" customWidth="1"/>
    <col min="6402" max="6402" width="8" style="22" bestFit="1" customWidth="1"/>
    <col min="6403" max="6405" width="8" style="22" customWidth="1"/>
    <col min="6406" max="6411" width="0" style="22" hidden="1" customWidth="1"/>
    <col min="6412" max="6412" width="7.85546875" style="22" customWidth="1"/>
    <col min="6413" max="6651" width="11.42578125" style="22"/>
    <col min="6652" max="6652" width="18.140625" style="22" customWidth="1"/>
    <col min="6653" max="6653" width="8.42578125" style="22" bestFit="1" customWidth="1"/>
    <col min="6654" max="6654" width="8" style="22" bestFit="1" customWidth="1"/>
    <col min="6655" max="6656" width="8" style="22" customWidth="1"/>
    <col min="6657" max="6657" width="8.28515625" style="22" bestFit="1" customWidth="1"/>
    <col min="6658" max="6658" width="8" style="22" bestFit="1" customWidth="1"/>
    <col min="6659" max="6661" width="8" style="22" customWidth="1"/>
    <col min="6662" max="6667" width="0" style="22" hidden="1" customWidth="1"/>
    <col min="6668" max="6668" width="7.85546875" style="22" customWidth="1"/>
    <col min="6669" max="6907" width="11.42578125" style="22"/>
    <col min="6908" max="6908" width="18.140625" style="22" customWidth="1"/>
    <col min="6909" max="6909" width="8.42578125" style="22" bestFit="1" customWidth="1"/>
    <col min="6910" max="6910" width="8" style="22" bestFit="1" customWidth="1"/>
    <col min="6911" max="6912" width="8" style="22" customWidth="1"/>
    <col min="6913" max="6913" width="8.28515625" style="22" bestFit="1" customWidth="1"/>
    <col min="6914" max="6914" width="8" style="22" bestFit="1" customWidth="1"/>
    <col min="6915" max="6917" width="8" style="22" customWidth="1"/>
    <col min="6918" max="6923" width="0" style="22" hidden="1" customWidth="1"/>
    <col min="6924" max="6924" width="7.85546875" style="22" customWidth="1"/>
    <col min="6925" max="7163" width="11.42578125" style="22"/>
    <col min="7164" max="7164" width="18.140625" style="22" customWidth="1"/>
    <col min="7165" max="7165" width="8.42578125" style="22" bestFit="1" customWidth="1"/>
    <col min="7166" max="7166" width="8" style="22" bestFit="1" customWidth="1"/>
    <col min="7167" max="7168" width="8" style="22" customWidth="1"/>
    <col min="7169" max="7169" width="8.28515625" style="22" bestFit="1" customWidth="1"/>
    <col min="7170" max="7170" width="8" style="22" bestFit="1" customWidth="1"/>
    <col min="7171" max="7173" width="8" style="22" customWidth="1"/>
    <col min="7174" max="7179" width="0" style="22" hidden="1" customWidth="1"/>
    <col min="7180" max="7180" width="7.85546875" style="22" customWidth="1"/>
    <col min="7181" max="7419" width="11.42578125" style="22"/>
    <col min="7420" max="7420" width="18.140625" style="22" customWidth="1"/>
    <col min="7421" max="7421" width="8.42578125" style="22" bestFit="1" customWidth="1"/>
    <col min="7422" max="7422" width="8" style="22" bestFit="1" customWidth="1"/>
    <col min="7423" max="7424" width="8" style="22" customWidth="1"/>
    <col min="7425" max="7425" width="8.28515625" style="22" bestFit="1" customWidth="1"/>
    <col min="7426" max="7426" width="8" style="22" bestFit="1" customWidth="1"/>
    <col min="7427" max="7429" width="8" style="22" customWidth="1"/>
    <col min="7430" max="7435" width="0" style="22" hidden="1" customWidth="1"/>
    <col min="7436" max="7436" width="7.85546875" style="22" customWidth="1"/>
    <col min="7437" max="7675" width="11.42578125" style="22"/>
    <col min="7676" max="7676" width="18.140625" style="22" customWidth="1"/>
    <col min="7677" max="7677" width="8.42578125" style="22" bestFit="1" customWidth="1"/>
    <col min="7678" max="7678" width="8" style="22" bestFit="1" customWidth="1"/>
    <col min="7679" max="7680" width="8" style="22" customWidth="1"/>
    <col min="7681" max="7681" width="8.28515625" style="22" bestFit="1" customWidth="1"/>
    <col min="7682" max="7682" width="8" style="22" bestFit="1" customWidth="1"/>
    <col min="7683" max="7685" width="8" style="22" customWidth="1"/>
    <col min="7686" max="7691" width="0" style="22" hidden="1" customWidth="1"/>
    <col min="7692" max="7692" width="7.85546875" style="22" customWidth="1"/>
    <col min="7693" max="7931" width="11.42578125" style="22"/>
    <col min="7932" max="7932" width="18.140625" style="22" customWidth="1"/>
    <col min="7933" max="7933" width="8.42578125" style="22" bestFit="1" customWidth="1"/>
    <col min="7934" max="7934" width="8" style="22" bestFit="1" customWidth="1"/>
    <col min="7935" max="7936" width="8" style="22" customWidth="1"/>
    <col min="7937" max="7937" width="8.28515625" style="22" bestFit="1" customWidth="1"/>
    <col min="7938" max="7938" width="8" style="22" bestFit="1" customWidth="1"/>
    <col min="7939" max="7941" width="8" style="22" customWidth="1"/>
    <col min="7942" max="7947" width="0" style="22" hidden="1" customWidth="1"/>
    <col min="7948" max="7948" width="7.85546875" style="22" customWidth="1"/>
    <col min="7949" max="8187" width="11.42578125" style="22"/>
    <col min="8188" max="8188" width="18.140625" style="22" customWidth="1"/>
    <col min="8189" max="8189" width="8.42578125" style="22" bestFit="1" customWidth="1"/>
    <col min="8190" max="8190" width="8" style="22" bestFit="1" customWidth="1"/>
    <col min="8191" max="8192" width="8" style="22" customWidth="1"/>
    <col min="8193" max="8193" width="8.28515625" style="22" bestFit="1" customWidth="1"/>
    <col min="8194" max="8194" width="8" style="22" bestFit="1" customWidth="1"/>
    <col min="8195" max="8197" width="8" style="22" customWidth="1"/>
    <col min="8198" max="8203" width="0" style="22" hidden="1" customWidth="1"/>
    <col min="8204" max="8204" width="7.85546875" style="22" customWidth="1"/>
    <col min="8205" max="8443" width="11.42578125" style="22"/>
    <col min="8444" max="8444" width="18.140625" style="22" customWidth="1"/>
    <col min="8445" max="8445" width="8.42578125" style="22" bestFit="1" customWidth="1"/>
    <col min="8446" max="8446" width="8" style="22" bestFit="1" customWidth="1"/>
    <col min="8447" max="8448" width="8" style="22" customWidth="1"/>
    <col min="8449" max="8449" width="8.28515625" style="22" bestFit="1" customWidth="1"/>
    <col min="8450" max="8450" width="8" style="22" bestFit="1" customWidth="1"/>
    <col min="8451" max="8453" width="8" style="22" customWidth="1"/>
    <col min="8454" max="8459" width="0" style="22" hidden="1" customWidth="1"/>
    <col min="8460" max="8460" width="7.85546875" style="22" customWidth="1"/>
    <col min="8461" max="8699" width="11.42578125" style="22"/>
    <col min="8700" max="8700" width="18.140625" style="22" customWidth="1"/>
    <col min="8701" max="8701" width="8.42578125" style="22" bestFit="1" customWidth="1"/>
    <col min="8702" max="8702" width="8" style="22" bestFit="1" customWidth="1"/>
    <col min="8703" max="8704" width="8" style="22" customWidth="1"/>
    <col min="8705" max="8705" width="8.28515625" style="22" bestFit="1" customWidth="1"/>
    <col min="8706" max="8706" width="8" style="22" bestFit="1" customWidth="1"/>
    <col min="8707" max="8709" width="8" style="22" customWidth="1"/>
    <col min="8710" max="8715" width="0" style="22" hidden="1" customWidth="1"/>
    <col min="8716" max="8716" width="7.85546875" style="22" customWidth="1"/>
    <col min="8717" max="8955" width="11.42578125" style="22"/>
    <col min="8956" max="8956" width="18.140625" style="22" customWidth="1"/>
    <col min="8957" max="8957" width="8.42578125" style="22" bestFit="1" customWidth="1"/>
    <col min="8958" max="8958" width="8" style="22" bestFit="1" customWidth="1"/>
    <col min="8959" max="8960" width="8" style="22" customWidth="1"/>
    <col min="8961" max="8961" width="8.28515625" style="22" bestFit="1" customWidth="1"/>
    <col min="8962" max="8962" width="8" style="22" bestFit="1" customWidth="1"/>
    <col min="8963" max="8965" width="8" style="22" customWidth="1"/>
    <col min="8966" max="8971" width="0" style="22" hidden="1" customWidth="1"/>
    <col min="8972" max="8972" width="7.85546875" style="22" customWidth="1"/>
    <col min="8973" max="9211" width="11.42578125" style="22"/>
    <col min="9212" max="9212" width="18.140625" style="22" customWidth="1"/>
    <col min="9213" max="9213" width="8.42578125" style="22" bestFit="1" customWidth="1"/>
    <col min="9214" max="9214" width="8" style="22" bestFit="1" customWidth="1"/>
    <col min="9215" max="9216" width="8" style="22" customWidth="1"/>
    <col min="9217" max="9217" width="8.28515625" style="22" bestFit="1" customWidth="1"/>
    <col min="9218" max="9218" width="8" style="22" bestFit="1" customWidth="1"/>
    <col min="9219" max="9221" width="8" style="22" customWidth="1"/>
    <col min="9222" max="9227" width="0" style="22" hidden="1" customWidth="1"/>
    <col min="9228" max="9228" width="7.85546875" style="22" customWidth="1"/>
    <col min="9229" max="9467" width="11.42578125" style="22"/>
    <col min="9468" max="9468" width="18.140625" style="22" customWidth="1"/>
    <col min="9469" max="9469" width="8.42578125" style="22" bestFit="1" customWidth="1"/>
    <col min="9470" max="9470" width="8" style="22" bestFit="1" customWidth="1"/>
    <col min="9471" max="9472" width="8" style="22" customWidth="1"/>
    <col min="9473" max="9473" width="8.28515625" style="22" bestFit="1" customWidth="1"/>
    <col min="9474" max="9474" width="8" style="22" bestFit="1" customWidth="1"/>
    <col min="9475" max="9477" width="8" style="22" customWidth="1"/>
    <col min="9478" max="9483" width="0" style="22" hidden="1" customWidth="1"/>
    <col min="9484" max="9484" width="7.85546875" style="22" customWidth="1"/>
    <col min="9485" max="9723" width="11.42578125" style="22"/>
    <col min="9724" max="9724" width="18.140625" style="22" customWidth="1"/>
    <col min="9725" max="9725" width="8.42578125" style="22" bestFit="1" customWidth="1"/>
    <col min="9726" max="9726" width="8" style="22" bestFit="1" customWidth="1"/>
    <col min="9727" max="9728" width="8" style="22" customWidth="1"/>
    <col min="9729" max="9729" width="8.28515625" style="22" bestFit="1" customWidth="1"/>
    <col min="9730" max="9730" width="8" style="22" bestFit="1" customWidth="1"/>
    <col min="9731" max="9733" width="8" style="22" customWidth="1"/>
    <col min="9734" max="9739" width="0" style="22" hidden="1" customWidth="1"/>
    <col min="9740" max="9740" width="7.85546875" style="22" customWidth="1"/>
    <col min="9741" max="9979" width="11.42578125" style="22"/>
    <col min="9980" max="9980" width="18.140625" style="22" customWidth="1"/>
    <col min="9981" max="9981" width="8.42578125" style="22" bestFit="1" customWidth="1"/>
    <col min="9982" max="9982" width="8" style="22" bestFit="1" customWidth="1"/>
    <col min="9983" max="9984" width="8" style="22" customWidth="1"/>
    <col min="9985" max="9985" width="8.28515625" style="22" bestFit="1" customWidth="1"/>
    <col min="9986" max="9986" width="8" style="22" bestFit="1" customWidth="1"/>
    <col min="9987" max="9989" width="8" style="22" customWidth="1"/>
    <col min="9990" max="9995" width="0" style="22" hidden="1" customWidth="1"/>
    <col min="9996" max="9996" width="7.85546875" style="22" customWidth="1"/>
    <col min="9997" max="10235" width="11.42578125" style="22"/>
    <col min="10236" max="10236" width="18.140625" style="22" customWidth="1"/>
    <col min="10237" max="10237" width="8.42578125" style="22" bestFit="1" customWidth="1"/>
    <col min="10238" max="10238" width="8" style="22" bestFit="1" customWidth="1"/>
    <col min="10239" max="10240" width="8" style="22" customWidth="1"/>
    <col min="10241" max="10241" width="8.28515625" style="22" bestFit="1" customWidth="1"/>
    <col min="10242" max="10242" width="8" style="22" bestFit="1" customWidth="1"/>
    <col min="10243" max="10245" width="8" style="22" customWidth="1"/>
    <col min="10246" max="10251" width="0" style="22" hidden="1" customWidth="1"/>
    <col min="10252" max="10252" width="7.85546875" style="22" customWidth="1"/>
    <col min="10253" max="10491" width="11.42578125" style="22"/>
    <col min="10492" max="10492" width="18.140625" style="22" customWidth="1"/>
    <col min="10493" max="10493" width="8.42578125" style="22" bestFit="1" customWidth="1"/>
    <col min="10494" max="10494" width="8" style="22" bestFit="1" customWidth="1"/>
    <col min="10495" max="10496" width="8" style="22" customWidth="1"/>
    <col min="10497" max="10497" width="8.28515625" style="22" bestFit="1" customWidth="1"/>
    <col min="10498" max="10498" width="8" style="22" bestFit="1" customWidth="1"/>
    <col min="10499" max="10501" width="8" style="22" customWidth="1"/>
    <col min="10502" max="10507" width="0" style="22" hidden="1" customWidth="1"/>
    <col min="10508" max="10508" width="7.85546875" style="22" customWidth="1"/>
    <col min="10509" max="10747" width="11.42578125" style="22"/>
    <col min="10748" max="10748" width="18.140625" style="22" customWidth="1"/>
    <col min="10749" max="10749" width="8.42578125" style="22" bestFit="1" customWidth="1"/>
    <col min="10750" max="10750" width="8" style="22" bestFit="1" customWidth="1"/>
    <col min="10751" max="10752" width="8" style="22" customWidth="1"/>
    <col min="10753" max="10753" width="8.28515625" style="22" bestFit="1" customWidth="1"/>
    <col min="10754" max="10754" width="8" style="22" bestFit="1" customWidth="1"/>
    <col min="10755" max="10757" width="8" style="22" customWidth="1"/>
    <col min="10758" max="10763" width="0" style="22" hidden="1" customWidth="1"/>
    <col min="10764" max="10764" width="7.85546875" style="22" customWidth="1"/>
    <col min="10765" max="11003" width="11.42578125" style="22"/>
    <col min="11004" max="11004" width="18.140625" style="22" customWidth="1"/>
    <col min="11005" max="11005" width="8.42578125" style="22" bestFit="1" customWidth="1"/>
    <col min="11006" max="11006" width="8" style="22" bestFit="1" customWidth="1"/>
    <col min="11007" max="11008" width="8" style="22" customWidth="1"/>
    <col min="11009" max="11009" width="8.28515625" style="22" bestFit="1" customWidth="1"/>
    <col min="11010" max="11010" width="8" style="22" bestFit="1" customWidth="1"/>
    <col min="11011" max="11013" width="8" style="22" customWidth="1"/>
    <col min="11014" max="11019" width="0" style="22" hidden="1" customWidth="1"/>
    <col min="11020" max="11020" width="7.85546875" style="22" customWidth="1"/>
    <col min="11021" max="11259" width="11.42578125" style="22"/>
    <col min="11260" max="11260" width="18.140625" style="22" customWidth="1"/>
    <col min="11261" max="11261" width="8.42578125" style="22" bestFit="1" customWidth="1"/>
    <col min="11262" max="11262" width="8" style="22" bestFit="1" customWidth="1"/>
    <col min="11263" max="11264" width="8" style="22" customWidth="1"/>
    <col min="11265" max="11265" width="8.28515625" style="22" bestFit="1" customWidth="1"/>
    <col min="11266" max="11266" width="8" style="22" bestFit="1" customWidth="1"/>
    <col min="11267" max="11269" width="8" style="22" customWidth="1"/>
    <col min="11270" max="11275" width="0" style="22" hidden="1" customWidth="1"/>
    <col min="11276" max="11276" width="7.85546875" style="22" customWidth="1"/>
    <col min="11277" max="11515" width="11.42578125" style="22"/>
    <col min="11516" max="11516" width="18.140625" style="22" customWidth="1"/>
    <col min="11517" max="11517" width="8.42578125" style="22" bestFit="1" customWidth="1"/>
    <col min="11518" max="11518" width="8" style="22" bestFit="1" customWidth="1"/>
    <col min="11519" max="11520" width="8" style="22" customWidth="1"/>
    <col min="11521" max="11521" width="8.28515625" style="22" bestFit="1" customWidth="1"/>
    <col min="11522" max="11522" width="8" style="22" bestFit="1" customWidth="1"/>
    <col min="11523" max="11525" width="8" style="22" customWidth="1"/>
    <col min="11526" max="11531" width="0" style="22" hidden="1" customWidth="1"/>
    <col min="11532" max="11532" width="7.85546875" style="22" customWidth="1"/>
    <col min="11533" max="11771" width="11.42578125" style="22"/>
    <col min="11772" max="11772" width="18.140625" style="22" customWidth="1"/>
    <col min="11773" max="11773" width="8.42578125" style="22" bestFit="1" customWidth="1"/>
    <col min="11774" max="11774" width="8" style="22" bestFit="1" customWidth="1"/>
    <col min="11775" max="11776" width="8" style="22" customWidth="1"/>
    <col min="11777" max="11777" width="8.28515625" style="22" bestFit="1" customWidth="1"/>
    <col min="11778" max="11778" width="8" style="22" bestFit="1" customWidth="1"/>
    <col min="11779" max="11781" width="8" style="22" customWidth="1"/>
    <col min="11782" max="11787" width="0" style="22" hidden="1" customWidth="1"/>
    <col min="11788" max="11788" width="7.85546875" style="22" customWidth="1"/>
    <col min="11789" max="12027" width="11.42578125" style="22"/>
    <col min="12028" max="12028" width="18.140625" style="22" customWidth="1"/>
    <col min="12029" max="12029" width="8.42578125" style="22" bestFit="1" customWidth="1"/>
    <col min="12030" max="12030" width="8" style="22" bestFit="1" customWidth="1"/>
    <col min="12031" max="12032" width="8" style="22" customWidth="1"/>
    <col min="12033" max="12033" width="8.28515625" style="22" bestFit="1" customWidth="1"/>
    <col min="12034" max="12034" width="8" style="22" bestFit="1" customWidth="1"/>
    <col min="12035" max="12037" width="8" style="22" customWidth="1"/>
    <col min="12038" max="12043" width="0" style="22" hidden="1" customWidth="1"/>
    <col min="12044" max="12044" width="7.85546875" style="22" customWidth="1"/>
    <col min="12045" max="12283" width="11.42578125" style="22"/>
    <col min="12284" max="12284" width="18.140625" style="22" customWidth="1"/>
    <col min="12285" max="12285" width="8.42578125" style="22" bestFit="1" customWidth="1"/>
    <col min="12286" max="12286" width="8" style="22" bestFit="1" customWidth="1"/>
    <col min="12287" max="12288" width="8" style="22" customWidth="1"/>
    <col min="12289" max="12289" width="8.28515625" style="22" bestFit="1" customWidth="1"/>
    <col min="12290" max="12290" width="8" style="22" bestFit="1" customWidth="1"/>
    <col min="12291" max="12293" width="8" style="22" customWidth="1"/>
    <col min="12294" max="12299" width="0" style="22" hidden="1" customWidth="1"/>
    <col min="12300" max="12300" width="7.85546875" style="22" customWidth="1"/>
    <col min="12301" max="12539" width="11.42578125" style="22"/>
    <col min="12540" max="12540" width="18.140625" style="22" customWidth="1"/>
    <col min="12541" max="12541" width="8.42578125" style="22" bestFit="1" customWidth="1"/>
    <col min="12542" max="12542" width="8" style="22" bestFit="1" customWidth="1"/>
    <col min="12543" max="12544" width="8" style="22" customWidth="1"/>
    <col min="12545" max="12545" width="8.28515625" style="22" bestFit="1" customWidth="1"/>
    <col min="12546" max="12546" width="8" style="22" bestFit="1" customWidth="1"/>
    <col min="12547" max="12549" width="8" style="22" customWidth="1"/>
    <col min="12550" max="12555" width="0" style="22" hidden="1" customWidth="1"/>
    <col min="12556" max="12556" width="7.85546875" style="22" customWidth="1"/>
    <col min="12557" max="12795" width="11.42578125" style="22"/>
    <col min="12796" max="12796" width="18.140625" style="22" customWidth="1"/>
    <col min="12797" max="12797" width="8.42578125" style="22" bestFit="1" customWidth="1"/>
    <col min="12798" max="12798" width="8" style="22" bestFit="1" customWidth="1"/>
    <col min="12799" max="12800" width="8" style="22" customWidth="1"/>
    <col min="12801" max="12801" width="8.28515625" style="22" bestFit="1" customWidth="1"/>
    <col min="12802" max="12802" width="8" style="22" bestFit="1" customWidth="1"/>
    <col min="12803" max="12805" width="8" style="22" customWidth="1"/>
    <col min="12806" max="12811" width="0" style="22" hidden="1" customWidth="1"/>
    <col min="12812" max="12812" width="7.85546875" style="22" customWidth="1"/>
    <col min="12813" max="13051" width="11.42578125" style="22"/>
    <col min="13052" max="13052" width="18.140625" style="22" customWidth="1"/>
    <col min="13053" max="13053" width="8.42578125" style="22" bestFit="1" customWidth="1"/>
    <col min="13054" max="13054" width="8" style="22" bestFit="1" customWidth="1"/>
    <col min="13055" max="13056" width="8" style="22" customWidth="1"/>
    <col min="13057" max="13057" width="8.28515625" style="22" bestFit="1" customWidth="1"/>
    <col min="13058" max="13058" width="8" style="22" bestFit="1" customWidth="1"/>
    <col min="13059" max="13061" width="8" style="22" customWidth="1"/>
    <col min="13062" max="13067" width="0" style="22" hidden="1" customWidth="1"/>
    <col min="13068" max="13068" width="7.85546875" style="22" customWidth="1"/>
    <col min="13069" max="13307" width="11.42578125" style="22"/>
    <col min="13308" max="13308" width="18.140625" style="22" customWidth="1"/>
    <col min="13309" max="13309" width="8.42578125" style="22" bestFit="1" customWidth="1"/>
    <col min="13310" max="13310" width="8" style="22" bestFit="1" customWidth="1"/>
    <col min="13311" max="13312" width="8" style="22" customWidth="1"/>
    <col min="13313" max="13313" width="8.28515625" style="22" bestFit="1" customWidth="1"/>
    <col min="13314" max="13314" width="8" style="22" bestFit="1" customWidth="1"/>
    <col min="13315" max="13317" width="8" style="22" customWidth="1"/>
    <col min="13318" max="13323" width="0" style="22" hidden="1" customWidth="1"/>
    <col min="13324" max="13324" width="7.85546875" style="22" customWidth="1"/>
    <col min="13325" max="13563" width="11.42578125" style="22"/>
    <col min="13564" max="13564" width="18.140625" style="22" customWidth="1"/>
    <col min="13565" max="13565" width="8.42578125" style="22" bestFit="1" customWidth="1"/>
    <col min="13566" max="13566" width="8" style="22" bestFit="1" customWidth="1"/>
    <col min="13567" max="13568" width="8" style="22" customWidth="1"/>
    <col min="13569" max="13569" width="8.28515625" style="22" bestFit="1" customWidth="1"/>
    <col min="13570" max="13570" width="8" style="22" bestFit="1" customWidth="1"/>
    <col min="13571" max="13573" width="8" style="22" customWidth="1"/>
    <col min="13574" max="13579" width="0" style="22" hidden="1" customWidth="1"/>
    <col min="13580" max="13580" width="7.85546875" style="22" customWidth="1"/>
    <col min="13581" max="13819" width="11.42578125" style="22"/>
    <col min="13820" max="13820" width="18.140625" style="22" customWidth="1"/>
    <col min="13821" max="13821" width="8.42578125" style="22" bestFit="1" customWidth="1"/>
    <col min="13822" max="13822" width="8" style="22" bestFit="1" customWidth="1"/>
    <col min="13823" max="13824" width="8" style="22" customWidth="1"/>
    <col min="13825" max="13825" width="8.28515625" style="22" bestFit="1" customWidth="1"/>
    <col min="13826" max="13826" width="8" style="22" bestFit="1" customWidth="1"/>
    <col min="13827" max="13829" width="8" style="22" customWidth="1"/>
    <col min="13830" max="13835" width="0" style="22" hidden="1" customWidth="1"/>
    <col min="13836" max="13836" width="7.85546875" style="22" customWidth="1"/>
    <col min="13837" max="14075" width="11.42578125" style="22"/>
    <col min="14076" max="14076" width="18.140625" style="22" customWidth="1"/>
    <col min="14077" max="14077" width="8.42578125" style="22" bestFit="1" customWidth="1"/>
    <col min="14078" max="14078" width="8" style="22" bestFit="1" customWidth="1"/>
    <col min="14079" max="14080" width="8" style="22" customWidth="1"/>
    <col min="14081" max="14081" width="8.28515625" style="22" bestFit="1" customWidth="1"/>
    <col min="14082" max="14082" width="8" style="22" bestFit="1" customWidth="1"/>
    <col min="14083" max="14085" width="8" style="22" customWidth="1"/>
    <col min="14086" max="14091" width="0" style="22" hidden="1" customWidth="1"/>
    <col min="14092" max="14092" width="7.85546875" style="22" customWidth="1"/>
    <col min="14093" max="14331" width="11.42578125" style="22"/>
    <col min="14332" max="14332" width="18.140625" style="22" customWidth="1"/>
    <col min="14333" max="14333" width="8.42578125" style="22" bestFit="1" customWidth="1"/>
    <col min="14334" max="14334" width="8" style="22" bestFit="1" customWidth="1"/>
    <col min="14335" max="14336" width="8" style="22" customWidth="1"/>
    <col min="14337" max="14337" width="8.28515625" style="22" bestFit="1" customWidth="1"/>
    <col min="14338" max="14338" width="8" style="22" bestFit="1" customWidth="1"/>
    <col min="14339" max="14341" width="8" style="22" customWidth="1"/>
    <col min="14342" max="14347" width="0" style="22" hidden="1" customWidth="1"/>
    <col min="14348" max="14348" width="7.85546875" style="22" customWidth="1"/>
    <col min="14349" max="14587" width="11.42578125" style="22"/>
    <col min="14588" max="14588" width="18.140625" style="22" customWidth="1"/>
    <col min="14589" max="14589" width="8.42578125" style="22" bestFit="1" customWidth="1"/>
    <col min="14590" max="14590" width="8" style="22" bestFit="1" customWidth="1"/>
    <col min="14591" max="14592" width="8" style="22" customWidth="1"/>
    <col min="14593" max="14593" width="8.28515625" style="22" bestFit="1" customWidth="1"/>
    <col min="14594" max="14594" width="8" style="22" bestFit="1" customWidth="1"/>
    <col min="14595" max="14597" width="8" style="22" customWidth="1"/>
    <col min="14598" max="14603" width="0" style="22" hidden="1" customWidth="1"/>
    <col min="14604" max="14604" width="7.85546875" style="22" customWidth="1"/>
    <col min="14605" max="14843" width="11.42578125" style="22"/>
    <col min="14844" max="14844" width="18.140625" style="22" customWidth="1"/>
    <col min="14845" max="14845" width="8.42578125" style="22" bestFit="1" customWidth="1"/>
    <col min="14846" max="14846" width="8" style="22" bestFit="1" customWidth="1"/>
    <col min="14847" max="14848" width="8" style="22" customWidth="1"/>
    <col min="14849" max="14849" width="8.28515625" style="22" bestFit="1" customWidth="1"/>
    <col min="14850" max="14850" width="8" style="22" bestFit="1" customWidth="1"/>
    <col min="14851" max="14853" width="8" style="22" customWidth="1"/>
    <col min="14854" max="14859" width="0" style="22" hidden="1" customWidth="1"/>
    <col min="14860" max="14860" width="7.85546875" style="22" customWidth="1"/>
    <col min="14861" max="15099" width="11.42578125" style="22"/>
    <col min="15100" max="15100" width="18.140625" style="22" customWidth="1"/>
    <col min="15101" max="15101" width="8.42578125" style="22" bestFit="1" customWidth="1"/>
    <col min="15102" max="15102" width="8" style="22" bestFit="1" customWidth="1"/>
    <col min="15103" max="15104" width="8" style="22" customWidth="1"/>
    <col min="15105" max="15105" width="8.28515625" style="22" bestFit="1" customWidth="1"/>
    <col min="15106" max="15106" width="8" style="22" bestFit="1" customWidth="1"/>
    <col min="15107" max="15109" width="8" style="22" customWidth="1"/>
    <col min="15110" max="15115" width="0" style="22" hidden="1" customWidth="1"/>
    <col min="15116" max="15116" width="7.85546875" style="22" customWidth="1"/>
    <col min="15117" max="15355" width="11.42578125" style="22"/>
    <col min="15356" max="15356" width="18.140625" style="22" customWidth="1"/>
    <col min="15357" max="15357" width="8.42578125" style="22" bestFit="1" customWidth="1"/>
    <col min="15358" max="15358" width="8" style="22" bestFit="1" customWidth="1"/>
    <col min="15359" max="15360" width="8" style="22" customWidth="1"/>
    <col min="15361" max="15361" width="8.28515625" style="22" bestFit="1" customWidth="1"/>
    <col min="15362" max="15362" width="8" style="22" bestFit="1" customWidth="1"/>
    <col min="15363" max="15365" width="8" style="22" customWidth="1"/>
    <col min="15366" max="15371" width="0" style="22" hidden="1" customWidth="1"/>
    <col min="15372" max="15372" width="7.85546875" style="22" customWidth="1"/>
    <col min="15373" max="15611" width="11.42578125" style="22"/>
    <col min="15612" max="15612" width="18.140625" style="22" customWidth="1"/>
    <col min="15613" max="15613" width="8.42578125" style="22" bestFit="1" customWidth="1"/>
    <col min="15614" max="15614" width="8" style="22" bestFit="1" customWidth="1"/>
    <col min="15615" max="15616" width="8" style="22" customWidth="1"/>
    <col min="15617" max="15617" width="8.28515625" style="22" bestFit="1" customWidth="1"/>
    <col min="15618" max="15618" width="8" style="22" bestFit="1" customWidth="1"/>
    <col min="15619" max="15621" width="8" style="22" customWidth="1"/>
    <col min="15622" max="15627" width="0" style="22" hidden="1" customWidth="1"/>
    <col min="15628" max="15628" width="7.85546875" style="22" customWidth="1"/>
    <col min="15629" max="15867" width="11.42578125" style="22"/>
    <col min="15868" max="15868" width="18.140625" style="22" customWidth="1"/>
    <col min="15869" max="15869" width="8.42578125" style="22" bestFit="1" customWidth="1"/>
    <col min="15870" max="15870" width="8" style="22" bestFit="1" customWidth="1"/>
    <col min="15871" max="15872" width="8" style="22" customWidth="1"/>
    <col min="15873" max="15873" width="8.28515625" style="22" bestFit="1" customWidth="1"/>
    <col min="15874" max="15874" width="8" style="22" bestFit="1" customWidth="1"/>
    <col min="15875" max="15877" width="8" style="22" customWidth="1"/>
    <col min="15878" max="15883" width="0" style="22" hidden="1" customWidth="1"/>
    <col min="15884" max="15884" width="7.85546875" style="22" customWidth="1"/>
    <col min="15885" max="16123" width="11.42578125" style="22"/>
    <col min="16124" max="16124" width="18.140625" style="22" customWidth="1"/>
    <col min="16125" max="16125" width="8.42578125" style="22" bestFit="1" customWidth="1"/>
    <col min="16126" max="16126" width="8" style="22" bestFit="1" customWidth="1"/>
    <col min="16127" max="16128" width="8" style="22" customWidth="1"/>
    <col min="16129" max="16129" width="8.28515625" style="22" bestFit="1" customWidth="1"/>
    <col min="16130" max="16130" width="8" style="22" bestFit="1" customWidth="1"/>
    <col min="16131" max="16133" width="8" style="22" customWidth="1"/>
    <col min="16134" max="16139" width="0" style="22" hidden="1" customWidth="1"/>
    <col min="16140" max="16140" width="7.85546875" style="22" customWidth="1"/>
    <col min="16141" max="16384" width="11.42578125" style="22"/>
  </cols>
  <sheetData>
    <row r="1" spans="1:16" s="23" customFormat="1" x14ac:dyDescent="0.2">
      <c r="B1" s="21"/>
      <c r="C1" s="21"/>
      <c r="D1" s="21"/>
      <c r="E1" s="21"/>
      <c r="F1" s="21"/>
      <c r="G1" s="21"/>
      <c r="H1" s="21"/>
      <c r="I1" s="21"/>
      <c r="J1" s="21"/>
      <c r="K1" s="21"/>
      <c r="L1" s="21"/>
    </row>
    <row r="2" spans="1:16" s="23" customFormat="1" x14ac:dyDescent="0.2">
      <c r="A2" s="40" t="s">
        <v>58</v>
      </c>
      <c r="B2" s="21"/>
      <c r="C2" s="21"/>
      <c r="D2" s="21"/>
      <c r="E2" s="21"/>
      <c r="F2" s="21"/>
      <c r="G2" s="21"/>
      <c r="H2" s="21"/>
      <c r="I2" s="21"/>
      <c r="K2" s="21"/>
      <c r="L2" s="21"/>
    </row>
    <row r="3" spans="1:16" s="23" customFormat="1" ht="15" x14ac:dyDescent="0.25">
      <c r="A3" s="40" t="s">
        <v>59</v>
      </c>
      <c r="B3" s="21"/>
      <c r="C3" s="21"/>
      <c r="D3" s="21"/>
      <c r="E3" s="21"/>
      <c r="F3" s="21"/>
      <c r="G3" s="21"/>
      <c r="H3" s="21"/>
      <c r="I3" s="21"/>
      <c r="J3" s="21"/>
      <c r="K3" s="88"/>
      <c r="L3" s="21"/>
    </row>
    <row r="4" spans="1:16" s="23" customFormat="1" x14ac:dyDescent="0.2">
      <c r="B4" s="21"/>
      <c r="C4" s="21"/>
      <c r="D4" s="21"/>
      <c r="E4" s="21"/>
      <c r="F4" s="21"/>
      <c r="G4" s="21"/>
      <c r="H4" s="21"/>
      <c r="I4" s="21"/>
      <c r="J4" s="21"/>
      <c r="K4" s="21"/>
      <c r="L4" s="21"/>
    </row>
    <row r="5" spans="1:16" s="23" customFormat="1" ht="12.75" x14ac:dyDescent="0.2">
      <c r="B5" s="344" t="s">
        <v>567</v>
      </c>
      <c r="C5" s="344"/>
      <c r="D5" s="344"/>
      <c r="E5" s="344"/>
      <c r="F5" s="344"/>
      <c r="G5" s="344"/>
      <c r="H5" s="344"/>
      <c r="I5" s="344"/>
      <c r="J5" s="344"/>
      <c r="K5" s="344"/>
      <c r="M5" s="110" t="s">
        <v>509</v>
      </c>
      <c r="O5" s="89"/>
    </row>
    <row r="6" spans="1:16" s="23" customFormat="1" ht="12.75" x14ac:dyDescent="0.2">
      <c r="B6" s="374" t="str">
        <f>'Solicitudes Regiones'!$B$6:$R$6</f>
        <v>Julio de 2008 a junio de 2022</v>
      </c>
      <c r="C6" s="374"/>
      <c r="D6" s="374"/>
      <c r="E6" s="374"/>
      <c r="F6" s="374"/>
      <c r="G6" s="374"/>
      <c r="H6" s="374"/>
      <c r="I6" s="374"/>
      <c r="J6" s="374"/>
      <c r="K6" s="374"/>
      <c r="L6" s="48"/>
    </row>
    <row r="7" spans="1:16" s="26" customFormat="1" x14ac:dyDescent="0.2">
      <c r="B7" s="24"/>
      <c r="C7" s="25"/>
      <c r="D7" s="25"/>
      <c r="E7" s="25"/>
      <c r="F7" s="25"/>
      <c r="G7" s="25"/>
      <c r="H7" s="25"/>
      <c r="I7" s="25"/>
      <c r="J7" s="25"/>
      <c r="K7" s="25"/>
      <c r="L7" s="25"/>
    </row>
    <row r="8" spans="1:16" ht="15" customHeight="1" x14ac:dyDescent="0.2">
      <c r="B8" s="373" t="s">
        <v>595</v>
      </c>
      <c r="C8" s="373"/>
      <c r="D8" s="373"/>
      <c r="E8" s="373"/>
      <c r="F8" s="373"/>
      <c r="G8" s="373"/>
      <c r="H8" s="373"/>
      <c r="I8" s="373"/>
      <c r="J8" s="373"/>
      <c r="K8" s="373"/>
      <c r="L8" s="373"/>
      <c r="M8" s="373"/>
    </row>
    <row r="9" spans="1:16" ht="20.25" customHeight="1" x14ac:dyDescent="0.2">
      <c r="B9" s="373" t="s">
        <v>41</v>
      </c>
      <c r="C9" s="370" t="s">
        <v>544</v>
      </c>
      <c r="D9" s="371"/>
      <c r="E9" s="371"/>
      <c r="F9" s="371"/>
      <c r="G9" s="371"/>
      <c r="H9" s="371"/>
      <c r="I9" s="371"/>
      <c r="J9" s="371"/>
      <c r="K9" s="371"/>
      <c r="L9" s="372"/>
      <c r="M9" s="307"/>
    </row>
    <row r="10" spans="1:16" ht="48" x14ac:dyDescent="0.2">
      <c r="B10" s="373"/>
      <c r="C10" s="20" t="s">
        <v>540</v>
      </c>
      <c r="D10" s="20" t="s">
        <v>42</v>
      </c>
      <c r="E10" s="20" t="s">
        <v>553</v>
      </c>
      <c r="F10" s="20" t="s">
        <v>554</v>
      </c>
      <c r="G10" s="20" t="s">
        <v>542</v>
      </c>
      <c r="H10" s="20" t="s">
        <v>2</v>
      </c>
      <c r="I10" s="20" t="s">
        <v>43</v>
      </c>
      <c r="J10" s="20" t="s">
        <v>549</v>
      </c>
      <c r="K10" s="296" t="s">
        <v>550</v>
      </c>
      <c r="L10" s="296" t="s">
        <v>523</v>
      </c>
      <c r="M10" s="296" t="s">
        <v>641</v>
      </c>
    </row>
    <row r="11" spans="1:16" x14ac:dyDescent="0.2">
      <c r="B11" s="16" t="s">
        <v>348</v>
      </c>
      <c r="C11" s="16">
        <v>3514</v>
      </c>
      <c r="D11" s="16">
        <v>1546</v>
      </c>
      <c r="E11" s="16">
        <f>C11+D11</f>
        <v>5060</v>
      </c>
      <c r="F11" s="17">
        <f>E11/$E$22</f>
        <v>0.72100313479623823</v>
      </c>
      <c r="G11" s="16">
        <v>13575</v>
      </c>
      <c r="H11" s="16">
        <v>3255</v>
      </c>
      <c r="I11" s="16">
        <v>852</v>
      </c>
      <c r="J11" s="16">
        <v>17682</v>
      </c>
      <c r="K11" s="17">
        <f>J11/$J$22</f>
        <v>0.80935597564883055</v>
      </c>
      <c r="L11" s="16">
        <v>0</v>
      </c>
      <c r="M11" s="16">
        <f>L11+J11+E11</f>
        <v>22742</v>
      </c>
      <c r="P11" s="53"/>
    </row>
    <row r="12" spans="1:16" x14ac:dyDescent="0.2">
      <c r="B12" s="16" t="s">
        <v>349</v>
      </c>
      <c r="C12" s="16">
        <v>2</v>
      </c>
      <c r="D12" s="16">
        <v>1</v>
      </c>
      <c r="E12" s="16">
        <f t="shared" ref="E12:E21" si="0">C12+D12</f>
        <v>3</v>
      </c>
      <c r="F12" s="17"/>
      <c r="G12" s="16">
        <v>12</v>
      </c>
      <c r="H12" s="16">
        <v>0</v>
      </c>
      <c r="I12" s="16">
        <v>1</v>
      </c>
      <c r="J12" s="16">
        <v>13</v>
      </c>
      <c r="K12" s="17">
        <f t="shared" ref="K12:K22" si="1">J12/$J$22</f>
        <v>5.9504737492561911E-4</v>
      </c>
      <c r="L12" s="16">
        <v>0</v>
      </c>
      <c r="M12" s="16">
        <f t="shared" ref="M12:M21" si="2">L12+J12+E12</f>
        <v>16</v>
      </c>
      <c r="P12" s="53"/>
    </row>
    <row r="13" spans="1:16" x14ac:dyDescent="0.2">
      <c r="B13" s="16" t="s">
        <v>350</v>
      </c>
      <c r="C13" s="16">
        <v>1</v>
      </c>
      <c r="D13" s="16">
        <v>0</v>
      </c>
      <c r="E13" s="16">
        <f t="shared" si="0"/>
        <v>1</v>
      </c>
      <c r="F13" s="17">
        <f t="shared" ref="F13:F20" si="3">E13/$E$22</f>
        <v>1.4249073810202338E-4</v>
      </c>
      <c r="G13" s="16">
        <v>9</v>
      </c>
      <c r="H13" s="16">
        <v>0</v>
      </c>
      <c r="I13" s="16">
        <v>2</v>
      </c>
      <c r="J13" s="16">
        <v>11</v>
      </c>
      <c r="K13" s="17">
        <f t="shared" si="1"/>
        <v>5.0350162493706233E-4</v>
      </c>
      <c r="L13" s="16">
        <v>0</v>
      </c>
      <c r="M13" s="16">
        <f t="shared" si="2"/>
        <v>12</v>
      </c>
      <c r="P13" s="53"/>
    </row>
    <row r="14" spans="1:16" x14ac:dyDescent="0.2">
      <c r="B14" s="16" t="s">
        <v>351</v>
      </c>
      <c r="C14" s="16">
        <v>6</v>
      </c>
      <c r="D14" s="16">
        <v>0</v>
      </c>
      <c r="E14" s="16">
        <f t="shared" si="0"/>
        <v>6</v>
      </c>
      <c r="F14" s="17">
        <f t="shared" si="3"/>
        <v>8.549444286121402E-4</v>
      </c>
      <c r="G14" s="16">
        <v>23</v>
      </c>
      <c r="H14" s="16">
        <v>2</v>
      </c>
      <c r="I14" s="16">
        <v>1</v>
      </c>
      <c r="J14" s="16">
        <v>26</v>
      </c>
      <c r="K14" s="17">
        <f t="shared" si="1"/>
        <v>1.1900947498512382E-3</v>
      </c>
      <c r="L14" s="16">
        <v>0</v>
      </c>
      <c r="M14" s="16">
        <f t="shared" si="2"/>
        <v>32</v>
      </c>
      <c r="P14" s="53"/>
    </row>
    <row r="15" spans="1:16" x14ac:dyDescent="0.2">
      <c r="B15" s="16" t="s">
        <v>352</v>
      </c>
      <c r="C15" s="16">
        <v>18</v>
      </c>
      <c r="D15" s="16">
        <v>9</v>
      </c>
      <c r="E15" s="16">
        <f t="shared" si="0"/>
        <v>27</v>
      </c>
      <c r="F15" s="17"/>
      <c r="G15" s="16">
        <v>77</v>
      </c>
      <c r="H15" s="16">
        <v>14</v>
      </c>
      <c r="I15" s="16">
        <v>8</v>
      </c>
      <c r="J15" s="16">
        <v>99</v>
      </c>
      <c r="K15" s="17">
        <f t="shared" si="1"/>
        <v>4.5315146244335608E-3</v>
      </c>
      <c r="L15" s="16">
        <v>0</v>
      </c>
      <c r="M15" s="16">
        <f t="shared" si="2"/>
        <v>126</v>
      </c>
      <c r="P15" s="53"/>
    </row>
    <row r="16" spans="1:16" x14ac:dyDescent="0.2">
      <c r="B16" s="16" t="s">
        <v>353</v>
      </c>
      <c r="C16" s="16">
        <v>0</v>
      </c>
      <c r="D16" s="16">
        <v>0</v>
      </c>
      <c r="E16" s="16">
        <f t="shared" si="0"/>
        <v>0</v>
      </c>
      <c r="F16" s="17">
        <f t="shared" si="3"/>
        <v>0</v>
      </c>
      <c r="G16" s="16">
        <v>4</v>
      </c>
      <c r="H16" s="16">
        <v>0</v>
      </c>
      <c r="I16" s="16">
        <v>0</v>
      </c>
      <c r="J16" s="16">
        <v>4</v>
      </c>
      <c r="K16" s="17">
        <f t="shared" si="1"/>
        <v>1.8309149997711356E-4</v>
      </c>
      <c r="L16" s="16">
        <v>0</v>
      </c>
      <c r="M16" s="16">
        <f t="shared" si="2"/>
        <v>4</v>
      </c>
      <c r="P16" s="53"/>
    </row>
    <row r="17" spans="2:16" x14ac:dyDescent="0.2">
      <c r="B17" s="16" t="s">
        <v>354</v>
      </c>
      <c r="C17" s="16">
        <v>166</v>
      </c>
      <c r="D17" s="16">
        <v>65</v>
      </c>
      <c r="E17" s="16">
        <f t="shared" si="0"/>
        <v>231</v>
      </c>
      <c r="F17" s="17">
        <f t="shared" si="3"/>
        <v>3.2915360501567396E-2</v>
      </c>
      <c r="G17" s="16">
        <v>625</v>
      </c>
      <c r="H17" s="16">
        <v>108</v>
      </c>
      <c r="I17" s="16">
        <v>38</v>
      </c>
      <c r="J17" s="16">
        <v>771</v>
      </c>
      <c r="K17" s="17">
        <f t="shared" si="1"/>
        <v>3.5290886620588637E-2</v>
      </c>
      <c r="L17" s="16">
        <v>0</v>
      </c>
      <c r="M17" s="16">
        <f t="shared" si="2"/>
        <v>1002</v>
      </c>
      <c r="P17" s="53"/>
    </row>
    <row r="18" spans="2:16" x14ac:dyDescent="0.2">
      <c r="B18" s="16" t="s">
        <v>355</v>
      </c>
      <c r="C18" s="16">
        <v>9</v>
      </c>
      <c r="D18" s="16">
        <v>5</v>
      </c>
      <c r="E18" s="16">
        <f t="shared" si="0"/>
        <v>14</v>
      </c>
      <c r="F18" s="17">
        <f t="shared" si="3"/>
        <v>1.9948703334283272E-3</v>
      </c>
      <c r="G18" s="16">
        <v>39</v>
      </c>
      <c r="H18" s="16">
        <v>8</v>
      </c>
      <c r="I18" s="16">
        <v>2</v>
      </c>
      <c r="J18" s="16">
        <v>49</v>
      </c>
      <c r="K18" s="17">
        <f t="shared" si="1"/>
        <v>2.242870874719641E-3</v>
      </c>
      <c r="L18" s="16">
        <v>0</v>
      </c>
      <c r="M18" s="16">
        <f t="shared" si="2"/>
        <v>63</v>
      </c>
      <c r="P18" s="53"/>
    </row>
    <row r="19" spans="2:16" x14ac:dyDescent="0.2">
      <c r="B19" s="16" t="s">
        <v>356</v>
      </c>
      <c r="C19" s="16">
        <v>1</v>
      </c>
      <c r="D19" s="16">
        <v>0</v>
      </c>
      <c r="E19" s="16">
        <f t="shared" si="0"/>
        <v>1</v>
      </c>
      <c r="F19" s="17">
        <f t="shared" si="3"/>
        <v>1.4249073810202338E-4</v>
      </c>
      <c r="G19" s="16">
        <v>0</v>
      </c>
      <c r="H19" s="16">
        <v>0</v>
      </c>
      <c r="I19" s="16">
        <v>0</v>
      </c>
      <c r="J19" s="16">
        <v>0</v>
      </c>
      <c r="K19" s="17">
        <f t="shared" si="1"/>
        <v>0</v>
      </c>
      <c r="L19" s="16">
        <v>0</v>
      </c>
      <c r="M19" s="16">
        <f t="shared" si="2"/>
        <v>1</v>
      </c>
      <c r="P19" s="53"/>
    </row>
    <row r="20" spans="2:16" x14ac:dyDescent="0.2">
      <c r="B20" s="16" t="s">
        <v>357</v>
      </c>
      <c r="C20" s="16">
        <v>1240</v>
      </c>
      <c r="D20" s="16">
        <v>433</v>
      </c>
      <c r="E20" s="16">
        <f t="shared" si="0"/>
        <v>1673</v>
      </c>
      <c r="F20" s="17">
        <f t="shared" si="3"/>
        <v>0.23838700484468509</v>
      </c>
      <c r="G20" s="16">
        <v>2642</v>
      </c>
      <c r="H20" s="16">
        <v>410</v>
      </c>
      <c r="I20" s="16">
        <v>136</v>
      </c>
      <c r="J20" s="16">
        <v>3188</v>
      </c>
      <c r="K20" s="17">
        <f t="shared" si="1"/>
        <v>0.1459239254817595</v>
      </c>
      <c r="L20" s="16">
        <v>0</v>
      </c>
      <c r="M20" s="16">
        <f t="shared" si="2"/>
        <v>4861</v>
      </c>
      <c r="P20" s="53"/>
    </row>
    <row r="21" spans="2:16" x14ac:dyDescent="0.2">
      <c r="B21" s="16" t="s">
        <v>358</v>
      </c>
      <c r="C21" s="16">
        <v>2</v>
      </c>
      <c r="D21" s="16">
        <v>0</v>
      </c>
      <c r="E21" s="16">
        <f t="shared" si="0"/>
        <v>2</v>
      </c>
      <c r="F21" s="17"/>
      <c r="G21" s="16">
        <v>2</v>
      </c>
      <c r="H21" s="16">
        <v>2</v>
      </c>
      <c r="I21" s="16">
        <v>0</v>
      </c>
      <c r="J21" s="16">
        <v>4</v>
      </c>
      <c r="K21" s="17">
        <f t="shared" si="1"/>
        <v>1.8309149997711356E-4</v>
      </c>
      <c r="L21" s="16">
        <v>0</v>
      </c>
      <c r="M21" s="16">
        <f t="shared" si="2"/>
        <v>6</v>
      </c>
      <c r="P21" s="53"/>
    </row>
    <row r="22" spans="2:16" x14ac:dyDescent="0.2">
      <c r="B22" s="18" t="s">
        <v>39</v>
      </c>
      <c r="C22" s="16">
        <f t="shared" ref="C22:D22" si="4">SUM(C11:C21)</f>
        <v>4959</v>
      </c>
      <c r="D22" s="16">
        <f t="shared" si="4"/>
        <v>2059</v>
      </c>
      <c r="E22" s="18">
        <f t="shared" ref="E22" si="5">C22+D22</f>
        <v>7018</v>
      </c>
      <c r="F22" s="19">
        <f t="shared" ref="F22" si="6">E22/$E$22</f>
        <v>1</v>
      </c>
      <c r="G22" s="16">
        <f t="shared" ref="G22:J22" si="7">SUM(G11:G21)</f>
        <v>17008</v>
      </c>
      <c r="H22" s="16">
        <f t="shared" si="7"/>
        <v>3799</v>
      </c>
      <c r="I22" s="16">
        <f t="shared" si="7"/>
        <v>1040</v>
      </c>
      <c r="J22" s="16">
        <f t="shared" si="7"/>
        <v>21847</v>
      </c>
      <c r="K22" s="17">
        <f t="shared" si="1"/>
        <v>1</v>
      </c>
      <c r="L22" s="16">
        <f t="shared" ref="L22" si="8">SUM(L11:L21)</f>
        <v>0</v>
      </c>
      <c r="M22" s="18">
        <f>SUM(M11:M21)</f>
        <v>28865</v>
      </c>
    </row>
    <row r="23" spans="2:16" ht="25.5" customHeight="1" x14ac:dyDescent="0.2">
      <c r="B23" s="28" t="s">
        <v>44</v>
      </c>
      <c r="C23" s="29">
        <f>+C22/M22</f>
        <v>0.17179975749177204</v>
      </c>
      <c r="D23" s="29">
        <f>+D22/M22</f>
        <v>7.1332063052139266E-2</v>
      </c>
      <c r="E23" s="30">
        <f>+E22/M22</f>
        <v>0.2431318205439113</v>
      </c>
      <c r="F23" s="30"/>
      <c r="G23" s="29">
        <f>+G22/M22</f>
        <v>0.5892257058721635</v>
      </c>
      <c r="H23" s="29">
        <f>+H22/M22</f>
        <v>0.13161267971591895</v>
      </c>
      <c r="I23" s="29">
        <f>+I22/M22</f>
        <v>3.6029793868006234E-2</v>
      </c>
      <c r="J23" s="30">
        <f>+J22/M22</f>
        <v>0.75686817945608864</v>
      </c>
      <c r="K23" s="30"/>
      <c r="L23" s="30">
        <f>+L22/M22</f>
        <v>0</v>
      </c>
      <c r="M23" s="30">
        <f>J23+L23+E23</f>
        <v>1</v>
      </c>
    </row>
    <row r="24" spans="2:16" x14ac:dyDescent="0.2">
      <c r="B24" s="21"/>
      <c r="C24" s="34"/>
      <c r="D24" s="34"/>
      <c r="E24" s="34"/>
      <c r="F24" s="34"/>
      <c r="G24" s="34"/>
      <c r="H24" s="34"/>
      <c r="I24" s="34"/>
      <c r="J24" s="34"/>
      <c r="K24" s="34"/>
    </row>
    <row r="25" spans="2:16" ht="12.75" x14ac:dyDescent="0.2">
      <c r="B25" s="344" t="s">
        <v>568</v>
      </c>
      <c r="C25" s="344"/>
      <c r="D25" s="344"/>
      <c r="E25" s="344"/>
      <c r="F25" s="344"/>
      <c r="G25" s="344"/>
      <c r="H25" s="344"/>
      <c r="I25" s="344"/>
      <c r="J25" s="344"/>
      <c r="K25" s="344"/>
    </row>
    <row r="26" spans="2:16" ht="12.75" x14ac:dyDescent="0.2">
      <c r="B26" s="374" t="str">
        <f>'Solicitudes Regiones'!$B$6:$R$6</f>
        <v>Julio de 2008 a junio de 2022</v>
      </c>
      <c r="C26" s="374"/>
      <c r="D26" s="374"/>
      <c r="E26" s="374"/>
      <c r="F26" s="374"/>
      <c r="G26" s="374"/>
      <c r="H26" s="374"/>
      <c r="I26" s="374"/>
      <c r="J26" s="374"/>
      <c r="K26" s="374"/>
    </row>
    <row r="28" spans="2:16" ht="15" customHeight="1" x14ac:dyDescent="0.2">
      <c r="B28" s="373" t="s">
        <v>596</v>
      </c>
      <c r="C28" s="373"/>
      <c r="D28" s="373"/>
      <c r="E28" s="373"/>
      <c r="F28" s="373"/>
      <c r="G28" s="373"/>
      <c r="H28" s="373"/>
      <c r="I28" s="373"/>
      <c r="J28" s="373"/>
      <c r="K28" s="373"/>
      <c r="L28" s="373"/>
      <c r="M28" s="373"/>
    </row>
    <row r="29" spans="2:16" ht="15" customHeight="1" x14ac:dyDescent="0.2">
      <c r="B29" s="373" t="s">
        <v>41</v>
      </c>
      <c r="C29" s="370" t="s">
        <v>544</v>
      </c>
      <c r="D29" s="371"/>
      <c r="E29" s="371"/>
      <c r="F29" s="371"/>
      <c r="G29" s="371"/>
      <c r="H29" s="371"/>
      <c r="I29" s="371"/>
      <c r="J29" s="371"/>
      <c r="K29" s="371"/>
      <c r="L29" s="372"/>
      <c r="M29" s="307"/>
    </row>
    <row r="30" spans="2:16" ht="48" x14ac:dyDescent="0.2">
      <c r="B30" s="373"/>
      <c r="C30" s="20" t="s">
        <v>540</v>
      </c>
      <c r="D30" s="20" t="s">
        <v>42</v>
      </c>
      <c r="E30" s="20" t="s">
        <v>553</v>
      </c>
      <c r="F30" s="20" t="s">
        <v>554</v>
      </c>
      <c r="G30" s="20" t="s">
        <v>542</v>
      </c>
      <c r="H30" s="20" t="s">
        <v>2</v>
      </c>
      <c r="I30" s="20" t="s">
        <v>43</v>
      </c>
      <c r="J30" s="20" t="s">
        <v>549</v>
      </c>
      <c r="K30" s="296" t="s">
        <v>550</v>
      </c>
      <c r="L30" s="296" t="s">
        <v>523</v>
      </c>
      <c r="M30" s="296" t="s">
        <v>641</v>
      </c>
    </row>
    <row r="31" spans="2:16" x14ac:dyDescent="0.2">
      <c r="B31" s="16" t="s">
        <v>348</v>
      </c>
      <c r="C31" s="16">
        <v>2988</v>
      </c>
      <c r="D31" s="16">
        <v>1031</v>
      </c>
      <c r="E31" s="16">
        <f>C31+D31</f>
        <v>4019</v>
      </c>
      <c r="F31" s="17">
        <f>E31/$E$42</f>
        <v>0.71793497677742046</v>
      </c>
      <c r="G31" s="16">
        <v>10859</v>
      </c>
      <c r="H31" s="16">
        <v>1683</v>
      </c>
      <c r="I31" s="16">
        <v>712</v>
      </c>
      <c r="J31" s="16">
        <v>13254</v>
      </c>
      <c r="K31" s="17">
        <f>J31/$J$42</f>
        <v>0.79833754969280812</v>
      </c>
      <c r="L31" s="16">
        <v>0</v>
      </c>
      <c r="M31" s="16">
        <f>L31+J31+E31</f>
        <v>17273</v>
      </c>
    </row>
    <row r="32" spans="2:16" x14ac:dyDescent="0.2">
      <c r="B32" s="16" t="s">
        <v>349</v>
      </c>
      <c r="C32" s="16">
        <v>2</v>
      </c>
      <c r="D32" s="16">
        <v>0</v>
      </c>
      <c r="E32" s="16">
        <f t="shared" ref="E32:E41" si="9">C32+D32</f>
        <v>2</v>
      </c>
      <c r="F32" s="17"/>
      <c r="G32" s="16">
        <v>10</v>
      </c>
      <c r="H32" s="16">
        <v>0</v>
      </c>
      <c r="I32" s="16">
        <v>1</v>
      </c>
      <c r="J32" s="16">
        <v>11</v>
      </c>
      <c r="K32" s="17">
        <f t="shared" ref="K32:K42" si="10">J32/$J$42</f>
        <v>6.625707746054692E-4</v>
      </c>
      <c r="L32" s="16">
        <v>0</v>
      </c>
      <c r="M32" s="16">
        <f t="shared" ref="M32:M41" si="11">L32+J32+E32</f>
        <v>13</v>
      </c>
    </row>
    <row r="33" spans="2:13" x14ac:dyDescent="0.2">
      <c r="B33" s="16" t="s">
        <v>350</v>
      </c>
      <c r="C33" s="16">
        <v>1</v>
      </c>
      <c r="D33" s="16">
        <v>0</v>
      </c>
      <c r="E33" s="16">
        <f t="shared" si="9"/>
        <v>1</v>
      </c>
      <c r="F33" s="17">
        <f t="shared" ref="F33:F40" si="12">E33/$E$42</f>
        <v>1.7863522686673811E-4</v>
      </c>
      <c r="G33" s="16">
        <v>7</v>
      </c>
      <c r="H33" s="16">
        <v>0</v>
      </c>
      <c r="I33" s="16">
        <v>1</v>
      </c>
      <c r="J33" s="16">
        <v>8</v>
      </c>
      <c r="K33" s="17">
        <f t="shared" si="10"/>
        <v>4.8186965425852307E-4</v>
      </c>
      <c r="L33" s="16">
        <v>0</v>
      </c>
      <c r="M33" s="16">
        <f t="shared" si="11"/>
        <v>9</v>
      </c>
    </row>
    <row r="34" spans="2:13" x14ac:dyDescent="0.2">
      <c r="B34" s="16" t="s">
        <v>351</v>
      </c>
      <c r="C34" s="16">
        <v>5</v>
      </c>
      <c r="D34" s="16">
        <v>0</v>
      </c>
      <c r="E34" s="16">
        <f t="shared" si="9"/>
        <v>5</v>
      </c>
      <c r="F34" s="17">
        <f t="shared" si="12"/>
        <v>8.9317613433369063E-4</v>
      </c>
      <c r="G34" s="16">
        <v>20</v>
      </c>
      <c r="H34" s="16">
        <v>1</v>
      </c>
      <c r="I34" s="16">
        <v>0</v>
      </c>
      <c r="J34" s="16">
        <v>21</v>
      </c>
      <c r="K34" s="17">
        <f t="shared" si="10"/>
        <v>1.264907842428623E-3</v>
      </c>
      <c r="L34" s="16">
        <v>0</v>
      </c>
      <c r="M34" s="16">
        <f t="shared" si="11"/>
        <v>26</v>
      </c>
    </row>
    <row r="35" spans="2:13" x14ac:dyDescent="0.2">
      <c r="B35" s="16" t="s">
        <v>352</v>
      </c>
      <c r="C35" s="16">
        <v>15</v>
      </c>
      <c r="D35" s="16">
        <v>7</v>
      </c>
      <c r="E35" s="16">
        <f t="shared" si="9"/>
        <v>22</v>
      </c>
      <c r="F35" s="17"/>
      <c r="G35" s="16">
        <v>64</v>
      </c>
      <c r="H35" s="16">
        <v>2</v>
      </c>
      <c r="I35" s="16">
        <v>4</v>
      </c>
      <c r="J35" s="16">
        <v>70</v>
      </c>
      <c r="K35" s="17">
        <f t="shared" si="10"/>
        <v>4.2163594747620771E-3</v>
      </c>
      <c r="L35" s="16">
        <v>0</v>
      </c>
      <c r="M35" s="16">
        <f t="shared" si="11"/>
        <v>92</v>
      </c>
    </row>
    <row r="36" spans="2:13" x14ac:dyDescent="0.2">
      <c r="B36" s="16" t="s">
        <v>353</v>
      </c>
      <c r="C36" s="16">
        <v>0</v>
      </c>
      <c r="D36" s="16">
        <v>0</v>
      </c>
      <c r="E36" s="16">
        <f t="shared" si="9"/>
        <v>0</v>
      </c>
      <c r="F36" s="17">
        <f t="shared" si="12"/>
        <v>0</v>
      </c>
      <c r="G36" s="16">
        <v>4</v>
      </c>
      <c r="H36" s="16">
        <v>0</v>
      </c>
      <c r="I36" s="16">
        <v>0</v>
      </c>
      <c r="J36" s="16">
        <v>4</v>
      </c>
      <c r="K36" s="17">
        <f t="shared" si="10"/>
        <v>2.4093482712926153E-4</v>
      </c>
      <c r="L36" s="16">
        <v>0</v>
      </c>
      <c r="M36" s="16">
        <f t="shared" si="11"/>
        <v>4</v>
      </c>
    </row>
    <row r="37" spans="2:13" x14ac:dyDescent="0.2">
      <c r="B37" s="16" t="s">
        <v>354</v>
      </c>
      <c r="C37" s="16">
        <v>146</v>
      </c>
      <c r="D37" s="16">
        <v>39</v>
      </c>
      <c r="E37" s="16">
        <f t="shared" si="9"/>
        <v>185</v>
      </c>
      <c r="F37" s="17">
        <f t="shared" si="12"/>
        <v>3.3047516970346552E-2</v>
      </c>
      <c r="G37" s="16">
        <v>551</v>
      </c>
      <c r="H37" s="16">
        <v>44</v>
      </c>
      <c r="I37" s="16">
        <v>29</v>
      </c>
      <c r="J37" s="16">
        <v>624</v>
      </c>
      <c r="K37" s="17">
        <f t="shared" si="10"/>
        <v>3.7585833032164798E-2</v>
      </c>
      <c r="L37" s="16">
        <v>0</v>
      </c>
      <c r="M37" s="16">
        <f t="shared" si="11"/>
        <v>809</v>
      </c>
    </row>
    <row r="38" spans="2:13" x14ac:dyDescent="0.2">
      <c r="B38" s="16" t="s">
        <v>355</v>
      </c>
      <c r="C38" s="16">
        <v>4</v>
      </c>
      <c r="D38" s="16">
        <v>5</v>
      </c>
      <c r="E38" s="16">
        <f t="shared" si="9"/>
        <v>9</v>
      </c>
      <c r="F38" s="17">
        <f t="shared" si="12"/>
        <v>1.6077170418006431E-3</v>
      </c>
      <c r="G38" s="16">
        <v>36</v>
      </c>
      <c r="H38" s="16">
        <v>3</v>
      </c>
      <c r="I38" s="16">
        <v>1</v>
      </c>
      <c r="J38" s="16">
        <v>40</v>
      </c>
      <c r="K38" s="17">
        <f t="shared" si="10"/>
        <v>2.4093482712926155E-3</v>
      </c>
      <c r="L38" s="16">
        <v>0</v>
      </c>
      <c r="M38" s="16">
        <f t="shared" si="11"/>
        <v>49</v>
      </c>
    </row>
    <row r="39" spans="2:13" x14ac:dyDescent="0.2">
      <c r="B39" s="16" t="s">
        <v>356</v>
      </c>
      <c r="C39" s="16">
        <v>1</v>
      </c>
      <c r="D39" s="16">
        <v>0</v>
      </c>
      <c r="E39" s="16">
        <f t="shared" si="9"/>
        <v>1</v>
      </c>
      <c r="F39" s="17">
        <f t="shared" si="12"/>
        <v>1.7863522686673811E-4</v>
      </c>
      <c r="G39" s="16">
        <v>0</v>
      </c>
      <c r="H39" s="16">
        <v>0</v>
      </c>
      <c r="I39" s="16">
        <v>0</v>
      </c>
      <c r="J39" s="16">
        <v>0</v>
      </c>
      <c r="K39" s="17">
        <f t="shared" si="10"/>
        <v>0</v>
      </c>
      <c r="L39" s="16">
        <v>0</v>
      </c>
      <c r="M39" s="16">
        <f t="shared" si="11"/>
        <v>1</v>
      </c>
    </row>
    <row r="40" spans="2:13" x14ac:dyDescent="0.2">
      <c r="B40" s="16" t="s">
        <v>357</v>
      </c>
      <c r="C40" s="16">
        <v>1088</v>
      </c>
      <c r="D40" s="16">
        <v>265</v>
      </c>
      <c r="E40" s="16">
        <f t="shared" si="9"/>
        <v>1353</v>
      </c>
      <c r="F40" s="17">
        <f t="shared" si="12"/>
        <v>0.24169346195069669</v>
      </c>
      <c r="G40" s="16">
        <v>2271</v>
      </c>
      <c r="H40" s="16">
        <v>191</v>
      </c>
      <c r="I40" s="16">
        <v>105</v>
      </c>
      <c r="J40" s="16">
        <v>2567</v>
      </c>
      <c r="K40" s="17">
        <f t="shared" si="10"/>
        <v>0.15461992531020358</v>
      </c>
      <c r="L40" s="16">
        <v>0</v>
      </c>
      <c r="M40" s="16">
        <f t="shared" si="11"/>
        <v>3920</v>
      </c>
    </row>
    <row r="41" spans="2:13" x14ac:dyDescent="0.2">
      <c r="B41" s="16" t="s">
        <v>358</v>
      </c>
      <c r="C41" s="16">
        <v>1</v>
      </c>
      <c r="D41" s="16">
        <v>0</v>
      </c>
      <c r="E41" s="16">
        <f t="shared" si="9"/>
        <v>1</v>
      </c>
      <c r="F41" s="17"/>
      <c r="G41" s="16">
        <v>2</v>
      </c>
      <c r="H41" s="16">
        <v>1</v>
      </c>
      <c r="I41" s="16">
        <v>0</v>
      </c>
      <c r="J41" s="16">
        <v>3</v>
      </c>
      <c r="K41" s="17">
        <f t="shared" si="10"/>
        <v>1.8070112034694616E-4</v>
      </c>
      <c r="L41" s="16">
        <v>0</v>
      </c>
      <c r="M41" s="16">
        <f t="shared" si="11"/>
        <v>4</v>
      </c>
    </row>
    <row r="42" spans="2:13" x14ac:dyDescent="0.2">
      <c r="B42" s="18" t="s">
        <v>39</v>
      </c>
      <c r="C42" s="16">
        <f t="shared" ref="C42:D42" si="13">SUM(C31:C41)</f>
        <v>4251</v>
      </c>
      <c r="D42" s="16">
        <f t="shared" si="13"/>
        <v>1347</v>
      </c>
      <c r="E42" s="18">
        <f t="shared" ref="E42" si="14">C42+D42</f>
        <v>5598</v>
      </c>
      <c r="F42" s="19">
        <f t="shared" ref="F42" si="15">E42/$E$42</f>
        <v>1</v>
      </c>
      <c r="G42" s="16">
        <f t="shared" ref="G42:J42" si="16">SUM(G31:G41)</f>
        <v>13824</v>
      </c>
      <c r="H42" s="16">
        <f t="shared" si="16"/>
        <v>1925</v>
      </c>
      <c r="I42" s="16">
        <f t="shared" si="16"/>
        <v>853</v>
      </c>
      <c r="J42" s="16">
        <f t="shared" si="16"/>
        <v>16602</v>
      </c>
      <c r="K42" s="17">
        <f t="shared" si="10"/>
        <v>1</v>
      </c>
      <c r="L42" s="16">
        <f t="shared" ref="L42" si="17">SUM(L31:L41)</f>
        <v>0</v>
      </c>
      <c r="M42" s="18">
        <f>SUM(M31:M41)</f>
        <v>22200</v>
      </c>
    </row>
    <row r="43" spans="2:13" ht="24" x14ac:dyDescent="0.2">
      <c r="B43" s="28" t="s">
        <v>45</v>
      </c>
      <c r="C43" s="29">
        <f>+C42/M42</f>
        <v>0.19148648648648647</v>
      </c>
      <c r="D43" s="29">
        <f>+D42/M42</f>
        <v>6.0675675675675673E-2</v>
      </c>
      <c r="E43" s="30">
        <f>+E42/M42</f>
        <v>0.25216216216216214</v>
      </c>
      <c r="F43" s="30"/>
      <c r="G43" s="29">
        <f>+G42/M42</f>
        <v>0.62270270270270267</v>
      </c>
      <c r="H43" s="29">
        <f>+H42/M42</f>
        <v>8.6711711711711714E-2</v>
      </c>
      <c r="I43" s="29">
        <f>+I42/M42</f>
        <v>3.8423423423423426E-2</v>
      </c>
      <c r="J43" s="30">
        <f>+J42/M42</f>
        <v>0.74783783783783786</v>
      </c>
      <c r="K43" s="30"/>
      <c r="L43" s="30">
        <f>+L42/M42</f>
        <v>0</v>
      </c>
      <c r="M43" s="30">
        <f>J43+L43+E43</f>
        <v>1</v>
      </c>
    </row>
    <row r="44" spans="2:13" x14ac:dyDescent="0.2">
      <c r="B44" s="21" t="s">
        <v>78</v>
      </c>
    </row>
    <row r="45" spans="2:13" x14ac:dyDescent="0.2">
      <c r="B45" s="21" t="s">
        <v>79</v>
      </c>
    </row>
  </sheetData>
  <mergeCells count="10">
    <mergeCell ref="B29:B30"/>
    <mergeCell ref="B9:B10"/>
    <mergeCell ref="C9:L9"/>
    <mergeCell ref="C29:L29"/>
    <mergeCell ref="B28:M28"/>
    <mergeCell ref="B6:K6"/>
    <mergeCell ref="B5:K5"/>
    <mergeCell ref="B25:K25"/>
    <mergeCell ref="B26:K26"/>
    <mergeCell ref="B8:M8"/>
  </mergeCells>
  <hyperlinks>
    <hyperlink ref="M5" location="'Índice PGU y SPS'!A1" display="Volver Sistema de Pensiones Solidarias" xr:uid="{0C328855-9B42-4697-9ADC-6C4DA9C596D0}"/>
  </hyperlinks>
  <pageMargins left="0.74803149606299213" right="0.74803149606299213" top="0.98425196850393704" bottom="0.98425196850393704" header="0" footer="0"/>
  <pageSetup scale="90"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32"/>
  <dimension ref="A1:P127"/>
  <sheetViews>
    <sheetView showGridLines="0" zoomScaleNormal="100" workbookViewId="0">
      <selection activeCell="M35" sqref="M35"/>
    </sheetView>
  </sheetViews>
  <sheetFormatPr baseColWidth="10" defaultRowHeight="12" x14ac:dyDescent="0.2"/>
  <cols>
    <col min="1" max="1" width="6" style="22" customWidth="1"/>
    <col min="2" max="2" width="18.140625" style="22" customWidth="1"/>
    <col min="3" max="3" width="13.42578125" style="22" customWidth="1"/>
    <col min="4" max="4" width="7.42578125" style="22" bestFit="1" customWidth="1"/>
    <col min="5" max="6" width="10.7109375" style="22" customWidth="1"/>
    <col min="7" max="7" width="12" style="22" customWidth="1"/>
    <col min="8" max="8" width="7.42578125" style="22" bestFit="1" customWidth="1"/>
    <col min="9" max="9" width="7.42578125" style="22" customWidth="1"/>
    <col min="10" max="10" width="11" style="22" customWidth="1"/>
    <col min="11" max="11" width="10.140625" style="22" customWidth="1"/>
    <col min="12" max="12" width="7.85546875" style="22" hidden="1" customWidth="1"/>
    <col min="13" max="251" width="11.42578125" style="22"/>
    <col min="252" max="252" width="18.140625" style="22" customWidth="1"/>
    <col min="253" max="253" width="8" style="22" bestFit="1" customWidth="1"/>
    <col min="254" max="254" width="7.42578125" style="22" bestFit="1" customWidth="1"/>
    <col min="255" max="256" width="7.42578125" style="22" customWidth="1"/>
    <col min="257" max="257" width="8" style="22" bestFit="1" customWidth="1"/>
    <col min="258" max="258" width="7.42578125" style="22" bestFit="1" customWidth="1"/>
    <col min="259" max="261" width="7.42578125" style="22" customWidth="1"/>
    <col min="262" max="267" width="0" style="22" hidden="1" customWidth="1"/>
    <col min="268" max="268" width="7.85546875" style="22" customWidth="1"/>
    <col min="269" max="507" width="11.42578125" style="22"/>
    <col min="508" max="508" width="18.140625" style="22" customWidth="1"/>
    <col min="509" max="509" width="8" style="22" bestFit="1" customWidth="1"/>
    <col min="510" max="510" width="7.42578125" style="22" bestFit="1" customWidth="1"/>
    <col min="511" max="512" width="7.42578125" style="22" customWidth="1"/>
    <col min="513" max="513" width="8" style="22" bestFit="1" customWidth="1"/>
    <col min="514" max="514" width="7.42578125" style="22" bestFit="1" customWidth="1"/>
    <col min="515" max="517" width="7.42578125" style="22" customWidth="1"/>
    <col min="518" max="523" width="0" style="22" hidden="1" customWidth="1"/>
    <col min="524" max="524" width="7.85546875" style="22" customWidth="1"/>
    <col min="525" max="763" width="11.42578125" style="22"/>
    <col min="764" max="764" width="18.140625" style="22" customWidth="1"/>
    <col min="765" max="765" width="8" style="22" bestFit="1" customWidth="1"/>
    <col min="766" max="766" width="7.42578125" style="22" bestFit="1" customWidth="1"/>
    <col min="767" max="768" width="7.42578125" style="22" customWidth="1"/>
    <col min="769" max="769" width="8" style="22" bestFit="1" customWidth="1"/>
    <col min="770" max="770" width="7.42578125" style="22" bestFit="1" customWidth="1"/>
    <col min="771" max="773" width="7.42578125" style="22" customWidth="1"/>
    <col min="774" max="779" width="0" style="22" hidden="1" customWidth="1"/>
    <col min="780" max="780" width="7.85546875" style="22" customWidth="1"/>
    <col min="781" max="1019" width="11.42578125" style="22"/>
    <col min="1020" max="1020" width="18.140625" style="22" customWidth="1"/>
    <col min="1021" max="1021" width="8" style="22" bestFit="1" customWidth="1"/>
    <col min="1022" max="1022" width="7.42578125" style="22" bestFit="1" customWidth="1"/>
    <col min="1023" max="1024" width="7.42578125" style="22" customWidth="1"/>
    <col min="1025" max="1025" width="8" style="22" bestFit="1" customWidth="1"/>
    <col min="1026" max="1026" width="7.42578125" style="22" bestFit="1" customWidth="1"/>
    <col min="1027" max="1029" width="7.42578125" style="22" customWidth="1"/>
    <col min="1030" max="1035" width="0" style="22" hidden="1" customWidth="1"/>
    <col min="1036" max="1036" width="7.85546875" style="22" customWidth="1"/>
    <col min="1037" max="1275" width="11.42578125" style="22"/>
    <col min="1276" max="1276" width="18.140625" style="22" customWidth="1"/>
    <col min="1277" max="1277" width="8" style="22" bestFit="1" customWidth="1"/>
    <col min="1278" max="1278" width="7.42578125" style="22" bestFit="1" customWidth="1"/>
    <col min="1279" max="1280" width="7.42578125" style="22" customWidth="1"/>
    <col min="1281" max="1281" width="8" style="22" bestFit="1" customWidth="1"/>
    <col min="1282" max="1282" width="7.42578125" style="22" bestFit="1" customWidth="1"/>
    <col min="1283" max="1285" width="7.42578125" style="22" customWidth="1"/>
    <col min="1286" max="1291" width="0" style="22" hidden="1" customWidth="1"/>
    <col min="1292" max="1292" width="7.85546875" style="22" customWidth="1"/>
    <col min="1293" max="1531" width="11.42578125" style="22"/>
    <col min="1532" max="1532" width="18.140625" style="22" customWidth="1"/>
    <col min="1533" max="1533" width="8" style="22" bestFit="1" customWidth="1"/>
    <col min="1534" max="1534" width="7.42578125" style="22" bestFit="1" customWidth="1"/>
    <col min="1535" max="1536" width="7.42578125" style="22" customWidth="1"/>
    <col min="1537" max="1537" width="8" style="22" bestFit="1" customWidth="1"/>
    <col min="1538" max="1538" width="7.42578125" style="22" bestFit="1" customWidth="1"/>
    <col min="1539" max="1541" width="7.42578125" style="22" customWidth="1"/>
    <col min="1542" max="1547" width="0" style="22" hidden="1" customWidth="1"/>
    <col min="1548" max="1548" width="7.85546875" style="22" customWidth="1"/>
    <col min="1549" max="1787" width="11.42578125" style="22"/>
    <col min="1788" max="1788" width="18.140625" style="22" customWidth="1"/>
    <col min="1789" max="1789" width="8" style="22" bestFit="1" customWidth="1"/>
    <col min="1790" max="1790" width="7.42578125" style="22" bestFit="1" customWidth="1"/>
    <col min="1791" max="1792" width="7.42578125" style="22" customWidth="1"/>
    <col min="1793" max="1793" width="8" style="22" bestFit="1" customWidth="1"/>
    <col min="1794" max="1794" width="7.42578125" style="22" bestFit="1" customWidth="1"/>
    <col min="1795" max="1797" width="7.42578125" style="22" customWidth="1"/>
    <col min="1798" max="1803" width="0" style="22" hidden="1" customWidth="1"/>
    <col min="1804" max="1804" width="7.85546875" style="22" customWidth="1"/>
    <col min="1805" max="2043" width="11.42578125" style="22"/>
    <col min="2044" max="2044" width="18.140625" style="22" customWidth="1"/>
    <col min="2045" max="2045" width="8" style="22" bestFit="1" customWidth="1"/>
    <col min="2046" max="2046" width="7.42578125" style="22" bestFit="1" customWidth="1"/>
    <col min="2047" max="2048" width="7.42578125" style="22" customWidth="1"/>
    <col min="2049" max="2049" width="8" style="22" bestFit="1" customWidth="1"/>
    <col min="2050" max="2050" width="7.42578125" style="22" bestFit="1" customWidth="1"/>
    <col min="2051" max="2053" width="7.42578125" style="22" customWidth="1"/>
    <col min="2054" max="2059" width="0" style="22" hidden="1" customWidth="1"/>
    <col min="2060" max="2060" width="7.85546875" style="22" customWidth="1"/>
    <col min="2061" max="2299" width="11.42578125" style="22"/>
    <col min="2300" max="2300" width="18.140625" style="22" customWidth="1"/>
    <col min="2301" max="2301" width="8" style="22" bestFit="1" customWidth="1"/>
    <col min="2302" max="2302" width="7.42578125" style="22" bestFit="1" customWidth="1"/>
    <col min="2303" max="2304" width="7.42578125" style="22" customWidth="1"/>
    <col min="2305" max="2305" width="8" style="22" bestFit="1" customWidth="1"/>
    <col min="2306" max="2306" width="7.42578125" style="22" bestFit="1" customWidth="1"/>
    <col min="2307" max="2309" width="7.42578125" style="22" customWidth="1"/>
    <col min="2310" max="2315" width="0" style="22" hidden="1" customWidth="1"/>
    <col min="2316" max="2316" width="7.85546875" style="22" customWidth="1"/>
    <col min="2317" max="2555" width="11.42578125" style="22"/>
    <col min="2556" max="2556" width="18.140625" style="22" customWidth="1"/>
    <col min="2557" max="2557" width="8" style="22" bestFit="1" customWidth="1"/>
    <col min="2558" max="2558" width="7.42578125" style="22" bestFit="1" customWidth="1"/>
    <col min="2559" max="2560" width="7.42578125" style="22" customWidth="1"/>
    <col min="2561" max="2561" width="8" style="22" bestFit="1" customWidth="1"/>
    <col min="2562" max="2562" width="7.42578125" style="22" bestFit="1" customWidth="1"/>
    <col min="2563" max="2565" width="7.42578125" style="22" customWidth="1"/>
    <col min="2566" max="2571" width="0" style="22" hidden="1" customWidth="1"/>
    <col min="2572" max="2572" width="7.85546875" style="22" customWidth="1"/>
    <col min="2573" max="2811" width="11.42578125" style="22"/>
    <col min="2812" max="2812" width="18.140625" style="22" customWidth="1"/>
    <col min="2813" max="2813" width="8" style="22" bestFit="1" customWidth="1"/>
    <col min="2814" max="2814" width="7.42578125" style="22" bestFit="1" customWidth="1"/>
    <col min="2815" max="2816" width="7.42578125" style="22" customWidth="1"/>
    <col min="2817" max="2817" width="8" style="22" bestFit="1" customWidth="1"/>
    <col min="2818" max="2818" width="7.42578125" style="22" bestFit="1" customWidth="1"/>
    <col min="2819" max="2821" width="7.42578125" style="22" customWidth="1"/>
    <col min="2822" max="2827" width="0" style="22" hidden="1" customWidth="1"/>
    <col min="2828" max="2828" width="7.85546875" style="22" customWidth="1"/>
    <col min="2829" max="3067" width="11.42578125" style="22"/>
    <col min="3068" max="3068" width="18.140625" style="22" customWidth="1"/>
    <col min="3069" max="3069" width="8" style="22" bestFit="1" customWidth="1"/>
    <col min="3070" max="3070" width="7.42578125" style="22" bestFit="1" customWidth="1"/>
    <col min="3071" max="3072" width="7.42578125" style="22" customWidth="1"/>
    <col min="3073" max="3073" width="8" style="22" bestFit="1" customWidth="1"/>
    <col min="3074" max="3074" width="7.42578125" style="22" bestFit="1" customWidth="1"/>
    <col min="3075" max="3077" width="7.42578125" style="22" customWidth="1"/>
    <col min="3078" max="3083" width="0" style="22" hidden="1" customWidth="1"/>
    <col min="3084" max="3084" width="7.85546875" style="22" customWidth="1"/>
    <col min="3085" max="3323" width="11.42578125" style="22"/>
    <col min="3324" max="3324" width="18.140625" style="22" customWidth="1"/>
    <col min="3325" max="3325" width="8" style="22" bestFit="1" customWidth="1"/>
    <col min="3326" max="3326" width="7.42578125" style="22" bestFit="1" customWidth="1"/>
    <col min="3327" max="3328" width="7.42578125" style="22" customWidth="1"/>
    <col min="3329" max="3329" width="8" style="22" bestFit="1" customWidth="1"/>
    <col min="3330" max="3330" width="7.42578125" style="22" bestFit="1" customWidth="1"/>
    <col min="3331" max="3333" width="7.42578125" style="22" customWidth="1"/>
    <col min="3334" max="3339" width="0" style="22" hidden="1" customWidth="1"/>
    <col min="3340" max="3340" width="7.85546875" style="22" customWidth="1"/>
    <col min="3341" max="3579" width="11.42578125" style="22"/>
    <col min="3580" max="3580" width="18.140625" style="22" customWidth="1"/>
    <col min="3581" max="3581" width="8" style="22" bestFit="1" customWidth="1"/>
    <col min="3582" max="3582" width="7.42578125" style="22" bestFit="1" customWidth="1"/>
    <col min="3583" max="3584" width="7.42578125" style="22" customWidth="1"/>
    <col min="3585" max="3585" width="8" style="22" bestFit="1" customWidth="1"/>
    <col min="3586" max="3586" width="7.42578125" style="22" bestFit="1" customWidth="1"/>
    <col min="3587" max="3589" width="7.42578125" style="22" customWidth="1"/>
    <col min="3590" max="3595" width="0" style="22" hidden="1" customWidth="1"/>
    <col min="3596" max="3596" width="7.85546875" style="22" customWidth="1"/>
    <col min="3597" max="3835" width="11.42578125" style="22"/>
    <col min="3836" max="3836" width="18.140625" style="22" customWidth="1"/>
    <col min="3837" max="3837" width="8" style="22" bestFit="1" customWidth="1"/>
    <col min="3838" max="3838" width="7.42578125" style="22" bestFit="1" customWidth="1"/>
    <col min="3839" max="3840" width="7.42578125" style="22" customWidth="1"/>
    <col min="3841" max="3841" width="8" style="22" bestFit="1" customWidth="1"/>
    <col min="3842" max="3842" width="7.42578125" style="22" bestFit="1" customWidth="1"/>
    <col min="3843" max="3845" width="7.42578125" style="22" customWidth="1"/>
    <col min="3846" max="3851" width="0" style="22" hidden="1" customWidth="1"/>
    <col min="3852" max="3852" width="7.85546875" style="22" customWidth="1"/>
    <col min="3853" max="4091" width="11.42578125" style="22"/>
    <col min="4092" max="4092" width="18.140625" style="22" customWidth="1"/>
    <col min="4093" max="4093" width="8" style="22" bestFit="1" customWidth="1"/>
    <col min="4094" max="4094" width="7.42578125" style="22" bestFit="1" customWidth="1"/>
    <col min="4095" max="4096" width="7.42578125" style="22" customWidth="1"/>
    <col min="4097" max="4097" width="8" style="22" bestFit="1" customWidth="1"/>
    <col min="4098" max="4098" width="7.42578125" style="22" bestFit="1" customWidth="1"/>
    <col min="4099" max="4101" width="7.42578125" style="22" customWidth="1"/>
    <col min="4102" max="4107" width="0" style="22" hidden="1" customWidth="1"/>
    <col min="4108" max="4108" width="7.85546875" style="22" customWidth="1"/>
    <col min="4109" max="4347" width="11.42578125" style="22"/>
    <col min="4348" max="4348" width="18.140625" style="22" customWidth="1"/>
    <col min="4349" max="4349" width="8" style="22" bestFit="1" customWidth="1"/>
    <col min="4350" max="4350" width="7.42578125" style="22" bestFit="1" customWidth="1"/>
    <col min="4351" max="4352" width="7.42578125" style="22" customWidth="1"/>
    <col min="4353" max="4353" width="8" style="22" bestFit="1" customWidth="1"/>
    <col min="4354" max="4354" width="7.42578125" style="22" bestFit="1" customWidth="1"/>
    <col min="4355" max="4357" width="7.42578125" style="22" customWidth="1"/>
    <col min="4358" max="4363" width="0" style="22" hidden="1" customWidth="1"/>
    <col min="4364" max="4364" width="7.85546875" style="22" customWidth="1"/>
    <col min="4365" max="4603" width="11.42578125" style="22"/>
    <col min="4604" max="4604" width="18.140625" style="22" customWidth="1"/>
    <col min="4605" max="4605" width="8" style="22" bestFit="1" customWidth="1"/>
    <col min="4606" max="4606" width="7.42578125" style="22" bestFit="1" customWidth="1"/>
    <col min="4607" max="4608" width="7.42578125" style="22" customWidth="1"/>
    <col min="4609" max="4609" width="8" style="22" bestFit="1" customWidth="1"/>
    <col min="4610" max="4610" width="7.42578125" style="22" bestFit="1" customWidth="1"/>
    <col min="4611" max="4613" width="7.42578125" style="22" customWidth="1"/>
    <col min="4614" max="4619" width="0" style="22" hidden="1" customWidth="1"/>
    <col min="4620" max="4620" width="7.85546875" style="22" customWidth="1"/>
    <col min="4621" max="4859" width="11.42578125" style="22"/>
    <col min="4860" max="4860" width="18.140625" style="22" customWidth="1"/>
    <col min="4861" max="4861" width="8" style="22" bestFit="1" customWidth="1"/>
    <col min="4862" max="4862" width="7.42578125" style="22" bestFit="1" customWidth="1"/>
    <col min="4863" max="4864" width="7.42578125" style="22" customWidth="1"/>
    <col min="4865" max="4865" width="8" style="22" bestFit="1" customWidth="1"/>
    <col min="4866" max="4866" width="7.42578125" style="22" bestFit="1" customWidth="1"/>
    <col min="4867" max="4869" width="7.42578125" style="22" customWidth="1"/>
    <col min="4870" max="4875" width="0" style="22" hidden="1" customWidth="1"/>
    <col min="4876" max="4876" width="7.85546875" style="22" customWidth="1"/>
    <col min="4877" max="5115" width="11.42578125" style="22"/>
    <col min="5116" max="5116" width="18.140625" style="22" customWidth="1"/>
    <col min="5117" max="5117" width="8" style="22" bestFit="1" customWidth="1"/>
    <col min="5118" max="5118" width="7.42578125" style="22" bestFit="1" customWidth="1"/>
    <col min="5119" max="5120" width="7.42578125" style="22" customWidth="1"/>
    <col min="5121" max="5121" width="8" style="22" bestFit="1" customWidth="1"/>
    <col min="5122" max="5122" width="7.42578125" style="22" bestFit="1" customWidth="1"/>
    <col min="5123" max="5125" width="7.42578125" style="22" customWidth="1"/>
    <col min="5126" max="5131" width="0" style="22" hidden="1" customWidth="1"/>
    <col min="5132" max="5132" width="7.85546875" style="22" customWidth="1"/>
    <col min="5133" max="5371" width="11.42578125" style="22"/>
    <col min="5372" max="5372" width="18.140625" style="22" customWidth="1"/>
    <col min="5373" max="5373" width="8" style="22" bestFit="1" customWidth="1"/>
    <col min="5374" max="5374" width="7.42578125" style="22" bestFit="1" customWidth="1"/>
    <col min="5375" max="5376" width="7.42578125" style="22" customWidth="1"/>
    <col min="5377" max="5377" width="8" style="22" bestFit="1" customWidth="1"/>
    <col min="5378" max="5378" width="7.42578125" style="22" bestFit="1" customWidth="1"/>
    <col min="5379" max="5381" width="7.42578125" style="22" customWidth="1"/>
    <col min="5382" max="5387" width="0" style="22" hidden="1" customWidth="1"/>
    <col min="5388" max="5388" width="7.85546875" style="22" customWidth="1"/>
    <col min="5389" max="5627" width="11.42578125" style="22"/>
    <col min="5628" max="5628" width="18.140625" style="22" customWidth="1"/>
    <col min="5629" max="5629" width="8" style="22" bestFit="1" customWidth="1"/>
    <col min="5630" max="5630" width="7.42578125" style="22" bestFit="1" customWidth="1"/>
    <col min="5631" max="5632" width="7.42578125" style="22" customWidth="1"/>
    <col min="5633" max="5633" width="8" style="22" bestFit="1" customWidth="1"/>
    <col min="5634" max="5634" width="7.42578125" style="22" bestFit="1" customWidth="1"/>
    <col min="5635" max="5637" width="7.42578125" style="22" customWidth="1"/>
    <col min="5638" max="5643" width="0" style="22" hidden="1" customWidth="1"/>
    <col min="5644" max="5644" width="7.85546875" style="22" customWidth="1"/>
    <col min="5645" max="5883" width="11.42578125" style="22"/>
    <col min="5884" max="5884" width="18.140625" style="22" customWidth="1"/>
    <col min="5885" max="5885" width="8" style="22" bestFit="1" customWidth="1"/>
    <col min="5886" max="5886" width="7.42578125" style="22" bestFit="1" customWidth="1"/>
    <col min="5887" max="5888" width="7.42578125" style="22" customWidth="1"/>
    <col min="5889" max="5889" width="8" style="22" bestFit="1" customWidth="1"/>
    <col min="5890" max="5890" width="7.42578125" style="22" bestFit="1" customWidth="1"/>
    <col min="5891" max="5893" width="7.42578125" style="22" customWidth="1"/>
    <col min="5894" max="5899" width="0" style="22" hidden="1" customWidth="1"/>
    <col min="5900" max="5900" width="7.85546875" style="22" customWidth="1"/>
    <col min="5901" max="6139" width="11.42578125" style="22"/>
    <col min="6140" max="6140" width="18.140625" style="22" customWidth="1"/>
    <col min="6141" max="6141" width="8" style="22" bestFit="1" customWidth="1"/>
    <col min="6142" max="6142" width="7.42578125" style="22" bestFit="1" customWidth="1"/>
    <col min="6143" max="6144" width="7.42578125" style="22" customWidth="1"/>
    <col min="6145" max="6145" width="8" style="22" bestFit="1" customWidth="1"/>
    <col min="6146" max="6146" width="7.42578125" style="22" bestFit="1" customWidth="1"/>
    <col min="6147" max="6149" width="7.42578125" style="22" customWidth="1"/>
    <col min="6150" max="6155" width="0" style="22" hidden="1" customWidth="1"/>
    <col min="6156" max="6156" width="7.85546875" style="22" customWidth="1"/>
    <col min="6157" max="6395" width="11.42578125" style="22"/>
    <col min="6396" max="6396" width="18.140625" style="22" customWidth="1"/>
    <col min="6397" max="6397" width="8" style="22" bestFit="1" customWidth="1"/>
    <col min="6398" max="6398" width="7.42578125" style="22" bestFit="1" customWidth="1"/>
    <col min="6399" max="6400" width="7.42578125" style="22" customWidth="1"/>
    <col min="6401" max="6401" width="8" style="22" bestFit="1" customWidth="1"/>
    <col min="6402" max="6402" width="7.42578125" style="22" bestFit="1" customWidth="1"/>
    <col min="6403" max="6405" width="7.42578125" style="22" customWidth="1"/>
    <col min="6406" max="6411" width="0" style="22" hidden="1" customWidth="1"/>
    <col min="6412" max="6412" width="7.85546875" style="22" customWidth="1"/>
    <col min="6413" max="6651" width="11.42578125" style="22"/>
    <col min="6652" max="6652" width="18.140625" style="22" customWidth="1"/>
    <col min="6653" max="6653" width="8" style="22" bestFit="1" customWidth="1"/>
    <col min="6654" max="6654" width="7.42578125" style="22" bestFit="1" customWidth="1"/>
    <col min="6655" max="6656" width="7.42578125" style="22" customWidth="1"/>
    <col min="6657" max="6657" width="8" style="22" bestFit="1" customWidth="1"/>
    <col min="6658" max="6658" width="7.42578125" style="22" bestFit="1" customWidth="1"/>
    <col min="6659" max="6661" width="7.42578125" style="22" customWidth="1"/>
    <col min="6662" max="6667" width="0" style="22" hidden="1" customWidth="1"/>
    <col min="6668" max="6668" width="7.85546875" style="22" customWidth="1"/>
    <col min="6669" max="6907" width="11.42578125" style="22"/>
    <col min="6908" max="6908" width="18.140625" style="22" customWidth="1"/>
    <col min="6909" max="6909" width="8" style="22" bestFit="1" customWidth="1"/>
    <col min="6910" max="6910" width="7.42578125" style="22" bestFit="1" customWidth="1"/>
    <col min="6911" max="6912" width="7.42578125" style="22" customWidth="1"/>
    <col min="6913" max="6913" width="8" style="22" bestFit="1" customWidth="1"/>
    <col min="6914" max="6914" width="7.42578125" style="22" bestFit="1" customWidth="1"/>
    <col min="6915" max="6917" width="7.42578125" style="22" customWidth="1"/>
    <col min="6918" max="6923" width="0" style="22" hidden="1" customWidth="1"/>
    <col min="6924" max="6924" width="7.85546875" style="22" customWidth="1"/>
    <col min="6925" max="7163" width="11.42578125" style="22"/>
    <col min="7164" max="7164" width="18.140625" style="22" customWidth="1"/>
    <col min="7165" max="7165" width="8" style="22" bestFit="1" customWidth="1"/>
    <col min="7166" max="7166" width="7.42578125" style="22" bestFit="1" customWidth="1"/>
    <col min="7167" max="7168" width="7.42578125" style="22" customWidth="1"/>
    <col min="7169" max="7169" width="8" style="22" bestFit="1" customWidth="1"/>
    <col min="7170" max="7170" width="7.42578125" style="22" bestFit="1" customWidth="1"/>
    <col min="7171" max="7173" width="7.42578125" style="22" customWidth="1"/>
    <col min="7174" max="7179" width="0" style="22" hidden="1" customWidth="1"/>
    <col min="7180" max="7180" width="7.85546875" style="22" customWidth="1"/>
    <col min="7181" max="7419" width="11.42578125" style="22"/>
    <col min="7420" max="7420" width="18.140625" style="22" customWidth="1"/>
    <col min="7421" max="7421" width="8" style="22" bestFit="1" customWidth="1"/>
    <col min="7422" max="7422" width="7.42578125" style="22" bestFit="1" customWidth="1"/>
    <col min="7423" max="7424" width="7.42578125" style="22" customWidth="1"/>
    <col min="7425" max="7425" width="8" style="22" bestFit="1" customWidth="1"/>
    <col min="7426" max="7426" width="7.42578125" style="22" bestFit="1" customWidth="1"/>
    <col min="7427" max="7429" width="7.42578125" style="22" customWidth="1"/>
    <col min="7430" max="7435" width="0" style="22" hidden="1" customWidth="1"/>
    <col min="7436" max="7436" width="7.85546875" style="22" customWidth="1"/>
    <col min="7437" max="7675" width="11.42578125" style="22"/>
    <col min="7676" max="7676" width="18.140625" style="22" customWidth="1"/>
    <col min="7677" max="7677" width="8" style="22" bestFit="1" customWidth="1"/>
    <col min="7678" max="7678" width="7.42578125" style="22" bestFit="1" customWidth="1"/>
    <col min="7679" max="7680" width="7.42578125" style="22" customWidth="1"/>
    <col min="7681" max="7681" width="8" style="22" bestFit="1" customWidth="1"/>
    <col min="7682" max="7682" width="7.42578125" style="22" bestFit="1" customWidth="1"/>
    <col min="7683" max="7685" width="7.42578125" style="22" customWidth="1"/>
    <col min="7686" max="7691" width="0" style="22" hidden="1" customWidth="1"/>
    <col min="7692" max="7692" width="7.85546875" style="22" customWidth="1"/>
    <col min="7693" max="7931" width="11.42578125" style="22"/>
    <col min="7932" max="7932" width="18.140625" style="22" customWidth="1"/>
    <col min="7933" max="7933" width="8" style="22" bestFit="1" customWidth="1"/>
    <col min="7934" max="7934" width="7.42578125" style="22" bestFit="1" customWidth="1"/>
    <col min="7935" max="7936" width="7.42578125" style="22" customWidth="1"/>
    <col min="7937" max="7937" width="8" style="22" bestFit="1" customWidth="1"/>
    <col min="7938" max="7938" width="7.42578125" style="22" bestFit="1" customWidth="1"/>
    <col min="7939" max="7941" width="7.42578125" style="22" customWidth="1"/>
    <col min="7942" max="7947" width="0" style="22" hidden="1" customWidth="1"/>
    <col min="7948" max="7948" width="7.85546875" style="22" customWidth="1"/>
    <col min="7949" max="8187" width="11.42578125" style="22"/>
    <col min="8188" max="8188" width="18.140625" style="22" customWidth="1"/>
    <col min="8189" max="8189" width="8" style="22" bestFit="1" customWidth="1"/>
    <col min="8190" max="8190" width="7.42578125" style="22" bestFit="1" customWidth="1"/>
    <col min="8191" max="8192" width="7.42578125" style="22" customWidth="1"/>
    <col min="8193" max="8193" width="8" style="22" bestFit="1" customWidth="1"/>
    <col min="8194" max="8194" width="7.42578125" style="22" bestFit="1" customWidth="1"/>
    <col min="8195" max="8197" width="7.42578125" style="22" customWidth="1"/>
    <col min="8198" max="8203" width="0" style="22" hidden="1" customWidth="1"/>
    <col min="8204" max="8204" width="7.85546875" style="22" customWidth="1"/>
    <col min="8205" max="8443" width="11.42578125" style="22"/>
    <col min="8444" max="8444" width="18.140625" style="22" customWidth="1"/>
    <col min="8445" max="8445" width="8" style="22" bestFit="1" customWidth="1"/>
    <col min="8446" max="8446" width="7.42578125" style="22" bestFit="1" customWidth="1"/>
    <col min="8447" max="8448" width="7.42578125" style="22" customWidth="1"/>
    <col min="8449" max="8449" width="8" style="22" bestFit="1" customWidth="1"/>
    <col min="8450" max="8450" width="7.42578125" style="22" bestFit="1" customWidth="1"/>
    <col min="8451" max="8453" width="7.42578125" style="22" customWidth="1"/>
    <col min="8454" max="8459" width="0" style="22" hidden="1" customWidth="1"/>
    <col min="8460" max="8460" width="7.85546875" style="22" customWidth="1"/>
    <col min="8461" max="8699" width="11.42578125" style="22"/>
    <col min="8700" max="8700" width="18.140625" style="22" customWidth="1"/>
    <col min="8701" max="8701" width="8" style="22" bestFit="1" customWidth="1"/>
    <col min="8702" max="8702" width="7.42578125" style="22" bestFit="1" customWidth="1"/>
    <col min="8703" max="8704" width="7.42578125" style="22" customWidth="1"/>
    <col min="8705" max="8705" width="8" style="22" bestFit="1" customWidth="1"/>
    <col min="8706" max="8706" width="7.42578125" style="22" bestFit="1" customWidth="1"/>
    <col min="8707" max="8709" width="7.42578125" style="22" customWidth="1"/>
    <col min="8710" max="8715" width="0" style="22" hidden="1" customWidth="1"/>
    <col min="8716" max="8716" width="7.85546875" style="22" customWidth="1"/>
    <col min="8717" max="8955" width="11.42578125" style="22"/>
    <col min="8956" max="8956" width="18.140625" style="22" customWidth="1"/>
    <col min="8957" max="8957" width="8" style="22" bestFit="1" customWidth="1"/>
    <col min="8958" max="8958" width="7.42578125" style="22" bestFit="1" customWidth="1"/>
    <col min="8959" max="8960" width="7.42578125" style="22" customWidth="1"/>
    <col min="8961" max="8961" width="8" style="22" bestFit="1" customWidth="1"/>
    <col min="8962" max="8962" width="7.42578125" style="22" bestFit="1" customWidth="1"/>
    <col min="8963" max="8965" width="7.42578125" style="22" customWidth="1"/>
    <col min="8966" max="8971" width="0" style="22" hidden="1" customWidth="1"/>
    <col min="8972" max="8972" width="7.85546875" style="22" customWidth="1"/>
    <col min="8973" max="9211" width="11.42578125" style="22"/>
    <col min="9212" max="9212" width="18.140625" style="22" customWidth="1"/>
    <col min="9213" max="9213" width="8" style="22" bestFit="1" customWidth="1"/>
    <col min="9214" max="9214" width="7.42578125" style="22" bestFit="1" customWidth="1"/>
    <col min="9215" max="9216" width="7.42578125" style="22" customWidth="1"/>
    <col min="9217" max="9217" width="8" style="22" bestFit="1" customWidth="1"/>
    <col min="9218" max="9218" width="7.42578125" style="22" bestFit="1" customWidth="1"/>
    <col min="9219" max="9221" width="7.42578125" style="22" customWidth="1"/>
    <col min="9222" max="9227" width="0" style="22" hidden="1" customWidth="1"/>
    <col min="9228" max="9228" width="7.85546875" style="22" customWidth="1"/>
    <col min="9229" max="9467" width="11.42578125" style="22"/>
    <col min="9468" max="9468" width="18.140625" style="22" customWidth="1"/>
    <col min="9469" max="9469" width="8" style="22" bestFit="1" customWidth="1"/>
    <col min="9470" max="9470" width="7.42578125" style="22" bestFit="1" customWidth="1"/>
    <col min="9471" max="9472" width="7.42578125" style="22" customWidth="1"/>
    <col min="9473" max="9473" width="8" style="22" bestFit="1" customWidth="1"/>
    <col min="9474" max="9474" width="7.42578125" style="22" bestFit="1" customWidth="1"/>
    <col min="9475" max="9477" width="7.42578125" style="22" customWidth="1"/>
    <col min="9478" max="9483" width="0" style="22" hidden="1" customWidth="1"/>
    <col min="9484" max="9484" width="7.85546875" style="22" customWidth="1"/>
    <col min="9485" max="9723" width="11.42578125" style="22"/>
    <col min="9724" max="9724" width="18.140625" style="22" customWidth="1"/>
    <col min="9725" max="9725" width="8" style="22" bestFit="1" customWidth="1"/>
    <col min="9726" max="9726" width="7.42578125" style="22" bestFit="1" customWidth="1"/>
    <col min="9727" max="9728" width="7.42578125" style="22" customWidth="1"/>
    <col min="9729" max="9729" width="8" style="22" bestFit="1" customWidth="1"/>
    <col min="9730" max="9730" width="7.42578125" style="22" bestFit="1" customWidth="1"/>
    <col min="9731" max="9733" width="7.42578125" style="22" customWidth="1"/>
    <col min="9734" max="9739" width="0" style="22" hidden="1" customWidth="1"/>
    <col min="9740" max="9740" width="7.85546875" style="22" customWidth="1"/>
    <col min="9741" max="9979" width="11.42578125" style="22"/>
    <col min="9980" max="9980" width="18.140625" style="22" customWidth="1"/>
    <col min="9981" max="9981" width="8" style="22" bestFit="1" customWidth="1"/>
    <col min="9982" max="9982" width="7.42578125" style="22" bestFit="1" customWidth="1"/>
    <col min="9983" max="9984" width="7.42578125" style="22" customWidth="1"/>
    <col min="9985" max="9985" width="8" style="22" bestFit="1" customWidth="1"/>
    <col min="9986" max="9986" width="7.42578125" style="22" bestFit="1" customWidth="1"/>
    <col min="9987" max="9989" width="7.42578125" style="22" customWidth="1"/>
    <col min="9990" max="9995" width="0" style="22" hidden="1" customWidth="1"/>
    <col min="9996" max="9996" width="7.85546875" style="22" customWidth="1"/>
    <col min="9997" max="10235" width="11.42578125" style="22"/>
    <col min="10236" max="10236" width="18.140625" style="22" customWidth="1"/>
    <col min="10237" max="10237" width="8" style="22" bestFit="1" customWidth="1"/>
    <col min="10238" max="10238" width="7.42578125" style="22" bestFit="1" customWidth="1"/>
    <col min="10239" max="10240" width="7.42578125" style="22" customWidth="1"/>
    <col min="10241" max="10241" width="8" style="22" bestFit="1" customWidth="1"/>
    <col min="10242" max="10242" width="7.42578125" style="22" bestFit="1" customWidth="1"/>
    <col min="10243" max="10245" width="7.42578125" style="22" customWidth="1"/>
    <col min="10246" max="10251" width="0" style="22" hidden="1" customWidth="1"/>
    <col min="10252" max="10252" width="7.85546875" style="22" customWidth="1"/>
    <col min="10253" max="10491" width="11.42578125" style="22"/>
    <col min="10492" max="10492" width="18.140625" style="22" customWidth="1"/>
    <col min="10493" max="10493" width="8" style="22" bestFit="1" customWidth="1"/>
    <col min="10494" max="10494" width="7.42578125" style="22" bestFit="1" customWidth="1"/>
    <col min="10495" max="10496" width="7.42578125" style="22" customWidth="1"/>
    <col min="10497" max="10497" width="8" style="22" bestFit="1" customWidth="1"/>
    <col min="10498" max="10498" width="7.42578125" style="22" bestFit="1" customWidth="1"/>
    <col min="10499" max="10501" width="7.42578125" style="22" customWidth="1"/>
    <col min="10502" max="10507" width="0" style="22" hidden="1" customWidth="1"/>
    <col min="10508" max="10508" width="7.85546875" style="22" customWidth="1"/>
    <col min="10509" max="10747" width="11.42578125" style="22"/>
    <col min="10748" max="10748" width="18.140625" style="22" customWidth="1"/>
    <col min="10749" max="10749" width="8" style="22" bestFit="1" customWidth="1"/>
    <col min="10750" max="10750" width="7.42578125" style="22" bestFit="1" customWidth="1"/>
    <col min="10751" max="10752" width="7.42578125" style="22" customWidth="1"/>
    <col min="10753" max="10753" width="8" style="22" bestFit="1" customWidth="1"/>
    <col min="10754" max="10754" width="7.42578125" style="22" bestFit="1" customWidth="1"/>
    <col min="10755" max="10757" width="7.42578125" style="22" customWidth="1"/>
    <col min="10758" max="10763" width="0" style="22" hidden="1" customWidth="1"/>
    <col min="10764" max="10764" width="7.85546875" style="22" customWidth="1"/>
    <col min="10765" max="11003" width="11.42578125" style="22"/>
    <col min="11004" max="11004" width="18.140625" style="22" customWidth="1"/>
    <col min="11005" max="11005" width="8" style="22" bestFit="1" customWidth="1"/>
    <col min="11006" max="11006" width="7.42578125" style="22" bestFit="1" customWidth="1"/>
    <col min="11007" max="11008" width="7.42578125" style="22" customWidth="1"/>
    <col min="11009" max="11009" width="8" style="22" bestFit="1" customWidth="1"/>
    <col min="11010" max="11010" width="7.42578125" style="22" bestFit="1" customWidth="1"/>
    <col min="11011" max="11013" width="7.42578125" style="22" customWidth="1"/>
    <col min="11014" max="11019" width="0" style="22" hidden="1" customWidth="1"/>
    <col min="11020" max="11020" width="7.85546875" style="22" customWidth="1"/>
    <col min="11021" max="11259" width="11.42578125" style="22"/>
    <col min="11260" max="11260" width="18.140625" style="22" customWidth="1"/>
    <col min="11261" max="11261" width="8" style="22" bestFit="1" customWidth="1"/>
    <col min="11262" max="11262" width="7.42578125" style="22" bestFit="1" customWidth="1"/>
    <col min="11263" max="11264" width="7.42578125" style="22" customWidth="1"/>
    <col min="11265" max="11265" width="8" style="22" bestFit="1" customWidth="1"/>
    <col min="11266" max="11266" width="7.42578125" style="22" bestFit="1" customWidth="1"/>
    <col min="11267" max="11269" width="7.42578125" style="22" customWidth="1"/>
    <col min="11270" max="11275" width="0" style="22" hidden="1" customWidth="1"/>
    <col min="11276" max="11276" width="7.85546875" style="22" customWidth="1"/>
    <col min="11277" max="11515" width="11.42578125" style="22"/>
    <col min="11516" max="11516" width="18.140625" style="22" customWidth="1"/>
    <col min="11517" max="11517" width="8" style="22" bestFit="1" customWidth="1"/>
    <col min="11518" max="11518" width="7.42578125" style="22" bestFit="1" customWidth="1"/>
    <col min="11519" max="11520" width="7.42578125" style="22" customWidth="1"/>
    <col min="11521" max="11521" width="8" style="22" bestFit="1" customWidth="1"/>
    <col min="11522" max="11522" width="7.42578125" style="22" bestFit="1" customWidth="1"/>
    <col min="11523" max="11525" width="7.42578125" style="22" customWidth="1"/>
    <col min="11526" max="11531" width="0" style="22" hidden="1" customWidth="1"/>
    <col min="11532" max="11532" width="7.85546875" style="22" customWidth="1"/>
    <col min="11533" max="11771" width="11.42578125" style="22"/>
    <col min="11772" max="11772" width="18.140625" style="22" customWidth="1"/>
    <col min="11773" max="11773" width="8" style="22" bestFit="1" customWidth="1"/>
    <col min="11774" max="11774" width="7.42578125" style="22" bestFit="1" customWidth="1"/>
    <col min="11775" max="11776" width="7.42578125" style="22" customWidth="1"/>
    <col min="11777" max="11777" width="8" style="22" bestFit="1" customWidth="1"/>
    <col min="11778" max="11778" width="7.42578125" style="22" bestFit="1" customWidth="1"/>
    <col min="11779" max="11781" width="7.42578125" style="22" customWidth="1"/>
    <col min="11782" max="11787" width="0" style="22" hidden="1" customWidth="1"/>
    <col min="11788" max="11788" width="7.85546875" style="22" customWidth="1"/>
    <col min="11789" max="12027" width="11.42578125" style="22"/>
    <col min="12028" max="12028" width="18.140625" style="22" customWidth="1"/>
    <col min="12029" max="12029" width="8" style="22" bestFit="1" customWidth="1"/>
    <col min="12030" max="12030" width="7.42578125" style="22" bestFit="1" customWidth="1"/>
    <col min="12031" max="12032" width="7.42578125" style="22" customWidth="1"/>
    <col min="12033" max="12033" width="8" style="22" bestFit="1" customWidth="1"/>
    <col min="12034" max="12034" width="7.42578125" style="22" bestFit="1" customWidth="1"/>
    <col min="12035" max="12037" width="7.42578125" style="22" customWidth="1"/>
    <col min="12038" max="12043" width="0" style="22" hidden="1" customWidth="1"/>
    <col min="12044" max="12044" width="7.85546875" style="22" customWidth="1"/>
    <col min="12045" max="12283" width="11.42578125" style="22"/>
    <col min="12284" max="12284" width="18.140625" style="22" customWidth="1"/>
    <col min="12285" max="12285" width="8" style="22" bestFit="1" customWidth="1"/>
    <col min="12286" max="12286" width="7.42578125" style="22" bestFit="1" customWidth="1"/>
    <col min="12287" max="12288" width="7.42578125" style="22" customWidth="1"/>
    <col min="12289" max="12289" width="8" style="22" bestFit="1" customWidth="1"/>
    <col min="12290" max="12290" width="7.42578125" style="22" bestFit="1" customWidth="1"/>
    <col min="12291" max="12293" width="7.42578125" style="22" customWidth="1"/>
    <col min="12294" max="12299" width="0" style="22" hidden="1" customWidth="1"/>
    <col min="12300" max="12300" width="7.85546875" style="22" customWidth="1"/>
    <col min="12301" max="12539" width="11.42578125" style="22"/>
    <col min="12540" max="12540" width="18.140625" style="22" customWidth="1"/>
    <col min="12541" max="12541" width="8" style="22" bestFit="1" customWidth="1"/>
    <col min="12542" max="12542" width="7.42578125" style="22" bestFit="1" customWidth="1"/>
    <col min="12543" max="12544" width="7.42578125" style="22" customWidth="1"/>
    <col min="12545" max="12545" width="8" style="22" bestFit="1" customWidth="1"/>
    <col min="12546" max="12546" width="7.42578125" style="22" bestFit="1" customWidth="1"/>
    <col min="12547" max="12549" width="7.42578125" style="22" customWidth="1"/>
    <col min="12550" max="12555" width="0" style="22" hidden="1" customWidth="1"/>
    <col min="12556" max="12556" width="7.85546875" style="22" customWidth="1"/>
    <col min="12557" max="12795" width="11.42578125" style="22"/>
    <col min="12796" max="12796" width="18.140625" style="22" customWidth="1"/>
    <col min="12797" max="12797" width="8" style="22" bestFit="1" customWidth="1"/>
    <col min="12798" max="12798" width="7.42578125" style="22" bestFit="1" customWidth="1"/>
    <col min="12799" max="12800" width="7.42578125" style="22" customWidth="1"/>
    <col min="12801" max="12801" width="8" style="22" bestFit="1" customWidth="1"/>
    <col min="12802" max="12802" width="7.42578125" style="22" bestFit="1" customWidth="1"/>
    <col min="12803" max="12805" width="7.42578125" style="22" customWidth="1"/>
    <col min="12806" max="12811" width="0" style="22" hidden="1" customWidth="1"/>
    <col min="12812" max="12812" width="7.85546875" style="22" customWidth="1"/>
    <col min="12813" max="13051" width="11.42578125" style="22"/>
    <col min="13052" max="13052" width="18.140625" style="22" customWidth="1"/>
    <col min="13053" max="13053" width="8" style="22" bestFit="1" customWidth="1"/>
    <col min="13054" max="13054" width="7.42578125" style="22" bestFit="1" customWidth="1"/>
    <col min="13055" max="13056" width="7.42578125" style="22" customWidth="1"/>
    <col min="13057" max="13057" width="8" style="22" bestFit="1" customWidth="1"/>
    <col min="13058" max="13058" width="7.42578125" style="22" bestFit="1" customWidth="1"/>
    <col min="13059" max="13061" width="7.42578125" style="22" customWidth="1"/>
    <col min="13062" max="13067" width="0" style="22" hidden="1" customWidth="1"/>
    <col min="13068" max="13068" width="7.85546875" style="22" customWidth="1"/>
    <col min="13069" max="13307" width="11.42578125" style="22"/>
    <col min="13308" max="13308" width="18.140625" style="22" customWidth="1"/>
    <col min="13309" max="13309" width="8" style="22" bestFit="1" customWidth="1"/>
    <col min="13310" max="13310" width="7.42578125" style="22" bestFit="1" customWidth="1"/>
    <col min="13311" max="13312" width="7.42578125" style="22" customWidth="1"/>
    <col min="13313" max="13313" width="8" style="22" bestFit="1" customWidth="1"/>
    <col min="13314" max="13314" width="7.42578125" style="22" bestFit="1" customWidth="1"/>
    <col min="13315" max="13317" width="7.42578125" style="22" customWidth="1"/>
    <col min="13318" max="13323" width="0" style="22" hidden="1" customWidth="1"/>
    <col min="13324" max="13324" width="7.85546875" style="22" customWidth="1"/>
    <col min="13325" max="13563" width="11.42578125" style="22"/>
    <col min="13564" max="13564" width="18.140625" style="22" customWidth="1"/>
    <col min="13565" max="13565" width="8" style="22" bestFit="1" customWidth="1"/>
    <col min="13566" max="13566" width="7.42578125" style="22" bestFit="1" customWidth="1"/>
    <col min="13567" max="13568" width="7.42578125" style="22" customWidth="1"/>
    <col min="13569" max="13569" width="8" style="22" bestFit="1" customWidth="1"/>
    <col min="13570" max="13570" width="7.42578125" style="22" bestFit="1" customWidth="1"/>
    <col min="13571" max="13573" width="7.42578125" style="22" customWidth="1"/>
    <col min="13574" max="13579" width="0" style="22" hidden="1" customWidth="1"/>
    <col min="13580" max="13580" width="7.85546875" style="22" customWidth="1"/>
    <col min="13581" max="13819" width="11.42578125" style="22"/>
    <col min="13820" max="13820" width="18.140625" style="22" customWidth="1"/>
    <col min="13821" max="13821" width="8" style="22" bestFit="1" customWidth="1"/>
    <col min="13822" max="13822" width="7.42578125" style="22" bestFit="1" customWidth="1"/>
    <col min="13823" max="13824" width="7.42578125" style="22" customWidth="1"/>
    <col min="13825" max="13825" width="8" style="22" bestFit="1" customWidth="1"/>
    <col min="13826" max="13826" width="7.42578125" style="22" bestFit="1" customWidth="1"/>
    <col min="13827" max="13829" width="7.42578125" style="22" customWidth="1"/>
    <col min="13830" max="13835" width="0" style="22" hidden="1" customWidth="1"/>
    <col min="13836" max="13836" width="7.85546875" style="22" customWidth="1"/>
    <col min="13837" max="14075" width="11.42578125" style="22"/>
    <col min="14076" max="14076" width="18.140625" style="22" customWidth="1"/>
    <col min="14077" max="14077" width="8" style="22" bestFit="1" customWidth="1"/>
    <col min="14078" max="14078" width="7.42578125" style="22" bestFit="1" customWidth="1"/>
    <col min="14079" max="14080" width="7.42578125" style="22" customWidth="1"/>
    <col min="14081" max="14081" width="8" style="22" bestFit="1" customWidth="1"/>
    <col min="14082" max="14082" width="7.42578125" style="22" bestFit="1" customWidth="1"/>
    <col min="14083" max="14085" width="7.42578125" style="22" customWidth="1"/>
    <col min="14086" max="14091" width="0" style="22" hidden="1" customWidth="1"/>
    <col min="14092" max="14092" width="7.85546875" style="22" customWidth="1"/>
    <col min="14093" max="14331" width="11.42578125" style="22"/>
    <col min="14332" max="14332" width="18.140625" style="22" customWidth="1"/>
    <col min="14333" max="14333" width="8" style="22" bestFit="1" customWidth="1"/>
    <col min="14334" max="14334" width="7.42578125" style="22" bestFit="1" customWidth="1"/>
    <col min="14335" max="14336" width="7.42578125" style="22" customWidth="1"/>
    <col min="14337" max="14337" width="8" style="22" bestFit="1" customWidth="1"/>
    <col min="14338" max="14338" width="7.42578125" style="22" bestFit="1" customWidth="1"/>
    <col min="14339" max="14341" width="7.42578125" style="22" customWidth="1"/>
    <col min="14342" max="14347" width="0" style="22" hidden="1" customWidth="1"/>
    <col min="14348" max="14348" width="7.85546875" style="22" customWidth="1"/>
    <col min="14349" max="14587" width="11.42578125" style="22"/>
    <col min="14588" max="14588" width="18.140625" style="22" customWidth="1"/>
    <col min="14589" max="14589" width="8" style="22" bestFit="1" customWidth="1"/>
    <col min="14590" max="14590" width="7.42578125" style="22" bestFit="1" customWidth="1"/>
    <col min="14591" max="14592" width="7.42578125" style="22" customWidth="1"/>
    <col min="14593" max="14593" width="8" style="22" bestFit="1" customWidth="1"/>
    <col min="14594" max="14594" width="7.42578125" style="22" bestFit="1" customWidth="1"/>
    <col min="14595" max="14597" width="7.42578125" style="22" customWidth="1"/>
    <col min="14598" max="14603" width="0" style="22" hidden="1" customWidth="1"/>
    <col min="14604" max="14604" width="7.85546875" style="22" customWidth="1"/>
    <col min="14605" max="14843" width="11.42578125" style="22"/>
    <col min="14844" max="14844" width="18.140625" style="22" customWidth="1"/>
    <col min="14845" max="14845" width="8" style="22" bestFit="1" customWidth="1"/>
    <col min="14846" max="14846" width="7.42578125" style="22" bestFit="1" customWidth="1"/>
    <col min="14847" max="14848" width="7.42578125" style="22" customWidth="1"/>
    <col min="14849" max="14849" width="8" style="22" bestFit="1" customWidth="1"/>
    <col min="14850" max="14850" width="7.42578125" style="22" bestFit="1" customWidth="1"/>
    <col min="14851" max="14853" width="7.42578125" style="22" customWidth="1"/>
    <col min="14854" max="14859" width="0" style="22" hidden="1" customWidth="1"/>
    <col min="14860" max="14860" width="7.85546875" style="22" customWidth="1"/>
    <col min="14861" max="15099" width="11.42578125" style="22"/>
    <col min="15100" max="15100" width="18.140625" style="22" customWidth="1"/>
    <col min="15101" max="15101" width="8" style="22" bestFit="1" customWidth="1"/>
    <col min="15102" max="15102" width="7.42578125" style="22" bestFit="1" customWidth="1"/>
    <col min="15103" max="15104" width="7.42578125" style="22" customWidth="1"/>
    <col min="15105" max="15105" width="8" style="22" bestFit="1" customWidth="1"/>
    <col min="15106" max="15106" width="7.42578125" style="22" bestFit="1" customWidth="1"/>
    <col min="15107" max="15109" width="7.42578125" style="22" customWidth="1"/>
    <col min="15110" max="15115" width="0" style="22" hidden="1" customWidth="1"/>
    <col min="15116" max="15116" width="7.85546875" style="22" customWidth="1"/>
    <col min="15117" max="15355" width="11.42578125" style="22"/>
    <col min="15356" max="15356" width="18.140625" style="22" customWidth="1"/>
    <col min="15357" max="15357" width="8" style="22" bestFit="1" customWidth="1"/>
    <col min="15358" max="15358" width="7.42578125" style="22" bestFit="1" customWidth="1"/>
    <col min="15359" max="15360" width="7.42578125" style="22" customWidth="1"/>
    <col min="15361" max="15361" width="8" style="22" bestFit="1" customWidth="1"/>
    <col min="15362" max="15362" width="7.42578125" style="22" bestFit="1" customWidth="1"/>
    <col min="15363" max="15365" width="7.42578125" style="22" customWidth="1"/>
    <col min="15366" max="15371" width="0" style="22" hidden="1" customWidth="1"/>
    <col min="15372" max="15372" width="7.85546875" style="22" customWidth="1"/>
    <col min="15373" max="15611" width="11.42578125" style="22"/>
    <col min="15612" max="15612" width="18.140625" style="22" customWidth="1"/>
    <col min="15613" max="15613" width="8" style="22" bestFit="1" customWidth="1"/>
    <col min="15614" max="15614" width="7.42578125" style="22" bestFit="1" customWidth="1"/>
    <col min="15615" max="15616" width="7.42578125" style="22" customWidth="1"/>
    <col min="15617" max="15617" width="8" style="22" bestFit="1" customWidth="1"/>
    <col min="15618" max="15618" width="7.42578125" style="22" bestFit="1" customWidth="1"/>
    <col min="15619" max="15621" width="7.42578125" style="22" customWidth="1"/>
    <col min="15622" max="15627" width="0" style="22" hidden="1" customWidth="1"/>
    <col min="15628" max="15628" width="7.85546875" style="22" customWidth="1"/>
    <col min="15629" max="15867" width="11.42578125" style="22"/>
    <col min="15868" max="15868" width="18.140625" style="22" customWidth="1"/>
    <col min="15869" max="15869" width="8" style="22" bestFit="1" customWidth="1"/>
    <col min="15870" max="15870" width="7.42578125" style="22" bestFit="1" customWidth="1"/>
    <col min="15871" max="15872" width="7.42578125" style="22" customWidth="1"/>
    <col min="15873" max="15873" width="8" style="22" bestFit="1" customWidth="1"/>
    <col min="15874" max="15874" width="7.42578125" style="22" bestFit="1" customWidth="1"/>
    <col min="15875" max="15877" width="7.42578125" style="22" customWidth="1"/>
    <col min="15878" max="15883" width="0" style="22" hidden="1" customWidth="1"/>
    <col min="15884" max="15884" width="7.85546875" style="22" customWidth="1"/>
    <col min="15885" max="16123" width="11.42578125" style="22"/>
    <col min="16124" max="16124" width="18.140625" style="22" customWidth="1"/>
    <col min="16125" max="16125" width="8" style="22" bestFit="1" customWidth="1"/>
    <col min="16126" max="16126" width="7.42578125" style="22" bestFit="1" customWidth="1"/>
    <col min="16127" max="16128" width="7.42578125" style="22" customWidth="1"/>
    <col min="16129" max="16129" width="8" style="22" bestFit="1" customWidth="1"/>
    <col min="16130" max="16130" width="7.42578125" style="22" bestFit="1" customWidth="1"/>
    <col min="16131" max="16133" width="7.42578125" style="22" customWidth="1"/>
    <col min="16134" max="16139" width="0" style="22" hidden="1" customWidth="1"/>
    <col min="16140" max="16140" width="7.85546875" style="22" customWidth="1"/>
    <col min="16141" max="16384" width="11.42578125" style="22"/>
  </cols>
  <sheetData>
    <row r="1" spans="1:16" s="23" customFormat="1" ht="14.25" customHeight="1" x14ac:dyDescent="0.2">
      <c r="B1" s="21"/>
      <c r="C1" s="21"/>
      <c r="D1" s="21"/>
      <c r="E1" s="21"/>
      <c r="F1" s="21"/>
      <c r="G1" s="21"/>
      <c r="H1" s="21"/>
      <c r="I1" s="21"/>
      <c r="J1" s="21"/>
      <c r="K1" s="21"/>
      <c r="L1" s="21"/>
    </row>
    <row r="2" spans="1:16" s="23" customFormat="1" x14ac:dyDescent="0.2">
      <c r="A2" s="40" t="s">
        <v>58</v>
      </c>
      <c r="B2" s="21"/>
      <c r="C2" s="21"/>
      <c r="D2" s="21"/>
      <c r="E2" s="21"/>
      <c r="F2" s="21"/>
      <c r="G2" s="21"/>
      <c r="H2" s="21"/>
      <c r="I2" s="21"/>
      <c r="K2" s="21"/>
      <c r="L2" s="21"/>
    </row>
    <row r="3" spans="1:16" s="23" customFormat="1" x14ac:dyDescent="0.2">
      <c r="A3" s="40" t="s">
        <v>59</v>
      </c>
      <c r="B3" s="21"/>
      <c r="C3" s="21"/>
      <c r="D3" s="21"/>
      <c r="E3" s="21"/>
      <c r="F3" s="21"/>
      <c r="G3" s="21"/>
      <c r="H3" s="21"/>
      <c r="I3" s="21"/>
      <c r="J3" s="21"/>
      <c r="K3" s="21"/>
      <c r="L3" s="21"/>
    </row>
    <row r="4" spans="1:16" s="23" customFormat="1" ht="15" x14ac:dyDescent="0.25">
      <c r="B4" s="21"/>
      <c r="C4" s="21"/>
      <c r="D4" s="21"/>
      <c r="E4" s="21"/>
      <c r="F4" s="21"/>
      <c r="G4" s="21"/>
      <c r="H4" s="21"/>
      <c r="I4" s="21"/>
      <c r="J4" s="21"/>
      <c r="K4" s="21"/>
      <c r="L4" s="88"/>
    </row>
    <row r="5" spans="1:16" s="23" customFormat="1" ht="12.75" x14ac:dyDescent="0.2">
      <c r="B5" s="344" t="s">
        <v>565</v>
      </c>
      <c r="C5" s="344"/>
      <c r="D5" s="344"/>
      <c r="E5" s="344"/>
      <c r="F5" s="344"/>
      <c r="G5" s="344"/>
      <c r="H5" s="344"/>
      <c r="I5" s="344"/>
      <c r="J5" s="344"/>
      <c r="K5" s="344"/>
      <c r="M5" s="110" t="s">
        <v>509</v>
      </c>
      <c r="O5" s="89"/>
    </row>
    <row r="6" spans="1:16" s="23" customFormat="1" ht="12.75" x14ac:dyDescent="0.2">
      <c r="B6" s="374" t="str">
        <f>'Solicitudes Regiones'!$B$6:$R$6</f>
        <v>Julio de 2008 a junio de 2022</v>
      </c>
      <c r="C6" s="374"/>
      <c r="D6" s="374"/>
      <c r="E6" s="374"/>
      <c r="F6" s="374"/>
      <c r="G6" s="374"/>
      <c r="H6" s="374"/>
      <c r="I6" s="374"/>
      <c r="J6" s="374"/>
      <c r="K6" s="374"/>
      <c r="L6" s="48"/>
    </row>
    <row r="7" spans="1:16" x14ac:dyDescent="0.2">
      <c r="B7" s="24"/>
    </row>
    <row r="8" spans="1:16" ht="15" customHeight="1" x14ac:dyDescent="0.2">
      <c r="B8" s="373" t="s">
        <v>595</v>
      </c>
      <c r="C8" s="373"/>
      <c r="D8" s="373"/>
      <c r="E8" s="373"/>
      <c r="F8" s="373"/>
      <c r="G8" s="373"/>
      <c r="H8" s="373"/>
      <c r="I8" s="373"/>
      <c r="J8" s="373"/>
      <c r="K8" s="373"/>
      <c r="L8" s="373"/>
      <c r="M8" s="373"/>
    </row>
    <row r="9" spans="1:16" ht="20.25" customHeight="1" x14ac:dyDescent="0.2">
      <c r="B9" s="373" t="s">
        <v>41</v>
      </c>
      <c r="C9" s="370" t="s">
        <v>544</v>
      </c>
      <c r="D9" s="371"/>
      <c r="E9" s="371"/>
      <c r="F9" s="371"/>
      <c r="G9" s="371"/>
      <c r="H9" s="371"/>
      <c r="I9" s="371"/>
      <c r="J9" s="371"/>
      <c r="K9" s="371"/>
      <c r="L9" s="372"/>
      <c r="M9" s="307"/>
    </row>
    <row r="10" spans="1:16" ht="48" x14ac:dyDescent="0.2">
      <c r="B10" s="373"/>
      <c r="C10" s="20" t="s">
        <v>540</v>
      </c>
      <c r="D10" s="20" t="s">
        <v>42</v>
      </c>
      <c r="E10" s="20" t="s">
        <v>553</v>
      </c>
      <c r="F10" s="20" t="s">
        <v>554</v>
      </c>
      <c r="G10" s="20" t="s">
        <v>542</v>
      </c>
      <c r="H10" s="20" t="s">
        <v>2</v>
      </c>
      <c r="I10" s="20" t="s">
        <v>43</v>
      </c>
      <c r="J10" s="20" t="s">
        <v>549</v>
      </c>
      <c r="K10" s="296" t="s">
        <v>550</v>
      </c>
      <c r="L10" s="296" t="s">
        <v>523</v>
      </c>
      <c r="M10" s="296" t="s">
        <v>641</v>
      </c>
    </row>
    <row r="11" spans="1:16" ht="12.75" customHeight="1" x14ac:dyDescent="0.2">
      <c r="B11" s="18" t="s">
        <v>359</v>
      </c>
      <c r="C11" s="16">
        <v>18133</v>
      </c>
      <c r="D11" s="16">
        <v>2122</v>
      </c>
      <c r="E11" s="16">
        <f>C11+D11</f>
        <v>20255</v>
      </c>
      <c r="F11" s="17">
        <f>E11/$E$63</f>
        <v>6.8198423574331396E-2</v>
      </c>
      <c r="G11" s="16">
        <v>33551</v>
      </c>
      <c r="H11" s="16">
        <v>5648</v>
      </c>
      <c r="I11" s="16">
        <v>1338</v>
      </c>
      <c r="J11" s="16">
        <v>40537</v>
      </c>
      <c r="K11" s="17">
        <f>J11/$J$63</f>
        <v>4.8633622789189916E-2</v>
      </c>
      <c r="L11" s="16">
        <v>0</v>
      </c>
      <c r="M11" s="16">
        <f>L11+J11+E11</f>
        <v>60792</v>
      </c>
      <c r="P11" s="27"/>
    </row>
    <row r="12" spans="1:16" ht="12.75" customHeight="1" x14ac:dyDescent="0.2">
      <c r="B12" s="18" t="s">
        <v>360</v>
      </c>
      <c r="C12" s="16">
        <v>2626</v>
      </c>
      <c r="D12" s="16">
        <v>1533</v>
      </c>
      <c r="E12" s="16">
        <f t="shared" ref="E12:E62" si="0">C12+D12</f>
        <v>4159</v>
      </c>
      <c r="F12" s="17">
        <f t="shared" ref="F12:F62" si="1">E12/$E$63</f>
        <v>1.4003319854141905E-2</v>
      </c>
      <c r="G12" s="16">
        <v>8414</v>
      </c>
      <c r="H12" s="16">
        <v>1913</v>
      </c>
      <c r="I12" s="16">
        <v>481</v>
      </c>
      <c r="J12" s="16">
        <v>10808</v>
      </c>
      <c r="K12" s="17">
        <f t="shared" ref="K12:K63" si="2">J12/$J$63</f>
        <v>1.2966726573391336E-2</v>
      </c>
      <c r="L12" s="16">
        <v>0</v>
      </c>
      <c r="M12" s="16">
        <f t="shared" ref="M12:M63" si="3">L12+J12+E12</f>
        <v>14967</v>
      </c>
      <c r="P12" s="27"/>
    </row>
    <row r="13" spans="1:16" ht="12.75" customHeight="1" x14ac:dyDescent="0.2">
      <c r="B13" s="18" t="s">
        <v>361</v>
      </c>
      <c r="C13" s="16">
        <v>6358</v>
      </c>
      <c r="D13" s="16">
        <v>3185</v>
      </c>
      <c r="E13" s="16">
        <f t="shared" si="0"/>
        <v>9543</v>
      </c>
      <c r="F13" s="17">
        <f t="shared" si="1"/>
        <v>3.2131204945437891E-2</v>
      </c>
      <c r="G13" s="16">
        <v>17830</v>
      </c>
      <c r="H13" s="16">
        <v>3288</v>
      </c>
      <c r="I13" s="16">
        <v>1156</v>
      </c>
      <c r="J13" s="16">
        <v>22274</v>
      </c>
      <c r="K13" s="17">
        <f t="shared" si="2"/>
        <v>2.6722878210188622E-2</v>
      </c>
      <c r="L13" s="16">
        <v>0</v>
      </c>
      <c r="M13" s="16">
        <f t="shared" si="3"/>
        <v>31817</v>
      </c>
      <c r="P13" s="27"/>
    </row>
    <row r="14" spans="1:16" ht="12.75" customHeight="1" x14ac:dyDescent="0.2">
      <c r="B14" s="18" t="s">
        <v>362</v>
      </c>
      <c r="C14" s="16">
        <v>2810</v>
      </c>
      <c r="D14" s="16">
        <v>1476</v>
      </c>
      <c r="E14" s="16">
        <f t="shared" si="0"/>
        <v>4286</v>
      </c>
      <c r="F14" s="17">
        <f t="shared" si="1"/>
        <v>1.4430927841993797E-2</v>
      </c>
      <c r="G14" s="16">
        <v>7821</v>
      </c>
      <c r="H14" s="16">
        <v>1642</v>
      </c>
      <c r="I14" s="16">
        <v>509</v>
      </c>
      <c r="J14" s="16">
        <v>9972</v>
      </c>
      <c r="K14" s="17">
        <f t="shared" si="2"/>
        <v>1.196374883325855E-2</v>
      </c>
      <c r="L14" s="16">
        <v>0</v>
      </c>
      <c r="M14" s="16">
        <f t="shared" si="3"/>
        <v>14258</v>
      </c>
      <c r="P14" s="27"/>
    </row>
    <row r="15" spans="1:16" ht="12.75" customHeight="1" x14ac:dyDescent="0.2">
      <c r="B15" s="18" t="s">
        <v>363</v>
      </c>
      <c r="C15" s="16">
        <v>2860</v>
      </c>
      <c r="D15" s="16">
        <v>895</v>
      </c>
      <c r="E15" s="16">
        <f t="shared" si="0"/>
        <v>3755</v>
      </c>
      <c r="F15" s="17">
        <f t="shared" si="1"/>
        <v>1.264305507388864E-2</v>
      </c>
      <c r="G15" s="16">
        <v>10033</v>
      </c>
      <c r="H15" s="16">
        <v>1810</v>
      </c>
      <c r="I15" s="16">
        <v>434</v>
      </c>
      <c r="J15" s="16">
        <v>12277</v>
      </c>
      <c r="K15" s="17">
        <f t="shared" si="2"/>
        <v>1.4729136023457202E-2</v>
      </c>
      <c r="L15" s="16">
        <v>0</v>
      </c>
      <c r="M15" s="16">
        <f t="shared" si="3"/>
        <v>16032</v>
      </c>
      <c r="P15" s="27"/>
    </row>
    <row r="16" spans="1:16" ht="12.75" customHeight="1" x14ac:dyDescent="0.2">
      <c r="B16" s="18" t="s">
        <v>364</v>
      </c>
      <c r="C16" s="16">
        <v>3578</v>
      </c>
      <c r="D16" s="16">
        <v>1184</v>
      </c>
      <c r="E16" s="16">
        <f t="shared" si="0"/>
        <v>4762</v>
      </c>
      <c r="F16" s="17">
        <f t="shared" si="1"/>
        <v>1.6033616048430812E-2</v>
      </c>
      <c r="G16" s="16">
        <v>10345</v>
      </c>
      <c r="H16" s="16">
        <v>2035</v>
      </c>
      <c r="I16" s="16">
        <v>480</v>
      </c>
      <c r="J16" s="16">
        <v>12860</v>
      </c>
      <c r="K16" s="17">
        <f t="shared" si="2"/>
        <v>1.542858102644454E-2</v>
      </c>
      <c r="L16" s="16">
        <v>0</v>
      </c>
      <c r="M16" s="16">
        <f t="shared" si="3"/>
        <v>17622</v>
      </c>
      <c r="P16" s="27"/>
    </row>
    <row r="17" spans="2:16" ht="12.75" customHeight="1" x14ac:dyDescent="0.2">
      <c r="B17" s="18" t="s">
        <v>365</v>
      </c>
      <c r="C17" s="16">
        <v>6066</v>
      </c>
      <c r="D17" s="16">
        <v>3783</v>
      </c>
      <c r="E17" s="16">
        <f t="shared" si="0"/>
        <v>9849</v>
      </c>
      <c r="F17" s="17">
        <f t="shared" si="1"/>
        <v>3.3161504506718835E-2</v>
      </c>
      <c r="G17" s="16">
        <v>17051</v>
      </c>
      <c r="H17" s="16">
        <v>2711</v>
      </c>
      <c r="I17" s="16">
        <v>1358</v>
      </c>
      <c r="J17" s="16">
        <v>21120</v>
      </c>
      <c r="K17" s="17">
        <f t="shared" si="2"/>
        <v>2.5338385013880926E-2</v>
      </c>
      <c r="L17" s="16">
        <v>0</v>
      </c>
      <c r="M17" s="16">
        <f t="shared" si="3"/>
        <v>30969</v>
      </c>
      <c r="P17" s="27"/>
    </row>
    <row r="18" spans="2:16" ht="12.75" customHeight="1" x14ac:dyDescent="0.2">
      <c r="B18" s="18" t="s">
        <v>366</v>
      </c>
      <c r="C18" s="16">
        <v>4972</v>
      </c>
      <c r="D18" s="16">
        <v>1030</v>
      </c>
      <c r="E18" s="16">
        <f t="shared" si="0"/>
        <v>6002</v>
      </c>
      <c r="F18" s="17">
        <f t="shared" si="1"/>
        <v>2.0208686166039845E-2</v>
      </c>
      <c r="G18" s="16">
        <v>20310</v>
      </c>
      <c r="H18" s="16">
        <v>5421</v>
      </c>
      <c r="I18" s="16">
        <v>533</v>
      </c>
      <c r="J18" s="16">
        <v>26264</v>
      </c>
      <c r="K18" s="17">
        <f t="shared" si="2"/>
        <v>3.1509817424458741E-2</v>
      </c>
      <c r="L18" s="16">
        <v>0</v>
      </c>
      <c r="M18" s="16">
        <f t="shared" si="3"/>
        <v>32266</v>
      </c>
      <c r="P18" s="27"/>
    </row>
    <row r="19" spans="2:16" ht="12.75" customHeight="1" x14ac:dyDescent="0.2">
      <c r="B19" s="18" t="s">
        <v>367</v>
      </c>
      <c r="C19" s="16">
        <v>1124</v>
      </c>
      <c r="D19" s="16">
        <v>446</v>
      </c>
      <c r="E19" s="16">
        <f t="shared" si="0"/>
        <v>1570</v>
      </c>
      <c r="F19" s="17">
        <f t="shared" si="1"/>
        <v>5.2861774876178866E-3</v>
      </c>
      <c r="G19" s="16">
        <v>4080</v>
      </c>
      <c r="H19" s="16">
        <v>615</v>
      </c>
      <c r="I19" s="16">
        <v>190</v>
      </c>
      <c r="J19" s="16">
        <v>4885</v>
      </c>
      <c r="K19" s="17">
        <f t="shared" si="2"/>
        <v>5.8607012685988787E-3</v>
      </c>
      <c r="L19" s="16">
        <v>0</v>
      </c>
      <c r="M19" s="16">
        <f t="shared" si="3"/>
        <v>6455</v>
      </c>
      <c r="P19" s="27"/>
    </row>
    <row r="20" spans="2:16" ht="12.75" customHeight="1" x14ac:dyDescent="0.2">
      <c r="B20" s="18" t="s">
        <v>368</v>
      </c>
      <c r="C20" s="16">
        <v>4092</v>
      </c>
      <c r="D20" s="16">
        <v>1671</v>
      </c>
      <c r="E20" s="16">
        <f t="shared" si="0"/>
        <v>5763</v>
      </c>
      <c r="F20" s="17">
        <f t="shared" si="1"/>
        <v>1.9403975070791009E-2</v>
      </c>
      <c r="G20" s="16">
        <v>12999</v>
      </c>
      <c r="H20" s="16">
        <v>2400</v>
      </c>
      <c r="I20" s="16">
        <v>682</v>
      </c>
      <c r="J20" s="16">
        <v>16081</v>
      </c>
      <c r="K20" s="17">
        <f t="shared" si="2"/>
        <v>1.9292924687889165E-2</v>
      </c>
      <c r="L20" s="16">
        <v>0</v>
      </c>
      <c r="M20" s="16">
        <f t="shared" si="3"/>
        <v>21844</v>
      </c>
      <c r="P20" s="27"/>
    </row>
    <row r="21" spans="2:16" ht="12.75" customHeight="1" x14ac:dyDescent="0.2">
      <c r="B21" s="18" t="s">
        <v>369</v>
      </c>
      <c r="C21" s="16">
        <v>3872</v>
      </c>
      <c r="D21" s="16">
        <v>1146</v>
      </c>
      <c r="E21" s="16">
        <f t="shared" si="0"/>
        <v>5018</v>
      </c>
      <c r="F21" s="17">
        <f t="shared" si="1"/>
        <v>1.6895566008195258E-2</v>
      </c>
      <c r="G21" s="16">
        <v>14431</v>
      </c>
      <c r="H21" s="16">
        <v>2860</v>
      </c>
      <c r="I21" s="16">
        <v>561</v>
      </c>
      <c r="J21" s="16">
        <v>17852</v>
      </c>
      <c r="K21" s="17">
        <f t="shared" si="2"/>
        <v>2.1417653847907305E-2</v>
      </c>
      <c r="L21" s="16">
        <v>0</v>
      </c>
      <c r="M21" s="16">
        <f t="shared" si="3"/>
        <v>22870</v>
      </c>
      <c r="P21" s="27"/>
    </row>
    <row r="22" spans="2:16" ht="22.5" customHeight="1" x14ac:dyDescent="0.2">
      <c r="B22" s="18" t="s">
        <v>370</v>
      </c>
      <c r="C22" s="16">
        <v>4642</v>
      </c>
      <c r="D22" s="16">
        <v>2131</v>
      </c>
      <c r="E22" s="16">
        <f t="shared" si="0"/>
        <v>6773</v>
      </c>
      <c r="F22" s="17">
        <f t="shared" si="1"/>
        <v>2.2804637021424171E-2</v>
      </c>
      <c r="G22" s="16">
        <v>14632</v>
      </c>
      <c r="H22" s="16">
        <v>2514</v>
      </c>
      <c r="I22" s="16">
        <v>801</v>
      </c>
      <c r="J22" s="16">
        <v>17947</v>
      </c>
      <c r="K22" s="17">
        <f t="shared" si="2"/>
        <v>2.1531628591104211E-2</v>
      </c>
      <c r="L22" s="16">
        <v>0</v>
      </c>
      <c r="M22" s="16">
        <f t="shared" si="3"/>
        <v>24720</v>
      </c>
      <c r="P22" s="27"/>
    </row>
    <row r="23" spans="2:16" ht="12.75" customHeight="1" x14ac:dyDescent="0.2">
      <c r="B23" s="18" t="s">
        <v>371</v>
      </c>
      <c r="C23" s="16">
        <v>6559</v>
      </c>
      <c r="D23" s="16">
        <v>3260</v>
      </c>
      <c r="E23" s="16">
        <f t="shared" si="0"/>
        <v>9819</v>
      </c>
      <c r="F23" s="17">
        <f t="shared" si="1"/>
        <v>3.3060494745808938E-2</v>
      </c>
      <c r="G23" s="16">
        <v>22509</v>
      </c>
      <c r="H23" s="16">
        <v>4062</v>
      </c>
      <c r="I23" s="16">
        <v>1247</v>
      </c>
      <c r="J23" s="16">
        <v>27818</v>
      </c>
      <c r="K23" s="17">
        <f t="shared" si="2"/>
        <v>3.3374204276332364E-2</v>
      </c>
      <c r="L23" s="16">
        <v>0</v>
      </c>
      <c r="M23" s="16">
        <f t="shared" si="3"/>
        <v>37637</v>
      </c>
      <c r="P23" s="27"/>
    </row>
    <row r="24" spans="2:16" ht="12.75" customHeight="1" x14ac:dyDescent="0.2">
      <c r="B24" s="18" t="s">
        <v>372</v>
      </c>
      <c r="C24" s="16">
        <v>4347</v>
      </c>
      <c r="D24" s="16">
        <v>1503</v>
      </c>
      <c r="E24" s="16">
        <f t="shared" si="0"/>
        <v>5850</v>
      </c>
      <c r="F24" s="17">
        <f t="shared" si="1"/>
        <v>1.9696903377429707E-2</v>
      </c>
      <c r="G24" s="16">
        <v>14121</v>
      </c>
      <c r="H24" s="16">
        <v>2335</v>
      </c>
      <c r="I24" s="16">
        <v>623</v>
      </c>
      <c r="J24" s="16">
        <v>17079</v>
      </c>
      <c r="K24" s="17">
        <f t="shared" si="2"/>
        <v>2.049025935852615E-2</v>
      </c>
      <c r="L24" s="16">
        <v>0</v>
      </c>
      <c r="M24" s="16">
        <f t="shared" si="3"/>
        <v>22929</v>
      </c>
      <c r="P24" s="27"/>
    </row>
    <row r="25" spans="2:16" ht="12.75" customHeight="1" x14ac:dyDescent="0.2">
      <c r="B25" s="18" t="s">
        <v>373</v>
      </c>
      <c r="C25" s="16">
        <v>4663</v>
      </c>
      <c r="D25" s="16">
        <v>2597</v>
      </c>
      <c r="E25" s="16">
        <f t="shared" si="0"/>
        <v>7260</v>
      </c>
      <c r="F25" s="17">
        <f t="shared" si="1"/>
        <v>2.4444362140194815E-2</v>
      </c>
      <c r="G25" s="16">
        <v>14970</v>
      </c>
      <c r="H25" s="16">
        <v>2642</v>
      </c>
      <c r="I25" s="16">
        <v>963</v>
      </c>
      <c r="J25" s="16">
        <v>18575</v>
      </c>
      <c r="K25" s="17">
        <f t="shared" si="2"/>
        <v>2.2285061630342717E-2</v>
      </c>
      <c r="L25" s="16">
        <v>0</v>
      </c>
      <c r="M25" s="16">
        <f t="shared" si="3"/>
        <v>25835</v>
      </c>
      <c r="P25" s="27"/>
    </row>
    <row r="26" spans="2:16" ht="12.75" customHeight="1" x14ac:dyDescent="0.2">
      <c r="B26" s="18" t="s">
        <v>374</v>
      </c>
      <c r="C26" s="16">
        <v>3927</v>
      </c>
      <c r="D26" s="16">
        <v>1710</v>
      </c>
      <c r="E26" s="16">
        <f t="shared" si="0"/>
        <v>5637</v>
      </c>
      <c r="F26" s="17">
        <f t="shared" si="1"/>
        <v>1.8979734074969445E-2</v>
      </c>
      <c r="G26" s="16">
        <v>13111</v>
      </c>
      <c r="H26" s="16">
        <v>2217</v>
      </c>
      <c r="I26" s="16">
        <v>648</v>
      </c>
      <c r="J26" s="16">
        <v>15976</v>
      </c>
      <c r="K26" s="17">
        <f t="shared" si="2"/>
        <v>1.9166952603303106E-2</v>
      </c>
      <c r="L26" s="16">
        <v>0</v>
      </c>
      <c r="M26" s="16">
        <f t="shared" si="3"/>
        <v>21613</v>
      </c>
      <c r="P26" s="27"/>
    </row>
    <row r="27" spans="2:16" ht="12.75" customHeight="1" x14ac:dyDescent="0.2">
      <c r="B27" s="18" t="s">
        <v>375</v>
      </c>
      <c r="C27" s="16">
        <v>13090</v>
      </c>
      <c r="D27" s="16">
        <v>6268</v>
      </c>
      <c r="E27" s="16">
        <f t="shared" si="0"/>
        <v>19358</v>
      </c>
      <c r="F27" s="17">
        <f t="shared" si="1"/>
        <v>6.5178231723125507E-2</v>
      </c>
      <c r="G27" s="16">
        <v>45893</v>
      </c>
      <c r="H27" s="16">
        <v>8523</v>
      </c>
      <c r="I27" s="16">
        <v>2557</v>
      </c>
      <c r="J27" s="16">
        <v>56973</v>
      </c>
      <c r="K27" s="17">
        <f t="shared" si="2"/>
        <v>6.8352453096393845E-2</v>
      </c>
      <c r="L27" s="16">
        <v>0</v>
      </c>
      <c r="M27" s="16">
        <f t="shared" si="3"/>
        <v>76331</v>
      </c>
      <c r="P27" s="27"/>
    </row>
    <row r="28" spans="2:16" ht="12.75" customHeight="1" x14ac:dyDescent="0.2">
      <c r="B28" s="18" t="s">
        <v>376</v>
      </c>
      <c r="C28" s="16">
        <v>554</v>
      </c>
      <c r="D28" s="16">
        <v>235</v>
      </c>
      <c r="E28" s="16">
        <f t="shared" si="0"/>
        <v>789</v>
      </c>
      <c r="F28" s="17">
        <f t="shared" si="1"/>
        <v>2.656556711930263E-3</v>
      </c>
      <c r="G28" s="16">
        <v>1487</v>
      </c>
      <c r="H28" s="16">
        <v>330</v>
      </c>
      <c r="I28" s="16">
        <v>60</v>
      </c>
      <c r="J28" s="16">
        <v>1877</v>
      </c>
      <c r="K28" s="17">
        <f t="shared" si="2"/>
        <v>2.2519009787431107E-3</v>
      </c>
      <c r="L28" s="16">
        <v>0</v>
      </c>
      <c r="M28" s="16">
        <f t="shared" si="3"/>
        <v>2666</v>
      </c>
      <c r="P28" s="27"/>
    </row>
    <row r="29" spans="2:16" ht="12.75" customHeight="1" x14ac:dyDescent="0.2">
      <c r="B29" s="18" t="s">
        <v>377</v>
      </c>
      <c r="C29" s="16">
        <v>1764</v>
      </c>
      <c r="D29" s="16">
        <v>1387</v>
      </c>
      <c r="E29" s="16">
        <f t="shared" si="0"/>
        <v>3151</v>
      </c>
      <c r="F29" s="17">
        <f t="shared" si="1"/>
        <v>1.0609391887569403E-2</v>
      </c>
      <c r="G29" s="16">
        <v>5118</v>
      </c>
      <c r="H29" s="16">
        <v>661</v>
      </c>
      <c r="I29" s="16">
        <v>369</v>
      </c>
      <c r="J29" s="16">
        <v>6148</v>
      </c>
      <c r="K29" s="17">
        <f t="shared" si="2"/>
        <v>7.3759654860482918E-3</v>
      </c>
      <c r="L29" s="16">
        <v>0</v>
      </c>
      <c r="M29" s="16">
        <f t="shared" si="3"/>
        <v>9299</v>
      </c>
      <c r="P29" s="27"/>
    </row>
    <row r="30" spans="2:16" ht="12.75" customHeight="1" x14ac:dyDescent="0.2">
      <c r="B30" s="18" t="s">
        <v>378</v>
      </c>
      <c r="C30" s="16">
        <v>568</v>
      </c>
      <c r="D30" s="16">
        <v>286</v>
      </c>
      <c r="E30" s="16">
        <f t="shared" si="0"/>
        <v>854</v>
      </c>
      <c r="F30" s="17">
        <f t="shared" si="1"/>
        <v>2.8754111939017042E-3</v>
      </c>
      <c r="G30" s="16">
        <v>1614</v>
      </c>
      <c r="H30" s="16">
        <v>224</v>
      </c>
      <c r="I30" s="16">
        <v>110</v>
      </c>
      <c r="J30" s="16">
        <v>1948</v>
      </c>
      <c r="K30" s="17">
        <f t="shared" si="2"/>
        <v>2.3370821026060624E-3</v>
      </c>
      <c r="L30" s="16">
        <v>0</v>
      </c>
      <c r="M30" s="16">
        <f t="shared" si="3"/>
        <v>2802</v>
      </c>
      <c r="P30" s="27"/>
    </row>
    <row r="31" spans="2:16" ht="12.75" customHeight="1" x14ac:dyDescent="0.2">
      <c r="B31" s="18" t="s">
        <v>379</v>
      </c>
      <c r="C31" s="16">
        <v>1997</v>
      </c>
      <c r="D31" s="16">
        <v>946</v>
      </c>
      <c r="E31" s="16">
        <f t="shared" si="0"/>
        <v>2943</v>
      </c>
      <c r="F31" s="17">
        <f t="shared" si="1"/>
        <v>9.9090575452607903E-3</v>
      </c>
      <c r="G31" s="16">
        <v>8456</v>
      </c>
      <c r="H31" s="16">
        <v>1305</v>
      </c>
      <c r="I31" s="16">
        <v>502</v>
      </c>
      <c r="J31" s="16">
        <v>10263</v>
      </c>
      <c r="K31" s="17">
        <f t="shared" si="2"/>
        <v>1.2312871467682762E-2</v>
      </c>
      <c r="L31" s="16">
        <v>0</v>
      </c>
      <c r="M31" s="16">
        <f t="shared" si="3"/>
        <v>13206</v>
      </c>
      <c r="P31" s="27"/>
    </row>
    <row r="32" spans="2:16" ht="12.75" customHeight="1" x14ac:dyDescent="0.2">
      <c r="B32" s="18" t="s">
        <v>380</v>
      </c>
      <c r="C32" s="16">
        <v>544</v>
      </c>
      <c r="D32" s="16">
        <v>261</v>
      </c>
      <c r="E32" s="16">
        <f t="shared" si="0"/>
        <v>805</v>
      </c>
      <c r="F32" s="17">
        <f t="shared" si="1"/>
        <v>2.7104285844155407E-3</v>
      </c>
      <c r="G32" s="16">
        <v>1942</v>
      </c>
      <c r="H32" s="16">
        <v>328</v>
      </c>
      <c r="I32" s="16">
        <v>134</v>
      </c>
      <c r="J32" s="16">
        <v>2404</v>
      </c>
      <c r="K32" s="17">
        <f t="shared" si="2"/>
        <v>2.8841608699512189E-3</v>
      </c>
      <c r="L32" s="16">
        <v>0</v>
      </c>
      <c r="M32" s="16">
        <f t="shared" si="3"/>
        <v>3209</v>
      </c>
      <c r="P32" s="27"/>
    </row>
    <row r="33" spans="2:16" ht="12.75" customHeight="1" x14ac:dyDescent="0.2">
      <c r="B33" s="18" t="s">
        <v>381</v>
      </c>
      <c r="C33" s="16">
        <v>183</v>
      </c>
      <c r="D33" s="16">
        <v>96</v>
      </c>
      <c r="E33" s="16">
        <f t="shared" si="0"/>
        <v>279</v>
      </c>
      <c r="F33" s="17">
        <f t="shared" si="1"/>
        <v>9.3939077646203217E-4</v>
      </c>
      <c r="G33" s="16">
        <v>585</v>
      </c>
      <c r="H33" s="16">
        <v>83</v>
      </c>
      <c r="I33" s="16">
        <v>21</v>
      </c>
      <c r="J33" s="16">
        <v>689</v>
      </c>
      <c r="K33" s="17">
        <f t="shared" si="2"/>
        <v>8.2661682171230851E-4</v>
      </c>
      <c r="L33" s="16">
        <v>0</v>
      </c>
      <c r="M33" s="16">
        <f t="shared" si="3"/>
        <v>968</v>
      </c>
      <c r="P33" s="27"/>
    </row>
    <row r="34" spans="2:16" ht="12.75" customHeight="1" x14ac:dyDescent="0.2">
      <c r="B34" s="18" t="s">
        <v>382</v>
      </c>
      <c r="C34" s="16">
        <v>1188</v>
      </c>
      <c r="D34" s="16">
        <v>468</v>
      </c>
      <c r="E34" s="16">
        <f t="shared" si="0"/>
        <v>1656</v>
      </c>
      <c r="F34" s="17">
        <f t="shared" si="1"/>
        <v>5.5757388022262553E-3</v>
      </c>
      <c r="G34" s="16">
        <v>3271</v>
      </c>
      <c r="H34" s="16">
        <v>508</v>
      </c>
      <c r="I34" s="16">
        <v>197</v>
      </c>
      <c r="J34" s="16">
        <v>3976</v>
      </c>
      <c r="K34" s="17">
        <f t="shared" si="2"/>
        <v>4.7701429363253105E-3</v>
      </c>
      <c r="L34" s="16">
        <v>0</v>
      </c>
      <c r="M34" s="16">
        <f t="shared" si="3"/>
        <v>5632</v>
      </c>
      <c r="P34" s="27"/>
    </row>
    <row r="35" spans="2:16" ht="12.75" customHeight="1" x14ac:dyDescent="0.2">
      <c r="B35" s="18" t="s">
        <v>383</v>
      </c>
      <c r="C35" s="16">
        <v>493</v>
      </c>
      <c r="D35" s="16">
        <v>256</v>
      </c>
      <c r="E35" s="16">
        <f t="shared" si="0"/>
        <v>749</v>
      </c>
      <c r="F35" s="17">
        <f t="shared" si="1"/>
        <v>2.5218770307170683E-3</v>
      </c>
      <c r="G35" s="16">
        <v>935</v>
      </c>
      <c r="H35" s="16">
        <v>118</v>
      </c>
      <c r="I35" s="16">
        <v>71</v>
      </c>
      <c r="J35" s="16">
        <v>1124</v>
      </c>
      <c r="K35" s="17">
        <f t="shared" si="2"/>
        <v>1.3485011721402537E-3</v>
      </c>
      <c r="L35" s="16">
        <v>0</v>
      </c>
      <c r="M35" s="16">
        <f t="shared" si="3"/>
        <v>1873</v>
      </c>
      <c r="P35" s="27"/>
    </row>
    <row r="36" spans="2:16" ht="12.75" customHeight="1" x14ac:dyDescent="0.2">
      <c r="B36" s="18" t="s">
        <v>384</v>
      </c>
      <c r="C36" s="16">
        <v>1184</v>
      </c>
      <c r="D36" s="16">
        <v>588</v>
      </c>
      <c r="E36" s="16">
        <f t="shared" si="0"/>
        <v>1772</v>
      </c>
      <c r="F36" s="17">
        <f t="shared" si="1"/>
        <v>5.9663098777445198E-3</v>
      </c>
      <c r="G36" s="16">
        <v>3244</v>
      </c>
      <c r="H36" s="16">
        <v>472</v>
      </c>
      <c r="I36" s="16">
        <v>205</v>
      </c>
      <c r="J36" s="16">
        <v>3921</v>
      </c>
      <c r="K36" s="17">
        <f t="shared" si="2"/>
        <v>4.7041575586849954E-3</v>
      </c>
      <c r="L36" s="16">
        <v>0</v>
      </c>
      <c r="M36" s="16">
        <f t="shared" si="3"/>
        <v>5693</v>
      </c>
      <c r="P36" s="27"/>
    </row>
    <row r="37" spans="2:16" ht="12.75" customHeight="1" x14ac:dyDescent="0.2">
      <c r="B37" s="18" t="s">
        <v>385</v>
      </c>
      <c r="C37" s="16">
        <v>1526</v>
      </c>
      <c r="D37" s="16">
        <v>805</v>
      </c>
      <c r="E37" s="16">
        <f t="shared" si="0"/>
        <v>2331</v>
      </c>
      <c r="F37" s="17">
        <f t="shared" si="1"/>
        <v>7.8484584226989132E-3</v>
      </c>
      <c r="G37" s="16">
        <v>5392</v>
      </c>
      <c r="H37" s="16">
        <v>966</v>
      </c>
      <c r="I37" s="16">
        <v>336</v>
      </c>
      <c r="J37" s="16">
        <v>6694</v>
      </c>
      <c r="K37" s="17">
        <f t="shared" si="2"/>
        <v>8.0310203258957807E-3</v>
      </c>
      <c r="L37" s="16">
        <v>0</v>
      </c>
      <c r="M37" s="16">
        <f t="shared" si="3"/>
        <v>9025</v>
      </c>
      <c r="P37" s="27"/>
    </row>
    <row r="38" spans="2:16" ht="12.75" customHeight="1" x14ac:dyDescent="0.2">
      <c r="B38" s="18" t="s">
        <v>386</v>
      </c>
      <c r="C38" s="16">
        <v>2389</v>
      </c>
      <c r="D38" s="16">
        <v>1028</v>
      </c>
      <c r="E38" s="16">
        <f t="shared" si="0"/>
        <v>3417</v>
      </c>
      <c r="F38" s="17">
        <f t="shared" si="1"/>
        <v>1.1505011767637146E-2</v>
      </c>
      <c r="G38" s="16">
        <v>9010</v>
      </c>
      <c r="H38" s="16">
        <v>1874</v>
      </c>
      <c r="I38" s="16">
        <v>549</v>
      </c>
      <c r="J38" s="16">
        <v>11433</v>
      </c>
      <c r="K38" s="17">
        <f t="shared" si="2"/>
        <v>1.3716560410213097E-2</v>
      </c>
      <c r="L38" s="16">
        <v>0</v>
      </c>
      <c r="M38" s="16">
        <f t="shared" si="3"/>
        <v>14850</v>
      </c>
      <c r="P38" s="27"/>
    </row>
    <row r="39" spans="2:16" ht="12.75" customHeight="1" x14ac:dyDescent="0.2">
      <c r="B39" s="18" t="s">
        <v>387</v>
      </c>
      <c r="C39" s="16">
        <v>3184</v>
      </c>
      <c r="D39" s="16">
        <v>1801</v>
      </c>
      <c r="E39" s="16">
        <f t="shared" si="0"/>
        <v>4985</v>
      </c>
      <c r="F39" s="17">
        <f t="shared" si="1"/>
        <v>1.6784455271194373E-2</v>
      </c>
      <c r="G39" s="16">
        <v>11667</v>
      </c>
      <c r="H39" s="16">
        <v>2087</v>
      </c>
      <c r="I39" s="16">
        <v>862</v>
      </c>
      <c r="J39" s="16">
        <v>14616</v>
      </c>
      <c r="K39" s="17">
        <f t="shared" si="2"/>
        <v>1.7535314174378959E-2</v>
      </c>
      <c r="L39" s="16">
        <v>0</v>
      </c>
      <c r="M39" s="16">
        <f t="shared" si="3"/>
        <v>19601</v>
      </c>
      <c r="P39" s="27"/>
    </row>
    <row r="40" spans="2:16" ht="12.75" customHeight="1" x14ac:dyDescent="0.2">
      <c r="B40" s="18" t="s">
        <v>388</v>
      </c>
      <c r="C40" s="16">
        <v>5268</v>
      </c>
      <c r="D40" s="16">
        <v>3002</v>
      </c>
      <c r="E40" s="16">
        <f t="shared" si="0"/>
        <v>8270</v>
      </c>
      <c r="F40" s="17">
        <f t="shared" si="1"/>
        <v>2.7845024090827977E-2</v>
      </c>
      <c r="G40" s="16">
        <v>16233</v>
      </c>
      <c r="H40" s="16">
        <v>2789</v>
      </c>
      <c r="I40" s="16">
        <v>1119</v>
      </c>
      <c r="J40" s="16">
        <v>20141</v>
      </c>
      <c r="K40" s="17">
        <f t="shared" si="2"/>
        <v>2.4163845291883319E-2</v>
      </c>
      <c r="L40" s="16">
        <v>0</v>
      </c>
      <c r="M40" s="16">
        <f t="shared" si="3"/>
        <v>28411</v>
      </c>
      <c r="P40" s="27"/>
    </row>
    <row r="41" spans="2:16" ht="12.75" customHeight="1" x14ac:dyDescent="0.2">
      <c r="B41" s="18" t="s">
        <v>389</v>
      </c>
      <c r="C41" s="16">
        <v>5772</v>
      </c>
      <c r="D41" s="16">
        <v>2029</v>
      </c>
      <c r="E41" s="16">
        <f t="shared" si="0"/>
        <v>7801</v>
      </c>
      <c r="F41" s="17">
        <f t="shared" si="1"/>
        <v>2.6265904828603269E-2</v>
      </c>
      <c r="G41" s="16">
        <v>17021</v>
      </c>
      <c r="H41" s="16">
        <v>3419</v>
      </c>
      <c r="I41" s="16">
        <v>964</v>
      </c>
      <c r="J41" s="16">
        <v>21404</v>
      </c>
      <c r="K41" s="17">
        <f t="shared" si="2"/>
        <v>2.5679109509332731E-2</v>
      </c>
      <c r="L41" s="16">
        <v>0</v>
      </c>
      <c r="M41" s="16">
        <f t="shared" si="3"/>
        <v>29205</v>
      </c>
      <c r="P41" s="27"/>
    </row>
    <row r="42" spans="2:16" ht="12.75" customHeight="1" x14ac:dyDescent="0.2">
      <c r="B42" s="18" t="s">
        <v>390</v>
      </c>
      <c r="C42" s="16">
        <v>5942</v>
      </c>
      <c r="D42" s="16">
        <v>2295</v>
      </c>
      <c r="E42" s="16">
        <f t="shared" si="0"/>
        <v>8237</v>
      </c>
      <c r="F42" s="17">
        <f t="shared" si="1"/>
        <v>2.7733913353827092E-2</v>
      </c>
      <c r="G42" s="16">
        <v>18420</v>
      </c>
      <c r="H42" s="16">
        <v>3520</v>
      </c>
      <c r="I42" s="16">
        <v>991</v>
      </c>
      <c r="J42" s="16">
        <v>22931</v>
      </c>
      <c r="K42" s="17">
        <f t="shared" si="2"/>
        <v>2.7511103539455656E-2</v>
      </c>
      <c r="L42" s="16">
        <v>0</v>
      </c>
      <c r="M42" s="16">
        <f t="shared" si="3"/>
        <v>31168</v>
      </c>
      <c r="P42" s="27"/>
    </row>
    <row r="43" spans="2:16" ht="12.75" customHeight="1" x14ac:dyDescent="0.2">
      <c r="B43" s="18" t="s">
        <v>391</v>
      </c>
      <c r="C43" s="16">
        <v>2437</v>
      </c>
      <c r="D43" s="16">
        <v>2230</v>
      </c>
      <c r="E43" s="16">
        <f t="shared" si="0"/>
        <v>4667</v>
      </c>
      <c r="F43" s="17">
        <f t="shared" si="1"/>
        <v>1.5713751805549476E-2</v>
      </c>
      <c r="G43" s="16">
        <v>7976</v>
      </c>
      <c r="H43" s="16">
        <v>1038</v>
      </c>
      <c r="I43" s="16">
        <v>614</v>
      </c>
      <c r="J43" s="16">
        <v>9628</v>
      </c>
      <c r="K43" s="17">
        <f t="shared" si="2"/>
        <v>1.1551040289471853E-2</v>
      </c>
      <c r="L43" s="16">
        <v>0</v>
      </c>
      <c r="M43" s="16">
        <f t="shared" si="3"/>
        <v>14295</v>
      </c>
      <c r="P43" s="27"/>
    </row>
    <row r="44" spans="2:16" ht="12.75" customHeight="1" x14ac:dyDescent="0.2">
      <c r="B44" s="18" t="s">
        <v>392</v>
      </c>
      <c r="C44" s="16">
        <v>3499</v>
      </c>
      <c r="D44" s="16">
        <v>993</v>
      </c>
      <c r="E44" s="16">
        <f t="shared" si="0"/>
        <v>4492</v>
      </c>
      <c r="F44" s="17">
        <f t="shared" si="1"/>
        <v>1.512452820024175E-2</v>
      </c>
      <c r="G44" s="16">
        <v>11095</v>
      </c>
      <c r="H44" s="16">
        <v>2152</v>
      </c>
      <c r="I44" s="16">
        <v>467</v>
      </c>
      <c r="J44" s="16">
        <v>13714</v>
      </c>
      <c r="K44" s="17">
        <f t="shared" si="2"/>
        <v>1.6453153981077794E-2</v>
      </c>
      <c r="L44" s="16">
        <v>0</v>
      </c>
      <c r="M44" s="16">
        <f t="shared" si="3"/>
        <v>18206</v>
      </c>
      <c r="P44" s="27"/>
    </row>
    <row r="45" spans="2:16" ht="12.75" customHeight="1" x14ac:dyDescent="0.2">
      <c r="B45" s="18" t="s">
        <v>393</v>
      </c>
      <c r="C45" s="16">
        <v>4080</v>
      </c>
      <c r="D45" s="16">
        <v>1716</v>
      </c>
      <c r="E45" s="16">
        <f t="shared" si="0"/>
        <v>5796</v>
      </c>
      <c r="F45" s="17">
        <f t="shared" si="1"/>
        <v>1.9515085807791894E-2</v>
      </c>
      <c r="G45" s="16">
        <v>10685</v>
      </c>
      <c r="H45" s="16">
        <v>1730</v>
      </c>
      <c r="I45" s="16">
        <v>620</v>
      </c>
      <c r="J45" s="16">
        <v>13035</v>
      </c>
      <c r="K45" s="17">
        <f t="shared" si="2"/>
        <v>1.5638534500754631E-2</v>
      </c>
      <c r="L45" s="16">
        <v>0</v>
      </c>
      <c r="M45" s="16">
        <f t="shared" si="3"/>
        <v>18831</v>
      </c>
      <c r="P45" s="27"/>
    </row>
    <row r="46" spans="2:16" ht="12.75" customHeight="1" x14ac:dyDescent="0.2">
      <c r="B46" s="18" t="s">
        <v>394</v>
      </c>
      <c r="C46" s="16">
        <v>4759</v>
      </c>
      <c r="D46" s="16">
        <v>2121</v>
      </c>
      <c r="E46" s="16">
        <f t="shared" si="0"/>
        <v>6880</v>
      </c>
      <c r="F46" s="17">
        <f t="shared" si="1"/>
        <v>2.3164905168669467E-2</v>
      </c>
      <c r="G46" s="16">
        <v>14086</v>
      </c>
      <c r="H46" s="16">
        <v>2585</v>
      </c>
      <c r="I46" s="16">
        <v>815</v>
      </c>
      <c r="J46" s="16">
        <v>17486</v>
      </c>
      <c r="K46" s="17">
        <f t="shared" si="2"/>
        <v>2.0978551153064479E-2</v>
      </c>
      <c r="L46" s="16">
        <v>0</v>
      </c>
      <c r="M46" s="16">
        <f t="shared" si="3"/>
        <v>24366</v>
      </c>
      <c r="P46" s="27"/>
    </row>
    <row r="47" spans="2:16" ht="12.75" customHeight="1" x14ac:dyDescent="0.2">
      <c r="B47" s="18" t="s">
        <v>395</v>
      </c>
      <c r="C47" s="16">
        <v>4258</v>
      </c>
      <c r="D47" s="16">
        <v>2374</v>
      </c>
      <c r="E47" s="16">
        <f t="shared" si="0"/>
        <v>6632</v>
      </c>
      <c r="F47" s="17">
        <f t="shared" si="1"/>
        <v>2.2329891145147659E-2</v>
      </c>
      <c r="G47" s="16">
        <v>11743</v>
      </c>
      <c r="H47" s="16">
        <v>1909</v>
      </c>
      <c r="I47" s="16">
        <v>811</v>
      </c>
      <c r="J47" s="16">
        <v>14463</v>
      </c>
      <c r="K47" s="17">
        <f t="shared" si="2"/>
        <v>1.735175485112499E-2</v>
      </c>
      <c r="L47" s="16">
        <v>0</v>
      </c>
      <c r="M47" s="16">
        <f t="shared" si="3"/>
        <v>21095</v>
      </c>
      <c r="P47" s="27"/>
    </row>
    <row r="48" spans="2:16" ht="12.75" customHeight="1" x14ac:dyDescent="0.2">
      <c r="B48" s="18" t="s">
        <v>396</v>
      </c>
      <c r="C48" s="16">
        <v>652</v>
      </c>
      <c r="D48" s="16">
        <v>306</v>
      </c>
      <c r="E48" s="16">
        <f t="shared" si="0"/>
        <v>958</v>
      </c>
      <c r="F48" s="17">
        <f t="shared" si="1"/>
        <v>3.2255783650560099E-3</v>
      </c>
      <c r="G48" s="16">
        <v>2096</v>
      </c>
      <c r="H48" s="16">
        <v>344</v>
      </c>
      <c r="I48" s="16">
        <v>99</v>
      </c>
      <c r="J48" s="16">
        <v>2539</v>
      </c>
      <c r="K48" s="17">
        <f t="shared" si="2"/>
        <v>3.0461249787047191E-3</v>
      </c>
      <c r="L48" s="16">
        <v>0</v>
      </c>
      <c r="M48" s="16">
        <f t="shared" si="3"/>
        <v>3497</v>
      </c>
      <c r="P48" s="27"/>
    </row>
    <row r="49" spans="2:16" ht="12.75" customHeight="1" x14ac:dyDescent="0.2">
      <c r="B49" s="18" t="s">
        <v>397</v>
      </c>
      <c r="C49" s="16">
        <v>1734</v>
      </c>
      <c r="D49" s="16">
        <v>927</v>
      </c>
      <c r="E49" s="16">
        <f t="shared" si="0"/>
        <v>2661</v>
      </c>
      <c r="F49" s="17">
        <f t="shared" si="1"/>
        <v>8.9595657927077684E-3</v>
      </c>
      <c r="G49" s="16">
        <v>6503</v>
      </c>
      <c r="H49" s="16">
        <v>784</v>
      </c>
      <c r="I49" s="16">
        <v>340</v>
      </c>
      <c r="J49" s="16">
        <v>7627</v>
      </c>
      <c r="K49" s="17">
        <f t="shared" si="2"/>
        <v>9.1503722775033054E-3</v>
      </c>
      <c r="L49" s="16">
        <v>0</v>
      </c>
      <c r="M49" s="16">
        <f t="shared" si="3"/>
        <v>10288</v>
      </c>
      <c r="P49" s="27"/>
    </row>
    <row r="50" spans="2:16" ht="12.75" customHeight="1" x14ac:dyDescent="0.2">
      <c r="B50" s="18" t="s">
        <v>398</v>
      </c>
      <c r="C50" s="16">
        <v>8166</v>
      </c>
      <c r="D50" s="16">
        <v>4516</v>
      </c>
      <c r="E50" s="16">
        <f t="shared" si="0"/>
        <v>12682</v>
      </c>
      <c r="F50" s="17">
        <f t="shared" si="1"/>
        <v>4.2700192928643341E-2</v>
      </c>
      <c r="G50" s="16">
        <v>25820</v>
      </c>
      <c r="H50" s="16">
        <v>4417</v>
      </c>
      <c r="I50" s="16">
        <v>1889</v>
      </c>
      <c r="J50" s="16">
        <v>32126</v>
      </c>
      <c r="K50" s="17">
        <f t="shared" si="2"/>
        <v>3.8542658946777393E-2</v>
      </c>
      <c r="L50" s="16">
        <v>0</v>
      </c>
      <c r="M50" s="16">
        <f t="shared" si="3"/>
        <v>44808</v>
      </c>
      <c r="P50" s="27"/>
    </row>
    <row r="51" spans="2:16" ht="12.75" customHeight="1" x14ac:dyDescent="0.2">
      <c r="B51" s="18" t="s">
        <v>399</v>
      </c>
      <c r="C51" s="16">
        <v>4978</v>
      </c>
      <c r="D51" s="16">
        <v>2153</v>
      </c>
      <c r="E51" s="16">
        <f t="shared" si="0"/>
        <v>7131</v>
      </c>
      <c r="F51" s="17">
        <f t="shared" si="1"/>
        <v>2.4010020168282263E-2</v>
      </c>
      <c r="G51" s="16">
        <v>15922</v>
      </c>
      <c r="H51" s="16">
        <v>2971</v>
      </c>
      <c r="I51" s="16">
        <v>891</v>
      </c>
      <c r="J51" s="16">
        <v>19784</v>
      </c>
      <c r="K51" s="17">
        <f t="shared" si="2"/>
        <v>2.373554020429073E-2</v>
      </c>
      <c r="L51" s="16">
        <v>0</v>
      </c>
      <c r="M51" s="16">
        <f t="shared" si="3"/>
        <v>26915</v>
      </c>
      <c r="P51" s="27"/>
    </row>
    <row r="52" spans="2:16" ht="12.75" customHeight="1" x14ac:dyDescent="0.2">
      <c r="B52" s="18" t="s">
        <v>400</v>
      </c>
      <c r="C52" s="16">
        <v>5855</v>
      </c>
      <c r="D52" s="16">
        <v>3752</v>
      </c>
      <c r="E52" s="16">
        <f t="shared" si="0"/>
        <v>9607</v>
      </c>
      <c r="F52" s="17">
        <f t="shared" si="1"/>
        <v>3.2346692435379007E-2</v>
      </c>
      <c r="G52" s="16">
        <v>20195</v>
      </c>
      <c r="H52" s="16">
        <v>3566</v>
      </c>
      <c r="I52" s="16">
        <v>1380</v>
      </c>
      <c r="J52" s="16">
        <v>25141</v>
      </c>
      <c r="K52" s="17">
        <f t="shared" si="2"/>
        <v>3.0162515986457403E-2</v>
      </c>
      <c r="L52" s="16">
        <v>0</v>
      </c>
      <c r="M52" s="16">
        <f t="shared" si="3"/>
        <v>34748</v>
      </c>
      <c r="P52" s="27"/>
    </row>
    <row r="53" spans="2:16" ht="12.75" customHeight="1" x14ac:dyDescent="0.2">
      <c r="B53" s="18" t="s">
        <v>401</v>
      </c>
      <c r="C53" s="16">
        <v>13520</v>
      </c>
      <c r="D53" s="16">
        <v>5603</v>
      </c>
      <c r="E53" s="16">
        <f t="shared" si="0"/>
        <v>19123</v>
      </c>
      <c r="F53" s="17">
        <f t="shared" si="1"/>
        <v>6.4386988595997993E-2</v>
      </c>
      <c r="G53" s="16">
        <v>48771</v>
      </c>
      <c r="H53" s="16">
        <v>11347</v>
      </c>
      <c r="I53" s="16">
        <v>2342</v>
      </c>
      <c r="J53" s="16">
        <v>62460</v>
      </c>
      <c r="K53" s="17">
        <f t="shared" si="2"/>
        <v>7.4935394316619441E-2</v>
      </c>
      <c r="L53" s="16">
        <v>0</v>
      </c>
      <c r="M53" s="16">
        <f t="shared" si="3"/>
        <v>81583</v>
      </c>
      <c r="P53" s="27"/>
    </row>
    <row r="54" spans="2:16" ht="12.75" customHeight="1" x14ac:dyDescent="0.2">
      <c r="B54" s="18" t="s">
        <v>402</v>
      </c>
      <c r="C54" s="16">
        <v>1812</v>
      </c>
      <c r="D54" s="16">
        <v>940</v>
      </c>
      <c r="E54" s="16">
        <f t="shared" si="0"/>
        <v>2752</v>
      </c>
      <c r="F54" s="17">
        <f t="shared" si="1"/>
        <v>9.2659620674677857E-3</v>
      </c>
      <c r="G54" s="16">
        <v>7021</v>
      </c>
      <c r="H54" s="16">
        <v>1259</v>
      </c>
      <c r="I54" s="16">
        <v>471</v>
      </c>
      <c r="J54" s="16">
        <v>8751</v>
      </c>
      <c r="K54" s="17">
        <f t="shared" si="2"/>
        <v>1.0498873449643559E-2</v>
      </c>
      <c r="L54" s="16">
        <v>0</v>
      </c>
      <c r="M54" s="16">
        <f t="shared" si="3"/>
        <v>11503</v>
      </c>
      <c r="P54" s="27"/>
    </row>
    <row r="55" spans="2:16" ht="12.75" customHeight="1" x14ac:dyDescent="0.2">
      <c r="B55" s="18" t="s">
        <v>403</v>
      </c>
      <c r="C55" s="16">
        <v>854</v>
      </c>
      <c r="D55" s="16">
        <v>478</v>
      </c>
      <c r="E55" s="16">
        <f t="shared" si="0"/>
        <v>1332</v>
      </c>
      <c r="F55" s="17">
        <f t="shared" si="1"/>
        <v>4.4848333843993792E-3</v>
      </c>
      <c r="G55" s="16">
        <v>3602</v>
      </c>
      <c r="H55" s="16">
        <v>520</v>
      </c>
      <c r="I55" s="16">
        <v>257</v>
      </c>
      <c r="J55" s="16">
        <v>4379</v>
      </c>
      <c r="K55" s="17">
        <f t="shared" si="2"/>
        <v>5.2536357943079809E-3</v>
      </c>
      <c r="L55" s="16">
        <v>0</v>
      </c>
      <c r="M55" s="16">
        <f t="shared" si="3"/>
        <v>5711</v>
      </c>
      <c r="P55" s="27"/>
    </row>
    <row r="56" spans="2:16" ht="12.75" customHeight="1" x14ac:dyDescent="0.2">
      <c r="B56" s="18" t="s">
        <v>404</v>
      </c>
      <c r="C56" s="16">
        <v>4507</v>
      </c>
      <c r="D56" s="16">
        <v>2061</v>
      </c>
      <c r="E56" s="16">
        <f t="shared" si="0"/>
        <v>6568</v>
      </c>
      <c r="F56" s="17">
        <f t="shared" si="1"/>
        <v>2.2114403655206546E-2</v>
      </c>
      <c r="G56" s="16">
        <v>13746</v>
      </c>
      <c r="H56" s="16">
        <v>2186</v>
      </c>
      <c r="I56" s="16">
        <v>977</v>
      </c>
      <c r="J56" s="16">
        <v>16909</v>
      </c>
      <c r="K56" s="17">
        <f t="shared" si="2"/>
        <v>2.0286304554910633E-2</v>
      </c>
      <c r="L56" s="16">
        <v>0</v>
      </c>
      <c r="M56" s="16">
        <f t="shared" si="3"/>
        <v>23477</v>
      </c>
      <c r="P56" s="27"/>
    </row>
    <row r="57" spans="2:16" ht="12.75" customHeight="1" x14ac:dyDescent="0.2">
      <c r="B57" s="18" t="s">
        <v>405</v>
      </c>
      <c r="C57" s="16">
        <v>472</v>
      </c>
      <c r="D57" s="16">
        <v>294</v>
      </c>
      <c r="E57" s="16">
        <f t="shared" si="0"/>
        <v>766</v>
      </c>
      <c r="F57" s="17">
        <f t="shared" si="1"/>
        <v>2.5791158952326761E-3</v>
      </c>
      <c r="G57" s="16">
        <v>1371</v>
      </c>
      <c r="H57" s="16">
        <v>217</v>
      </c>
      <c r="I57" s="16">
        <v>110</v>
      </c>
      <c r="J57" s="16">
        <v>1698</v>
      </c>
      <c r="K57" s="17">
        <f t="shared" si="2"/>
        <v>2.0371485678773583E-3</v>
      </c>
      <c r="L57" s="16">
        <v>0</v>
      </c>
      <c r="M57" s="16">
        <f t="shared" si="3"/>
        <v>2464</v>
      </c>
      <c r="P57" s="27"/>
    </row>
    <row r="58" spans="2:16" ht="12.75" customHeight="1" x14ac:dyDescent="0.2">
      <c r="B58" s="18" t="s">
        <v>406</v>
      </c>
      <c r="C58" s="16">
        <v>2016</v>
      </c>
      <c r="D58" s="16">
        <v>379</v>
      </c>
      <c r="E58" s="16">
        <f t="shared" si="0"/>
        <v>2395</v>
      </c>
      <c r="F58" s="17">
        <f t="shared" si="1"/>
        <v>8.0639459126400255E-3</v>
      </c>
      <c r="G58" s="16">
        <v>9678</v>
      </c>
      <c r="H58" s="16">
        <v>2350</v>
      </c>
      <c r="I58" s="16">
        <v>220</v>
      </c>
      <c r="J58" s="16">
        <v>12248</v>
      </c>
      <c r="K58" s="17">
        <f t="shared" si="2"/>
        <v>1.4694343733428672E-2</v>
      </c>
      <c r="L58" s="16">
        <v>0</v>
      </c>
      <c r="M58" s="16">
        <f t="shared" si="3"/>
        <v>14643</v>
      </c>
      <c r="P58" s="27"/>
    </row>
    <row r="59" spans="2:16" ht="12.75" customHeight="1" x14ac:dyDescent="0.2">
      <c r="B59" s="18" t="s">
        <v>407</v>
      </c>
      <c r="C59" s="16">
        <v>1081</v>
      </c>
      <c r="D59" s="16">
        <v>136</v>
      </c>
      <c r="E59" s="16">
        <f t="shared" si="0"/>
        <v>1217</v>
      </c>
      <c r="F59" s="17">
        <f t="shared" si="1"/>
        <v>4.0976293009114444E-3</v>
      </c>
      <c r="G59" s="16">
        <v>3814</v>
      </c>
      <c r="H59" s="16">
        <v>807</v>
      </c>
      <c r="I59" s="16">
        <v>86</v>
      </c>
      <c r="J59" s="16">
        <v>4707</v>
      </c>
      <c r="K59" s="17">
        <f t="shared" si="2"/>
        <v>5.6471485918720412E-3</v>
      </c>
      <c r="L59" s="16">
        <v>0</v>
      </c>
      <c r="M59" s="16">
        <f t="shared" si="3"/>
        <v>5924</v>
      </c>
      <c r="P59" s="27"/>
    </row>
    <row r="60" spans="2:16" ht="12.75" customHeight="1" x14ac:dyDescent="0.2">
      <c r="B60" s="18" t="s">
        <v>408</v>
      </c>
      <c r="C60" s="16">
        <v>4695</v>
      </c>
      <c r="D60" s="16">
        <v>997</v>
      </c>
      <c r="E60" s="16">
        <f t="shared" si="0"/>
        <v>5692</v>
      </c>
      <c r="F60" s="17">
        <f t="shared" si="1"/>
        <v>1.9164918636637586E-2</v>
      </c>
      <c r="G60" s="16">
        <v>20754</v>
      </c>
      <c r="H60" s="16">
        <v>4674</v>
      </c>
      <c r="I60" s="16">
        <v>631</v>
      </c>
      <c r="J60" s="16">
        <v>26059</v>
      </c>
      <c r="K60" s="17">
        <f t="shared" si="2"/>
        <v>3.12638719259812E-2</v>
      </c>
      <c r="L60" s="16">
        <v>0</v>
      </c>
      <c r="M60" s="16">
        <f t="shared" si="3"/>
        <v>31751</v>
      </c>
      <c r="P60" s="27"/>
    </row>
    <row r="61" spans="2:16" ht="12.75" customHeight="1" x14ac:dyDescent="0.2">
      <c r="B61" s="18" t="s">
        <v>409</v>
      </c>
      <c r="C61" s="16">
        <v>1856</v>
      </c>
      <c r="D61" s="16">
        <v>461</v>
      </c>
      <c r="E61" s="16">
        <f t="shared" si="0"/>
        <v>2317</v>
      </c>
      <c r="F61" s="17">
        <f t="shared" si="1"/>
        <v>7.8013205342742954E-3</v>
      </c>
      <c r="G61" s="16">
        <v>7549</v>
      </c>
      <c r="H61" s="16">
        <v>1566</v>
      </c>
      <c r="I61" s="16">
        <v>245</v>
      </c>
      <c r="J61" s="16">
        <v>9360</v>
      </c>
      <c r="K61" s="17">
        <f t="shared" si="2"/>
        <v>1.1229511540242681E-2</v>
      </c>
      <c r="L61" s="16">
        <v>0</v>
      </c>
      <c r="M61" s="16">
        <f t="shared" si="3"/>
        <v>11677</v>
      </c>
      <c r="P61" s="27"/>
    </row>
    <row r="62" spans="2:16" ht="12.75" customHeight="1" x14ac:dyDescent="0.2">
      <c r="B62" s="18" t="s">
        <v>410</v>
      </c>
      <c r="C62" s="16">
        <v>12102</v>
      </c>
      <c r="D62" s="16">
        <v>3533</v>
      </c>
      <c r="E62" s="16">
        <f t="shared" si="0"/>
        <v>15635</v>
      </c>
      <c r="F62" s="17">
        <f t="shared" si="1"/>
        <v>5.2642920394207426E-2</v>
      </c>
      <c r="G62" s="16">
        <v>41163</v>
      </c>
      <c r="H62" s="16">
        <v>9674</v>
      </c>
      <c r="I62" s="16">
        <v>1700</v>
      </c>
      <c r="J62" s="16">
        <v>52537</v>
      </c>
      <c r="K62" s="17">
        <f t="shared" si="2"/>
        <v>6.3030432456167712E-2</v>
      </c>
      <c r="L62" s="16">
        <v>0</v>
      </c>
      <c r="M62" s="16">
        <f t="shared" si="3"/>
        <v>68172</v>
      </c>
      <c r="P62" s="27"/>
    </row>
    <row r="63" spans="2:16" x14ac:dyDescent="0.2">
      <c r="B63" s="18" t="s">
        <v>39</v>
      </c>
      <c r="C63" s="16">
        <f t="shared" ref="C63:D63" si="4">SUM(C11:C62)</f>
        <v>209608</v>
      </c>
      <c r="D63" s="16">
        <f t="shared" si="4"/>
        <v>87393</v>
      </c>
      <c r="E63" s="18">
        <f t="shared" ref="E63" si="5">C63+D63</f>
        <v>297001</v>
      </c>
      <c r="F63" s="19">
        <f t="shared" ref="F63" si="6">E63/$E$63</f>
        <v>1</v>
      </c>
      <c r="G63" s="16">
        <f t="shared" ref="G63:J63" si="7">SUM(G11:G62)</f>
        <v>670086</v>
      </c>
      <c r="H63" s="16">
        <f t="shared" si="7"/>
        <v>127416</v>
      </c>
      <c r="I63" s="16">
        <f t="shared" si="7"/>
        <v>36016</v>
      </c>
      <c r="J63" s="16">
        <f t="shared" si="7"/>
        <v>833518</v>
      </c>
      <c r="K63" s="17">
        <f t="shared" si="2"/>
        <v>1</v>
      </c>
      <c r="L63" s="16">
        <f t="shared" ref="L63" si="8">SUM(L11:L62)</f>
        <v>0</v>
      </c>
      <c r="M63" s="16">
        <f t="shared" si="3"/>
        <v>1130519</v>
      </c>
      <c r="P63" s="27"/>
    </row>
    <row r="64" spans="2:16" ht="25.5" customHeight="1" x14ac:dyDescent="0.2">
      <c r="B64" s="28" t="s">
        <v>44</v>
      </c>
      <c r="C64" s="29">
        <f>+C63/M63</f>
        <v>0.18540864859414127</v>
      </c>
      <c r="D64" s="29">
        <f>+D63/M63</f>
        <v>7.7303433201918764E-2</v>
      </c>
      <c r="E64" s="30">
        <f>+E63/M63</f>
        <v>0.26271208179606004</v>
      </c>
      <c r="F64" s="30"/>
      <c r="G64" s="29">
        <f>+G63/M63</f>
        <v>0.5927242266604984</v>
      </c>
      <c r="H64" s="29">
        <f>+H63/M63</f>
        <v>0.11270575726723743</v>
      </c>
      <c r="I64" s="29">
        <f>+I63/M63</f>
        <v>3.1857934276204113E-2</v>
      </c>
      <c r="J64" s="30">
        <f>+J63/M63</f>
        <v>0.73728791820393991</v>
      </c>
      <c r="K64" s="30"/>
      <c r="L64" s="30">
        <f>+L63/M63</f>
        <v>0</v>
      </c>
      <c r="M64" s="30">
        <f>J64+L64+E64</f>
        <v>1</v>
      </c>
    </row>
    <row r="65" spans="2:13" x14ac:dyDescent="0.2">
      <c r="B65" s="21"/>
      <c r="C65" s="34"/>
      <c r="D65" s="34"/>
      <c r="E65" s="34"/>
      <c r="F65" s="34"/>
      <c r="G65" s="34"/>
      <c r="H65" s="34"/>
      <c r="I65" s="34"/>
      <c r="J65" s="34"/>
      <c r="K65" s="34"/>
    </row>
    <row r="66" spans="2:13" ht="12.75" x14ac:dyDescent="0.2">
      <c r="B66" s="344" t="s">
        <v>566</v>
      </c>
      <c r="C66" s="344"/>
      <c r="D66" s="344"/>
      <c r="E66" s="344"/>
      <c r="F66" s="344"/>
      <c r="G66" s="344"/>
      <c r="H66" s="344"/>
      <c r="I66" s="344"/>
      <c r="J66" s="344"/>
      <c r="K66" s="344"/>
    </row>
    <row r="67" spans="2:13" ht="12.75" x14ac:dyDescent="0.2">
      <c r="B67" s="374" t="str">
        <f>'Solicitudes Regiones'!$B$6:$R$6</f>
        <v>Julio de 2008 a junio de 2022</v>
      </c>
      <c r="C67" s="374"/>
      <c r="D67" s="374"/>
      <c r="E67" s="374"/>
      <c r="F67" s="374"/>
      <c r="G67" s="374"/>
      <c r="H67" s="374"/>
      <c r="I67" s="374"/>
      <c r="J67" s="374"/>
      <c r="K67" s="374"/>
    </row>
    <row r="69" spans="2:13" ht="15" customHeight="1" x14ac:dyDescent="0.2">
      <c r="B69" s="373" t="s">
        <v>596</v>
      </c>
      <c r="C69" s="373"/>
      <c r="D69" s="373"/>
      <c r="E69" s="373"/>
      <c r="F69" s="373"/>
      <c r="G69" s="373"/>
      <c r="H69" s="373"/>
      <c r="I69" s="373"/>
      <c r="J69" s="373"/>
      <c r="K69" s="373"/>
      <c r="L69" s="373"/>
      <c r="M69" s="373"/>
    </row>
    <row r="70" spans="2:13" ht="15" customHeight="1" x14ac:dyDescent="0.2">
      <c r="B70" s="373" t="s">
        <v>41</v>
      </c>
      <c r="C70" s="370" t="s">
        <v>544</v>
      </c>
      <c r="D70" s="371"/>
      <c r="E70" s="371"/>
      <c r="F70" s="371"/>
      <c r="G70" s="371"/>
      <c r="H70" s="371"/>
      <c r="I70" s="371"/>
      <c r="J70" s="371"/>
      <c r="K70" s="371"/>
      <c r="L70" s="372"/>
      <c r="M70" s="307"/>
    </row>
    <row r="71" spans="2:13" ht="48" x14ac:dyDescent="0.2">
      <c r="B71" s="373"/>
      <c r="C71" s="20" t="s">
        <v>540</v>
      </c>
      <c r="D71" s="20" t="s">
        <v>42</v>
      </c>
      <c r="E71" s="20" t="s">
        <v>553</v>
      </c>
      <c r="F71" s="20" t="s">
        <v>554</v>
      </c>
      <c r="G71" s="20" t="s">
        <v>542</v>
      </c>
      <c r="H71" s="20" t="s">
        <v>2</v>
      </c>
      <c r="I71" s="20" t="s">
        <v>43</v>
      </c>
      <c r="J71" s="20" t="s">
        <v>549</v>
      </c>
      <c r="K71" s="296" t="s">
        <v>550</v>
      </c>
      <c r="L71" s="296" t="s">
        <v>523</v>
      </c>
      <c r="M71" s="296" t="s">
        <v>641</v>
      </c>
    </row>
    <row r="72" spans="2:13" ht="12.75" customHeight="1" x14ac:dyDescent="0.2">
      <c r="B72" s="18" t="s">
        <v>359</v>
      </c>
      <c r="C72" s="49">
        <v>16064</v>
      </c>
      <c r="D72" s="49">
        <v>1335</v>
      </c>
      <c r="E72" s="49">
        <f>C72+D72</f>
        <v>17399</v>
      </c>
      <c r="F72" s="50">
        <f>E72/$E$124</f>
        <v>7.3657161242252855E-2</v>
      </c>
      <c r="G72" s="49">
        <v>26544</v>
      </c>
      <c r="H72" s="49">
        <v>2903</v>
      </c>
      <c r="I72" s="49">
        <v>1123</v>
      </c>
      <c r="J72" s="49">
        <v>30570</v>
      </c>
      <c r="K72" s="50">
        <f>J72/$J$124</f>
        <v>4.5914895981808271E-2</v>
      </c>
      <c r="L72" s="49">
        <v>0</v>
      </c>
      <c r="M72" s="16">
        <f>L72+J72+E72</f>
        <v>47969</v>
      </c>
    </row>
    <row r="73" spans="2:13" ht="12.75" customHeight="1" x14ac:dyDescent="0.2">
      <c r="B73" s="18" t="s">
        <v>360</v>
      </c>
      <c r="C73" s="49">
        <v>2249</v>
      </c>
      <c r="D73" s="49">
        <v>937</v>
      </c>
      <c r="E73" s="49">
        <f t="shared" ref="E73:E123" si="9">C73+D73</f>
        <v>3186</v>
      </c>
      <c r="F73" s="50">
        <f t="shared" ref="F73:F123" si="10">E73/$E$124</f>
        <v>1.3487655366274935E-2</v>
      </c>
      <c r="G73" s="49">
        <v>7320</v>
      </c>
      <c r="H73" s="49">
        <v>977</v>
      </c>
      <c r="I73" s="49">
        <v>383</v>
      </c>
      <c r="J73" s="49">
        <v>8680</v>
      </c>
      <c r="K73" s="50">
        <f t="shared" ref="K73:K124" si="11">J73/$J$124</f>
        <v>1.3037006775338429E-2</v>
      </c>
      <c r="L73" s="49">
        <v>0</v>
      </c>
      <c r="M73" s="16">
        <f t="shared" ref="M73:M124" si="12">L73+J73+E73</f>
        <v>11866</v>
      </c>
    </row>
    <row r="74" spans="2:13" ht="12.75" customHeight="1" x14ac:dyDescent="0.2">
      <c r="B74" s="18" t="s">
        <v>361</v>
      </c>
      <c r="C74" s="49">
        <v>5600</v>
      </c>
      <c r="D74" s="49">
        <v>1937</v>
      </c>
      <c r="E74" s="49">
        <f t="shared" si="9"/>
        <v>7537</v>
      </c>
      <c r="F74" s="50">
        <f t="shared" si="10"/>
        <v>3.1907237443695599E-2</v>
      </c>
      <c r="G74" s="49">
        <v>15854</v>
      </c>
      <c r="H74" s="49">
        <v>1800</v>
      </c>
      <c r="I74" s="49">
        <v>1000</v>
      </c>
      <c r="J74" s="49">
        <v>18654</v>
      </c>
      <c r="K74" s="50">
        <f t="shared" si="11"/>
        <v>2.8017548892530306E-2</v>
      </c>
      <c r="L74" s="49">
        <v>0</v>
      </c>
      <c r="M74" s="16">
        <f t="shared" si="12"/>
        <v>26191</v>
      </c>
    </row>
    <row r="75" spans="2:13" ht="12.75" customHeight="1" x14ac:dyDescent="0.2">
      <c r="B75" s="18" t="s">
        <v>362</v>
      </c>
      <c r="C75" s="49">
        <v>2337</v>
      </c>
      <c r="D75" s="49">
        <v>878</v>
      </c>
      <c r="E75" s="49">
        <f t="shared" si="9"/>
        <v>3215</v>
      </c>
      <c r="F75" s="50">
        <f t="shared" si="10"/>
        <v>1.3610424357367833E-2</v>
      </c>
      <c r="G75" s="49">
        <v>6744</v>
      </c>
      <c r="H75" s="49">
        <v>794</v>
      </c>
      <c r="I75" s="49">
        <v>431</v>
      </c>
      <c r="J75" s="49">
        <v>7969</v>
      </c>
      <c r="K75" s="50">
        <f t="shared" si="11"/>
        <v>1.1969113708833173E-2</v>
      </c>
      <c r="L75" s="49">
        <v>0</v>
      </c>
      <c r="M75" s="16">
        <f t="shared" si="12"/>
        <v>11184</v>
      </c>
    </row>
    <row r="76" spans="2:13" ht="12.75" customHeight="1" x14ac:dyDescent="0.2">
      <c r="B76" s="18" t="s">
        <v>363</v>
      </c>
      <c r="C76" s="49">
        <v>2471</v>
      </c>
      <c r="D76" s="49">
        <v>590</v>
      </c>
      <c r="E76" s="49">
        <f t="shared" si="9"/>
        <v>3061</v>
      </c>
      <c r="F76" s="50">
        <f t="shared" si="10"/>
        <v>1.2958478680529685E-2</v>
      </c>
      <c r="G76" s="49">
        <v>8536</v>
      </c>
      <c r="H76" s="49">
        <v>961</v>
      </c>
      <c r="I76" s="49">
        <v>373</v>
      </c>
      <c r="J76" s="49">
        <v>9870</v>
      </c>
      <c r="K76" s="50">
        <f t="shared" si="11"/>
        <v>1.4824338349376761E-2</v>
      </c>
      <c r="L76" s="49">
        <v>0</v>
      </c>
      <c r="M76" s="16">
        <f t="shared" si="12"/>
        <v>12931</v>
      </c>
    </row>
    <row r="77" spans="2:13" ht="12.75" customHeight="1" x14ac:dyDescent="0.2">
      <c r="B77" s="18" t="s">
        <v>364</v>
      </c>
      <c r="C77" s="49">
        <v>3160</v>
      </c>
      <c r="D77" s="49">
        <v>710</v>
      </c>
      <c r="E77" s="49">
        <f t="shared" si="9"/>
        <v>3870</v>
      </c>
      <c r="F77" s="50">
        <f t="shared" si="10"/>
        <v>1.6383310190672944E-2</v>
      </c>
      <c r="G77" s="49">
        <v>8855</v>
      </c>
      <c r="H77" s="49">
        <v>1158</v>
      </c>
      <c r="I77" s="49">
        <v>401</v>
      </c>
      <c r="J77" s="49">
        <v>10414</v>
      </c>
      <c r="K77" s="50">
        <f t="shared" si="11"/>
        <v>1.5641404211794285E-2</v>
      </c>
      <c r="L77" s="49">
        <v>0</v>
      </c>
      <c r="M77" s="16">
        <f t="shared" si="12"/>
        <v>14284</v>
      </c>
    </row>
    <row r="78" spans="2:13" ht="12.75" customHeight="1" x14ac:dyDescent="0.2">
      <c r="B78" s="18" t="s">
        <v>365</v>
      </c>
      <c r="C78" s="49">
        <v>5548</v>
      </c>
      <c r="D78" s="49">
        <v>2378</v>
      </c>
      <c r="E78" s="49">
        <f t="shared" si="9"/>
        <v>7926</v>
      </c>
      <c r="F78" s="50">
        <f t="shared" si="10"/>
        <v>3.3554035289734822E-2</v>
      </c>
      <c r="G78" s="49">
        <v>15668</v>
      </c>
      <c r="H78" s="49">
        <v>1676</v>
      </c>
      <c r="I78" s="49">
        <v>1162</v>
      </c>
      <c r="J78" s="49">
        <v>18506</v>
      </c>
      <c r="K78" s="50">
        <f t="shared" si="11"/>
        <v>2.7795258915254951E-2</v>
      </c>
      <c r="L78" s="49">
        <v>0</v>
      </c>
      <c r="M78" s="16">
        <f t="shared" si="12"/>
        <v>26432</v>
      </c>
    </row>
    <row r="79" spans="2:13" ht="12.75" customHeight="1" x14ac:dyDescent="0.2">
      <c r="B79" s="18" t="s">
        <v>366</v>
      </c>
      <c r="C79" s="49">
        <v>3574</v>
      </c>
      <c r="D79" s="49">
        <v>771</v>
      </c>
      <c r="E79" s="49">
        <f t="shared" si="9"/>
        <v>4345</v>
      </c>
      <c r="F79" s="50">
        <f t="shared" si="10"/>
        <v>1.8394181596504893E-2</v>
      </c>
      <c r="G79" s="49">
        <v>12622</v>
      </c>
      <c r="H79" s="49">
        <v>1897</v>
      </c>
      <c r="I79" s="49">
        <v>425</v>
      </c>
      <c r="J79" s="49">
        <v>14944</v>
      </c>
      <c r="K79" s="50">
        <f t="shared" si="11"/>
        <v>2.2445279867587268E-2</v>
      </c>
      <c r="L79" s="49">
        <v>0</v>
      </c>
      <c r="M79" s="16">
        <f t="shared" si="12"/>
        <v>19289</v>
      </c>
    </row>
    <row r="80" spans="2:13" ht="12.75" customHeight="1" x14ac:dyDescent="0.2">
      <c r="B80" s="18" t="s">
        <v>367</v>
      </c>
      <c r="C80" s="49">
        <v>921</v>
      </c>
      <c r="D80" s="49">
        <v>283</v>
      </c>
      <c r="E80" s="49">
        <f t="shared" si="9"/>
        <v>1204</v>
      </c>
      <c r="F80" s="50">
        <f t="shared" si="10"/>
        <v>5.0970298370982487E-3</v>
      </c>
      <c r="G80" s="49">
        <v>3262</v>
      </c>
      <c r="H80" s="49">
        <v>308</v>
      </c>
      <c r="I80" s="49">
        <v>152</v>
      </c>
      <c r="J80" s="49">
        <v>3722</v>
      </c>
      <c r="K80" s="50">
        <f t="shared" si="11"/>
        <v>5.590292536614013E-3</v>
      </c>
      <c r="L80" s="49">
        <v>0</v>
      </c>
      <c r="M80" s="16">
        <f t="shared" si="12"/>
        <v>4926</v>
      </c>
    </row>
    <row r="81" spans="2:13" ht="12.75" customHeight="1" x14ac:dyDescent="0.2">
      <c r="B81" s="18" t="s">
        <v>368</v>
      </c>
      <c r="C81" s="49">
        <v>3652</v>
      </c>
      <c r="D81" s="49">
        <v>1015</v>
      </c>
      <c r="E81" s="49">
        <f t="shared" si="9"/>
        <v>4667</v>
      </c>
      <c r="F81" s="50">
        <f t="shared" si="10"/>
        <v>1.9757340738984656E-2</v>
      </c>
      <c r="G81" s="49">
        <v>11561</v>
      </c>
      <c r="H81" s="49">
        <v>1216</v>
      </c>
      <c r="I81" s="49">
        <v>546</v>
      </c>
      <c r="J81" s="49">
        <v>13323</v>
      </c>
      <c r="K81" s="50">
        <f t="shared" si="11"/>
        <v>2.0010603832699758E-2</v>
      </c>
      <c r="L81" s="49">
        <v>0</v>
      </c>
      <c r="M81" s="16">
        <f t="shared" si="12"/>
        <v>17990</v>
      </c>
    </row>
    <row r="82" spans="2:13" ht="12.75" customHeight="1" x14ac:dyDescent="0.2">
      <c r="B82" s="18" t="s">
        <v>369</v>
      </c>
      <c r="C82" s="49">
        <v>3363</v>
      </c>
      <c r="D82" s="49">
        <v>745</v>
      </c>
      <c r="E82" s="49">
        <f t="shared" si="9"/>
        <v>4108</v>
      </c>
      <c r="F82" s="50">
        <f t="shared" si="10"/>
        <v>1.7390862600331899E-2</v>
      </c>
      <c r="G82" s="49">
        <v>11876</v>
      </c>
      <c r="H82" s="49">
        <v>1582</v>
      </c>
      <c r="I82" s="49">
        <v>482</v>
      </c>
      <c r="J82" s="49">
        <v>13940</v>
      </c>
      <c r="K82" s="50">
        <f t="shared" si="11"/>
        <v>2.0937312724449045E-2</v>
      </c>
      <c r="L82" s="49">
        <v>0</v>
      </c>
      <c r="M82" s="16">
        <f t="shared" si="12"/>
        <v>18048</v>
      </c>
    </row>
    <row r="83" spans="2:13" ht="24" customHeight="1" x14ac:dyDescent="0.2">
      <c r="B83" s="18" t="s">
        <v>370</v>
      </c>
      <c r="C83" s="49">
        <v>4147</v>
      </c>
      <c r="D83" s="49">
        <v>1252</v>
      </c>
      <c r="E83" s="49">
        <f t="shared" si="9"/>
        <v>5399</v>
      </c>
      <c r="F83" s="50">
        <f t="shared" si="10"/>
        <v>2.2856199410708843E-2</v>
      </c>
      <c r="G83" s="49">
        <v>13132</v>
      </c>
      <c r="H83" s="49">
        <v>1326</v>
      </c>
      <c r="I83" s="49">
        <v>649</v>
      </c>
      <c r="J83" s="49">
        <v>15107</v>
      </c>
      <c r="K83" s="50">
        <f t="shared" si="11"/>
        <v>2.2690099234451342E-2</v>
      </c>
      <c r="L83" s="49">
        <v>0</v>
      </c>
      <c r="M83" s="16">
        <f t="shared" si="12"/>
        <v>20506</v>
      </c>
    </row>
    <row r="84" spans="2:13" ht="12.75" customHeight="1" x14ac:dyDescent="0.2">
      <c r="B84" s="18" t="s">
        <v>371</v>
      </c>
      <c r="C84" s="49">
        <v>5744</v>
      </c>
      <c r="D84" s="49">
        <v>1918</v>
      </c>
      <c r="E84" s="49">
        <f t="shared" si="9"/>
        <v>7662</v>
      </c>
      <c r="F84" s="50">
        <f t="shared" si="10"/>
        <v>3.2436414129440851E-2</v>
      </c>
      <c r="G84" s="49">
        <v>19781</v>
      </c>
      <c r="H84" s="49">
        <v>2312</v>
      </c>
      <c r="I84" s="49">
        <v>1069</v>
      </c>
      <c r="J84" s="49">
        <v>23162</v>
      </c>
      <c r="K84" s="50">
        <f t="shared" si="11"/>
        <v>3.4788381443593169E-2</v>
      </c>
      <c r="L84" s="49">
        <v>0</v>
      </c>
      <c r="M84" s="16">
        <f t="shared" si="12"/>
        <v>30824</v>
      </c>
    </row>
    <row r="85" spans="2:13" ht="12.75" customHeight="1" x14ac:dyDescent="0.2">
      <c r="B85" s="18" t="s">
        <v>372</v>
      </c>
      <c r="C85" s="49">
        <v>3882</v>
      </c>
      <c r="D85" s="49">
        <v>978</v>
      </c>
      <c r="E85" s="49">
        <f t="shared" si="9"/>
        <v>4860</v>
      </c>
      <c r="F85" s="50">
        <f t="shared" si="10"/>
        <v>2.0574389541775324E-2</v>
      </c>
      <c r="G85" s="49">
        <v>12420</v>
      </c>
      <c r="H85" s="49">
        <v>1311</v>
      </c>
      <c r="I85" s="49">
        <v>504</v>
      </c>
      <c r="J85" s="49">
        <v>14235</v>
      </c>
      <c r="K85" s="50">
        <f t="shared" si="11"/>
        <v>2.1380390719693842E-2</v>
      </c>
      <c r="L85" s="49">
        <v>0</v>
      </c>
      <c r="M85" s="16">
        <f t="shared" si="12"/>
        <v>19095</v>
      </c>
    </row>
    <row r="86" spans="2:13" ht="12.75" customHeight="1" x14ac:dyDescent="0.2">
      <c r="B86" s="18" t="s">
        <v>373</v>
      </c>
      <c r="C86" s="49">
        <v>4190</v>
      </c>
      <c r="D86" s="49">
        <v>1553</v>
      </c>
      <c r="E86" s="49">
        <f t="shared" si="9"/>
        <v>5743</v>
      </c>
      <c r="F86" s="50">
        <f t="shared" si="10"/>
        <v>2.4312493649879773E-2</v>
      </c>
      <c r="G86" s="49">
        <v>13557</v>
      </c>
      <c r="H86" s="49">
        <v>1534</v>
      </c>
      <c r="I86" s="49">
        <v>802</v>
      </c>
      <c r="J86" s="49">
        <v>15893</v>
      </c>
      <c r="K86" s="50">
        <f t="shared" si="11"/>
        <v>2.3870639248900191E-2</v>
      </c>
      <c r="L86" s="49">
        <v>0</v>
      </c>
      <c r="M86" s="16">
        <f t="shared" si="12"/>
        <v>21636</v>
      </c>
    </row>
    <row r="87" spans="2:13" ht="12.75" customHeight="1" x14ac:dyDescent="0.2">
      <c r="B87" s="18" t="s">
        <v>374</v>
      </c>
      <c r="C87" s="49">
        <v>3565</v>
      </c>
      <c r="D87" s="49">
        <v>966</v>
      </c>
      <c r="E87" s="49">
        <f t="shared" si="9"/>
        <v>4531</v>
      </c>
      <c r="F87" s="50">
        <f t="shared" si="10"/>
        <v>1.9181596504893827E-2</v>
      </c>
      <c r="G87" s="49">
        <v>11727</v>
      </c>
      <c r="H87" s="49">
        <v>1315</v>
      </c>
      <c r="I87" s="49">
        <v>547</v>
      </c>
      <c r="J87" s="49">
        <v>13589</v>
      </c>
      <c r="K87" s="50">
        <f t="shared" si="11"/>
        <v>2.041012500807303E-2</v>
      </c>
      <c r="L87" s="49">
        <v>0</v>
      </c>
      <c r="M87" s="16">
        <f t="shared" si="12"/>
        <v>18120</v>
      </c>
    </row>
    <row r="88" spans="2:13" ht="12.75" customHeight="1" x14ac:dyDescent="0.2">
      <c r="B88" s="18" t="s">
        <v>375</v>
      </c>
      <c r="C88" s="49">
        <v>11423</v>
      </c>
      <c r="D88" s="49">
        <v>4178</v>
      </c>
      <c r="E88" s="49">
        <f t="shared" si="9"/>
        <v>15601</v>
      </c>
      <c r="F88" s="50">
        <f t="shared" si="10"/>
        <v>6.6045483794493182E-2</v>
      </c>
      <c r="G88" s="49">
        <v>39690</v>
      </c>
      <c r="H88" s="49">
        <v>5223</v>
      </c>
      <c r="I88" s="49">
        <v>2223</v>
      </c>
      <c r="J88" s="49">
        <v>47136</v>
      </c>
      <c r="K88" s="50">
        <f t="shared" si="11"/>
        <v>7.0796353843588955E-2</v>
      </c>
      <c r="L88" s="49">
        <v>0</v>
      </c>
      <c r="M88" s="16">
        <f t="shared" si="12"/>
        <v>62737</v>
      </c>
    </row>
    <row r="89" spans="2:13" ht="12.75" customHeight="1" x14ac:dyDescent="0.2">
      <c r="B89" s="18" t="s">
        <v>376</v>
      </c>
      <c r="C89" s="49">
        <v>478</v>
      </c>
      <c r="D89" s="49">
        <v>148</v>
      </c>
      <c r="E89" s="49">
        <f t="shared" si="9"/>
        <v>626</v>
      </c>
      <c r="F89" s="50">
        <f t="shared" si="10"/>
        <v>2.6501168422122124E-3</v>
      </c>
      <c r="G89" s="49">
        <v>1234</v>
      </c>
      <c r="H89" s="49">
        <v>156</v>
      </c>
      <c r="I89" s="49">
        <v>49</v>
      </c>
      <c r="J89" s="49">
        <v>1439</v>
      </c>
      <c r="K89" s="50">
        <f t="shared" si="11"/>
        <v>2.16131944121106E-3</v>
      </c>
      <c r="L89" s="49">
        <v>0</v>
      </c>
      <c r="M89" s="16">
        <f t="shared" si="12"/>
        <v>2065</v>
      </c>
    </row>
    <row r="90" spans="2:13" ht="12.75" customHeight="1" x14ac:dyDescent="0.2">
      <c r="B90" s="18" t="s">
        <v>377</v>
      </c>
      <c r="C90" s="49">
        <v>1591</v>
      </c>
      <c r="D90" s="49">
        <v>807</v>
      </c>
      <c r="E90" s="49">
        <f t="shared" si="9"/>
        <v>2398</v>
      </c>
      <c r="F90" s="50">
        <f t="shared" si="10"/>
        <v>1.0151725539336878E-2</v>
      </c>
      <c r="G90" s="49">
        <v>4483</v>
      </c>
      <c r="H90" s="49">
        <v>384</v>
      </c>
      <c r="I90" s="49">
        <v>311</v>
      </c>
      <c r="J90" s="49">
        <v>5178</v>
      </c>
      <c r="K90" s="50">
        <f t="shared" si="11"/>
        <v>7.7771452860256208E-3</v>
      </c>
      <c r="L90" s="49">
        <v>0</v>
      </c>
      <c r="M90" s="16">
        <f t="shared" si="12"/>
        <v>7576</v>
      </c>
    </row>
    <row r="91" spans="2:13" ht="12.75" customHeight="1" x14ac:dyDescent="0.2">
      <c r="B91" s="18" t="s">
        <v>378</v>
      </c>
      <c r="C91" s="49">
        <v>483</v>
      </c>
      <c r="D91" s="49">
        <v>154</v>
      </c>
      <c r="E91" s="49">
        <f t="shared" si="9"/>
        <v>637</v>
      </c>
      <c r="F91" s="50">
        <f t="shared" si="10"/>
        <v>2.6966843905577944E-3</v>
      </c>
      <c r="G91" s="49">
        <v>1425</v>
      </c>
      <c r="H91" s="49">
        <v>144</v>
      </c>
      <c r="I91" s="49">
        <v>84</v>
      </c>
      <c r="J91" s="49">
        <v>1653</v>
      </c>
      <c r="K91" s="50">
        <f t="shared" si="11"/>
        <v>2.4827387326767768E-3</v>
      </c>
      <c r="L91" s="49">
        <v>0</v>
      </c>
      <c r="M91" s="16">
        <f t="shared" si="12"/>
        <v>2290</v>
      </c>
    </row>
    <row r="92" spans="2:13" ht="12.75" customHeight="1" x14ac:dyDescent="0.2">
      <c r="B92" s="18" t="s">
        <v>379</v>
      </c>
      <c r="C92" s="49">
        <v>1734</v>
      </c>
      <c r="D92" s="49">
        <v>626</v>
      </c>
      <c r="E92" s="49">
        <f t="shared" si="9"/>
        <v>2360</v>
      </c>
      <c r="F92" s="50">
        <f t="shared" si="10"/>
        <v>9.9908558268703221E-3</v>
      </c>
      <c r="G92" s="49">
        <v>7307</v>
      </c>
      <c r="H92" s="49">
        <v>751</v>
      </c>
      <c r="I92" s="49">
        <v>416</v>
      </c>
      <c r="J92" s="49">
        <v>8474</v>
      </c>
      <c r="K92" s="50">
        <f t="shared" si="11"/>
        <v>1.2727603158320028E-2</v>
      </c>
      <c r="L92" s="49">
        <v>0</v>
      </c>
      <c r="M92" s="16">
        <f t="shared" si="12"/>
        <v>10834</v>
      </c>
    </row>
    <row r="93" spans="2:13" ht="12.75" customHeight="1" x14ac:dyDescent="0.2">
      <c r="B93" s="18" t="s">
        <v>380</v>
      </c>
      <c r="C93" s="49">
        <v>450</v>
      </c>
      <c r="D93" s="49">
        <v>148</v>
      </c>
      <c r="E93" s="49">
        <f t="shared" si="9"/>
        <v>598</v>
      </c>
      <c r="F93" s="50">
        <f t="shared" si="10"/>
        <v>2.5315812646052767E-3</v>
      </c>
      <c r="G93" s="49">
        <v>1670</v>
      </c>
      <c r="H93" s="49">
        <v>179</v>
      </c>
      <c r="I93" s="49">
        <v>110</v>
      </c>
      <c r="J93" s="49">
        <v>1959</v>
      </c>
      <c r="K93" s="50">
        <f t="shared" si="11"/>
        <v>2.9423382802866338E-3</v>
      </c>
      <c r="L93" s="49">
        <v>0</v>
      </c>
      <c r="M93" s="16">
        <f t="shared" si="12"/>
        <v>2557</v>
      </c>
    </row>
    <row r="94" spans="2:13" ht="12.75" customHeight="1" x14ac:dyDescent="0.2">
      <c r="B94" s="18" t="s">
        <v>381</v>
      </c>
      <c r="C94" s="49">
        <v>169</v>
      </c>
      <c r="D94" s="49">
        <v>56</v>
      </c>
      <c r="E94" s="49">
        <f t="shared" si="9"/>
        <v>225</v>
      </c>
      <c r="F94" s="50">
        <f t="shared" si="10"/>
        <v>9.5251803434145022E-4</v>
      </c>
      <c r="G94" s="49">
        <v>527</v>
      </c>
      <c r="H94" s="49">
        <v>48</v>
      </c>
      <c r="I94" s="49">
        <v>16</v>
      </c>
      <c r="J94" s="49">
        <v>591</v>
      </c>
      <c r="K94" s="50">
        <f t="shared" si="11"/>
        <v>8.8765794979550822E-4</v>
      </c>
      <c r="L94" s="49">
        <v>0</v>
      </c>
      <c r="M94" s="16">
        <f t="shared" si="12"/>
        <v>816</v>
      </c>
    </row>
    <row r="95" spans="2:13" ht="12.75" customHeight="1" x14ac:dyDescent="0.2">
      <c r="B95" s="18" t="s">
        <v>382</v>
      </c>
      <c r="C95" s="49">
        <v>1026</v>
      </c>
      <c r="D95" s="49">
        <v>258</v>
      </c>
      <c r="E95" s="49">
        <f t="shared" si="9"/>
        <v>1284</v>
      </c>
      <c r="F95" s="50">
        <f t="shared" si="10"/>
        <v>5.4357029159752095E-3</v>
      </c>
      <c r="G95" s="49">
        <v>2848</v>
      </c>
      <c r="H95" s="49">
        <v>265</v>
      </c>
      <c r="I95" s="49">
        <v>149</v>
      </c>
      <c r="J95" s="49">
        <v>3262</v>
      </c>
      <c r="K95" s="50">
        <f t="shared" si="11"/>
        <v>4.899391255893313E-3</v>
      </c>
      <c r="L95" s="49">
        <v>0</v>
      </c>
      <c r="M95" s="16">
        <f t="shared" si="12"/>
        <v>4546</v>
      </c>
    </row>
    <row r="96" spans="2:13" ht="12.75" customHeight="1" x14ac:dyDescent="0.2">
      <c r="B96" s="18" t="s">
        <v>383</v>
      </c>
      <c r="C96" s="49">
        <v>440</v>
      </c>
      <c r="D96" s="49">
        <v>116</v>
      </c>
      <c r="E96" s="49">
        <f t="shared" si="9"/>
        <v>556</v>
      </c>
      <c r="F96" s="50">
        <f t="shared" si="10"/>
        <v>2.3537778981948727E-3</v>
      </c>
      <c r="G96" s="49">
        <v>820</v>
      </c>
      <c r="H96" s="49">
        <v>56</v>
      </c>
      <c r="I96" s="49">
        <v>57</v>
      </c>
      <c r="J96" s="49">
        <v>933</v>
      </c>
      <c r="K96" s="50">
        <f t="shared" si="11"/>
        <v>1.4013280324182897E-3</v>
      </c>
      <c r="L96" s="49">
        <v>0</v>
      </c>
      <c r="M96" s="16">
        <f t="shared" si="12"/>
        <v>1489</v>
      </c>
    </row>
    <row r="97" spans="2:13" ht="12.75" customHeight="1" x14ac:dyDescent="0.2">
      <c r="B97" s="18" t="s">
        <v>384</v>
      </c>
      <c r="C97" s="49">
        <v>1038</v>
      </c>
      <c r="D97" s="49">
        <v>330</v>
      </c>
      <c r="E97" s="49">
        <f t="shared" si="9"/>
        <v>1368</v>
      </c>
      <c r="F97" s="50">
        <f t="shared" si="10"/>
        <v>5.7913096487960175E-3</v>
      </c>
      <c r="G97" s="49">
        <v>2908</v>
      </c>
      <c r="H97" s="49">
        <v>267</v>
      </c>
      <c r="I97" s="49">
        <v>176</v>
      </c>
      <c r="J97" s="49">
        <v>3351</v>
      </c>
      <c r="K97" s="50">
        <f t="shared" si="11"/>
        <v>5.0330656341197088E-3</v>
      </c>
      <c r="L97" s="49">
        <v>0</v>
      </c>
      <c r="M97" s="16">
        <f t="shared" si="12"/>
        <v>4719</v>
      </c>
    </row>
    <row r="98" spans="2:13" ht="12.75" customHeight="1" x14ac:dyDescent="0.2">
      <c r="B98" s="18" t="s">
        <v>385</v>
      </c>
      <c r="C98" s="49">
        <v>1324</v>
      </c>
      <c r="D98" s="49">
        <v>454</v>
      </c>
      <c r="E98" s="49">
        <f t="shared" si="9"/>
        <v>1778</v>
      </c>
      <c r="F98" s="50">
        <f t="shared" si="10"/>
        <v>7.5270091780404377E-3</v>
      </c>
      <c r="G98" s="49">
        <v>4776</v>
      </c>
      <c r="H98" s="49">
        <v>554</v>
      </c>
      <c r="I98" s="49">
        <v>273</v>
      </c>
      <c r="J98" s="49">
        <v>5603</v>
      </c>
      <c r="K98" s="50">
        <f t="shared" si="11"/>
        <v>8.4154779910393107E-3</v>
      </c>
      <c r="L98" s="49">
        <v>0</v>
      </c>
      <c r="M98" s="16">
        <f t="shared" si="12"/>
        <v>7381</v>
      </c>
    </row>
    <row r="99" spans="2:13" ht="12.75" customHeight="1" x14ac:dyDescent="0.2">
      <c r="B99" s="18" t="s">
        <v>386</v>
      </c>
      <c r="C99" s="49">
        <v>2044</v>
      </c>
      <c r="D99" s="49">
        <v>646</v>
      </c>
      <c r="E99" s="49">
        <f t="shared" si="9"/>
        <v>2690</v>
      </c>
      <c r="F99" s="50">
        <f t="shared" si="10"/>
        <v>1.1387882277237782E-2</v>
      </c>
      <c r="G99" s="49">
        <v>7763</v>
      </c>
      <c r="H99" s="49">
        <v>927</v>
      </c>
      <c r="I99" s="49">
        <v>427</v>
      </c>
      <c r="J99" s="49">
        <v>9117</v>
      </c>
      <c r="K99" s="50">
        <f t="shared" si="11"/>
        <v>1.3693362992023094E-2</v>
      </c>
      <c r="L99" s="49">
        <v>0</v>
      </c>
      <c r="M99" s="16">
        <f t="shared" si="12"/>
        <v>11807</v>
      </c>
    </row>
    <row r="100" spans="2:13" ht="12.75" customHeight="1" x14ac:dyDescent="0.2">
      <c r="B100" s="18" t="s">
        <v>387</v>
      </c>
      <c r="C100" s="49">
        <v>2808</v>
      </c>
      <c r="D100" s="49">
        <v>1212</v>
      </c>
      <c r="E100" s="49">
        <f t="shared" si="9"/>
        <v>4020</v>
      </c>
      <c r="F100" s="50">
        <f t="shared" si="10"/>
        <v>1.7018322213567243E-2</v>
      </c>
      <c r="G100" s="49">
        <v>9891</v>
      </c>
      <c r="H100" s="49">
        <v>1315</v>
      </c>
      <c r="I100" s="49">
        <v>705</v>
      </c>
      <c r="J100" s="49">
        <v>11911</v>
      </c>
      <c r="K100" s="50">
        <f t="shared" si="11"/>
        <v>1.788983729274839E-2</v>
      </c>
      <c r="L100" s="49">
        <v>0</v>
      </c>
      <c r="M100" s="16">
        <f t="shared" si="12"/>
        <v>15931</v>
      </c>
    </row>
    <row r="101" spans="2:13" ht="12.75" customHeight="1" x14ac:dyDescent="0.2">
      <c r="B101" s="18" t="s">
        <v>388</v>
      </c>
      <c r="C101" s="49">
        <v>4837</v>
      </c>
      <c r="D101" s="49">
        <v>1753</v>
      </c>
      <c r="E101" s="49">
        <f t="shared" si="9"/>
        <v>6590</v>
      </c>
      <c r="F101" s="50">
        <f t="shared" si="10"/>
        <v>2.7898194872489585E-2</v>
      </c>
      <c r="G101" s="49">
        <v>15027</v>
      </c>
      <c r="H101" s="49">
        <v>1691</v>
      </c>
      <c r="I101" s="49">
        <v>896</v>
      </c>
      <c r="J101" s="49">
        <v>17614</v>
      </c>
      <c r="K101" s="50">
        <f t="shared" si="11"/>
        <v>2.6455511214379158E-2</v>
      </c>
      <c r="L101" s="49">
        <v>0</v>
      </c>
      <c r="M101" s="16">
        <f t="shared" si="12"/>
        <v>24204</v>
      </c>
    </row>
    <row r="102" spans="2:13" ht="12.75" customHeight="1" x14ac:dyDescent="0.2">
      <c r="B102" s="18" t="s">
        <v>389</v>
      </c>
      <c r="C102" s="49">
        <v>5020</v>
      </c>
      <c r="D102" s="49">
        <v>1272</v>
      </c>
      <c r="E102" s="49">
        <f t="shared" si="9"/>
        <v>6292</v>
      </c>
      <c r="F102" s="50">
        <f t="shared" si="10"/>
        <v>2.6636637653672909E-2</v>
      </c>
      <c r="G102" s="49">
        <v>15147</v>
      </c>
      <c r="H102" s="49">
        <v>1627</v>
      </c>
      <c r="I102" s="49">
        <v>762</v>
      </c>
      <c r="J102" s="49">
        <v>17536</v>
      </c>
      <c r="K102" s="50">
        <f t="shared" si="11"/>
        <v>2.6338358388517821E-2</v>
      </c>
      <c r="L102" s="49">
        <v>0</v>
      </c>
      <c r="M102" s="16">
        <f t="shared" si="12"/>
        <v>23828</v>
      </c>
    </row>
    <row r="103" spans="2:13" ht="12.75" customHeight="1" x14ac:dyDescent="0.2">
      <c r="B103" s="18" t="s">
        <v>390</v>
      </c>
      <c r="C103" s="49">
        <v>5236</v>
      </c>
      <c r="D103" s="49">
        <v>1479</v>
      </c>
      <c r="E103" s="49">
        <f t="shared" si="9"/>
        <v>6715</v>
      </c>
      <c r="F103" s="50">
        <f t="shared" si="10"/>
        <v>2.8427371558234837E-2</v>
      </c>
      <c r="G103" s="49">
        <v>16230</v>
      </c>
      <c r="H103" s="49">
        <v>1848</v>
      </c>
      <c r="I103" s="49">
        <v>842</v>
      </c>
      <c r="J103" s="49">
        <v>18920</v>
      </c>
      <c r="K103" s="50">
        <f t="shared" si="11"/>
        <v>2.8417070067903581E-2</v>
      </c>
      <c r="L103" s="49">
        <v>0</v>
      </c>
      <c r="M103" s="16">
        <f t="shared" si="12"/>
        <v>25635</v>
      </c>
    </row>
    <row r="104" spans="2:13" ht="12.75" customHeight="1" x14ac:dyDescent="0.2">
      <c r="B104" s="18" t="s">
        <v>391</v>
      </c>
      <c r="C104" s="49">
        <v>2153</v>
      </c>
      <c r="D104" s="49">
        <v>1211</v>
      </c>
      <c r="E104" s="49">
        <f t="shared" si="9"/>
        <v>3364</v>
      </c>
      <c r="F104" s="50">
        <f t="shared" si="10"/>
        <v>1.4241202966776171E-2</v>
      </c>
      <c r="G104" s="49">
        <v>6952</v>
      </c>
      <c r="H104" s="49">
        <v>618</v>
      </c>
      <c r="I104" s="49">
        <v>495</v>
      </c>
      <c r="J104" s="49">
        <v>8065</v>
      </c>
      <c r="K104" s="50">
        <f t="shared" si="11"/>
        <v>1.2113301802200971E-2</v>
      </c>
      <c r="L104" s="49">
        <v>0</v>
      </c>
      <c r="M104" s="16">
        <f t="shared" si="12"/>
        <v>11429</v>
      </c>
    </row>
    <row r="105" spans="2:13" ht="12.75" customHeight="1" x14ac:dyDescent="0.2">
      <c r="B105" s="18" t="s">
        <v>392</v>
      </c>
      <c r="C105" s="49">
        <v>3073</v>
      </c>
      <c r="D105" s="49">
        <v>624</v>
      </c>
      <c r="E105" s="49">
        <f t="shared" si="9"/>
        <v>3697</v>
      </c>
      <c r="F105" s="50">
        <f t="shared" si="10"/>
        <v>1.5650929657601516E-2</v>
      </c>
      <c r="G105" s="49">
        <v>9075</v>
      </c>
      <c r="H105" s="49">
        <v>1183</v>
      </c>
      <c r="I105" s="49">
        <v>365</v>
      </c>
      <c r="J105" s="49">
        <v>10623</v>
      </c>
      <c r="K105" s="50">
        <f t="shared" si="11"/>
        <v>1.595531370673043E-2</v>
      </c>
      <c r="L105" s="49">
        <v>0</v>
      </c>
      <c r="M105" s="16">
        <f t="shared" si="12"/>
        <v>14320</v>
      </c>
    </row>
    <row r="106" spans="2:13" ht="12.75" customHeight="1" x14ac:dyDescent="0.2">
      <c r="B106" s="18" t="s">
        <v>393</v>
      </c>
      <c r="C106" s="49">
        <v>3751</v>
      </c>
      <c r="D106" s="49">
        <v>1063</v>
      </c>
      <c r="E106" s="49">
        <f t="shared" si="9"/>
        <v>4814</v>
      </c>
      <c r="F106" s="50">
        <f t="shared" si="10"/>
        <v>2.0379652521421071E-2</v>
      </c>
      <c r="G106" s="49">
        <v>9883</v>
      </c>
      <c r="H106" s="49">
        <v>1088</v>
      </c>
      <c r="I106" s="49">
        <v>510</v>
      </c>
      <c r="J106" s="49">
        <v>11481</v>
      </c>
      <c r="K106" s="50">
        <f t="shared" si="11"/>
        <v>1.7243994791205128E-2</v>
      </c>
      <c r="L106" s="49">
        <v>0</v>
      </c>
      <c r="M106" s="16">
        <f t="shared" si="12"/>
        <v>16295</v>
      </c>
    </row>
    <row r="107" spans="2:13" ht="12.75" customHeight="1" x14ac:dyDescent="0.2">
      <c r="B107" s="18" t="s">
        <v>394</v>
      </c>
      <c r="C107" s="49">
        <v>4199</v>
      </c>
      <c r="D107" s="49">
        <v>1290</v>
      </c>
      <c r="E107" s="49">
        <f t="shared" si="9"/>
        <v>5489</v>
      </c>
      <c r="F107" s="50">
        <f t="shared" si="10"/>
        <v>2.3237206624445422E-2</v>
      </c>
      <c r="G107" s="49">
        <v>12602</v>
      </c>
      <c r="H107" s="49">
        <v>1457</v>
      </c>
      <c r="I107" s="49">
        <v>671</v>
      </c>
      <c r="J107" s="49">
        <v>14730</v>
      </c>
      <c r="K107" s="50">
        <f t="shared" si="11"/>
        <v>2.2123860576121552E-2</v>
      </c>
      <c r="L107" s="49">
        <v>0</v>
      </c>
      <c r="M107" s="16">
        <f t="shared" si="12"/>
        <v>20219</v>
      </c>
    </row>
    <row r="108" spans="2:13" ht="12.75" customHeight="1" x14ac:dyDescent="0.2">
      <c r="B108" s="18" t="s">
        <v>395</v>
      </c>
      <c r="C108" s="49">
        <v>3832</v>
      </c>
      <c r="D108" s="49">
        <v>1401</v>
      </c>
      <c r="E108" s="49">
        <f t="shared" si="9"/>
        <v>5233</v>
      </c>
      <c r="F108" s="50">
        <f t="shared" si="10"/>
        <v>2.2153452772039152E-2</v>
      </c>
      <c r="G108" s="49">
        <v>10807</v>
      </c>
      <c r="H108" s="49">
        <v>1149</v>
      </c>
      <c r="I108" s="49">
        <v>677</v>
      </c>
      <c r="J108" s="49">
        <v>12633</v>
      </c>
      <c r="K108" s="50">
        <f t="shared" si="11"/>
        <v>1.8974251911618705E-2</v>
      </c>
      <c r="L108" s="49">
        <v>0</v>
      </c>
      <c r="M108" s="16">
        <f t="shared" si="12"/>
        <v>17866</v>
      </c>
    </row>
    <row r="109" spans="2:13" ht="12.75" customHeight="1" x14ac:dyDescent="0.2">
      <c r="B109" s="18" t="s">
        <v>396</v>
      </c>
      <c r="C109" s="49">
        <v>573</v>
      </c>
      <c r="D109" s="49">
        <v>175</v>
      </c>
      <c r="E109" s="49">
        <f t="shared" si="9"/>
        <v>748</v>
      </c>
      <c r="F109" s="50">
        <f t="shared" si="10"/>
        <v>3.1665932874995768E-3</v>
      </c>
      <c r="G109" s="49">
        <v>1736</v>
      </c>
      <c r="H109" s="49">
        <v>197</v>
      </c>
      <c r="I109" s="49">
        <v>81</v>
      </c>
      <c r="J109" s="49">
        <v>2014</v>
      </c>
      <c r="K109" s="50">
        <f t="shared" si="11"/>
        <v>3.0249460421119352E-3</v>
      </c>
      <c r="L109" s="49">
        <v>0</v>
      </c>
      <c r="M109" s="16">
        <f t="shared" si="12"/>
        <v>2762</v>
      </c>
    </row>
    <row r="110" spans="2:13" ht="12.75" customHeight="1" x14ac:dyDescent="0.2">
      <c r="B110" s="18" t="s">
        <v>397</v>
      </c>
      <c r="C110" s="49">
        <v>1553</v>
      </c>
      <c r="D110" s="49">
        <v>579</v>
      </c>
      <c r="E110" s="49">
        <f t="shared" si="9"/>
        <v>2132</v>
      </c>
      <c r="F110" s="50">
        <f t="shared" si="10"/>
        <v>9.0256375520709857E-3</v>
      </c>
      <c r="G110" s="49">
        <v>5648</v>
      </c>
      <c r="H110" s="49">
        <v>451</v>
      </c>
      <c r="I110" s="49">
        <v>289</v>
      </c>
      <c r="J110" s="49">
        <v>6388</v>
      </c>
      <c r="K110" s="50">
        <f t="shared" si="11"/>
        <v>9.5945160461822446E-3</v>
      </c>
      <c r="L110" s="49">
        <v>0</v>
      </c>
      <c r="M110" s="16">
        <f t="shared" si="12"/>
        <v>8520</v>
      </c>
    </row>
    <row r="111" spans="2:13" ht="12.75" customHeight="1" x14ac:dyDescent="0.2">
      <c r="B111" s="18" t="s">
        <v>398</v>
      </c>
      <c r="C111" s="49">
        <v>7234</v>
      </c>
      <c r="D111" s="49">
        <v>2787</v>
      </c>
      <c r="E111" s="49">
        <f t="shared" si="9"/>
        <v>10021</v>
      </c>
      <c r="F111" s="50">
        <f t="shared" si="10"/>
        <v>4.2423036542825213E-2</v>
      </c>
      <c r="G111" s="49">
        <v>22721</v>
      </c>
      <c r="H111" s="49">
        <v>2459</v>
      </c>
      <c r="I111" s="49">
        <v>1638</v>
      </c>
      <c r="J111" s="49">
        <v>26818</v>
      </c>
      <c r="K111" s="50">
        <f t="shared" si="11"/>
        <v>4.0279544666016819E-2</v>
      </c>
      <c r="L111" s="49">
        <v>0</v>
      </c>
      <c r="M111" s="16">
        <f t="shared" si="12"/>
        <v>36839</v>
      </c>
    </row>
    <row r="112" spans="2:13" ht="12.75" customHeight="1" x14ac:dyDescent="0.2">
      <c r="B112" s="18" t="s">
        <v>399</v>
      </c>
      <c r="C112" s="49">
        <v>4416</v>
      </c>
      <c r="D112" s="49">
        <v>1287</v>
      </c>
      <c r="E112" s="49">
        <f t="shared" si="9"/>
        <v>5703</v>
      </c>
      <c r="F112" s="50">
        <f t="shared" si="10"/>
        <v>2.414315711044129E-2</v>
      </c>
      <c r="G112" s="49">
        <v>13850</v>
      </c>
      <c r="H112" s="49">
        <v>1497</v>
      </c>
      <c r="I112" s="49">
        <v>714</v>
      </c>
      <c r="J112" s="49">
        <v>16061</v>
      </c>
      <c r="K112" s="50">
        <f t="shared" si="11"/>
        <v>2.4122968412293836E-2</v>
      </c>
      <c r="L112" s="49">
        <v>0</v>
      </c>
      <c r="M112" s="16">
        <f t="shared" si="12"/>
        <v>21764</v>
      </c>
    </row>
    <row r="113" spans="2:13" ht="12.75" customHeight="1" x14ac:dyDescent="0.2">
      <c r="B113" s="18" t="s">
        <v>400</v>
      </c>
      <c r="C113" s="49">
        <v>5187</v>
      </c>
      <c r="D113" s="49">
        <v>2153</v>
      </c>
      <c r="E113" s="49">
        <f t="shared" si="9"/>
        <v>7340</v>
      </c>
      <c r="F113" s="50">
        <f t="shared" si="10"/>
        <v>3.1073254986961087E-2</v>
      </c>
      <c r="G113" s="49">
        <v>17940</v>
      </c>
      <c r="H113" s="49">
        <v>2091</v>
      </c>
      <c r="I113" s="49">
        <v>1133</v>
      </c>
      <c r="J113" s="49">
        <v>21164</v>
      </c>
      <c r="K113" s="50">
        <f t="shared" si="11"/>
        <v>3.1787466750375866E-2</v>
      </c>
      <c r="L113" s="49">
        <v>0</v>
      </c>
      <c r="M113" s="16">
        <f t="shared" si="12"/>
        <v>28504</v>
      </c>
    </row>
    <row r="114" spans="2:13" ht="12.75" customHeight="1" x14ac:dyDescent="0.2">
      <c r="B114" s="18" t="s">
        <v>401</v>
      </c>
      <c r="C114" s="49">
        <v>11166</v>
      </c>
      <c r="D114" s="49">
        <v>3422</v>
      </c>
      <c r="E114" s="49">
        <f t="shared" si="9"/>
        <v>14588</v>
      </c>
      <c r="F114" s="50">
        <f t="shared" si="10"/>
        <v>6.1757035933213668E-2</v>
      </c>
      <c r="G114" s="49">
        <v>40262</v>
      </c>
      <c r="H114" s="49">
        <v>5887</v>
      </c>
      <c r="I114" s="49">
        <v>1931</v>
      </c>
      <c r="J114" s="49">
        <v>48080</v>
      </c>
      <c r="K114" s="50">
        <f t="shared" si="11"/>
        <v>7.2214203428372314E-2</v>
      </c>
      <c r="L114" s="49">
        <v>0</v>
      </c>
      <c r="M114" s="16">
        <f t="shared" si="12"/>
        <v>62668</v>
      </c>
    </row>
    <row r="115" spans="2:13" ht="12.75" customHeight="1" x14ac:dyDescent="0.2">
      <c r="B115" s="18" t="s">
        <v>402</v>
      </c>
      <c r="C115" s="49">
        <v>1565</v>
      </c>
      <c r="D115" s="49">
        <v>548</v>
      </c>
      <c r="E115" s="49">
        <f t="shared" si="9"/>
        <v>2113</v>
      </c>
      <c r="F115" s="50">
        <f t="shared" si="10"/>
        <v>8.945202695837708E-3</v>
      </c>
      <c r="G115" s="49">
        <v>6044</v>
      </c>
      <c r="H115" s="49">
        <v>706</v>
      </c>
      <c r="I115" s="49">
        <v>343</v>
      </c>
      <c r="J115" s="49">
        <v>7093</v>
      </c>
      <c r="K115" s="50">
        <f t="shared" si="11"/>
        <v>1.0653397356852013E-2</v>
      </c>
      <c r="L115" s="49">
        <v>0</v>
      </c>
      <c r="M115" s="16">
        <f t="shared" si="12"/>
        <v>9206</v>
      </c>
    </row>
    <row r="116" spans="2:13" ht="12.75" customHeight="1" x14ac:dyDescent="0.2">
      <c r="B116" s="18" t="s">
        <v>403</v>
      </c>
      <c r="C116" s="49">
        <v>743</v>
      </c>
      <c r="D116" s="49">
        <v>271</v>
      </c>
      <c r="E116" s="49">
        <f t="shared" si="9"/>
        <v>1014</v>
      </c>
      <c r="F116" s="50">
        <f t="shared" si="10"/>
        <v>4.2926812747654686E-3</v>
      </c>
      <c r="G116" s="49">
        <v>3225</v>
      </c>
      <c r="H116" s="49">
        <v>335</v>
      </c>
      <c r="I116" s="49">
        <v>216</v>
      </c>
      <c r="J116" s="49">
        <v>3776</v>
      </c>
      <c r="K116" s="50">
        <f t="shared" si="11"/>
        <v>5.6713983391333996E-3</v>
      </c>
      <c r="L116" s="49">
        <v>0</v>
      </c>
      <c r="M116" s="16">
        <f t="shared" si="12"/>
        <v>4790</v>
      </c>
    </row>
    <row r="117" spans="2:13" ht="12.75" customHeight="1" x14ac:dyDescent="0.2">
      <c r="B117" s="18" t="s">
        <v>404</v>
      </c>
      <c r="C117" s="49">
        <v>3959</v>
      </c>
      <c r="D117" s="49">
        <v>1170</v>
      </c>
      <c r="E117" s="49">
        <f t="shared" si="9"/>
        <v>5129</v>
      </c>
      <c r="F117" s="50">
        <f t="shared" si="10"/>
        <v>2.1713177769499103E-2</v>
      </c>
      <c r="G117" s="49">
        <v>12010</v>
      </c>
      <c r="H117" s="49">
        <v>1116</v>
      </c>
      <c r="I117" s="49">
        <v>715</v>
      </c>
      <c r="J117" s="49">
        <v>13841</v>
      </c>
      <c r="K117" s="50">
        <f t="shared" si="11"/>
        <v>2.0788618753163502E-2</v>
      </c>
      <c r="L117" s="49">
        <v>0</v>
      </c>
      <c r="M117" s="16">
        <f t="shared" si="12"/>
        <v>18970</v>
      </c>
    </row>
    <row r="118" spans="2:13" ht="12.75" customHeight="1" x14ac:dyDescent="0.2">
      <c r="B118" s="18" t="s">
        <v>405</v>
      </c>
      <c r="C118" s="49">
        <v>391</v>
      </c>
      <c r="D118" s="49">
        <v>135</v>
      </c>
      <c r="E118" s="49">
        <f t="shared" si="9"/>
        <v>526</v>
      </c>
      <c r="F118" s="50">
        <f t="shared" si="10"/>
        <v>2.2267754936160125E-3</v>
      </c>
      <c r="G118" s="49">
        <v>1201</v>
      </c>
      <c r="H118" s="49">
        <v>84</v>
      </c>
      <c r="I118" s="49">
        <v>78</v>
      </c>
      <c r="J118" s="49">
        <v>1363</v>
      </c>
      <c r="K118" s="50">
        <f t="shared" si="11"/>
        <v>2.047170533961553E-3</v>
      </c>
      <c r="L118" s="49">
        <v>0</v>
      </c>
      <c r="M118" s="16">
        <f t="shared" si="12"/>
        <v>1889</v>
      </c>
    </row>
    <row r="119" spans="2:13" ht="12.75" customHeight="1" x14ac:dyDescent="0.2">
      <c r="B119" s="18" t="s">
        <v>406</v>
      </c>
      <c r="C119" s="49">
        <v>1529</v>
      </c>
      <c r="D119" s="49">
        <v>275</v>
      </c>
      <c r="E119" s="49">
        <f t="shared" si="9"/>
        <v>1804</v>
      </c>
      <c r="F119" s="50">
        <f t="shared" si="10"/>
        <v>7.6370779286754498E-3</v>
      </c>
      <c r="G119" s="49">
        <v>6447</v>
      </c>
      <c r="H119" s="49">
        <v>995</v>
      </c>
      <c r="I119" s="49">
        <v>180</v>
      </c>
      <c r="J119" s="49">
        <v>7622</v>
      </c>
      <c r="K119" s="50">
        <f t="shared" si="11"/>
        <v>1.1447933829680819E-2</v>
      </c>
      <c r="L119" s="49">
        <v>0</v>
      </c>
      <c r="M119" s="16">
        <f t="shared" si="12"/>
        <v>9426</v>
      </c>
    </row>
    <row r="120" spans="2:13" ht="12.75" customHeight="1" x14ac:dyDescent="0.2">
      <c r="B120" s="18" t="s">
        <v>407</v>
      </c>
      <c r="C120" s="49">
        <v>766</v>
      </c>
      <c r="D120" s="49">
        <v>109</v>
      </c>
      <c r="E120" s="49">
        <f t="shared" si="9"/>
        <v>875</v>
      </c>
      <c r="F120" s="50">
        <f t="shared" si="10"/>
        <v>3.7042368002167506E-3</v>
      </c>
      <c r="G120" s="49">
        <v>2251</v>
      </c>
      <c r="H120" s="49">
        <v>301</v>
      </c>
      <c r="I120" s="49">
        <v>74</v>
      </c>
      <c r="J120" s="49">
        <v>2626</v>
      </c>
      <c r="K120" s="50">
        <f t="shared" si="11"/>
        <v>3.9441451373316491E-3</v>
      </c>
      <c r="L120" s="49">
        <v>0</v>
      </c>
      <c r="M120" s="16">
        <f t="shared" si="12"/>
        <v>3501</v>
      </c>
    </row>
    <row r="121" spans="2:13" ht="12.75" customHeight="1" x14ac:dyDescent="0.2">
      <c r="B121" s="18" t="s">
        <v>408</v>
      </c>
      <c r="C121" s="49">
        <v>3983</v>
      </c>
      <c r="D121" s="49">
        <v>727</v>
      </c>
      <c r="E121" s="49">
        <f t="shared" si="9"/>
        <v>4710</v>
      </c>
      <c r="F121" s="50">
        <f t="shared" si="10"/>
        <v>1.9939377518881023E-2</v>
      </c>
      <c r="G121" s="49">
        <v>15307</v>
      </c>
      <c r="H121" s="49">
        <v>2300</v>
      </c>
      <c r="I121" s="49">
        <v>535</v>
      </c>
      <c r="J121" s="49">
        <v>18142</v>
      </c>
      <c r="K121" s="50">
        <f t="shared" si="11"/>
        <v>2.7248545727902047E-2</v>
      </c>
      <c r="L121" s="49">
        <v>0</v>
      </c>
      <c r="M121" s="16">
        <f t="shared" si="12"/>
        <v>22852</v>
      </c>
    </row>
    <row r="122" spans="2:13" ht="12.75" customHeight="1" x14ac:dyDescent="0.2">
      <c r="B122" s="18" t="s">
        <v>409</v>
      </c>
      <c r="C122" s="49">
        <v>1583</v>
      </c>
      <c r="D122" s="49">
        <v>359</v>
      </c>
      <c r="E122" s="49">
        <f t="shared" si="9"/>
        <v>1942</v>
      </c>
      <c r="F122" s="50">
        <f t="shared" si="10"/>
        <v>8.2212889897382065E-3</v>
      </c>
      <c r="G122" s="49">
        <v>5673</v>
      </c>
      <c r="H122" s="49">
        <v>769</v>
      </c>
      <c r="I122" s="49">
        <v>215</v>
      </c>
      <c r="J122" s="49">
        <v>6657</v>
      </c>
      <c r="K122" s="50">
        <f t="shared" si="11"/>
        <v>9.9985430994732633E-3</v>
      </c>
      <c r="L122" s="49">
        <v>0</v>
      </c>
      <c r="M122" s="16">
        <f t="shared" si="12"/>
        <v>8599</v>
      </c>
    </row>
    <row r="123" spans="2:13" ht="12.75" customHeight="1" x14ac:dyDescent="0.2">
      <c r="B123" s="18" t="s">
        <v>410</v>
      </c>
      <c r="C123" s="49">
        <v>10178</v>
      </c>
      <c r="D123" s="49">
        <v>2345</v>
      </c>
      <c r="E123" s="49">
        <f t="shared" si="9"/>
        <v>12523</v>
      </c>
      <c r="F123" s="50">
        <f t="shared" si="10"/>
        <v>5.3015037084702135E-2</v>
      </c>
      <c r="G123" s="49">
        <v>33305</v>
      </c>
      <c r="H123" s="49">
        <v>4675</v>
      </c>
      <c r="I123" s="49">
        <v>1385</v>
      </c>
      <c r="J123" s="49">
        <v>39365</v>
      </c>
      <c r="K123" s="50">
        <f t="shared" si="11"/>
        <v>5.9124628077326873E-2</v>
      </c>
      <c r="L123" s="49">
        <v>0</v>
      </c>
      <c r="M123" s="16">
        <f t="shared" si="12"/>
        <v>51888</v>
      </c>
    </row>
    <row r="124" spans="2:13" ht="12.75" customHeight="1" x14ac:dyDescent="0.2">
      <c r="B124" s="18" t="s">
        <v>39</v>
      </c>
      <c r="C124" s="49">
        <f t="shared" ref="C124:D124" si="13">SUM(C72:C123)</f>
        <v>182402</v>
      </c>
      <c r="D124" s="49">
        <f t="shared" si="13"/>
        <v>53814</v>
      </c>
      <c r="E124" s="51">
        <f t="shared" ref="E124" si="14">C124+D124</f>
        <v>236216</v>
      </c>
      <c r="F124" s="52">
        <f t="shared" ref="F124" si="15">E124/$E$124</f>
        <v>1</v>
      </c>
      <c r="G124" s="49">
        <f t="shared" ref="G124:J124" si="16">SUM(G72:G123)</f>
        <v>568144</v>
      </c>
      <c r="H124" s="49">
        <f t="shared" si="16"/>
        <v>67863</v>
      </c>
      <c r="I124" s="49">
        <f t="shared" si="16"/>
        <v>29790</v>
      </c>
      <c r="J124" s="49">
        <f t="shared" si="16"/>
        <v>665797</v>
      </c>
      <c r="K124" s="50">
        <f t="shared" si="11"/>
        <v>1</v>
      </c>
      <c r="L124" s="49">
        <f t="shared" ref="L124" si="17">SUM(L72:L123)</f>
        <v>0</v>
      </c>
      <c r="M124" s="16">
        <f t="shared" si="12"/>
        <v>902013</v>
      </c>
    </row>
    <row r="125" spans="2:13" ht="24" x14ac:dyDescent="0.2">
      <c r="B125" s="28" t="s">
        <v>45</v>
      </c>
      <c r="C125" s="29">
        <f>+C124/M124</f>
        <v>0.20221659776522069</v>
      </c>
      <c r="D125" s="29">
        <f>+D124/M124</f>
        <v>5.9659894037003898E-2</v>
      </c>
      <c r="E125" s="30">
        <f>+E124/M124</f>
        <v>0.26187649180222455</v>
      </c>
      <c r="F125" s="30"/>
      <c r="G125" s="29">
        <f>+G124/M124</f>
        <v>0.62986231905748591</v>
      </c>
      <c r="H125" s="29">
        <f>+H124/M124</f>
        <v>7.5235057587861809E-2</v>
      </c>
      <c r="I125" s="29">
        <f>+I124/M124</f>
        <v>3.3026131552427736E-2</v>
      </c>
      <c r="J125" s="30">
        <f>+J124/M124</f>
        <v>0.73812350819777539</v>
      </c>
      <c r="K125" s="30"/>
      <c r="L125" s="30">
        <f>+L124/M124</f>
        <v>0</v>
      </c>
      <c r="M125" s="30">
        <f>J125+L125+E125</f>
        <v>1</v>
      </c>
    </row>
    <row r="126" spans="2:13" x14ac:dyDescent="0.2">
      <c r="B126" s="21" t="s">
        <v>78</v>
      </c>
    </row>
    <row r="127" spans="2:13" x14ac:dyDescent="0.2">
      <c r="B127" s="21" t="s">
        <v>79</v>
      </c>
    </row>
  </sheetData>
  <mergeCells count="10">
    <mergeCell ref="B70:B71"/>
    <mergeCell ref="B9:B10"/>
    <mergeCell ref="C9:L9"/>
    <mergeCell ref="C70:L70"/>
    <mergeCell ref="B69:M69"/>
    <mergeCell ref="B6:K6"/>
    <mergeCell ref="B5:K5"/>
    <mergeCell ref="B67:K67"/>
    <mergeCell ref="B66:K66"/>
    <mergeCell ref="B8:M8"/>
  </mergeCells>
  <hyperlinks>
    <hyperlink ref="M5" location="'Índice PGU y SPS'!A1" display="Volver Sistema de Pensiones Solidarias" xr:uid="{01A0612B-280F-4089-8976-6E2A5F377774}"/>
  </hyperlinks>
  <pageMargins left="0.74803149606299213" right="0.74803149606299213" top="0.98425196850393704" bottom="0.98425196850393704" header="0" footer="0"/>
  <pageSetup scale="74" fitToHeight="2" orientation="portrait" r:id="rId1"/>
  <headerFooter alignWithMargins="0"/>
  <rowBreaks count="1" manualBreakCount="1">
    <brk id="69" min="1" max="12"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8" tint="-0.249977111117893"/>
  </sheetPr>
  <dimension ref="A2:N13"/>
  <sheetViews>
    <sheetView showGridLines="0" workbookViewId="0">
      <selection activeCell="F19" sqref="F19"/>
    </sheetView>
  </sheetViews>
  <sheetFormatPr baseColWidth="10" defaultRowHeight="15" x14ac:dyDescent="0.25"/>
  <cols>
    <col min="1" max="1" width="6" customWidth="1"/>
  </cols>
  <sheetData>
    <row r="2" spans="1:14" x14ac:dyDescent="0.25">
      <c r="A2" s="40" t="s">
        <v>58</v>
      </c>
    </row>
    <row r="3" spans="1:14" x14ac:dyDescent="0.25">
      <c r="A3" s="40" t="s">
        <v>59</v>
      </c>
    </row>
    <row r="5" spans="1:14" x14ac:dyDescent="0.25">
      <c r="B5" s="96" t="s">
        <v>505</v>
      </c>
      <c r="C5" s="87"/>
      <c r="D5" s="87"/>
      <c r="N5" s="110" t="s">
        <v>511</v>
      </c>
    </row>
    <row r="7" spans="1:14" x14ac:dyDescent="0.25">
      <c r="B7" s="98" t="s">
        <v>75</v>
      </c>
      <c r="C7" s="99"/>
      <c r="D7" s="99"/>
      <c r="E7" s="99"/>
      <c r="F7" s="99"/>
      <c r="G7" s="99"/>
      <c r="H7" s="99"/>
      <c r="I7" s="99"/>
      <c r="J7" s="99"/>
      <c r="K7" s="99"/>
      <c r="L7" s="99"/>
      <c r="M7" s="99"/>
      <c r="N7" s="100"/>
    </row>
    <row r="8" spans="1:14" ht="27" customHeight="1" x14ac:dyDescent="0.25">
      <c r="B8" s="338" t="s">
        <v>616</v>
      </c>
      <c r="C8" s="339"/>
      <c r="D8" s="339"/>
      <c r="E8" s="339"/>
      <c r="F8" s="339"/>
      <c r="G8" s="339"/>
      <c r="H8" s="339"/>
      <c r="I8" s="339"/>
      <c r="J8" s="339"/>
      <c r="K8" s="339"/>
      <c r="L8" s="339"/>
      <c r="M8" s="339"/>
      <c r="N8" s="340"/>
    </row>
    <row r="10" spans="1:14" x14ac:dyDescent="0.25">
      <c r="B10" s="62" t="s">
        <v>466</v>
      </c>
    </row>
    <row r="11" spans="1:14" x14ac:dyDescent="0.25">
      <c r="B11" s="341" t="s">
        <v>617</v>
      </c>
      <c r="C11" s="341"/>
      <c r="D11" s="341"/>
      <c r="E11" s="341"/>
      <c r="F11" s="341"/>
      <c r="G11" s="341"/>
      <c r="H11" s="341"/>
    </row>
    <row r="12" spans="1:14" x14ac:dyDescent="0.25">
      <c r="B12" s="341" t="s">
        <v>618</v>
      </c>
      <c r="C12" s="341"/>
      <c r="D12" s="341"/>
      <c r="E12" s="341"/>
      <c r="F12" s="341"/>
      <c r="G12" s="341"/>
      <c r="H12" s="341"/>
    </row>
    <row r="13" spans="1:14" x14ac:dyDescent="0.25">
      <c r="B13" s="341" t="s">
        <v>619</v>
      </c>
      <c r="C13" s="341"/>
      <c r="D13" s="341"/>
      <c r="E13" s="341"/>
      <c r="F13" s="341"/>
      <c r="G13" s="341"/>
      <c r="H13" s="341"/>
    </row>
  </sheetData>
  <mergeCells count="4">
    <mergeCell ref="B8:N8"/>
    <mergeCell ref="B11:H11"/>
    <mergeCell ref="B12:H12"/>
    <mergeCell ref="B13:H13"/>
  </mergeCells>
  <hyperlinks>
    <hyperlink ref="B11" location="'Concesiones Mensuales BxH'!A1" display="Concesiones de Bono por Hijo a nivel nacional, por mes, desde Agosto 2009 a marzo 2018" xr:uid="{00000000-0004-0000-1700-000000000000}"/>
    <hyperlink ref="B12" location="'Solicitudes y Rechazos BxH'!A1" display="Solicitudes, Rechazos y concesiones a nivel nacional, por mes, desde Agosto 2009 a marzo 2018" xr:uid="{00000000-0004-0000-1700-000001000000}"/>
    <hyperlink ref="B13" location="'Concesiones Mensuales Regional'!A1" display="Concesiones de Bono por Hijo a nivel regional en el mes de marzo de 2018" xr:uid="{00000000-0004-0000-1700-000002000000}"/>
    <hyperlink ref="N5" location="Índice!A1" display="Volver" xr:uid="{00000000-0004-0000-1700-000003000000}"/>
  </hyperlinks>
  <pageMargins left="0.7" right="0.7" top="0.75" bottom="0.75" header="0.3" footer="0.3"/>
  <pageSetup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2:L142"/>
  <sheetViews>
    <sheetView showGridLines="0" zoomScaleNormal="100" workbookViewId="0">
      <pane xSplit="2" ySplit="10" topLeftCell="C107" activePane="bottomRight" state="frozen"/>
      <selection activeCell="B6" sqref="B6:J6"/>
      <selection pane="topRight" activeCell="B6" sqref="B6:J6"/>
      <selection pane="bottomLeft" activeCell="B6" sqref="B6:J6"/>
      <selection pane="bottomRight" activeCell="H125" sqref="H125"/>
    </sheetView>
  </sheetViews>
  <sheetFormatPr baseColWidth="10" defaultRowHeight="12" x14ac:dyDescent="0.2"/>
  <cols>
    <col min="1" max="1" width="6" style="21" customWidth="1"/>
    <col min="2" max="2" width="12.5703125" style="21" customWidth="1"/>
    <col min="3" max="11" width="11.42578125" style="21"/>
    <col min="12" max="12" width="15.7109375" style="21" customWidth="1"/>
    <col min="13" max="252" width="11.42578125" style="21"/>
    <col min="253" max="253" width="4.5703125" style="21" customWidth="1"/>
    <col min="254" max="254" width="12.5703125" style="21" customWidth="1"/>
    <col min="255" max="256" width="11.42578125" style="21"/>
    <col min="257" max="257" width="11.42578125" style="21" customWidth="1"/>
    <col min="258" max="259" width="11.42578125" style="21"/>
    <col min="260" max="260" width="11.42578125" style="21" customWidth="1"/>
    <col min="261" max="262" width="11.42578125" style="21"/>
    <col min="263" max="263" width="0" style="21" hidden="1" customWidth="1"/>
    <col min="264" max="265" width="11.42578125" style="21"/>
    <col min="266" max="266" width="0" style="21" hidden="1" customWidth="1"/>
    <col min="267" max="267" width="11.42578125" style="21"/>
    <col min="268" max="268" width="15.7109375" style="21" customWidth="1"/>
    <col min="269" max="508" width="11.42578125" style="21"/>
    <col min="509" max="509" width="4.5703125" style="21" customWidth="1"/>
    <col min="510" max="510" width="12.5703125" style="21" customWidth="1"/>
    <col min="511" max="512" width="11.42578125" style="21"/>
    <col min="513" max="513" width="11.42578125" style="21" customWidth="1"/>
    <col min="514" max="515" width="11.42578125" style="21"/>
    <col min="516" max="516" width="11.42578125" style="21" customWidth="1"/>
    <col min="517" max="518" width="11.42578125" style="21"/>
    <col min="519" max="519" width="0" style="21" hidden="1" customWidth="1"/>
    <col min="520" max="521" width="11.42578125" style="21"/>
    <col min="522" max="522" width="0" style="21" hidden="1" customWidth="1"/>
    <col min="523" max="523" width="11.42578125" style="21"/>
    <col min="524" max="524" width="15.7109375" style="21" customWidth="1"/>
    <col min="525" max="764" width="11.42578125" style="21"/>
    <col min="765" max="765" width="4.5703125" style="21" customWidth="1"/>
    <col min="766" max="766" width="12.5703125" style="21" customWidth="1"/>
    <col min="767" max="768" width="11.42578125" style="21"/>
    <col min="769" max="769" width="11.42578125" style="21" customWidth="1"/>
    <col min="770" max="771" width="11.42578125" style="21"/>
    <col min="772" max="772" width="11.42578125" style="21" customWidth="1"/>
    <col min="773" max="774" width="11.42578125" style="21"/>
    <col min="775" max="775" width="0" style="21" hidden="1" customWidth="1"/>
    <col min="776" max="777" width="11.42578125" style="21"/>
    <col min="778" max="778" width="0" style="21" hidden="1" customWidth="1"/>
    <col min="779" max="779" width="11.42578125" style="21"/>
    <col min="780" max="780" width="15.7109375" style="21" customWidth="1"/>
    <col min="781" max="1020" width="11.42578125" style="21"/>
    <col min="1021" max="1021" width="4.5703125" style="21" customWidth="1"/>
    <col min="1022" max="1022" width="12.5703125" style="21" customWidth="1"/>
    <col min="1023" max="1024" width="11.42578125" style="21"/>
    <col min="1025" max="1025" width="11.42578125" style="21" customWidth="1"/>
    <col min="1026" max="1027" width="11.42578125" style="21"/>
    <col min="1028" max="1028" width="11.42578125" style="21" customWidth="1"/>
    <col min="1029" max="1030" width="11.42578125" style="21"/>
    <col min="1031" max="1031" width="0" style="21" hidden="1" customWidth="1"/>
    <col min="1032" max="1033" width="11.42578125" style="21"/>
    <col min="1034" max="1034" width="0" style="21" hidden="1" customWidth="1"/>
    <col min="1035" max="1035" width="11.42578125" style="21"/>
    <col min="1036" max="1036" width="15.7109375" style="21" customWidth="1"/>
    <col min="1037" max="1276" width="11.42578125" style="21"/>
    <col min="1277" max="1277" width="4.5703125" style="21" customWidth="1"/>
    <col min="1278" max="1278" width="12.5703125" style="21" customWidth="1"/>
    <col min="1279" max="1280" width="11.42578125" style="21"/>
    <col min="1281" max="1281" width="11.42578125" style="21" customWidth="1"/>
    <col min="1282" max="1283" width="11.42578125" style="21"/>
    <col min="1284" max="1284" width="11.42578125" style="21" customWidth="1"/>
    <col min="1285" max="1286" width="11.42578125" style="21"/>
    <col min="1287" max="1287" width="0" style="21" hidden="1" customWidth="1"/>
    <col min="1288" max="1289" width="11.42578125" style="21"/>
    <col min="1290" max="1290" width="0" style="21" hidden="1" customWidth="1"/>
    <col min="1291" max="1291" width="11.42578125" style="21"/>
    <col min="1292" max="1292" width="15.7109375" style="21" customWidth="1"/>
    <col min="1293" max="1532" width="11.42578125" style="21"/>
    <col min="1533" max="1533" width="4.5703125" style="21" customWidth="1"/>
    <col min="1534" max="1534" width="12.5703125" style="21" customWidth="1"/>
    <col min="1535" max="1536" width="11.42578125" style="21"/>
    <col min="1537" max="1537" width="11.42578125" style="21" customWidth="1"/>
    <col min="1538" max="1539" width="11.42578125" style="21"/>
    <col min="1540" max="1540" width="11.42578125" style="21" customWidth="1"/>
    <col min="1541" max="1542" width="11.42578125" style="21"/>
    <col min="1543" max="1543" width="0" style="21" hidden="1" customWidth="1"/>
    <col min="1544" max="1545" width="11.42578125" style="21"/>
    <col min="1546" max="1546" width="0" style="21" hidden="1" customWidth="1"/>
    <col min="1547" max="1547" width="11.42578125" style="21"/>
    <col min="1548" max="1548" width="15.7109375" style="21" customWidth="1"/>
    <col min="1549" max="1788" width="11.42578125" style="21"/>
    <col min="1789" max="1789" width="4.5703125" style="21" customWidth="1"/>
    <col min="1790" max="1790" width="12.5703125" style="21" customWidth="1"/>
    <col min="1791" max="1792" width="11.42578125" style="21"/>
    <col min="1793" max="1793" width="11.42578125" style="21" customWidth="1"/>
    <col min="1794" max="1795" width="11.42578125" style="21"/>
    <col min="1796" max="1796" width="11.42578125" style="21" customWidth="1"/>
    <col min="1797" max="1798" width="11.42578125" style="21"/>
    <col min="1799" max="1799" width="0" style="21" hidden="1" customWidth="1"/>
    <col min="1800" max="1801" width="11.42578125" style="21"/>
    <col min="1802" max="1802" width="0" style="21" hidden="1" customWidth="1"/>
    <col min="1803" max="1803" width="11.42578125" style="21"/>
    <col min="1804" max="1804" width="15.7109375" style="21" customWidth="1"/>
    <col min="1805" max="2044" width="11.42578125" style="21"/>
    <col min="2045" max="2045" width="4.5703125" style="21" customWidth="1"/>
    <col min="2046" max="2046" width="12.5703125" style="21" customWidth="1"/>
    <col min="2047" max="2048" width="11.42578125" style="21"/>
    <col min="2049" max="2049" width="11.42578125" style="21" customWidth="1"/>
    <col min="2050" max="2051" width="11.42578125" style="21"/>
    <col min="2052" max="2052" width="11.42578125" style="21" customWidth="1"/>
    <col min="2053" max="2054" width="11.42578125" style="21"/>
    <col min="2055" max="2055" width="0" style="21" hidden="1" customWidth="1"/>
    <col min="2056" max="2057" width="11.42578125" style="21"/>
    <col min="2058" max="2058" width="0" style="21" hidden="1" customWidth="1"/>
    <col min="2059" max="2059" width="11.42578125" style="21"/>
    <col min="2060" max="2060" width="15.7109375" style="21" customWidth="1"/>
    <col min="2061" max="2300" width="11.42578125" style="21"/>
    <col min="2301" max="2301" width="4.5703125" style="21" customWidth="1"/>
    <col min="2302" max="2302" width="12.5703125" style="21" customWidth="1"/>
    <col min="2303" max="2304" width="11.42578125" style="21"/>
    <col min="2305" max="2305" width="11.42578125" style="21" customWidth="1"/>
    <col min="2306" max="2307" width="11.42578125" style="21"/>
    <col min="2308" max="2308" width="11.42578125" style="21" customWidth="1"/>
    <col min="2309" max="2310" width="11.42578125" style="21"/>
    <col min="2311" max="2311" width="0" style="21" hidden="1" customWidth="1"/>
    <col min="2312" max="2313" width="11.42578125" style="21"/>
    <col min="2314" max="2314" width="0" style="21" hidden="1" customWidth="1"/>
    <col min="2315" max="2315" width="11.42578125" style="21"/>
    <col min="2316" max="2316" width="15.7109375" style="21" customWidth="1"/>
    <col min="2317" max="2556" width="11.42578125" style="21"/>
    <col min="2557" max="2557" width="4.5703125" style="21" customWidth="1"/>
    <col min="2558" max="2558" width="12.5703125" style="21" customWidth="1"/>
    <col min="2559" max="2560" width="11.42578125" style="21"/>
    <col min="2561" max="2561" width="11.42578125" style="21" customWidth="1"/>
    <col min="2562" max="2563" width="11.42578125" style="21"/>
    <col min="2564" max="2564" width="11.42578125" style="21" customWidth="1"/>
    <col min="2565" max="2566" width="11.42578125" style="21"/>
    <col min="2567" max="2567" width="0" style="21" hidden="1" customWidth="1"/>
    <col min="2568" max="2569" width="11.42578125" style="21"/>
    <col min="2570" max="2570" width="0" style="21" hidden="1" customWidth="1"/>
    <col min="2571" max="2571" width="11.42578125" style="21"/>
    <col min="2572" max="2572" width="15.7109375" style="21" customWidth="1"/>
    <col min="2573" max="2812" width="11.42578125" style="21"/>
    <col min="2813" max="2813" width="4.5703125" style="21" customWidth="1"/>
    <col min="2814" max="2814" width="12.5703125" style="21" customWidth="1"/>
    <col min="2815" max="2816" width="11.42578125" style="21"/>
    <col min="2817" max="2817" width="11.42578125" style="21" customWidth="1"/>
    <col min="2818" max="2819" width="11.42578125" style="21"/>
    <col min="2820" max="2820" width="11.42578125" style="21" customWidth="1"/>
    <col min="2821" max="2822" width="11.42578125" style="21"/>
    <col min="2823" max="2823" width="0" style="21" hidden="1" customWidth="1"/>
    <col min="2824" max="2825" width="11.42578125" style="21"/>
    <col min="2826" max="2826" width="0" style="21" hidden="1" customWidth="1"/>
    <col min="2827" max="2827" width="11.42578125" style="21"/>
    <col min="2828" max="2828" width="15.7109375" style="21" customWidth="1"/>
    <col min="2829" max="3068" width="11.42578125" style="21"/>
    <col min="3069" max="3069" width="4.5703125" style="21" customWidth="1"/>
    <col min="3070" max="3070" width="12.5703125" style="21" customWidth="1"/>
    <col min="3071" max="3072" width="11.42578125" style="21"/>
    <col min="3073" max="3073" width="11.42578125" style="21" customWidth="1"/>
    <col min="3074" max="3075" width="11.42578125" style="21"/>
    <col min="3076" max="3076" width="11.42578125" style="21" customWidth="1"/>
    <col min="3077" max="3078" width="11.42578125" style="21"/>
    <col min="3079" max="3079" width="0" style="21" hidden="1" customWidth="1"/>
    <col min="3080" max="3081" width="11.42578125" style="21"/>
    <col min="3082" max="3082" width="0" style="21" hidden="1" customWidth="1"/>
    <col min="3083" max="3083" width="11.42578125" style="21"/>
    <col min="3084" max="3084" width="15.7109375" style="21" customWidth="1"/>
    <col min="3085" max="3324" width="11.42578125" style="21"/>
    <col min="3325" max="3325" width="4.5703125" style="21" customWidth="1"/>
    <col min="3326" max="3326" width="12.5703125" style="21" customWidth="1"/>
    <col min="3327" max="3328" width="11.42578125" style="21"/>
    <col min="3329" max="3329" width="11.42578125" style="21" customWidth="1"/>
    <col min="3330" max="3331" width="11.42578125" style="21"/>
    <col min="3332" max="3332" width="11.42578125" style="21" customWidth="1"/>
    <col min="3333" max="3334" width="11.42578125" style="21"/>
    <col min="3335" max="3335" width="0" style="21" hidden="1" customWidth="1"/>
    <col min="3336" max="3337" width="11.42578125" style="21"/>
    <col min="3338" max="3338" width="0" style="21" hidden="1" customWidth="1"/>
    <col min="3339" max="3339" width="11.42578125" style="21"/>
    <col min="3340" max="3340" width="15.7109375" style="21" customWidth="1"/>
    <col min="3341" max="3580" width="11.42578125" style="21"/>
    <col min="3581" max="3581" width="4.5703125" style="21" customWidth="1"/>
    <col min="3582" max="3582" width="12.5703125" style="21" customWidth="1"/>
    <col min="3583" max="3584" width="11.42578125" style="21"/>
    <col min="3585" max="3585" width="11.42578125" style="21" customWidth="1"/>
    <col min="3586" max="3587" width="11.42578125" style="21"/>
    <col min="3588" max="3588" width="11.42578125" style="21" customWidth="1"/>
    <col min="3589" max="3590" width="11.42578125" style="21"/>
    <col min="3591" max="3591" width="0" style="21" hidden="1" customWidth="1"/>
    <col min="3592" max="3593" width="11.42578125" style="21"/>
    <col min="3594" max="3594" width="0" style="21" hidden="1" customWidth="1"/>
    <col min="3595" max="3595" width="11.42578125" style="21"/>
    <col min="3596" max="3596" width="15.7109375" style="21" customWidth="1"/>
    <col min="3597" max="3836" width="11.42578125" style="21"/>
    <col min="3837" max="3837" width="4.5703125" style="21" customWidth="1"/>
    <col min="3838" max="3838" width="12.5703125" style="21" customWidth="1"/>
    <col min="3839" max="3840" width="11.42578125" style="21"/>
    <col min="3841" max="3841" width="11.42578125" style="21" customWidth="1"/>
    <col min="3842" max="3843" width="11.42578125" style="21"/>
    <col min="3844" max="3844" width="11.42578125" style="21" customWidth="1"/>
    <col min="3845" max="3846" width="11.42578125" style="21"/>
    <col min="3847" max="3847" width="0" style="21" hidden="1" customWidth="1"/>
    <col min="3848" max="3849" width="11.42578125" style="21"/>
    <col min="3850" max="3850" width="0" style="21" hidden="1" customWidth="1"/>
    <col min="3851" max="3851" width="11.42578125" style="21"/>
    <col min="3852" max="3852" width="15.7109375" style="21" customWidth="1"/>
    <col min="3853" max="4092" width="11.42578125" style="21"/>
    <col min="4093" max="4093" width="4.5703125" style="21" customWidth="1"/>
    <col min="4094" max="4094" width="12.5703125" style="21" customWidth="1"/>
    <col min="4095" max="4096" width="11.42578125" style="21"/>
    <col min="4097" max="4097" width="11.42578125" style="21" customWidth="1"/>
    <col min="4098" max="4099" width="11.42578125" style="21"/>
    <col min="4100" max="4100" width="11.42578125" style="21" customWidth="1"/>
    <col min="4101" max="4102" width="11.42578125" style="21"/>
    <col min="4103" max="4103" width="0" style="21" hidden="1" customWidth="1"/>
    <col min="4104" max="4105" width="11.42578125" style="21"/>
    <col min="4106" max="4106" width="0" style="21" hidden="1" customWidth="1"/>
    <col min="4107" max="4107" width="11.42578125" style="21"/>
    <col min="4108" max="4108" width="15.7109375" style="21" customWidth="1"/>
    <col min="4109" max="4348" width="11.42578125" style="21"/>
    <col min="4349" max="4349" width="4.5703125" style="21" customWidth="1"/>
    <col min="4350" max="4350" width="12.5703125" style="21" customWidth="1"/>
    <col min="4351" max="4352" width="11.42578125" style="21"/>
    <col min="4353" max="4353" width="11.42578125" style="21" customWidth="1"/>
    <col min="4354" max="4355" width="11.42578125" style="21"/>
    <col min="4356" max="4356" width="11.42578125" style="21" customWidth="1"/>
    <col min="4357" max="4358" width="11.42578125" style="21"/>
    <col min="4359" max="4359" width="0" style="21" hidden="1" customWidth="1"/>
    <col min="4360" max="4361" width="11.42578125" style="21"/>
    <col min="4362" max="4362" width="0" style="21" hidden="1" customWidth="1"/>
    <col min="4363" max="4363" width="11.42578125" style="21"/>
    <col min="4364" max="4364" width="15.7109375" style="21" customWidth="1"/>
    <col min="4365" max="4604" width="11.42578125" style="21"/>
    <col min="4605" max="4605" width="4.5703125" style="21" customWidth="1"/>
    <col min="4606" max="4606" width="12.5703125" style="21" customWidth="1"/>
    <col min="4607" max="4608" width="11.42578125" style="21"/>
    <col min="4609" max="4609" width="11.42578125" style="21" customWidth="1"/>
    <col min="4610" max="4611" width="11.42578125" style="21"/>
    <col min="4612" max="4612" width="11.42578125" style="21" customWidth="1"/>
    <col min="4613" max="4614" width="11.42578125" style="21"/>
    <col min="4615" max="4615" width="0" style="21" hidden="1" customWidth="1"/>
    <col min="4616" max="4617" width="11.42578125" style="21"/>
    <col min="4618" max="4618" width="0" style="21" hidden="1" customWidth="1"/>
    <col min="4619" max="4619" width="11.42578125" style="21"/>
    <col min="4620" max="4620" width="15.7109375" style="21" customWidth="1"/>
    <col min="4621" max="4860" width="11.42578125" style="21"/>
    <col min="4861" max="4861" width="4.5703125" style="21" customWidth="1"/>
    <col min="4862" max="4862" width="12.5703125" style="21" customWidth="1"/>
    <col min="4863" max="4864" width="11.42578125" style="21"/>
    <col min="4865" max="4865" width="11.42578125" style="21" customWidth="1"/>
    <col min="4866" max="4867" width="11.42578125" style="21"/>
    <col min="4868" max="4868" width="11.42578125" style="21" customWidth="1"/>
    <col min="4869" max="4870" width="11.42578125" style="21"/>
    <col min="4871" max="4871" width="0" style="21" hidden="1" customWidth="1"/>
    <col min="4872" max="4873" width="11.42578125" style="21"/>
    <col min="4874" max="4874" width="0" style="21" hidden="1" customWidth="1"/>
    <col min="4875" max="4875" width="11.42578125" style="21"/>
    <col min="4876" max="4876" width="15.7109375" style="21" customWidth="1"/>
    <col min="4877" max="5116" width="11.42578125" style="21"/>
    <col min="5117" max="5117" width="4.5703125" style="21" customWidth="1"/>
    <col min="5118" max="5118" width="12.5703125" style="21" customWidth="1"/>
    <col min="5119" max="5120" width="11.42578125" style="21"/>
    <col min="5121" max="5121" width="11.42578125" style="21" customWidth="1"/>
    <col min="5122" max="5123" width="11.42578125" style="21"/>
    <col min="5124" max="5124" width="11.42578125" style="21" customWidth="1"/>
    <col min="5125" max="5126" width="11.42578125" style="21"/>
    <col min="5127" max="5127" width="0" style="21" hidden="1" customWidth="1"/>
    <col min="5128" max="5129" width="11.42578125" style="21"/>
    <col min="5130" max="5130" width="0" style="21" hidden="1" customWidth="1"/>
    <col min="5131" max="5131" width="11.42578125" style="21"/>
    <col min="5132" max="5132" width="15.7109375" style="21" customWidth="1"/>
    <col min="5133" max="5372" width="11.42578125" style="21"/>
    <col min="5373" max="5373" width="4.5703125" style="21" customWidth="1"/>
    <col min="5374" max="5374" width="12.5703125" style="21" customWidth="1"/>
    <col min="5375" max="5376" width="11.42578125" style="21"/>
    <col min="5377" max="5377" width="11.42578125" style="21" customWidth="1"/>
    <col min="5378" max="5379" width="11.42578125" style="21"/>
    <col min="5380" max="5380" width="11.42578125" style="21" customWidth="1"/>
    <col min="5381" max="5382" width="11.42578125" style="21"/>
    <col min="5383" max="5383" width="0" style="21" hidden="1" customWidth="1"/>
    <col min="5384" max="5385" width="11.42578125" style="21"/>
    <col min="5386" max="5386" width="0" style="21" hidden="1" customWidth="1"/>
    <col min="5387" max="5387" width="11.42578125" style="21"/>
    <col min="5388" max="5388" width="15.7109375" style="21" customWidth="1"/>
    <col min="5389" max="5628" width="11.42578125" style="21"/>
    <col min="5629" max="5629" width="4.5703125" style="21" customWidth="1"/>
    <col min="5630" max="5630" width="12.5703125" style="21" customWidth="1"/>
    <col min="5631" max="5632" width="11.42578125" style="21"/>
    <col min="5633" max="5633" width="11.42578125" style="21" customWidth="1"/>
    <col min="5634" max="5635" width="11.42578125" style="21"/>
    <col min="5636" max="5636" width="11.42578125" style="21" customWidth="1"/>
    <col min="5637" max="5638" width="11.42578125" style="21"/>
    <col min="5639" max="5639" width="0" style="21" hidden="1" customWidth="1"/>
    <col min="5640" max="5641" width="11.42578125" style="21"/>
    <col min="5642" max="5642" width="0" style="21" hidden="1" customWidth="1"/>
    <col min="5643" max="5643" width="11.42578125" style="21"/>
    <col min="5644" max="5644" width="15.7109375" style="21" customWidth="1"/>
    <col min="5645" max="5884" width="11.42578125" style="21"/>
    <col min="5885" max="5885" width="4.5703125" style="21" customWidth="1"/>
    <col min="5886" max="5886" width="12.5703125" style="21" customWidth="1"/>
    <col min="5887" max="5888" width="11.42578125" style="21"/>
    <col min="5889" max="5889" width="11.42578125" style="21" customWidth="1"/>
    <col min="5890" max="5891" width="11.42578125" style="21"/>
    <col min="5892" max="5892" width="11.42578125" style="21" customWidth="1"/>
    <col min="5893" max="5894" width="11.42578125" style="21"/>
    <col min="5895" max="5895" width="0" style="21" hidden="1" customWidth="1"/>
    <col min="5896" max="5897" width="11.42578125" style="21"/>
    <col min="5898" max="5898" width="0" style="21" hidden="1" customWidth="1"/>
    <col min="5899" max="5899" width="11.42578125" style="21"/>
    <col min="5900" max="5900" width="15.7109375" style="21" customWidth="1"/>
    <col min="5901" max="6140" width="11.42578125" style="21"/>
    <col min="6141" max="6141" width="4.5703125" style="21" customWidth="1"/>
    <col min="6142" max="6142" width="12.5703125" style="21" customWidth="1"/>
    <col min="6143" max="6144" width="11.42578125" style="21"/>
    <col min="6145" max="6145" width="11.42578125" style="21" customWidth="1"/>
    <col min="6146" max="6147" width="11.42578125" style="21"/>
    <col min="6148" max="6148" width="11.42578125" style="21" customWidth="1"/>
    <col min="6149" max="6150" width="11.42578125" style="21"/>
    <col min="6151" max="6151" width="0" style="21" hidden="1" customWidth="1"/>
    <col min="6152" max="6153" width="11.42578125" style="21"/>
    <col min="6154" max="6154" width="0" style="21" hidden="1" customWidth="1"/>
    <col min="6155" max="6155" width="11.42578125" style="21"/>
    <col min="6156" max="6156" width="15.7109375" style="21" customWidth="1"/>
    <col min="6157" max="6396" width="11.42578125" style="21"/>
    <col min="6397" max="6397" width="4.5703125" style="21" customWidth="1"/>
    <col min="6398" max="6398" width="12.5703125" style="21" customWidth="1"/>
    <col min="6399" max="6400" width="11.42578125" style="21"/>
    <col min="6401" max="6401" width="11.42578125" style="21" customWidth="1"/>
    <col min="6402" max="6403" width="11.42578125" style="21"/>
    <col min="6404" max="6404" width="11.42578125" style="21" customWidth="1"/>
    <col min="6405" max="6406" width="11.42578125" style="21"/>
    <col min="6407" max="6407" width="0" style="21" hidden="1" customWidth="1"/>
    <col min="6408" max="6409" width="11.42578125" style="21"/>
    <col min="6410" max="6410" width="0" style="21" hidden="1" customWidth="1"/>
    <col min="6411" max="6411" width="11.42578125" style="21"/>
    <col min="6412" max="6412" width="15.7109375" style="21" customWidth="1"/>
    <col min="6413" max="6652" width="11.42578125" style="21"/>
    <col min="6653" max="6653" width="4.5703125" style="21" customWidth="1"/>
    <col min="6654" max="6654" width="12.5703125" style="21" customWidth="1"/>
    <col min="6655" max="6656" width="11.42578125" style="21"/>
    <col min="6657" max="6657" width="11.42578125" style="21" customWidth="1"/>
    <col min="6658" max="6659" width="11.42578125" style="21"/>
    <col min="6660" max="6660" width="11.42578125" style="21" customWidth="1"/>
    <col min="6661" max="6662" width="11.42578125" style="21"/>
    <col min="6663" max="6663" width="0" style="21" hidden="1" customWidth="1"/>
    <col min="6664" max="6665" width="11.42578125" style="21"/>
    <col min="6666" max="6666" width="0" style="21" hidden="1" customWidth="1"/>
    <col min="6667" max="6667" width="11.42578125" style="21"/>
    <col min="6668" max="6668" width="15.7109375" style="21" customWidth="1"/>
    <col min="6669" max="6908" width="11.42578125" style="21"/>
    <col min="6909" max="6909" width="4.5703125" style="21" customWidth="1"/>
    <col min="6910" max="6910" width="12.5703125" style="21" customWidth="1"/>
    <col min="6911" max="6912" width="11.42578125" style="21"/>
    <col min="6913" max="6913" width="11.42578125" style="21" customWidth="1"/>
    <col min="6914" max="6915" width="11.42578125" style="21"/>
    <col min="6916" max="6916" width="11.42578125" style="21" customWidth="1"/>
    <col min="6917" max="6918" width="11.42578125" style="21"/>
    <col min="6919" max="6919" width="0" style="21" hidden="1" customWidth="1"/>
    <col min="6920" max="6921" width="11.42578125" style="21"/>
    <col min="6922" max="6922" width="0" style="21" hidden="1" customWidth="1"/>
    <col min="6923" max="6923" width="11.42578125" style="21"/>
    <col min="6924" max="6924" width="15.7109375" style="21" customWidth="1"/>
    <col min="6925" max="7164" width="11.42578125" style="21"/>
    <col min="7165" max="7165" width="4.5703125" style="21" customWidth="1"/>
    <col min="7166" max="7166" width="12.5703125" style="21" customWidth="1"/>
    <col min="7167" max="7168" width="11.42578125" style="21"/>
    <col min="7169" max="7169" width="11.42578125" style="21" customWidth="1"/>
    <col min="7170" max="7171" width="11.42578125" style="21"/>
    <col min="7172" max="7172" width="11.42578125" style="21" customWidth="1"/>
    <col min="7173" max="7174" width="11.42578125" style="21"/>
    <col min="7175" max="7175" width="0" style="21" hidden="1" customWidth="1"/>
    <col min="7176" max="7177" width="11.42578125" style="21"/>
    <col min="7178" max="7178" width="0" style="21" hidden="1" customWidth="1"/>
    <col min="7179" max="7179" width="11.42578125" style="21"/>
    <col min="7180" max="7180" width="15.7109375" style="21" customWidth="1"/>
    <col min="7181" max="7420" width="11.42578125" style="21"/>
    <col min="7421" max="7421" width="4.5703125" style="21" customWidth="1"/>
    <col min="7422" max="7422" width="12.5703125" style="21" customWidth="1"/>
    <col min="7423" max="7424" width="11.42578125" style="21"/>
    <col min="7425" max="7425" width="11.42578125" style="21" customWidth="1"/>
    <col min="7426" max="7427" width="11.42578125" style="21"/>
    <col min="7428" max="7428" width="11.42578125" style="21" customWidth="1"/>
    <col min="7429" max="7430" width="11.42578125" style="21"/>
    <col min="7431" max="7431" width="0" style="21" hidden="1" customWidth="1"/>
    <col min="7432" max="7433" width="11.42578125" style="21"/>
    <col min="7434" max="7434" width="0" style="21" hidden="1" customWidth="1"/>
    <col min="7435" max="7435" width="11.42578125" style="21"/>
    <col min="7436" max="7436" width="15.7109375" style="21" customWidth="1"/>
    <col min="7437" max="7676" width="11.42578125" style="21"/>
    <col min="7677" max="7677" width="4.5703125" style="21" customWidth="1"/>
    <col min="7678" max="7678" width="12.5703125" style="21" customWidth="1"/>
    <col min="7679" max="7680" width="11.42578125" style="21"/>
    <col min="7681" max="7681" width="11.42578125" style="21" customWidth="1"/>
    <col min="7682" max="7683" width="11.42578125" style="21"/>
    <col min="7684" max="7684" width="11.42578125" style="21" customWidth="1"/>
    <col min="7685" max="7686" width="11.42578125" style="21"/>
    <col min="7687" max="7687" width="0" style="21" hidden="1" customWidth="1"/>
    <col min="7688" max="7689" width="11.42578125" style="21"/>
    <col min="7690" max="7690" width="0" style="21" hidden="1" customWidth="1"/>
    <col min="7691" max="7691" width="11.42578125" style="21"/>
    <col min="7692" max="7692" width="15.7109375" style="21" customWidth="1"/>
    <col min="7693" max="7932" width="11.42578125" style="21"/>
    <col min="7933" max="7933" width="4.5703125" style="21" customWidth="1"/>
    <col min="7934" max="7934" width="12.5703125" style="21" customWidth="1"/>
    <col min="7935" max="7936" width="11.42578125" style="21"/>
    <col min="7937" max="7937" width="11.42578125" style="21" customWidth="1"/>
    <col min="7938" max="7939" width="11.42578125" style="21"/>
    <col min="7940" max="7940" width="11.42578125" style="21" customWidth="1"/>
    <col min="7941" max="7942" width="11.42578125" style="21"/>
    <col min="7943" max="7943" width="0" style="21" hidden="1" customWidth="1"/>
    <col min="7944" max="7945" width="11.42578125" style="21"/>
    <col min="7946" max="7946" width="0" style="21" hidden="1" customWidth="1"/>
    <col min="7947" max="7947" width="11.42578125" style="21"/>
    <col min="7948" max="7948" width="15.7109375" style="21" customWidth="1"/>
    <col min="7949" max="8188" width="11.42578125" style="21"/>
    <col min="8189" max="8189" width="4.5703125" style="21" customWidth="1"/>
    <col min="8190" max="8190" width="12.5703125" style="21" customWidth="1"/>
    <col min="8191" max="8192" width="11.42578125" style="21"/>
    <col min="8193" max="8193" width="11.42578125" style="21" customWidth="1"/>
    <col min="8194" max="8195" width="11.42578125" style="21"/>
    <col min="8196" max="8196" width="11.42578125" style="21" customWidth="1"/>
    <col min="8197" max="8198" width="11.42578125" style="21"/>
    <col min="8199" max="8199" width="0" style="21" hidden="1" customWidth="1"/>
    <col min="8200" max="8201" width="11.42578125" style="21"/>
    <col min="8202" max="8202" width="0" style="21" hidden="1" customWidth="1"/>
    <col min="8203" max="8203" width="11.42578125" style="21"/>
    <col min="8204" max="8204" width="15.7109375" style="21" customWidth="1"/>
    <col min="8205" max="8444" width="11.42578125" style="21"/>
    <col min="8445" max="8445" width="4.5703125" style="21" customWidth="1"/>
    <col min="8446" max="8446" width="12.5703125" style="21" customWidth="1"/>
    <col min="8447" max="8448" width="11.42578125" style="21"/>
    <col min="8449" max="8449" width="11.42578125" style="21" customWidth="1"/>
    <col min="8450" max="8451" width="11.42578125" style="21"/>
    <col min="8452" max="8452" width="11.42578125" style="21" customWidth="1"/>
    <col min="8453" max="8454" width="11.42578125" style="21"/>
    <col min="8455" max="8455" width="0" style="21" hidden="1" customWidth="1"/>
    <col min="8456" max="8457" width="11.42578125" style="21"/>
    <col min="8458" max="8458" width="0" style="21" hidden="1" customWidth="1"/>
    <col min="8459" max="8459" width="11.42578125" style="21"/>
    <col min="8460" max="8460" width="15.7109375" style="21" customWidth="1"/>
    <col min="8461" max="8700" width="11.42578125" style="21"/>
    <col min="8701" max="8701" width="4.5703125" style="21" customWidth="1"/>
    <col min="8702" max="8702" width="12.5703125" style="21" customWidth="1"/>
    <col min="8703" max="8704" width="11.42578125" style="21"/>
    <col min="8705" max="8705" width="11.42578125" style="21" customWidth="1"/>
    <col min="8706" max="8707" width="11.42578125" style="21"/>
    <col min="8708" max="8708" width="11.42578125" style="21" customWidth="1"/>
    <col min="8709" max="8710" width="11.42578125" style="21"/>
    <col min="8711" max="8711" width="0" style="21" hidden="1" customWidth="1"/>
    <col min="8712" max="8713" width="11.42578125" style="21"/>
    <col min="8714" max="8714" width="0" style="21" hidden="1" customWidth="1"/>
    <col min="8715" max="8715" width="11.42578125" style="21"/>
    <col min="8716" max="8716" width="15.7109375" style="21" customWidth="1"/>
    <col min="8717" max="8956" width="11.42578125" style="21"/>
    <col min="8957" max="8957" width="4.5703125" style="21" customWidth="1"/>
    <col min="8958" max="8958" width="12.5703125" style="21" customWidth="1"/>
    <col min="8959" max="8960" width="11.42578125" style="21"/>
    <col min="8961" max="8961" width="11.42578125" style="21" customWidth="1"/>
    <col min="8962" max="8963" width="11.42578125" style="21"/>
    <col min="8964" max="8964" width="11.42578125" style="21" customWidth="1"/>
    <col min="8965" max="8966" width="11.42578125" style="21"/>
    <col min="8967" max="8967" width="0" style="21" hidden="1" customWidth="1"/>
    <col min="8968" max="8969" width="11.42578125" style="21"/>
    <col min="8970" max="8970" width="0" style="21" hidden="1" customWidth="1"/>
    <col min="8971" max="8971" width="11.42578125" style="21"/>
    <col min="8972" max="8972" width="15.7109375" style="21" customWidth="1"/>
    <col min="8973" max="9212" width="11.42578125" style="21"/>
    <col min="9213" max="9213" width="4.5703125" style="21" customWidth="1"/>
    <col min="9214" max="9214" width="12.5703125" style="21" customWidth="1"/>
    <col min="9215" max="9216" width="11.42578125" style="21"/>
    <col min="9217" max="9217" width="11.42578125" style="21" customWidth="1"/>
    <col min="9218" max="9219" width="11.42578125" style="21"/>
    <col min="9220" max="9220" width="11.42578125" style="21" customWidth="1"/>
    <col min="9221" max="9222" width="11.42578125" style="21"/>
    <col min="9223" max="9223" width="0" style="21" hidden="1" customWidth="1"/>
    <col min="9224" max="9225" width="11.42578125" style="21"/>
    <col min="9226" max="9226" width="0" style="21" hidden="1" customWidth="1"/>
    <col min="9227" max="9227" width="11.42578125" style="21"/>
    <col min="9228" max="9228" width="15.7109375" style="21" customWidth="1"/>
    <col min="9229" max="9468" width="11.42578125" style="21"/>
    <col min="9469" max="9469" width="4.5703125" style="21" customWidth="1"/>
    <col min="9470" max="9470" width="12.5703125" style="21" customWidth="1"/>
    <col min="9471" max="9472" width="11.42578125" style="21"/>
    <col min="9473" max="9473" width="11.42578125" style="21" customWidth="1"/>
    <col min="9474" max="9475" width="11.42578125" style="21"/>
    <col min="9476" max="9476" width="11.42578125" style="21" customWidth="1"/>
    <col min="9477" max="9478" width="11.42578125" style="21"/>
    <col min="9479" max="9479" width="0" style="21" hidden="1" customWidth="1"/>
    <col min="9480" max="9481" width="11.42578125" style="21"/>
    <col min="9482" max="9482" width="0" style="21" hidden="1" customWidth="1"/>
    <col min="9483" max="9483" width="11.42578125" style="21"/>
    <col min="9484" max="9484" width="15.7109375" style="21" customWidth="1"/>
    <col min="9485" max="9724" width="11.42578125" style="21"/>
    <col min="9725" max="9725" width="4.5703125" style="21" customWidth="1"/>
    <col min="9726" max="9726" width="12.5703125" style="21" customWidth="1"/>
    <col min="9727" max="9728" width="11.42578125" style="21"/>
    <col min="9729" max="9729" width="11.42578125" style="21" customWidth="1"/>
    <col min="9730" max="9731" width="11.42578125" style="21"/>
    <col min="9732" max="9732" width="11.42578125" style="21" customWidth="1"/>
    <col min="9733" max="9734" width="11.42578125" style="21"/>
    <col min="9735" max="9735" width="0" style="21" hidden="1" customWidth="1"/>
    <col min="9736" max="9737" width="11.42578125" style="21"/>
    <col min="9738" max="9738" width="0" style="21" hidden="1" customWidth="1"/>
    <col min="9739" max="9739" width="11.42578125" style="21"/>
    <col min="9740" max="9740" width="15.7109375" style="21" customWidth="1"/>
    <col min="9741" max="9980" width="11.42578125" style="21"/>
    <col min="9981" max="9981" width="4.5703125" style="21" customWidth="1"/>
    <col min="9982" max="9982" width="12.5703125" style="21" customWidth="1"/>
    <col min="9983" max="9984" width="11.42578125" style="21"/>
    <col min="9985" max="9985" width="11.42578125" style="21" customWidth="1"/>
    <col min="9986" max="9987" width="11.42578125" style="21"/>
    <col min="9988" max="9988" width="11.42578125" style="21" customWidth="1"/>
    <col min="9989" max="9990" width="11.42578125" style="21"/>
    <col min="9991" max="9991" width="0" style="21" hidden="1" customWidth="1"/>
    <col min="9992" max="9993" width="11.42578125" style="21"/>
    <col min="9994" max="9994" width="0" style="21" hidden="1" customWidth="1"/>
    <col min="9995" max="9995" width="11.42578125" style="21"/>
    <col min="9996" max="9996" width="15.7109375" style="21" customWidth="1"/>
    <col min="9997" max="10236" width="11.42578125" style="21"/>
    <col min="10237" max="10237" width="4.5703125" style="21" customWidth="1"/>
    <col min="10238" max="10238" width="12.5703125" style="21" customWidth="1"/>
    <col min="10239" max="10240" width="11.42578125" style="21"/>
    <col min="10241" max="10241" width="11.42578125" style="21" customWidth="1"/>
    <col min="10242" max="10243" width="11.42578125" style="21"/>
    <col min="10244" max="10244" width="11.42578125" style="21" customWidth="1"/>
    <col min="10245" max="10246" width="11.42578125" style="21"/>
    <col min="10247" max="10247" width="0" style="21" hidden="1" customWidth="1"/>
    <col min="10248" max="10249" width="11.42578125" style="21"/>
    <col min="10250" max="10250" width="0" style="21" hidden="1" customWidth="1"/>
    <col min="10251" max="10251" width="11.42578125" style="21"/>
    <col min="10252" max="10252" width="15.7109375" style="21" customWidth="1"/>
    <col min="10253" max="10492" width="11.42578125" style="21"/>
    <col min="10493" max="10493" width="4.5703125" style="21" customWidth="1"/>
    <col min="10494" max="10494" width="12.5703125" style="21" customWidth="1"/>
    <col min="10495" max="10496" width="11.42578125" style="21"/>
    <col min="10497" max="10497" width="11.42578125" style="21" customWidth="1"/>
    <col min="10498" max="10499" width="11.42578125" style="21"/>
    <col min="10500" max="10500" width="11.42578125" style="21" customWidth="1"/>
    <col min="10501" max="10502" width="11.42578125" style="21"/>
    <col min="10503" max="10503" width="0" style="21" hidden="1" customWidth="1"/>
    <col min="10504" max="10505" width="11.42578125" style="21"/>
    <col min="10506" max="10506" width="0" style="21" hidden="1" customWidth="1"/>
    <col min="10507" max="10507" width="11.42578125" style="21"/>
    <col min="10508" max="10508" width="15.7109375" style="21" customWidth="1"/>
    <col min="10509" max="10748" width="11.42578125" style="21"/>
    <col min="10749" max="10749" width="4.5703125" style="21" customWidth="1"/>
    <col min="10750" max="10750" width="12.5703125" style="21" customWidth="1"/>
    <col min="10751" max="10752" width="11.42578125" style="21"/>
    <col min="10753" max="10753" width="11.42578125" style="21" customWidth="1"/>
    <col min="10754" max="10755" width="11.42578125" style="21"/>
    <col min="10756" max="10756" width="11.42578125" style="21" customWidth="1"/>
    <col min="10757" max="10758" width="11.42578125" style="21"/>
    <col min="10759" max="10759" width="0" style="21" hidden="1" customWidth="1"/>
    <col min="10760" max="10761" width="11.42578125" style="21"/>
    <col min="10762" max="10762" width="0" style="21" hidden="1" customWidth="1"/>
    <col min="10763" max="10763" width="11.42578125" style="21"/>
    <col min="10764" max="10764" width="15.7109375" style="21" customWidth="1"/>
    <col min="10765" max="11004" width="11.42578125" style="21"/>
    <col min="11005" max="11005" width="4.5703125" style="21" customWidth="1"/>
    <col min="11006" max="11006" width="12.5703125" style="21" customWidth="1"/>
    <col min="11007" max="11008" width="11.42578125" style="21"/>
    <col min="11009" max="11009" width="11.42578125" style="21" customWidth="1"/>
    <col min="11010" max="11011" width="11.42578125" style="21"/>
    <col min="11012" max="11012" width="11.42578125" style="21" customWidth="1"/>
    <col min="11013" max="11014" width="11.42578125" style="21"/>
    <col min="11015" max="11015" width="0" style="21" hidden="1" customWidth="1"/>
    <col min="11016" max="11017" width="11.42578125" style="21"/>
    <col min="11018" max="11018" width="0" style="21" hidden="1" customWidth="1"/>
    <col min="11019" max="11019" width="11.42578125" style="21"/>
    <col min="11020" max="11020" width="15.7109375" style="21" customWidth="1"/>
    <col min="11021" max="11260" width="11.42578125" style="21"/>
    <col min="11261" max="11261" width="4.5703125" style="21" customWidth="1"/>
    <col min="11262" max="11262" width="12.5703125" style="21" customWidth="1"/>
    <col min="11263" max="11264" width="11.42578125" style="21"/>
    <col min="11265" max="11265" width="11.42578125" style="21" customWidth="1"/>
    <col min="11266" max="11267" width="11.42578125" style="21"/>
    <col min="11268" max="11268" width="11.42578125" style="21" customWidth="1"/>
    <col min="11269" max="11270" width="11.42578125" style="21"/>
    <col min="11271" max="11271" width="0" style="21" hidden="1" customWidth="1"/>
    <col min="11272" max="11273" width="11.42578125" style="21"/>
    <col min="11274" max="11274" width="0" style="21" hidden="1" customWidth="1"/>
    <col min="11275" max="11275" width="11.42578125" style="21"/>
    <col min="11276" max="11276" width="15.7109375" style="21" customWidth="1"/>
    <col min="11277" max="11516" width="11.42578125" style="21"/>
    <col min="11517" max="11517" width="4.5703125" style="21" customWidth="1"/>
    <col min="11518" max="11518" width="12.5703125" style="21" customWidth="1"/>
    <col min="11519" max="11520" width="11.42578125" style="21"/>
    <col min="11521" max="11521" width="11.42578125" style="21" customWidth="1"/>
    <col min="11522" max="11523" width="11.42578125" style="21"/>
    <col min="11524" max="11524" width="11.42578125" style="21" customWidth="1"/>
    <col min="11525" max="11526" width="11.42578125" style="21"/>
    <col min="11527" max="11527" width="0" style="21" hidden="1" customWidth="1"/>
    <col min="11528" max="11529" width="11.42578125" style="21"/>
    <col min="11530" max="11530" width="0" style="21" hidden="1" customWidth="1"/>
    <col min="11531" max="11531" width="11.42578125" style="21"/>
    <col min="11532" max="11532" width="15.7109375" style="21" customWidth="1"/>
    <col min="11533" max="11772" width="11.42578125" style="21"/>
    <col min="11773" max="11773" width="4.5703125" style="21" customWidth="1"/>
    <col min="11774" max="11774" width="12.5703125" style="21" customWidth="1"/>
    <col min="11775" max="11776" width="11.42578125" style="21"/>
    <col min="11777" max="11777" width="11.42578125" style="21" customWidth="1"/>
    <col min="11778" max="11779" width="11.42578125" style="21"/>
    <col min="11780" max="11780" width="11.42578125" style="21" customWidth="1"/>
    <col min="11781" max="11782" width="11.42578125" style="21"/>
    <col min="11783" max="11783" width="0" style="21" hidden="1" customWidth="1"/>
    <col min="11784" max="11785" width="11.42578125" style="21"/>
    <col min="11786" max="11786" width="0" style="21" hidden="1" customWidth="1"/>
    <col min="11787" max="11787" width="11.42578125" style="21"/>
    <col min="11788" max="11788" width="15.7109375" style="21" customWidth="1"/>
    <col min="11789" max="12028" width="11.42578125" style="21"/>
    <col min="12029" max="12029" width="4.5703125" style="21" customWidth="1"/>
    <col min="12030" max="12030" width="12.5703125" style="21" customWidth="1"/>
    <col min="12031" max="12032" width="11.42578125" style="21"/>
    <col min="12033" max="12033" width="11.42578125" style="21" customWidth="1"/>
    <col min="12034" max="12035" width="11.42578125" style="21"/>
    <col min="12036" max="12036" width="11.42578125" style="21" customWidth="1"/>
    <col min="12037" max="12038" width="11.42578125" style="21"/>
    <col min="12039" max="12039" width="0" style="21" hidden="1" customWidth="1"/>
    <col min="12040" max="12041" width="11.42578125" style="21"/>
    <col min="12042" max="12042" width="0" style="21" hidden="1" customWidth="1"/>
    <col min="12043" max="12043" width="11.42578125" style="21"/>
    <col min="12044" max="12044" width="15.7109375" style="21" customWidth="1"/>
    <col min="12045" max="12284" width="11.42578125" style="21"/>
    <col min="12285" max="12285" width="4.5703125" style="21" customWidth="1"/>
    <col min="12286" max="12286" width="12.5703125" style="21" customWidth="1"/>
    <col min="12287" max="12288" width="11.42578125" style="21"/>
    <col min="12289" max="12289" width="11.42578125" style="21" customWidth="1"/>
    <col min="12290" max="12291" width="11.42578125" style="21"/>
    <col min="12292" max="12292" width="11.42578125" style="21" customWidth="1"/>
    <col min="12293" max="12294" width="11.42578125" style="21"/>
    <col min="12295" max="12295" width="0" style="21" hidden="1" customWidth="1"/>
    <col min="12296" max="12297" width="11.42578125" style="21"/>
    <col min="12298" max="12298" width="0" style="21" hidden="1" customWidth="1"/>
    <col min="12299" max="12299" width="11.42578125" style="21"/>
    <col min="12300" max="12300" width="15.7109375" style="21" customWidth="1"/>
    <col min="12301" max="12540" width="11.42578125" style="21"/>
    <col min="12541" max="12541" width="4.5703125" style="21" customWidth="1"/>
    <col min="12542" max="12542" width="12.5703125" style="21" customWidth="1"/>
    <col min="12543" max="12544" width="11.42578125" style="21"/>
    <col min="12545" max="12545" width="11.42578125" style="21" customWidth="1"/>
    <col min="12546" max="12547" width="11.42578125" style="21"/>
    <col min="12548" max="12548" width="11.42578125" style="21" customWidth="1"/>
    <col min="12549" max="12550" width="11.42578125" style="21"/>
    <col min="12551" max="12551" width="0" style="21" hidden="1" customWidth="1"/>
    <col min="12552" max="12553" width="11.42578125" style="21"/>
    <col min="12554" max="12554" width="0" style="21" hidden="1" customWidth="1"/>
    <col min="12555" max="12555" width="11.42578125" style="21"/>
    <col min="12556" max="12556" width="15.7109375" style="21" customWidth="1"/>
    <col min="12557" max="12796" width="11.42578125" style="21"/>
    <col min="12797" max="12797" width="4.5703125" style="21" customWidth="1"/>
    <col min="12798" max="12798" width="12.5703125" style="21" customWidth="1"/>
    <col min="12799" max="12800" width="11.42578125" style="21"/>
    <col min="12801" max="12801" width="11.42578125" style="21" customWidth="1"/>
    <col min="12802" max="12803" width="11.42578125" style="21"/>
    <col min="12804" max="12804" width="11.42578125" style="21" customWidth="1"/>
    <col min="12805" max="12806" width="11.42578125" style="21"/>
    <col min="12807" max="12807" width="0" style="21" hidden="1" customWidth="1"/>
    <col min="12808" max="12809" width="11.42578125" style="21"/>
    <col min="12810" max="12810" width="0" style="21" hidden="1" customWidth="1"/>
    <col min="12811" max="12811" width="11.42578125" style="21"/>
    <col min="12812" max="12812" width="15.7109375" style="21" customWidth="1"/>
    <col min="12813" max="13052" width="11.42578125" style="21"/>
    <col min="13053" max="13053" width="4.5703125" style="21" customWidth="1"/>
    <col min="13054" max="13054" width="12.5703125" style="21" customWidth="1"/>
    <col min="13055" max="13056" width="11.42578125" style="21"/>
    <col min="13057" max="13057" width="11.42578125" style="21" customWidth="1"/>
    <col min="13058" max="13059" width="11.42578125" style="21"/>
    <col min="13060" max="13060" width="11.42578125" style="21" customWidth="1"/>
    <col min="13061" max="13062" width="11.42578125" style="21"/>
    <col min="13063" max="13063" width="0" style="21" hidden="1" customWidth="1"/>
    <col min="13064" max="13065" width="11.42578125" style="21"/>
    <col min="13066" max="13066" width="0" style="21" hidden="1" customWidth="1"/>
    <col min="13067" max="13067" width="11.42578125" style="21"/>
    <col min="13068" max="13068" width="15.7109375" style="21" customWidth="1"/>
    <col min="13069" max="13308" width="11.42578125" style="21"/>
    <col min="13309" max="13309" width="4.5703125" style="21" customWidth="1"/>
    <col min="13310" max="13310" width="12.5703125" style="21" customWidth="1"/>
    <col min="13311" max="13312" width="11.42578125" style="21"/>
    <col min="13313" max="13313" width="11.42578125" style="21" customWidth="1"/>
    <col min="13314" max="13315" width="11.42578125" style="21"/>
    <col min="13316" max="13316" width="11.42578125" style="21" customWidth="1"/>
    <col min="13317" max="13318" width="11.42578125" style="21"/>
    <col min="13319" max="13319" width="0" style="21" hidden="1" customWidth="1"/>
    <col min="13320" max="13321" width="11.42578125" style="21"/>
    <col min="13322" max="13322" width="0" style="21" hidden="1" customWidth="1"/>
    <col min="13323" max="13323" width="11.42578125" style="21"/>
    <col min="13324" max="13324" width="15.7109375" style="21" customWidth="1"/>
    <col min="13325" max="13564" width="11.42578125" style="21"/>
    <col min="13565" max="13565" width="4.5703125" style="21" customWidth="1"/>
    <col min="13566" max="13566" width="12.5703125" style="21" customWidth="1"/>
    <col min="13567" max="13568" width="11.42578125" style="21"/>
    <col min="13569" max="13569" width="11.42578125" style="21" customWidth="1"/>
    <col min="13570" max="13571" width="11.42578125" style="21"/>
    <col min="13572" max="13572" width="11.42578125" style="21" customWidth="1"/>
    <col min="13573" max="13574" width="11.42578125" style="21"/>
    <col min="13575" max="13575" width="0" style="21" hidden="1" customWidth="1"/>
    <col min="13576" max="13577" width="11.42578125" style="21"/>
    <col min="13578" max="13578" width="0" style="21" hidden="1" customWidth="1"/>
    <col min="13579" max="13579" width="11.42578125" style="21"/>
    <col min="13580" max="13580" width="15.7109375" style="21" customWidth="1"/>
    <col min="13581" max="13820" width="11.42578125" style="21"/>
    <col min="13821" max="13821" width="4.5703125" style="21" customWidth="1"/>
    <col min="13822" max="13822" width="12.5703125" style="21" customWidth="1"/>
    <col min="13823" max="13824" width="11.42578125" style="21"/>
    <col min="13825" max="13825" width="11.42578125" style="21" customWidth="1"/>
    <col min="13826" max="13827" width="11.42578125" style="21"/>
    <col min="13828" max="13828" width="11.42578125" style="21" customWidth="1"/>
    <col min="13829" max="13830" width="11.42578125" style="21"/>
    <col min="13831" max="13831" width="0" style="21" hidden="1" customWidth="1"/>
    <col min="13832" max="13833" width="11.42578125" style="21"/>
    <col min="13834" max="13834" width="0" style="21" hidden="1" customWidth="1"/>
    <col min="13835" max="13835" width="11.42578125" style="21"/>
    <col min="13836" max="13836" width="15.7109375" style="21" customWidth="1"/>
    <col min="13837" max="14076" width="11.42578125" style="21"/>
    <col min="14077" max="14077" width="4.5703125" style="21" customWidth="1"/>
    <col min="14078" max="14078" width="12.5703125" style="21" customWidth="1"/>
    <col min="14079" max="14080" width="11.42578125" style="21"/>
    <col min="14081" max="14081" width="11.42578125" style="21" customWidth="1"/>
    <col min="14082" max="14083" width="11.42578125" style="21"/>
    <col min="14084" max="14084" width="11.42578125" style="21" customWidth="1"/>
    <col min="14085" max="14086" width="11.42578125" style="21"/>
    <col min="14087" max="14087" width="0" style="21" hidden="1" customWidth="1"/>
    <col min="14088" max="14089" width="11.42578125" style="21"/>
    <col min="14090" max="14090" width="0" style="21" hidden="1" customWidth="1"/>
    <col min="14091" max="14091" width="11.42578125" style="21"/>
    <col min="14092" max="14092" width="15.7109375" style="21" customWidth="1"/>
    <col min="14093" max="14332" width="11.42578125" style="21"/>
    <col min="14333" max="14333" width="4.5703125" style="21" customWidth="1"/>
    <col min="14334" max="14334" width="12.5703125" style="21" customWidth="1"/>
    <col min="14335" max="14336" width="11.42578125" style="21"/>
    <col min="14337" max="14337" width="11.42578125" style="21" customWidth="1"/>
    <col min="14338" max="14339" width="11.42578125" style="21"/>
    <col min="14340" max="14340" width="11.42578125" style="21" customWidth="1"/>
    <col min="14341" max="14342" width="11.42578125" style="21"/>
    <col min="14343" max="14343" width="0" style="21" hidden="1" customWidth="1"/>
    <col min="14344" max="14345" width="11.42578125" style="21"/>
    <col min="14346" max="14346" width="0" style="21" hidden="1" customWidth="1"/>
    <col min="14347" max="14347" width="11.42578125" style="21"/>
    <col min="14348" max="14348" width="15.7109375" style="21" customWidth="1"/>
    <col min="14349" max="14588" width="11.42578125" style="21"/>
    <col min="14589" max="14589" width="4.5703125" style="21" customWidth="1"/>
    <col min="14590" max="14590" width="12.5703125" style="21" customWidth="1"/>
    <col min="14591" max="14592" width="11.42578125" style="21"/>
    <col min="14593" max="14593" width="11.42578125" style="21" customWidth="1"/>
    <col min="14594" max="14595" width="11.42578125" style="21"/>
    <col min="14596" max="14596" width="11.42578125" style="21" customWidth="1"/>
    <col min="14597" max="14598" width="11.42578125" style="21"/>
    <col min="14599" max="14599" width="0" style="21" hidden="1" customWidth="1"/>
    <col min="14600" max="14601" width="11.42578125" style="21"/>
    <col min="14602" max="14602" width="0" style="21" hidden="1" customWidth="1"/>
    <col min="14603" max="14603" width="11.42578125" style="21"/>
    <col min="14604" max="14604" width="15.7109375" style="21" customWidth="1"/>
    <col min="14605" max="14844" width="11.42578125" style="21"/>
    <col min="14845" max="14845" width="4.5703125" style="21" customWidth="1"/>
    <col min="14846" max="14846" width="12.5703125" style="21" customWidth="1"/>
    <col min="14847" max="14848" width="11.42578125" style="21"/>
    <col min="14849" max="14849" width="11.42578125" style="21" customWidth="1"/>
    <col min="14850" max="14851" width="11.42578125" style="21"/>
    <col min="14852" max="14852" width="11.42578125" style="21" customWidth="1"/>
    <col min="14853" max="14854" width="11.42578125" style="21"/>
    <col min="14855" max="14855" width="0" style="21" hidden="1" customWidth="1"/>
    <col min="14856" max="14857" width="11.42578125" style="21"/>
    <col min="14858" max="14858" width="0" style="21" hidden="1" customWidth="1"/>
    <col min="14859" max="14859" width="11.42578125" style="21"/>
    <col min="14860" max="14860" width="15.7109375" style="21" customWidth="1"/>
    <col min="14861" max="15100" width="11.42578125" style="21"/>
    <col min="15101" max="15101" width="4.5703125" style="21" customWidth="1"/>
    <col min="15102" max="15102" width="12.5703125" style="21" customWidth="1"/>
    <col min="15103" max="15104" width="11.42578125" style="21"/>
    <col min="15105" max="15105" width="11.42578125" style="21" customWidth="1"/>
    <col min="15106" max="15107" width="11.42578125" style="21"/>
    <col min="15108" max="15108" width="11.42578125" style="21" customWidth="1"/>
    <col min="15109" max="15110" width="11.42578125" style="21"/>
    <col min="15111" max="15111" width="0" style="21" hidden="1" customWidth="1"/>
    <col min="15112" max="15113" width="11.42578125" style="21"/>
    <col min="15114" max="15114" width="0" style="21" hidden="1" customWidth="1"/>
    <col min="15115" max="15115" width="11.42578125" style="21"/>
    <col min="15116" max="15116" width="15.7109375" style="21" customWidth="1"/>
    <col min="15117" max="15356" width="11.42578125" style="21"/>
    <col min="15357" max="15357" width="4.5703125" style="21" customWidth="1"/>
    <col min="15358" max="15358" width="12.5703125" style="21" customWidth="1"/>
    <col min="15359" max="15360" width="11.42578125" style="21"/>
    <col min="15361" max="15361" width="11.42578125" style="21" customWidth="1"/>
    <col min="15362" max="15363" width="11.42578125" style="21"/>
    <col min="15364" max="15364" width="11.42578125" style="21" customWidth="1"/>
    <col min="15365" max="15366" width="11.42578125" style="21"/>
    <col min="15367" max="15367" width="0" style="21" hidden="1" customWidth="1"/>
    <col min="15368" max="15369" width="11.42578125" style="21"/>
    <col min="15370" max="15370" width="0" style="21" hidden="1" customWidth="1"/>
    <col min="15371" max="15371" width="11.42578125" style="21"/>
    <col min="15372" max="15372" width="15.7109375" style="21" customWidth="1"/>
    <col min="15373" max="15612" width="11.42578125" style="21"/>
    <col min="15613" max="15613" width="4.5703125" style="21" customWidth="1"/>
    <col min="15614" max="15614" width="12.5703125" style="21" customWidth="1"/>
    <col min="15615" max="15616" width="11.42578125" style="21"/>
    <col min="15617" max="15617" width="11.42578125" style="21" customWidth="1"/>
    <col min="15618" max="15619" width="11.42578125" style="21"/>
    <col min="15620" max="15620" width="11.42578125" style="21" customWidth="1"/>
    <col min="15621" max="15622" width="11.42578125" style="21"/>
    <col min="15623" max="15623" width="0" style="21" hidden="1" customWidth="1"/>
    <col min="15624" max="15625" width="11.42578125" style="21"/>
    <col min="15626" max="15626" width="0" style="21" hidden="1" customWidth="1"/>
    <col min="15627" max="15627" width="11.42578125" style="21"/>
    <col min="15628" max="15628" width="15.7109375" style="21" customWidth="1"/>
    <col min="15629" max="15868" width="11.42578125" style="21"/>
    <col min="15869" max="15869" width="4.5703125" style="21" customWidth="1"/>
    <col min="15870" max="15870" width="12.5703125" style="21" customWidth="1"/>
    <col min="15871" max="15872" width="11.42578125" style="21"/>
    <col min="15873" max="15873" width="11.42578125" style="21" customWidth="1"/>
    <col min="15874" max="15875" width="11.42578125" style="21"/>
    <col min="15876" max="15876" width="11.42578125" style="21" customWidth="1"/>
    <col min="15877" max="15878" width="11.42578125" style="21"/>
    <col min="15879" max="15879" width="0" style="21" hidden="1" customWidth="1"/>
    <col min="15880" max="15881" width="11.42578125" style="21"/>
    <col min="15882" max="15882" width="0" style="21" hidden="1" customWidth="1"/>
    <col min="15883" max="15883" width="11.42578125" style="21"/>
    <col min="15884" max="15884" width="15.7109375" style="21" customWidth="1"/>
    <col min="15885" max="16124" width="11.42578125" style="21"/>
    <col min="16125" max="16125" width="4.5703125" style="21" customWidth="1"/>
    <col min="16126" max="16126" width="12.5703125" style="21" customWidth="1"/>
    <col min="16127" max="16128" width="11.42578125" style="21"/>
    <col min="16129" max="16129" width="11.42578125" style="21" customWidth="1"/>
    <col min="16130" max="16131" width="11.42578125" style="21"/>
    <col min="16132" max="16132" width="11.42578125" style="21" customWidth="1"/>
    <col min="16133" max="16134" width="11.42578125" style="21"/>
    <col min="16135" max="16135" width="0" style="21" hidden="1" customWidth="1"/>
    <col min="16136" max="16137" width="11.42578125" style="21"/>
    <col min="16138" max="16138" width="0" style="21" hidden="1" customWidth="1"/>
    <col min="16139" max="16139" width="11.42578125" style="21"/>
    <col min="16140" max="16140" width="15.7109375" style="21" customWidth="1"/>
    <col min="16141" max="16384" width="11.42578125" style="21"/>
  </cols>
  <sheetData>
    <row r="2" spans="1:12" x14ac:dyDescent="0.2">
      <c r="A2" s="40" t="s">
        <v>58</v>
      </c>
    </row>
    <row r="3" spans="1:12" x14ac:dyDescent="0.2">
      <c r="A3" s="40" t="s">
        <v>59</v>
      </c>
    </row>
    <row r="5" spans="1:12" ht="12.75" x14ac:dyDescent="0.2">
      <c r="B5" s="344" t="s">
        <v>412</v>
      </c>
      <c r="C5" s="344"/>
      <c r="D5" s="344"/>
      <c r="E5" s="344"/>
      <c r="F5" s="344"/>
      <c r="G5" s="344"/>
      <c r="H5" s="344"/>
      <c r="I5" s="344"/>
      <c r="J5" s="344"/>
      <c r="L5" s="104" t="s">
        <v>508</v>
      </c>
    </row>
    <row r="6" spans="1:12" ht="12.75" x14ac:dyDescent="0.2">
      <c r="B6" s="344" t="s">
        <v>620</v>
      </c>
      <c r="C6" s="344"/>
      <c r="D6" s="344"/>
      <c r="E6" s="344"/>
      <c r="F6" s="344"/>
      <c r="G6" s="344"/>
      <c r="H6" s="344"/>
      <c r="I6" s="344"/>
      <c r="J6" s="344"/>
    </row>
    <row r="8" spans="1:12" x14ac:dyDescent="0.2">
      <c r="B8" s="379" t="s">
        <v>411</v>
      </c>
      <c r="C8" s="382" t="s">
        <v>413</v>
      </c>
      <c r="D8" s="383"/>
      <c r="E8" s="383"/>
      <c r="F8" s="383"/>
      <c r="G8" s="383"/>
      <c r="H8" s="383"/>
      <c r="I8" s="383"/>
      <c r="J8" s="384"/>
    </row>
    <row r="9" spans="1:12" ht="27" customHeight="1" x14ac:dyDescent="0.2">
      <c r="B9" s="380"/>
      <c r="C9" s="385" t="s">
        <v>601</v>
      </c>
      <c r="D9" s="386"/>
      <c r="E9" s="385" t="s">
        <v>602</v>
      </c>
      <c r="F9" s="386"/>
      <c r="G9" s="382" t="s">
        <v>414</v>
      </c>
      <c r="H9" s="384"/>
      <c r="I9" s="382" t="s">
        <v>20</v>
      </c>
      <c r="J9" s="384"/>
    </row>
    <row r="10" spans="1:12" ht="22.5" x14ac:dyDescent="0.2">
      <c r="B10" s="381"/>
      <c r="C10" s="168" t="s">
        <v>415</v>
      </c>
      <c r="D10" s="168" t="s">
        <v>416</v>
      </c>
      <c r="E10" s="168" t="s">
        <v>415</v>
      </c>
      <c r="F10" s="168" t="s">
        <v>416</v>
      </c>
      <c r="G10" s="168" t="s">
        <v>415</v>
      </c>
      <c r="H10" s="168" t="s">
        <v>416</v>
      </c>
      <c r="I10" s="168" t="s">
        <v>415</v>
      </c>
      <c r="J10" s="168" t="s">
        <v>417</v>
      </c>
    </row>
    <row r="11" spans="1:12" x14ac:dyDescent="0.2">
      <c r="B11" s="131" t="s">
        <v>418</v>
      </c>
      <c r="C11" s="132"/>
      <c r="D11" s="132"/>
      <c r="E11" s="132"/>
      <c r="F11" s="132"/>
      <c r="G11" s="132"/>
      <c r="H11" s="132"/>
      <c r="I11" s="133">
        <v>23671</v>
      </c>
      <c r="J11" s="133">
        <v>102602</v>
      </c>
    </row>
    <row r="12" spans="1:12" x14ac:dyDescent="0.2">
      <c r="B12" s="131">
        <v>2010</v>
      </c>
      <c r="C12" s="132"/>
      <c r="D12" s="132"/>
      <c r="E12" s="132"/>
      <c r="F12" s="132"/>
      <c r="G12" s="132"/>
      <c r="H12" s="132"/>
      <c r="I12" s="133">
        <v>90591</v>
      </c>
      <c r="J12" s="133">
        <v>283345</v>
      </c>
    </row>
    <row r="13" spans="1:12" x14ac:dyDescent="0.2">
      <c r="B13" s="131">
        <v>2011</v>
      </c>
      <c r="C13" s="132"/>
      <c r="D13" s="132"/>
      <c r="E13" s="132"/>
      <c r="F13" s="132"/>
      <c r="G13" s="132"/>
      <c r="H13" s="132"/>
      <c r="I13" s="133">
        <v>105822</v>
      </c>
      <c r="J13" s="133">
        <v>430659</v>
      </c>
    </row>
    <row r="14" spans="1:12" x14ac:dyDescent="0.2">
      <c r="B14" s="131">
        <v>2012</v>
      </c>
      <c r="C14" s="132"/>
      <c r="D14" s="132"/>
      <c r="E14" s="132"/>
      <c r="F14" s="132"/>
      <c r="G14" s="132"/>
      <c r="H14" s="132"/>
      <c r="I14" s="133">
        <v>54727</v>
      </c>
      <c r="J14" s="133">
        <v>214792</v>
      </c>
    </row>
    <row r="15" spans="1:12" x14ac:dyDescent="0.2">
      <c r="B15" s="114">
        <v>41275</v>
      </c>
      <c r="C15" s="115">
        <v>1344</v>
      </c>
      <c r="D15" s="115">
        <v>5074</v>
      </c>
      <c r="E15" s="134">
        <v>84</v>
      </c>
      <c r="F15" s="134">
        <v>433</v>
      </c>
      <c r="G15" s="115">
        <v>1525</v>
      </c>
      <c r="H15" s="115">
        <v>5846</v>
      </c>
      <c r="I15" s="115">
        <v>2953</v>
      </c>
      <c r="J15" s="115">
        <v>11353</v>
      </c>
    </row>
    <row r="16" spans="1:12" x14ac:dyDescent="0.2">
      <c r="B16" s="114">
        <v>41306</v>
      </c>
      <c r="C16" s="115">
        <v>1353</v>
      </c>
      <c r="D16" s="115">
        <v>5003</v>
      </c>
      <c r="E16" s="134">
        <v>87</v>
      </c>
      <c r="F16" s="134">
        <v>397</v>
      </c>
      <c r="G16" s="115">
        <v>1589</v>
      </c>
      <c r="H16" s="115">
        <v>5817</v>
      </c>
      <c r="I16" s="115">
        <v>3029</v>
      </c>
      <c r="J16" s="115">
        <v>11217</v>
      </c>
    </row>
    <row r="17" spans="2:10" x14ac:dyDescent="0.2">
      <c r="B17" s="114">
        <v>41334</v>
      </c>
      <c r="C17" s="115">
        <v>1556</v>
      </c>
      <c r="D17" s="115">
        <v>5790</v>
      </c>
      <c r="E17" s="134">
        <v>83</v>
      </c>
      <c r="F17" s="134">
        <v>353</v>
      </c>
      <c r="G17" s="115">
        <v>1708</v>
      </c>
      <c r="H17" s="115">
        <v>5791</v>
      </c>
      <c r="I17" s="115">
        <v>3347</v>
      </c>
      <c r="J17" s="115">
        <v>11934</v>
      </c>
    </row>
    <row r="18" spans="2:10" x14ac:dyDescent="0.2">
      <c r="B18" s="114">
        <v>41365</v>
      </c>
      <c r="C18" s="115">
        <v>1076</v>
      </c>
      <c r="D18" s="115">
        <v>4086</v>
      </c>
      <c r="E18" s="134">
        <v>69</v>
      </c>
      <c r="F18" s="134">
        <v>271</v>
      </c>
      <c r="G18" s="115">
        <v>1727</v>
      </c>
      <c r="H18" s="115">
        <v>5901</v>
      </c>
      <c r="I18" s="115">
        <v>2872</v>
      </c>
      <c r="J18" s="115">
        <v>10258</v>
      </c>
    </row>
    <row r="19" spans="2:10" x14ac:dyDescent="0.2">
      <c r="B19" s="114">
        <v>41395</v>
      </c>
      <c r="C19" s="134">
        <v>920</v>
      </c>
      <c r="D19" s="115">
        <v>3380</v>
      </c>
      <c r="E19" s="134">
        <v>38</v>
      </c>
      <c r="F19" s="134">
        <v>168</v>
      </c>
      <c r="G19" s="115">
        <v>1182</v>
      </c>
      <c r="H19" s="115">
        <v>4056</v>
      </c>
      <c r="I19" s="115">
        <v>2140</v>
      </c>
      <c r="J19" s="115">
        <v>7604</v>
      </c>
    </row>
    <row r="20" spans="2:10" x14ac:dyDescent="0.2">
      <c r="B20" s="114">
        <v>41426</v>
      </c>
      <c r="C20" s="134">
        <v>911</v>
      </c>
      <c r="D20" s="115">
        <v>3309</v>
      </c>
      <c r="E20" s="134">
        <v>125</v>
      </c>
      <c r="F20" s="134">
        <v>648</v>
      </c>
      <c r="G20" s="115">
        <v>1778</v>
      </c>
      <c r="H20" s="115">
        <v>6154</v>
      </c>
      <c r="I20" s="115">
        <v>2814</v>
      </c>
      <c r="J20" s="115">
        <v>10111</v>
      </c>
    </row>
    <row r="21" spans="2:10" x14ac:dyDescent="0.2">
      <c r="B21" s="114">
        <v>41456</v>
      </c>
      <c r="C21" s="115">
        <v>1073</v>
      </c>
      <c r="D21" s="115">
        <v>3717</v>
      </c>
      <c r="E21" s="134">
        <v>75</v>
      </c>
      <c r="F21" s="134">
        <v>297</v>
      </c>
      <c r="G21" s="115">
        <v>1520</v>
      </c>
      <c r="H21" s="115">
        <v>5115</v>
      </c>
      <c r="I21" s="115">
        <v>2668</v>
      </c>
      <c r="J21" s="115">
        <v>9129</v>
      </c>
    </row>
    <row r="22" spans="2:10" x14ac:dyDescent="0.2">
      <c r="B22" s="114">
        <v>41487</v>
      </c>
      <c r="C22" s="135">
        <v>1037</v>
      </c>
      <c r="D22" s="135">
        <v>3504</v>
      </c>
      <c r="E22" s="136">
        <v>284</v>
      </c>
      <c r="F22" s="135">
        <v>1590</v>
      </c>
      <c r="G22" s="115">
        <v>2172</v>
      </c>
      <c r="H22" s="115">
        <v>6454</v>
      </c>
      <c r="I22" s="115">
        <v>3493</v>
      </c>
      <c r="J22" s="115">
        <v>11548</v>
      </c>
    </row>
    <row r="23" spans="2:10" x14ac:dyDescent="0.2">
      <c r="B23" s="114">
        <v>41518</v>
      </c>
      <c r="C23" s="115">
        <v>2257</v>
      </c>
      <c r="D23" s="115">
        <v>8307</v>
      </c>
      <c r="E23" s="134">
        <v>45</v>
      </c>
      <c r="F23" s="134">
        <v>183</v>
      </c>
      <c r="G23" s="115">
        <v>1509</v>
      </c>
      <c r="H23" s="115">
        <v>5003</v>
      </c>
      <c r="I23" s="115">
        <v>3811</v>
      </c>
      <c r="J23" s="115">
        <v>13493</v>
      </c>
    </row>
    <row r="24" spans="2:10" x14ac:dyDescent="0.2">
      <c r="B24" s="114">
        <v>41548</v>
      </c>
      <c r="C24" s="115">
        <v>2716</v>
      </c>
      <c r="D24" s="115">
        <v>10131</v>
      </c>
      <c r="E24" s="134">
        <v>147</v>
      </c>
      <c r="F24" s="134">
        <v>685</v>
      </c>
      <c r="G24" s="115">
        <v>1865</v>
      </c>
      <c r="H24" s="115">
        <v>6227</v>
      </c>
      <c r="I24" s="115">
        <v>4728</v>
      </c>
      <c r="J24" s="115">
        <v>17043</v>
      </c>
    </row>
    <row r="25" spans="2:10" x14ac:dyDescent="0.2">
      <c r="B25" s="114">
        <v>41579</v>
      </c>
      <c r="C25" s="115">
        <v>1624</v>
      </c>
      <c r="D25" s="115">
        <v>5781</v>
      </c>
      <c r="E25" s="134">
        <v>79</v>
      </c>
      <c r="F25" s="134">
        <v>348</v>
      </c>
      <c r="G25" s="115">
        <v>1639</v>
      </c>
      <c r="H25" s="115">
        <v>5415</v>
      </c>
      <c r="I25" s="115">
        <v>3342</v>
      </c>
      <c r="J25" s="115">
        <v>11544</v>
      </c>
    </row>
    <row r="26" spans="2:10" x14ac:dyDescent="0.2">
      <c r="B26" s="114">
        <v>41609</v>
      </c>
      <c r="C26" s="115">
        <v>1527</v>
      </c>
      <c r="D26" s="115">
        <v>5675</v>
      </c>
      <c r="E26" s="134">
        <v>77</v>
      </c>
      <c r="F26" s="134">
        <v>312</v>
      </c>
      <c r="G26" s="115">
        <v>1584</v>
      </c>
      <c r="H26" s="115">
        <v>4895</v>
      </c>
      <c r="I26" s="115">
        <v>3188</v>
      </c>
      <c r="J26" s="115">
        <v>10882</v>
      </c>
    </row>
    <row r="27" spans="2:10" x14ac:dyDescent="0.2">
      <c r="B27" s="116">
        <v>2013</v>
      </c>
      <c r="C27" s="137">
        <v>17394</v>
      </c>
      <c r="D27" s="137">
        <v>63757</v>
      </c>
      <c r="E27" s="137">
        <v>1193</v>
      </c>
      <c r="F27" s="137">
        <v>5685</v>
      </c>
      <c r="G27" s="137">
        <v>19798</v>
      </c>
      <c r="H27" s="137">
        <v>66674</v>
      </c>
      <c r="I27" s="137">
        <f>SUM(I15:I26)</f>
        <v>38385</v>
      </c>
      <c r="J27" s="137">
        <f>SUM(J15:J26)</f>
        <v>136116</v>
      </c>
    </row>
    <row r="28" spans="2:10" x14ac:dyDescent="0.2">
      <c r="B28" s="114">
        <v>41640</v>
      </c>
      <c r="C28" s="115">
        <v>1680</v>
      </c>
      <c r="D28" s="115">
        <v>6027</v>
      </c>
      <c r="E28" s="134">
        <v>52</v>
      </c>
      <c r="F28" s="134">
        <v>220</v>
      </c>
      <c r="G28" s="115">
        <v>1280</v>
      </c>
      <c r="H28" s="115">
        <v>4011</v>
      </c>
      <c r="I28" s="115">
        <v>3012</v>
      </c>
      <c r="J28" s="115">
        <v>10258</v>
      </c>
    </row>
    <row r="29" spans="2:10" x14ac:dyDescent="0.2">
      <c r="B29" s="114">
        <v>41671</v>
      </c>
      <c r="C29" s="115">
        <v>1550</v>
      </c>
      <c r="D29" s="115">
        <v>5590</v>
      </c>
      <c r="E29" s="134">
        <v>76</v>
      </c>
      <c r="F29" s="134">
        <v>318</v>
      </c>
      <c r="G29" s="115">
        <v>1520</v>
      </c>
      <c r="H29" s="115">
        <v>4945</v>
      </c>
      <c r="I29" s="115">
        <v>3146</v>
      </c>
      <c r="J29" s="115">
        <v>10853</v>
      </c>
    </row>
    <row r="30" spans="2:10" x14ac:dyDescent="0.2">
      <c r="B30" s="114">
        <v>41699</v>
      </c>
      <c r="C30" s="115">
        <v>1367</v>
      </c>
      <c r="D30" s="115">
        <v>4922</v>
      </c>
      <c r="E30" s="134">
        <v>99</v>
      </c>
      <c r="F30" s="134">
        <v>470</v>
      </c>
      <c r="G30" s="115">
        <v>1354</v>
      </c>
      <c r="H30" s="115">
        <v>4290</v>
      </c>
      <c r="I30" s="115">
        <v>2820</v>
      </c>
      <c r="J30" s="115">
        <v>9682</v>
      </c>
    </row>
    <row r="31" spans="2:10" x14ac:dyDescent="0.2">
      <c r="B31" s="114">
        <v>41730</v>
      </c>
      <c r="C31" s="115">
        <v>1713</v>
      </c>
      <c r="D31" s="115">
        <v>6039</v>
      </c>
      <c r="E31" s="134">
        <v>117</v>
      </c>
      <c r="F31" s="134">
        <v>534</v>
      </c>
      <c r="G31" s="115">
        <v>1841</v>
      </c>
      <c r="H31" s="115">
        <v>6029</v>
      </c>
      <c r="I31" s="115">
        <v>3671</v>
      </c>
      <c r="J31" s="115">
        <v>12602</v>
      </c>
    </row>
    <row r="32" spans="2:10" x14ac:dyDescent="0.2">
      <c r="B32" s="114">
        <v>41760</v>
      </c>
      <c r="C32" s="115">
        <v>1767</v>
      </c>
      <c r="D32" s="115">
        <v>6174</v>
      </c>
      <c r="E32" s="134">
        <v>124</v>
      </c>
      <c r="F32" s="134">
        <v>523</v>
      </c>
      <c r="G32" s="115">
        <v>1514</v>
      </c>
      <c r="H32" s="115">
        <v>4663</v>
      </c>
      <c r="I32" s="115">
        <v>3405</v>
      </c>
      <c r="J32" s="115">
        <v>11360</v>
      </c>
    </row>
    <row r="33" spans="2:10" x14ac:dyDescent="0.2">
      <c r="B33" s="114">
        <v>41791</v>
      </c>
      <c r="C33" s="115">
        <v>1613</v>
      </c>
      <c r="D33" s="115">
        <v>5821</v>
      </c>
      <c r="E33" s="134">
        <v>120</v>
      </c>
      <c r="F33" s="134">
        <v>517</v>
      </c>
      <c r="G33" s="115">
        <v>1715</v>
      </c>
      <c r="H33" s="115">
        <v>5301</v>
      </c>
      <c r="I33" s="115">
        <v>3448</v>
      </c>
      <c r="J33" s="115">
        <v>11639</v>
      </c>
    </row>
    <row r="34" spans="2:10" x14ac:dyDescent="0.2">
      <c r="B34" s="114">
        <v>41821</v>
      </c>
      <c r="C34" s="115">
        <v>1419</v>
      </c>
      <c r="D34" s="115">
        <v>4978</v>
      </c>
      <c r="E34" s="134">
        <v>88</v>
      </c>
      <c r="F34" s="134">
        <v>412</v>
      </c>
      <c r="G34" s="115">
        <v>1625</v>
      </c>
      <c r="H34" s="115">
        <v>5129</v>
      </c>
      <c r="I34" s="115">
        <v>3132</v>
      </c>
      <c r="J34" s="115">
        <v>10519</v>
      </c>
    </row>
    <row r="35" spans="2:10" x14ac:dyDescent="0.2">
      <c r="B35" s="114">
        <v>41852</v>
      </c>
      <c r="C35" s="115">
        <v>1494</v>
      </c>
      <c r="D35" s="115">
        <v>5380</v>
      </c>
      <c r="E35" s="134">
        <v>98</v>
      </c>
      <c r="F35" s="134">
        <v>469</v>
      </c>
      <c r="G35" s="115">
        <v>2110</v>
      </c>
      <c r="H35" s="115">
        <v>6696</v>
      </c>
      <c r="I35" s="115">
        <f t="shared" ref="I35:J39" si="0">C35+E35+G35</f>
        <v>3702</v>
      </c>
      <c r="J35" s="115">
        <f t="shared" si="0"/>
        <v>12545</v>
      </c>
    </row>
    <row r="36" spans="2:10" x14ac:dyDescent="0.2">
      <c r="B36" s="114">
        <v>41883</v>
      </c>
      <c r="C36" s="115">
        <v>2074</v>
      </c>
      <c r="D36" s="115">
        <v>6815</v>
      </c>
      <c r="E36" s="134">
        <v>153</v>
      </c>
      <c r="F36" s="134">
        <v>619</v>
      </c>
      <c r="G36" s="115">
        <v>1891</v>
      </c>
      <c r="H36" s="115">
        <v>5544</v>
      </c>
      <c r="I36" s="115">
        <f t="shared" si="0"/>
        <v>4118</v>
      </c>
      <c r="J36" s="115">
        <f t="shared" si="0"/>
        <v>12978</v>
      </c>
    </row>
    <row r="37" spans="2:10" x14ac:dyDescent="0.2">
      <c r="B37" s="114">
        <v>41913</v>
      </c>
      <c r="C37" s="115">
        <v>1793</v>
      </c>
      <c r="D37" s="115">
        <v>6196</v>
      </c>
      <c r="E37" s="134">
        <v>99</v>
      </c>
      <c r="F37" s="134">
        <v>453</v>
      </c>
      <c r="G37" s="115">
        <v>2822</v>
      </c>
      <c r="H37" s="115">
        <v>9121</v>
      </c>
      <c r="I37" s="115">
        <f t="shared" si="0"/>
        <v>4714</v>
      </c>
      <c r="J37" s="115">
        <f t="shared" si="0"/>
        <v>15770</v>
      </c>
    </row>
    <row r="38" spans="2:10" x14ac:dyDescent="0.2">
      <c r="B38" s="114">
        <v>41944</v>
      </c>
      <c r="C38" s="115">
        <v>1417</v>
      </c>
      <c r="D38" s="115">
        <v>5025</v>
      </c>
      <c r="E38" s="134">
        <v>119</v>
      </c>
      <c r="F38" s="134">
        <v>521</v>
      </c>
      <c r="G38" s="115">
        <v>2963</v>
      </c>
      <c r="H38" s="115">
        <v>9093</v>
      </c>
      <c r="I38" s="115">
        <f t="shared" si="0"/>
        <v>4499</v>
      </c>
      <c r="J38" s="115">
        <f t="shared" si="0"/>
        <v>14639</v>
      </c>
    </row>
    <row r="39" spans="2:10" x14ac:dyDescent="0.2">
      <c r="B39" s="114">
        <v>41974</v>
      </c>
      <c r="C39" s="115">
        <v>2023</v>
      </c>
      <c r="D39" s="115">
        <v>7131</v>
      </c>
      <c r="E39" s="134">
        <v>157</v>
      </c>
      <c r="F39" s="134">
        <v>606</v>
      </c>
      <c r="G39" s="115">
        <v>2407</v>
      </c>
      <c r="H39" s="115">
        <v>7565</v>
      </c>
      <c r="I39" s="115">
        <f t="shared" si="0"/>
        <v>4587</v>
      </c>
      <c r="J39" s="115">
        <f t="shared" si="0"/>
        <v>15302</v>
      </c>
    </row>
    <row r="40" spans="2:10" x14ac:dyDescent="0.2">
      <c r="B40" s="116">
        <v>2014</v>
      </c>
      <c r="C40" s="137">
        <f>SUM(C28:C39)</f>
        <v>19910</v>
      </c>
      <c r="D40" s="137">
        <f t="shared" ref="D40:H40" si="1">SUM(D28:D39)</f>
        <v>70098</v>
      </c>
      <c r="E40" s="137">
        <f t="shared" si="1"/>
        <v>1302</v>
      </c>
      <c r="F40" s="137">
        <f t="shared" si="1"/>
        <v>5662</v>
      </c>
      <c r="G40" s="137">
        <f t="shared" si="1"/>
        <v>23042</v>
      </c>
      <c r="H40" s="137">
        <f t="shared" si="1"/>
        <v>72387</v>
      </c>
      <c r="I40" s="137">
        <f>SUM(I28:I39)</f>
        <v>44254</v>
      </c>
      <c r="J40" s="137">
        <f>SUM(J28:J39)</f>
        <v>148147</v>
      </c>
    </row>
    <row r="41" spans="2:10" x14ac:dyDescent="0.2">
      <c r="B41" s="114">
        <v>42005</v>
      </c>
      <c r="C41" s="115">
        <v>1303</v>
      </c>
      <c r="D41" s="115">
        <v>4627</v>
      </c>
      <c r="E41" s="115">
        <v>90</v>
      </c>
      <c r="F41" s="115">
        <v>407</v>
      </c>
      <c r="G41" s="115">
        <v>2299</v>
      </c>
      <c r="H41" s="115">
        <v>7138</v>
      </c>
      <c r="I41" s="115">
        <f t="shared" ref="I41:J52" si="2">C41+E41+G41</f>
        <v>3692</v>
      </c>
      <c r="J41" s="115">
        <f t="shared" si="2"/>
        <v>12172</v>
      </c>
    </row>
    <row r="42" spans="2:10" x14ac:dyDescent="0.2">
      <c r="B42" s="114">
        <v>42036</v>
      </c>
      <c r="C42" s="115">
        <v>1126</v>
      </c>
      <c r="D42" s="115">
        <v>4105</v>
      </c>
      <c r="E42" s="115">
        <v>68</v>
      </c>
      <c r="F42" s="115">
        <v>319</v>
      </c>
      <c r="G42" s="115">
        <v>1895</v>
      </c>
      <c r="H42" s="115">
        <v>5828</v>
      </c>
      <c r="I42" s="115">
        <f t="shared" si="2"/>
        <v>3089</v>
      </c>
      <c r="J42" s="115">
        <f t="shared" si="2"/>
        <v>10252</v>
      </c>
    </row>
    <row r="43" spans="2:10" x14ac:dyDescent="0.2">
      <c r="B43" s="114">
        <v>42064</v>
      </c>
      <c r="C43" s="115">
        <v>1509</v>
      </c>
      <c r="D43" s="115">
        <v>5148</v>
      </c>
      <c r="E43" s="115">
        <v>142</v>
      </c>
      <c r="F43" s="115">
        <v>601</v>
      </c>
      <c r="G43" s="115">
        <v>2308</v>
      </c>
      <c r="H43" s="115">
        <v>7031</v>
      </c>
      <c r="I43" s="115">
        <f t="shared" si="2"/>
        <v>3959</v>
      </c>
      <c r="J43" s="115">
        <f t="shared" si="2"/>
        <v>12780</v>
      </c>
    </row>
    <row r="44" spans="2:10" x14ac:dyDescent="0.2">
      <c r="B44" s="114">
        <v>42095</v>
      </c>
      <c r="C44" s="115">
        <v>1305</v>
      </c>
      <c r="D44" s="115">
        <v>4297</v>
      </c>
      <c r="E44" s="115">
        <v>154</v>
      </c>
      <c r="F44" s="115">
        <v>670</v>
      </c>
      <c r="G44" s="115">
        <v>2740</v>
      </c>
      <c r="H44" s="115">
        <v>8147</v>
      </c>
      <c r="I44" s="115">
        <f t="shared" si="2"/>
        <v>4199</v>
      </c>
      <c r="J44" s="115">
        <f t="shared" si="2"/>
        <v>13114</v>
      </c>
    </row>
    <row r="45" spans="2:10" x14ac:dyDescent="0.2">
      <c r="B45" s="114">
        <v>42125</v>
      </c>
      <c r="C45" s="115">
        <v>1328</v>
      </c>
      <c r="D45" s="115">
        <v>4634</v>
      </c>
      <c r="E45" s="115">
        <v>162</v>
      </c>
      <c r="F45" s="115">
        <v>698</v>
      </c>
      <c r="G45" s="115">
        <v>2387</v>
      </c>
      <c r="H45" s="115">
        <v>7056</v>
      </c>
      <c r="I45" s="115">
        <f t="shared" si="2"/>
        <v>3877</v>
      </c>
      <c r="J45" s="115">
        <f t="shared" si="2"/>
        <v>12388</v>
      </c>
    </row>
    <row r="46" spans="2:10" x14ac:dyDescent="0.2">
      <c r="B46" s="114">
        <v>42156</v>
      </c>
      <c r="C46" s="115">
        <v>1079</v>
      </c>
      <c r="D46" s="115">
        <v>3931</v>
      </c>
      <c r="E46" s="115">
        <v>121</v>
      </c>
      <c r="F46" s="115">
        <v>595</v>
      </c>
      <c r="G46" s="115">
        <v>2940</v>
      </c>
      <c r="H46" s="115">
        <v>8577</v>
      </c>
      <c r="I46" s="115">
        <f t="shared" si="2"/>
        <v>4140</v>
      </c>
      <c r="J46" s="115">
        <f t="shared" si="2"/>
        <v>13103</v>
      </c>
    </row>
    <row r="47" spans="2:10" x14ac:dyDescent="0.2">
      <c r="B47" s="114">
        <v>42186</v>
      </c>
      <c r="C47" s="115">
        <v>1562</v>
      </c>
      <c r="D47" s="115">
        <v>5243</v>
      </c>
      <c r="E47" s="115">
        <v>193</v>
      </c>
      <c r="F47" s="115">
        <v>896</v>
      </c>
      <c r="G47" s="115">
        <v>1660</v>
      </c>
      <c r="H47" s="115">
        <v>4806</v>
      </c>
      <c r="I47" s="115">
        <f t="shared" si="2"/>
        <v>3415</v>
      </c>
      <c r="J47" s="115">
        <f t="shared" si="2"/>
        <v>10945</v>
      </c>
    </row>
    <row r="48" spans="2:10" x14ac:dyDescent="0.2">
      <c r="B48" s="114">
        <v>42217</v>
      </c>
      <c r="C48" s="115">
        <v>1389</v>
      </c>
      <c r="D48" s="115">
        <v>4383</v>
      </c>
      <c r="E48" s="115">
        <v>321</v>
      </c>
      <c r="F48" s="115">
        <v>1453</v>
      </c>
      <c r="G48" s="115">
        <v>4348</v>
      </c>
      <c r="H48" s="115">
        <v>12994</v>
      </c>
      <c r="I48" s="115">
        <f t="shared" si="2"/>
        <v>6058</v>
      </c>
      <c r="J48" s="115">
        <f t="shared" si="2"/>
        <v>18830</v>
      </c>
    </row>
    <row r="49" spans="2:10" x14ac:dyDescent="0.2">
      <c r="B49" s="114">
        <v>42248</v>
      </c>
      <c r="C49" s="115">
        <v>2017</v>
      </c>
      <c r="D49" s="115">
        <v>7335</v>
      </c>
      <c r="E49" s="115">
        <v>176</v>
      </c>
      <c r="F49" s="115">
        <v>801</v>
      </c>
      <c r="G49" s="115">
        <v>2843</v>
      </c>
      <c r="H49" s="115">
        <v>8849</v>
      </c>
      <c r="I49" s="115">
        <f t="shared" si="2"/>
        <v>5036</v>
      </c>
      <c r="J49" s="115">
        <f t="shared" si="2"/>
        <v>16985</v>
      </c>
    </row>
    <row r="50" spans="2:10" x14ac:dyDescent="0.2">
      <c r="B50" s="114">
        <v>42278</v>
      </c>
      <c r="C50" s="115">
        <v>1395</v>
      </c>
      <c r="D50" s="115">
        <v>4572</v>
      </c>
      <c r="E50" s="115">
        <v>175</v>
      </c>
      <c r="F50" s="115">
        <v>799</v>
      </c>
      <c r="G50" s="115">
        <v>2605</v>
      </c>
      <c r="H50" s="115">
        <v>7454</v>
      </c>
      <c r="I50" s="115">
        <f t="shared" si="2"/>
        <v>4175</v>
      </c>
      <c r="J50" s="115">
        <f t="shared" si="2"/>
        <v>12825</v>
      </c>
    </row>
    <row r="51" spans="2:10" x14ac:dyDescent="0.2">
      <c r="B51" s="114">
        <v>42309</v>
      </c>
      <c r="C51" s="115">
        <v>1495</v>
      </c>
      <c r="D51" s="115">
        <v>5282</v>
      </c>
      <c r="E51" s="115">
        <v>166</v>
      </c>
      <c r="F51" s="115">
        <v>712</v>
      </c>
      <c r="G51" s="115">
        <v>3733</v>
      </c>
      <c r="H51" s="115">
        <v>10856</v>
      </c>
      <c r="I51" s="115">
        <f t="shared" si="2"/>
        <v>5394</v>
      </c>
      <c r="J51" s="115">
        <f t="shared" si="2"/>
        <v>16850</v>
      </c>
    </row>
    <row r="52" spans="2:10" x14ac:dyDescent="0.2">
      <c r="B52" s="114">
        <v>42339</v>
      </c>
      <c r="C52" s="115">
        <v>1645</v>
      </c>
      <c r="D52" s="115">
        <v>5189</v>
      </c>
      <c r="E52" s="115">
        <v>200</v>
      </c>
      <c r="F52" s="115">
        <v>809</v>
      </c>
      <c r="G52" s="115">
        <v>2771</v>
      </c>
      <c r="H52" s="115">
        <v>8572</v>
      </c>
      <c r="I52" s="115">
        <f t="shared" si="2"/>
        <v>4616</v>
      </c>
      <c r="J52" s="115">
        <f t="shared" si="2"/>
        <v>14570</v>
      </c>
    </row>
    <row r="53" spans="2:10" x14ac:dyDescent="0.2">
      <c r="B53" s="116">
        <v>2015</v>
      </c>
      <c r="C53" s="117">
        <f>SUM(C41:C52)</f>
        <v>17153</v>
      </c>
      <c r="D53" s="117">
        <f t="shared" ref="D53:I53" si="3">SUM(D41:D52)</f>
        <v>58746</v>
      </c>
      <c r="E53" s="117">
        <f t="shared" si="3"/>
        <v>1968</v>
      </c>
      <c r="F53" s="117">
        <f t="shared" si="3"/>
        <v>8760</v>
      </c>
      <c r="G53" s="117">
        <f t="shared" si="3"/>
        <v>32529</v>
      </c>
      <c r="H53" s="117">
        <f t="shared" si="3"/>
        <v>97308</v>
      </c>
      <c r="I53" s="117">
        <f t="shared" si="3"/>
        <v>51650</v>
      </c>
      <c r="J53" s="117">
        <f>SUM(J41:J52)</f>
        <v>164814</v>
      </c>
    </row>
    <row r="54" spans="2:10" x14ac:dyDescent="0.2">
      <c r="B54" s="114">
        <v>42370</v>
      </c>
      <c r="C54" s="115">
        <v>1402</v>
      </c>
      <c r="D54" s="115">
        <v>4801</v>
      </c>
      <c r="E54" s="115">
        <v>157</v>
      </c>
      <c r="F54" s="115">
        <v>645</v>
      </c>
      <c r="G54" s="115">
        <v>2531</v>
      </c>
      <c r="H54" s="115">
        <v>7419</v>
      </c>
      <c r="I54" s="115">
        <f t="shared" ref="I54:J65" si="4">C54+E54+G54</f>
        <v>4090</v>
      </c>
      <c r="J54" s="115">
        <f t="shared" si="4"/>
        <v>12865</v>
      </c>
    </row>
    <row r="55" spans="2:10" x14ac:dyDescent="0.2">
      <c r="B55" s="114">
        <v>42401</v>
      </c>
      <c r="C55" s="115">
        <v>964</v>
      </c>
      <c r="D55" s="115">
        <v>3139</v>
      </c>
      <c r="E55" s="115">
        <v>156</v>
      </c>
      <c r="F55" s="115">
        <v>644</v>
      </c>
      <c r="G55" s="115">
        <v>2723</v>
      </c>
      <c r="H55" s="115">
        <v>8130</v>
      </c>
      <c r="I55" s="115">
        <f t="shared" si="4"/>
        <v>3843</v>
      </c>
      <c r="J55" s="115">
        <f t="shared" si="4"/>
        <v>11913</v>
      </c>
    </row>
    <row r="56" spans="2:10" x14ac:dyDescent="0.2">
      <c r="B56" s="114">
        <v>42430</v>
      </c>
      <c r="C56" s="115">
        <v>1710</v>
      </c>
      <c r="D56" s="115">
        <v>5724</v>
      </c>
      <c r="E56" s="115">
        <v>238</v>
      </c>
      <c r="F56" s="115">
        <v>993</v>
      </c>
      <c r="G56" s="115">
        <v>3197</v>
      </c>
      <c r="H56" s="115">
        <v>9196</v>
      </c>
      <c r="I56" s="115">
        <f t="shared" si="4"/>
        <v>5145</v>
      </c>
      <c r="J56" s="115">
        <f t="shared" si="4"/>
        <v>15913</v>
      </c>
    </row>
    <row r="57" spans="2:10" x14ac:dyDescent="0.2">
      <c r="B57" s="114">
        <v>42461</v>
      </c>
      <c r="C57" s="115">
        <v>1579</v>
      </c>
      <c r="D57" s="115">
        <v>5412</v>
      </c>
      <c r="E57" s="115">
        <v>196</v>
      </c>
      <c r="F57" s="115">
        <v>787</v>
      </c>
      <c r="G57" s="115">
        <v>2640</v>
      </c>
      <c r="H57" s="115">
        <v>7635</v>
      </c>
      <c r="I57" s="115">
        <f t="shared" si="4"/>
        <v>4415</v>
      </c>
      <c r="J57" s="115">
        <f t="shared" si="4"/>
        <v>13834</v>
      </c>
    </row>
    <row r="58" spans="2:10" x14ac:dyDescent="0.2">
      <c r="B58" s="114">
        <v>42491</v>
      </c>
      <c r="C58" s="115">
        <v>1550</v>
      </c>
      <c r="D58" s="115">
        <v>5486</v>
      </c>
      <c r="E58" s="115">
        <v>180</v>
      </c>
      <c r="F58" s="115">
        <v>760</v>
      </c>
      <c r="G58" s="115">
        <v>2933</v>
      </c>
      <c r="H58" s="115">
        <v>8633</v>
      </c>
      <c r="I58" s="115">
        <f t="shared" si="4"/>
        <v>4663</v>
      </c>
      <c r="J58" s="115">
        <f t="shared" si="4"/>
        <v>14879</v>
      </c>
    </row>
    <row r="59" spans="2:10" x14ac:dyDescent="0.2">
      <c r="B59" s="114">
        <v>42522</v>
      </c>
      <c r="C59" s="115">
        <v>1015</v>
      </c>
      <c r="D59" s="115">
        <v>3452</v>
      </c>
      <c r="E59" s="115">
        <v>121</v>
      </c>
      <c r="F59" s="115">
        <v>555</v>
      </c>
      <c r="G59" s="115">
        <v>2658</v>
      </c>
      <c r="H59" s="115">
        <v>7478</v>
      </c>
      <c r="I59" s="115">
        <f t="shared" si="4"/>
        <v>3794</v>
      </c>
      <c r="J59" s="115">
        <f t="shared" si="4"/>
        <v>11485</v>
      </c>
    </row>
    <row r="60" spans="2:10" x14ac:dyDescent="0.2">
      <c r="B60" s="114">
        <v>42552</v>
      </c>
      <c r="C60" s="115">
        <v>1746</v>
      </c>
      <c r="D60" s="115">
        <v>6028</v>
      </c>
      <c r="E60" s="115">
        <v>157</v>
      </c>
      <c r="F60" s="115">
        <v>657</v>
      </c>
      <c r="G60" s="115">
        <v>2535</v>
      </c>
      <c r="H60" s="115">
        <v>7430</v>
      </c>
      <c r="I60" s="115">
        <f t="shared" si="4"/>
        <v>4438</v>
      </c>
      <c r="J60" s="115">
        <f t="shared" si="4"/>
        <v>14115</v>
      </c>
    </row>
    <row r="61" spans="2:10" x14ac:dyDescent="0.2">
      <c r="B61" s="114">
        <v>42583</v>
      </c>
      <c r="C61" s="115">
        <v>1390</v>
      </c>
      <c r="D61" s="115">
        <v>4511</v>
      </c>
      <c r="E61" s="115">
        <v>153</v>
      </c>
      <c r="F61" s="115">
        <v>578</v>
      </c>
      <c r="G61" s="115">
        <v>3151</v>
      </c>
      <c r="H61" s="115">
        <v>9173</v>
      </c>
      <c r="I61" s="115">
        <f t="shared" si="4"/>
        <v>4694</v>
      </c>
      <c r="J61" s="115">
        <f t="shared" si="4"/>
        <v>14262</v>
      </c>
    </row>
    <row r="62" spans="2:10" x14ac:dyDescent="0.2">
      <c r="B62" s="114">
        <v>42614</v>
      </c>
      <c r="C62" s="115">
        <v>1402</v>
      </c>
      <c r="D62" s="115">
        <v>4329</v>
      </c>
      <c r="E62" s="115">
        <v>196</v>
      </c>
      <c r="F62" s="115">
        <v>823</v>
      </c>
      <c r="G62" s="115">
        <v>2981</v>
      </c>
      <c r="H62" s="115">
        <v>8807</v>
      </c>
      <c r="I62" s="115">
        <f t="shared" si="4"/>
        <v>4579</v>
      </c>
      <c r="J62" s="115">
        <f t="shared" si="4"/>
        <v>13959</v>
      </c>
    </row>
    <row r="63" spans="2:10" x14ac:dyDescent="0.2">
      <c r="B63" s="114">
        <v>42644</v>
      </c>
      <c r="C63" s="115">
        <v>1480</v>
      </c>
      <c r="D63" s="115">
        <v>5044</v>
      </c>
      <c r="E63" s="115">
        <v>136</v>
      </c>
      <c r="F63" s="115">
        <v>536</v>
      </c>
      <c r="G63" s="115">
        <v>2791</v>
      </c>
      <c r="H63" s="115">
        <v>8111</v>
      </c>
      <c r="I63" s="115">
        <f t="shared" si="4"/>
        <v>4407</v>
      </c>
      <c r="J63" s="115">
        <f t="shared" si="4"/>
        <v>13691</v>
      </c>
    </row>
    <row r="64" spans="2:10" x14ac:dyDescent="0.2">
      <c r="B64" s="114">
        <v>42675</v>
      </c>
      <c r="C64" s="115">
        <v>1497</v>
      </c>
      <c r="D64" s="115">
        <v>5099</v>
      </c>
      <c r="E64" s="115">
        <v>128</v>
      </c>
      <c r="F64" s="115">
        <v>483</v>
      </c>
      <c r="G64" s="115">
        <v>2064</v>
      </c>
      <c r="H64" s="115">
        <v>6110</v>
      </c>
      <c r="I64" s="115">
        <f t="shared" si="4"/>
        <v>3689</v>
      </c>
      <c r="J64" s="115">
        <f t="shared" si="4"/>
        <v>11692</v>
      </c>
    </row>
    <row r="65" spans="2:10" x14ac:dyDescent="0.2">
      <c r="B65" s="114">
        <v>42705</v>
      </c>
      <c r="C65" s="115">
        <v>1565</v>
      </c>
      <c r="D65" s="115">
        <v>5550</v>
      </c>
      <c r="E65" s="115">
        <v>94</v>
      </c>
      <c r="F65" s="115">
        <v>399</v>
      </c>
      <c r="G65" s="115">
        <v>3636</v>
      </c>
      <c r="H65" s="115">
        <v>11125</v>
      </c>
      <c r="I65" s="115">
        <f t="shared" si="4"/>
        <v>5295</v>
      </c>
      <c r="J65" s="115">
        <f t="shared" si="4"/>
        <v>17074</v>
      </c>
    </row>
    <row r="66" spans="2:10" x14ac:dyDescent="0.2">
      <c r="B66" s="116">
        <v>2016</v>
      </c>
      <c r="C66" s="117">
        <f>SUM(C54:C65)</f>
        <v>17300</v>
      </c>
      <c r="D66" s="117">
        <f t="shared" ref="D66:H66" si="5">SUM(D54:D65)</f>
        <v>58575</v>
      </c>
      <c r="E66" s="117">
        <f t="shared" si="5"/>
        <v>1912</v>
      </c>
      <c r="F66" s="117">
        <f t="shared" si="5"/>
        <v>7860</v>
      </c>
      <c r="G66" s="117">
        <f t="shared" si="5"/>
        <v>33840</v>
      </c>
      <c r="H66" s="117">
        <f t="shared" si="5"/>
        <v>99247</v>
      </c>
      <c r="I66" s="117">
        <f>SUM(I54:I65)</f>
        <v>53052</v>
      </c>
      <c r="J66" s="117">
        <f>SUM(J54:J65)</f>
        <v>165682</v>
      </c>
    </row>
    <row r="67" spans="2:10" x14ac:dyDescent="0.2">
      <c r="B67" s="114">
        <v>42736</v>
      </c>
      <c r="C67" s="115">
        <v>1578</v>
      </c>
      <c r="D67" s="115">
        <v>5100</v>
      </c>
      <c r="E67" s="115">
        <v>122</v>
      </c>
      <c r="F67" s="115">
        <v>478</v>
      </c>
      <c r="G67" s="115">
        <v>3277</v>
      </c>
      <c r="H67" s="115">
        <v>9466</v>
      </c>
      <c r="I67" s="115">
        <f t="shared" ref="I67:J78" si="6">C67+E67+G67</f>
        <v>4977</v>
      </c>
      <c r="J67" s="115">
        <f t="shared" si="6"/>
        <v>15044</v>
      </c>
    </row>
    <row r="68" spans="2:10" x14ac:dyDescent="0.2">
      <c r="B68" s="114">
        <v>42767</v>
      </c>
      <c r="C68" s="115">
        <v>1309</v>
      </c>
      <c r="D68" s="115">
        <v>4472</v>
      </c>
      <c r="E68" s="115">
        <v>118</v>
      </c>
      <c r="F68" s="115">
        <v>502</v>
      </c>
      <c r="G68" s="115">
        <v>3001</v>
      </c>
      <c r="H68" s="115">
        <v>8506</v>
      </c>
      <c r="I68" s="115">
        <f t="shared" si="6"/>
        <v>4428</v>
      </c>
      <c r="J68" s="115">
        <f t="shared" si="6"/>
        <v>13480</v>
      </c>
    </row>
    <row r="69" spans="2:10" x14ac:dyDescent="0.2">
      <c r="B69" s="114">
        <v>42795</v>
      </c>
      <c r="C69" s="115">
        <v>1433</v>
      </c>
      <c r="D69" s="115">
        <v>4492</v>
      </c>
      <c r="E69" s="115">
        <v>123</v>
      </c>
      <c r="F69" s="115">
        <v>484</v>
      </c>
      <c r="G69" s="115">
        <v>2598</v>
      </c>
      <c r="H69" s="115">
        <v>7750</v>
      </c>
      <c r="I69" s="115">
        <f t="shared" si="6"/>
        <v>4154</v>
      </c>
      <c r="J69" s="115">
        <f t="shared" si="6"/>
        <v>12726</v>
      </c>
    </row>
    <row r="70" spans="2:10" x14ac:dyDescent="0.2">
      <c r="B70" s="114">
        <v>42826</v>
      </c>
      <c r="C70" s="115">
        <v>1610</v>
      </c>
      <c r="D70" s="115">
        <v>5252</v>
      </c>
      <c r="E70" s="115">
        <v>163</v>
      </c>
      <c r="F70" s="115">
        <v>704</v>
      </c>
      <c r="G70" s="115">
        <v>2935</v>
      </c>
      <c r="H70" s="115">
        <v>8131</v>
      </c>
      <c r="I70" s="115">
        <f t="shared" si="6"/>
        <v>4708</v>
      </c>
      <c r="J70" s="115">
        <f t="shared" si="6"/>
        <v>14087</v>
      </c>
    </row>
    <row r="71" spans="2:10" x14ac:dyDescent="0.2">
      <c r="B71" s="114">
        <v>42856</v>
      </c>
      <c r="C71" s="115">
        <v>1418</v>
      </c>
      <c r="D71" s="115">
        <v>4341</v>
      </c>
      <c r="E71" s="115">
        <v>177</v>
      </c>
      <c r="F71" s="115">
        <v>637</v>
      </c>
      <c r="G71" s="115">
        <v>3318</v>
      </c>
      <c r="H71" s="115">
        <v>8846</v>
      </c>
      <c r="I71" s="115">
        <f t="shared" si="6"/>
        <v>4913</v>
      </c>
      <c r="J71" s="115">
        <f t="shared" si="6"/>
        <v>13824</v>
      </c>
    </row>
    <row r="72" spans="2:10" x14ac:dyDescent="0.2">
      <c r="B72" s="114">
        <v>42887</v>
      </c>
      <c r="C72" s="115">
        <v>1230</v>
      </c>
      <c r="D72" s="115">
        <v>4069</v>
      </c>
      <c r="E72" s="115">
        <v>108</v>
      </c>
      <c r="F72" s="115">
        <v>460</v>
      </c>
      <c r="G72" s="115">
        <v>2707</v>
      </c>
      <c r="H72" s="115">
        <v>8139</v>
      </c>
      <c r="I72" s="115">
        <f t="shared" si="6"/>
        <v>4045</v>
      </c>
      <c r="J72" s="115">
        <f t="shared" si="6"/>
        <v>12668</v>
      </c>
    </row>
    <row r="73" spans="2:10" x14ac:dyDescent="0.2">
      <c r="B73" s="114">
        <v>42917</v>
      </c>
      <c r="C73" s="115">
        <v>1191</v>
      </c>
      <c r="D73" s="115">
        <v>4093</v>
      </c>
      <c r="E73" s="115">
        <v>118</v>
      </c>
      <c r="F73" s="115">
        <v>524</v>
      </c>
      <c r="G73" s="115">
        <v>3460</v>
      </c>
      <c r="H73" s="115">
        <v>9428</v>
      </c>
      <c r="I73" s="115">
        <f t="shared" si="6"/>
        <v>4769</v>
      </c>
      <c r="J73" s="115">
        <f t="shared" si="6"/>
        <v>14045</v>
      </c>
    </row>
    <row r="74" spans="2:10" x14ac:dyDescent="0.2">
      <c r="B74" s="114">
        <v>42948</v>
      </c>
      <c r="C74" s="115">
        <v>1646</v>
      </c>
      <c r="D74" s="115">
        <v>5129</v>
      </c>
      <c r="E74" s="115">
        <v>226</v>
      </c>
      <c r="F74" s="115">
        <v>888</v>
      </c>
      <c r="G74" s="115">
        <v>3406</v>
      </c>
      <c r="H74" s="115">
        <v>9871</v>
      </c>
      <c r="I74" s="115">
        <f t="shared" si="6"/>
        <v>5278</v>
      </c>
      <c r="J74" s="115">
        <f t="shared" si="6"/>
        <v>15888</v>
      </c>
    </row>
    <row r="75" spans="2:10" x14ac:dyDescent="0.2">
      <c r="B75" s="114">
        <v>42979</v>
      </c>
      <c r="C75" s="115">
        <v>1788</v>
      </c>
      <c r="D75" s="115">
        <v>5884</v>
      </c>
      <c r="E75" s="115">
        <v>227</v>
      </c>
      <c r="F75" s="115">
        <v>1042</v>
      </c>
      <c r="G75" s="115">
        <v>1959</v>
      </c>
      <c r="H75" s="115">
        <v>5773</v>
      </c>
      <c r="I75" s="115">
        <f t="shared" si="6"/>
        <v>3974</v>
      </c>
      <c r="J75" s="115">
        <f t="shared" si="6"/>
        <v>12699</v>
      </c>
    </row>
    <row r="76" spans="2:10" x14ac:dyDescent="0.2">
      <c r="B76" s="114">
        <v>43009</v>
      </c>
      <c r="C76" s="115">
        <v>1600</v>
      </c>
      <c r="D76" s="115">
        <v>5166</v>
      </c>
      <c r="E76" s="115">
        <v>160</v>
      </c>
      <c r="F76" s="115">
        <v>678</v>
      </c>
      <c r="G76" s="115">
        <v>5186</v>
      </c>
      <c r="H76" s="115">
        <v>14719</v>
      </c>
      <c r="I76" s="115">
        <f t="shared" si="6"/>
        <v>6946</v>
      </c>
      <c r="J76" s="115">
        <f t="shared" si="6"/>
        <v>20563</v>
      </c>
    </row>
    <row r="77" spans="2:10" x14ac:dyDescent="0.2">
      <c r="B77" s="114">
        <v>43040</v>
      </c>
      <c r="C77" s="115">
        <v>1751</v>
      </c>
      <c r="D77" s="115">
        <v>5849</v>
      </c>
      <c r="E77" s="115">
        <v>177</v>
      </c>
      <c r="F77" s="115">
        <v>742</v>
      </c>
      <c r="G77" s="115">
        <v>3371</v>
      </c>
      <c r="H77" s="115">
        <v>9775</v>
      </c>
      <c r="I77" s="115">
        <f t="shared" si="6"/>
        <v>5299</v>
      </c>
      <c r="J77" s="115">
        <f t="shared" si="6"/>
        <v>16366</v>
      </c>
    </row>
    <row r="78" spans="2:10" x14ac:dyDescent="0.2">
      <c r="B78" s="114">
        <v>43070</v>
      </c>
      <c r="C78" s="115">
        <v>1618</v>
      </c>
      <c r="D78" s="115">
        <v>5288</v>
      </c>
      <c r="E78" s="115">
        <v>188</v>
      </c>
      <c r="F78" s="115">
        <v>708</v>
      </c>
      <c r="G78" s="115">
        <v>3152</v>
      </c>
      <c r="H78" s="115">
        <v>9366</v>
      </c>
      <c r="I78" s="115">
        <f t="shared" si="6"/>
        <v>4958</v>
      </c>
      <c r="J78" s="115">
        <f t="shared" si="6"/>
        <v>15362</v>
      </c>
    </row>
    <row r="79" spans="2:10" x14ac:dyDescent="0.2">
      <c r="B79" s="116">
        <v>2017</v>
      </c>
      <c r="C79" s="117">
        <f>SUM(C67:C78)</f>
        <v>18172</v>
      </c>
      <c r="D79" s="117">
        <f t="shared" ref="D79:J79" si="7">SUM(D67:D78)</f>
        <v>59135</v>
      </c>
      <c r="E79" s="117">
        <f t="shared" si="7"/>
        <v>1907</v>
      </c>
      <c r="F79" s="117">
        <f t="shared" si="7"/>
        <v>7847</v>
      </c>
      <c r="G79" s="117">
        <f t="shared" si="7"/>
        <v>38370</v>
      </c>
      <c r="H79" s="117">
        <f t="shared" si="7"/>
        <v>109770</v>
      </c>
      <c r="I79" s="117">
        <f t="shared" si="7"/>
        <v>58449</v>
      </c>
      <c r="J79" s="117">
        <f t="shared" si="7"/>
        <v>176752</v>
      </c>
    </row>
    <row r="80" spans="2:10" x14ac:dyDescent="0.2">
      <c r="B80" s="114">
        <v>43101</v>
      </c>
      <c r="C80" s="115">
        <v>1487</v>
      </c>
      <c r="D80" s="115">
        <v>4777</v>
      </c>
      <c r="E80" s="115">
        <v>142</v>
      </c>
      <c r="F80" s="115">
        <v>567</v>
      </c>
      <c r="G80" s="115">
        <v>3378</v>
      </c>
      <c r="H80" s="115">
        <v>9267</v>
      </c>
      <c r="I80" s="115">
        <f t="shared" ref="I80:J89" si="8">C80+E80+G80</f>
        <v>5007</v>
      </c>
      <c r="J80" s="115">
        <f t="shared" si="8"/>
        <v>14611</v>
      </c>
    </row>
    <row r="81" spans="2:11" x14ac:dyDescent="0.2">
      <c r="B81" s="114">
        <v>43132</v>
      </c>
      <c r="C81" s="115">
        <v>1165</v>
      </c>
      <c r="D81" s="115">
        <v>3878</v>
      </c>
      <c r="E81" s="115">
        <v>171</v>
      </c>
      <c r="F81" s="115">
        <v>740</v>
      </c>
      <c r="G81" s="115">
        <v>4024</v>
      </c>
      <c r="H81" s="115">
        <v>10885</v>
      </c>
      <c r="I81" s="115">
        <f t="shared" si="8"/>
        <v>5360</v>
      </c>
      <c r="J81" s="115">
        <f t="shared" si="8"/>
        <v>15503</v>
      </c>
    </row>
    <row r="82" spans="2:11" x14ac:dyDescent="0.2">
      <c r="B82" s="114">
        <v>43160</v>
      </c>
      <c r="C82" s="115">
        <v>2460</v>
      </c>
      <c r="D82" s="115">
        <v>7692</v>
      </c>
      <c r="E82" s="115">
        <v>296</v>
      </c>
      <c r="F82" s="115">
        <v>1104</v>
      </c>
      <c r="G82" s="115">
        <v>3447</v>
      </c>
      <c r="H82" s="115">
        <v>9794</v>
      </c>
      <c r="I82" s="115">
        <f t="shared" si="8"/>
        <v>6203</v>
      </c>
      <c r="J82" s="115">
        <f t="shared" si="8"/>
        <v>18590</v>
      </c>
    </row>
    <row r="83" spans="2:11" x14ac:dyDescent="0.2">
      <c r="B83" s="114">
        <v>43191</v>
      </c>
      <c r="C83" s="115">
        <v>1488</v>
      </c>
      <c r="D83" s="115">
        <v>4979</v>
      </c>
      <c r="E83" s="115">
        <v>166</v>
      </c>
      <c r="F83" s="115">
        <v>699</v>
      </c>
      <c r="G83" s="115">
        <v>3596</v>
      </c>
      <c r="H83" s="115">
        <v>10022</v>
      </c>
      <c r="I83" s="115">
        <f t="shared" si="8"/>
        <v>5250</v>
      </c>
      <c r="J83" s="115">
        <f t="shared" si="8"/>
        <v>15700</v>
      </c>
    </row>
    <row r="84" spans="2:11" x14ac:dyDescent="0.2">
      <c r="B84" s="114">
        <v>43221</v>
      </c>
      <c r="C84" s="115">
        <v>1705</v>
      </c>
      <c r="D84" s="115">
        <v>5530</v>
      </c>
      <c r="E84" s="115">
        <v>178</v>
      </c>
      <c r="F84" s="115">
        <v>714</v>
      </c>
      <c r="G84" s="115">
        <v>3536</v>
      </c>
      <c r="H84" s="115">
        <v>9898</v>
      </c>
      <c r="I84" s="115">
        <f t="shared" si="8"/>
        <v>5419</v>
      </c>
      <c r="J84" s="115">
        <f t="shared" si="8"/>
        <v>16142</v>
      </c>
    </row>
    <row r="85" spans="2:11" x14ac:dyDescent="0.2">
      <c r="B85" s="114">
        <v>43252</v>
      </c>
      <c r="C85" s="115">
        <v>1717</v>
      </c>
      <c r="D85" s="115">
        <v>5500</v>
      </c>
      <c r="E85" s="115">
        <v>211</v>
      </c>
      <c r="F85" s="115">
        <v>885</v>
      </c>
      <c r="G85" s="115">
        <v>3371</v>
      </c>
      <c r="H85" s="115">
        <v>9458</v>
      </c>
      <c r="I85" s="115">
        <f t="shared" si="8"/>
        <v>5299</v>
      </c>
      <c r="J85" s="115">
        <f t="shared" si="8"/>
        <v>15843</v>
      </c>
    </row>
    <row r="86" spans="2:11" x14ac:dyDescent="0.2">
      <c r="B86" s="114">
        <v>43282</v>
      </c>
      <c r="C86" s="115">
        <v>1574</v>
      </c>
      <c r="D86" s="115">
        <v>4981</v>
      </c>
      <c r="E86" s="115">
        <v>176</v>
      </c>
      <c r="F86" s="115">
        <v>714</v>
      </c>
      <c r="G86" s="115">
        <v>3523</v>
      </c>
      <c r="H86" s="115">
        <v>9997</v>
      </c>
      <c r="I86" s="115">
        <f t="shared" si="8"/>
        <v>5273</v>
      </c>
      <c r="J86" s="115">
        <f t="shared" si="8"/>
        <v>15692</v>
      </c>
    </row>
    <row r="87" spans="2:11" x14ac:dyDescent="0.2">
      <c r="B87" s="114">
        <v>43313</v>
      </c>
      <c r="C87" s="115">
        <v>1786</v>
      </c>
      <c r="D87" s="115">
        <v>5797</v>
      </c>
      <c r="E87" s="115">
        <v>215</v>
      </c>
      <c r="F87" s="115">
        <v>865</v>
      </c>
      <c r="G87" s="115">
        <v>3741</v>
      </c>
      <c r="H87" s="115">
        <v>10742</v>
      </c>
      <c r="I87" s="115">
        <f t="shared" si="8"/>
        <v>5742</v>
      </c>
      <c r="J87" s="115">
        <f t="shared" si="8"/>
        <v>17404</v>
      </c>
    </row>
    <row r="88" spans="2:11" x14ac:dyDescent="0.2">
      <c r="B88" s="114">
        <v>43344</v>
      </c>
      <c r="C88" s="115">
        <v>1829</v>
      </c>
      <c r="D88" s="115">
        <v>5996</v>
      </c>
      <c r="E88" s="115">
        <v>210</v>
      </c>
      <c r="F88" s="115">
        <v>796</v>
      </c>
      <c r="G88" s="115">
        <v>4016</v>
      </c>
      <c r="H88" s="115">
        <v>11063</v>
      </c>
      <c r="I88" s="115">
        <f t="shared" si="8"/>
        <v>6055</v>
      </c>
      <c r="J88" s="115">
        <f t="shared" si="8"/>
        <v>17855</v>
      </c>
    </row>
    <row r="89" spans="2:11" x14ac:dyDescent="0.2">
      <c r="B89" s="114">
        <v>43374</v>
      </c>
      <c r="C89" s="115">
        <v>1908</v>
      </c>
      <c r="D89" s="115">
        <v>5933</v>
      </c>
      <c r="E89" s="115">
        <v>221</v>
      </c>
      <c r="F89" s="115">
        <v>853</v>
      </c>
      <c r="G89" s="115">
        <v>3862</v>
      </c>
      <c r="H89" s="115">
        <v>11406</v>
      </c>
      <c r="I89" s="115">
        <f t="shared" si="8"/>
        <v>5991</v>
      </c>
      <c r="J89" s="115">
        <f t="shared" si="8"/>
        <v>18192</v>
      </c>
    </row>
    <row r="90" spans="2:11" x14ac:dyDescent="0.2">
      <c r="B90" s="114">
        <v>43405</v>
      </c>
      <c r="C90" s="115">
        <v>1951</v>
      </c>
      <c r="D90" s="115">
        <v>6310</v>
      </c>
      <c r="E90" s="115">
        <v>210</v>
      </c>
      <c r="F90" s="115">
        <v>846</v>
      </c>
      <c r="G90" s="115">
        <v>4235</v>
      </c>
      <c r="H90" s="115">
        <v>12050</v>
      </c>
      <c r="I90" s="115">
        <v>6396</v>
      </c>
      <c r="J90" s="115">
        <v>19206</v>
      </c>
    </row>
    <row r="91" spans="2:11" x14ac:dyDescent="0.2">
      <c r="B91" s="114">
        <v>43435</v>
      </c>
      <c r="C91" s="115">
        <v>1864</v>
      </c>
      <c r="D91" s="115">
        <v>6097</v>
      </c>
      <c r="E91" s="115">
        <v>206</v>
      </c>
      <c r="F91" s="115">
        <v>773</v>
      </c>
      <c r="G91" s="115">
        <v>3733</v>
      </c>
      <c r="H91" s="115">
        <v>11050</v>
      </c>
      <c r="I91" s="115">
        <v>5803</v>
      </c>
      <c r="J91" s="115">
        <v>17920</v>
      </c>
    </row>
    <row r="92" spans="2:11" x14ac:dyDescent="0.2">
      <c r="B92" s="116">
        <v>2018</v>
      </c>
      <c r="C92" s="117">
        <f t="shared" ref="C92:J92" si="9">SUM(C80:C91)</f>
        <v>20934</v>
      </c>
      <c r="D92" s="117">
        <f t="shared" si="9"/>
        <v>67470</v>
      </c>
      <c r="E92" s="117">
        <f t="shared" si="9"/>
        <v>2402</v>
      </c>
      <c r="F92" s="117">
        <f t="shared" si="9"/>
        <v>9556</v>
      </c>
      <c r="G92" s="117">
        <f t="shared" si="9"/>
        <v>44462</v>
      </c>
      <c r="H92" s="117">
        <f t="shared" si="9"/>
        <v>125632</v>
      </c>
      <c r="I92" s="117">
        <f t="shared" si="9"/>
        <v>67798</v>
      </c>
      <c r="J92" s="117">
        <f t="shared" si="9"/>
        <v>202658</v>
      </c>
      <c r="K92" s="64"/>
    </row>
    <row r="93" spans="2:11" x14ac:dyDescent="0.2">
      <c r="B93" s="114">
        <v>43466</v>
      </c>
      <c r="C93" s="115">
        <v>1644</v>
      </c>
      <c r="D93" s="115">
        <v>5240</v>
      </c>
      <c r="E93" s="115">
        <v>136</v>
      </c>
      <c r="F93" s="115">
        <v>473</v>
      </c>
      <c r="G93" s="115">
        <v>3602</v>
      </c>
      <c r="H93" s="115">
        <v>10442</v>
      </c>
      <c r="I93" s="115">
        <v>5382</v>
      </c>
      <c r="J93" s="115">
        <v>16155</v>
      </c>
      <c r="K93" s="64"/>
    </row>
    <row r="94" spans="2:11" x14ac:dyDescent="0.2">
      <c r="B94" s="114">
        <v>43497</v>
      </c>
      <c r="C94" s="115">
        <v>1660</v>
      </c>
      <c r="D94" s="115">
        <v>5440</v>
      </c>
      <c r="E94" s="115">
        <v>195</v>
      </c>
      <c r="F94" s="115">
        <v>810</v>
      </c>
      <c r="G94" s="115">
        <v>3859</v>
      </c>
      <c r="H94" s="115">
        <v>11121</v>
      </c>
      <c r="I94" s="115">
        <v>5714</v>
      </c>
      <c r="J94" s="115">
        <v>17371</v>
      </c>
    </row>
    <row r="95" spans="2:11" x14ac:dyDescent="0.2">
      <c r="B95" s="114">
        <v>43525</v>
      </c>
      <c r="C95" s="115">
        <v>1447</v>
      </c>
      <c r="D95" s="115">
        <v>4690</v>
      </c>
      <c r="E95" s="115">
        <v>166</v>
      </c>
      <c r="F95" s="115">
        <v>800</v>
      </c>
      <c r="G95" s="115">
        <v>3536</v>
      </c>
      <c r="H95" s="115">
        <v>10073</v>
      </c>
      <c r="I95" s="115">
        <v>5149</v>
      </c>
      <c r="J95" s="115">
        <v>15563</v>
      </c>
    </row>
    <row r="96" spans="2:11" x14ac:dyDescent="0.2">
      <c r="B96" s="114">
        <v>43556</v>
      </c>
      <c r="C96" s="115">
        <v>1532</v>
      </c>
      <c r="D96" s="115">
        <v>5027</v>
      </c>
      <c r="E96" s="115">
        <v>191</v>
      </c>
      <c r="F96" s="115">
        <v>822</v>
      </c>
      <c r="G96" s="115">
        <v>4048</v>
      </c>
      <c r="H96" s="115">
        <v>11053</v>
      </c>
      <c r="I96" s="115">
        <v>5771</v>
      </c>
      <c r="J96" s="115">
        <v>16902</v>
      </c>
    </row>
    <row r="97" spans="2:10" x14ac:dyDescent="0.2">
      <c r="B97" s="114">
        <v>43586</v>
      </c>
      <c r="C97" s="115">
        <v>1595</v>
      </c>
      <c r="D97" s="115">
        <v>4923</v>
      </c>
      <c r="E97" s="115">
        <v>179</v>
      </c>
      <c r="F97" s="115">
        <v>655</v>
      </c>
      <c r="G97" s="115">
        <v>3277</v>
      </c>
      <c r="H97" s="115">
        <v>9461</v>
      </c>
      <c r="I97" s="115">
        <v>5051</v>
      </c>
      <c r="J97" s="115">
        <v>15039</v>
      </c>
    </row>
    <row r="98" spans="2:10" x14ac:dyDescent="0.2">
      <c r="B98" s="114">
        <v>43617</v>
      </c>
      <c r="C98" s="115">
        <v>1566</v>
      </c>
      <c r="D98" s="115">
        <v>4922</v>
      </c>
      <c r="E98" s="115">
        <v>128</v>
      </c>
      <c r="F98" s="115">
        <v>485</v>
      </c>
      <c r="G98" s="115">
        <v>3773</v>
      </c>
      <c r="H98" s="115">
        <v>10296</v>
      </c>
      <c r="I98" s="115">
        <v>5467</v>
      </c>
      <c r="J98" s="115">
        <v>15703</v>
      </c>
    </row>
    <row r="99" spans="2:10" x14ac:dyDescent="0.2">
      <c r="B99" s="114">
        <v>43647</v>
      </c>
      <c r="C99" s="115">
        <v>1268</v>
      </c>
      <c r="D99" s="115">
        <v>4145</v>
      </c>
      <c r="E99" s="115">
        <v>119</v>
      </c>
      <c r="F99" s="115">
        <v>491</v>
      </c>
      <c r="G99" s="115">
        <v>4075</v>
      </c>
      <c r="H99" s="115">
        <v>11015</v>
      </c>
      <c r="I99" s="115">
        <v>5462</v>
      </c>
      <c r="J99" s="115">
        <v>15651</v>
      </c>
    </row>
    <row r="100" spans="2:10" x14ac:dyDescent="0.2">
      <c r="B100" s="114">
        <v>43678</v>
      </c>
      <c r="C100" s="115">
        <v>1754</v>
      </c>
      <c r="D100" s="115">
        <v>5263</v>
      </c>
      <c r="E100" s="115">
        <v>194</v>
      </c>
      <c r="F100" s="115">
        <v>769</v>
      </c>
      <c r="G100" s="115">
        <v>3280</v>
      </c>
      <c r="H100" s="115">
        <v>9481</v>
      </c>
      <c r="I100" s="115">
        <v>5228</v>
      </c>
      <c r="J100" s="115">
        <v>15513</v>
      </c>
    </row>
    <row r="101" spans="2:10" x14ac:dyDescent="0.2">
      <c r="B101" s="114">
        <v>43709</v>
      </c>
      <c r="C101" s="115">
        <v>1699</v>
      </c>
      <c r="D101" s="115">
        <v>5345</v>
      </c>
      <c r="E101" s="115">
        <v>173</v>
      </c>
      <c r="F101" s="115">
        <v>649</v>
      </c>
      <c r="G101" s="115">
        <v>3976</v>
      </c>
      <c r="H101" s="115">
        <v>10889</v>
      </c>
      <c r="I101" s="115">
        <v>5848</v>
      </c>
      <c r="J101" s="115">
        <v>16883</v>
      </c>
    </row>
    <row r="102" spans="2:10" x14ac:dyDescent="0.2">
      <c r="B102" s="114">
        <v>43739</v>
      </c>
      <c r="C102" s="115">
        <v>1702</v>
      </c>
      <c r="D102" s="115">
        <v>5319</v>
      </c>
      <c r="E102" s="115">
        <v>176</v>
      </c>
      <c r="F102" s="115">
        <v>664</v>
      </c>
      <c r="G102" s="115">
        <v>4777</v>
      </c>
      <c r="H102" s="115">
        <v>13052</v>
      </c>
      <c r="I102" s="115">
        <v>6655</v>
      </c>
      <c r="J102" s="115">
        <v>19035</v>
      </c>
    </row>
    <row r="103" spans="2:10" x14ac:dyDescent="0.2">
      <c r="B103" s="114">
        <v>43770</v>
      </c>
      <c r="C103" s="115">
        <v>1481</v>
      </c>
      <c r="D103" s="115">
        <v>4688</v>
      </c>
      <c r="E103" s="115">
        <v>133</v>
      </c>
      <c r="F103" s="115">
        <v>524</v>
      </c>
      <c r="G103" s="115">
        <v>2191</v>
      </c>
      <c r="H103" s="115">
        <v>6559</v>
      </c>
      <c r="I103" s="115">
        <v>3805</v>
      </c>
      <c r="J103" s="115">
        <v>11771</v>
      </c>
    </row>
    <row r="104" spans="2:10" x14ac:dyDescent="0.2">
      <c r="B104" s="114">
        <v>43800</v>
      </c>
      <c r="C104" s="115">
        <v>1336</v>
      </c>
      <c r="D104" s="115">
        <v>4183</v>
      </c>
      <c r="E104" s="115">
        <v>108</v>
      </c>
      <c r="F104" s="115">
        <v>440</v>
      </c>
      <c r="G104" s="115">
        <v>4914</v>
      </c>
      <c r="H104" s="115">
        <v>13478</v>
      </c>
      <c r="I104" s="115">
        <v>6358</v>
      </c>
      <c r="J104" s="115">
        <v>18101</v>
      </c>
    </row>
    <row r="105" spans="2:10" x14ac:dyDescent="0.2">
      <c r="B105" s="116">
        <v>2019</v>
      </c>
      <c r="C105" s="117">
        <f>SUM(C93:C104)</f>
        <v>18684</v>
      </c>
      <c r="D105" s="117">
        <f t="shared" ref="D105:J105" si="10">SUM(D93:D104)</f>
        <v>59185</v>
      </c>
      <c r="E105" s="117">
        <f t="shared" si="10"/>
        <v>1898</v>
      </c>
      <c r="F105" s="117">
        <f t="shared" si="10"/>
        <v>7582</v>
      </c>
      <c r="G105" s="117">
        <f t="shared" si="10"/>
        <v>45308</v>
      </c>
      <c r="H105" s="117">
        <f t="shared" si="10"/>
        <v>126920</v>
      </c>
      <c r="I105" s="117">
        <f t="shared" si="10"/>
        <v>65890</v>
      </c>
      <c r="J105" s="117">
        <f t="shared" si="10"/>
        <v>193687</v>
      </c>
    </row>
    <row r="106" spans="2:10" x14ac:dyDescent="0.2">
      <c r="B106" s="114">
        <v>43831</v>
      </c>
      <c r="C106" s="115">
        <v>2201</v>
      </c>
      <c r="D106" s="115">
        <v>6965</v>
      </c>
      <c r="E106" s="115">
        <v>189</v>
      </c>
      <c r="F106" s="115">
        <v>759</v>
      </c>
      <c r="G106" s="115">
        <v>4583</v>
      </c>
      <c r="H106" s="115">
        <v>12850</v>
      </c>
      <c r="I106" s="115">
        <f t="shared" ref="I106:J107" si="11">C106+E106+G106</f>
        <v>6973</v>
      </c>
      <c r="J106" s="115">
        <f t="shared" si="11"/>
        <v>20574</v>
      </c>
    </row>
    <row r="107" spans="2:10" x14ac:dyDescent="0.2">
      <c r="B107" s="114">
        <v>43862</v>
      </c>
      <c r="C107" s="115">
        <v>1863</v>
      </c>
      <c r="D107" s="115">
        <v>5801</v>
      </c>
      <c r="E107" s="115">
        <v>280</v>
      </c>
      <c r="F107" s="115">
        <v>1068</v>
      </c>
      <c r="G107" s="115">
        <v>4722</v>
      </c>
      <c r="H107" s="115">
        <v>13234</v>
      </c>
      <c r="I107" s="115">
        <f t="shared" si="11"/>
        <v>6865</v>
      </c>
      <c r="J107" s="115">
        <f t="shared" si="11"/>
        <v>20103</v>
      </c>
    </row>
    <row r="108" spans="2:10" x14ac:dyDescent="0.2">
      <c r="B108" s="114">
        <v>43891</v>
      </c>
      <c r="C108" s="115">
        <v>1546</v>
      </c>
      <c r="D108" s="115">
        <v>4795</v>
      </c>
      <c r="E108" s="115">
        <v>263</v>
      </c>
      <c r="F108" s="115">
        <v>982</v>
      </c>
      <c r="G108" s="115">
        <v>4641</v>
      </c>
      <c r="H108" s="115">
        <v>11822</v>
      </c>
      <c r="I108" s="115">
        <f t="shared" ref="I108:I111" si="12">C108+E108+G108</f>
        <v>6450</v>
      </c>
      <c r="J108" s="115">
        <f t="shared" ref="J108:J111" si="13">D108+F108+H108</f>
        <v>17599</v>
      </c>
    </row>
    <row r="109" spans="2:10" x14ac:dyDescent="0.2">
      <c r="B109" s="114">
        <v>43922</v>
      </c>
      <c r="C109" s="115">
        <v>1051</v>
      </c>
      <c r="D109" s="115">
        <v>3202</v>
      </c>
      <c r="E109" s="115">
        <v>187</v>
      </c>
      <c r="F109" s="115">
        <v>651</v>
      </c>
      <c r="G109" s="115">
        <v>1882</v>
      </c>
      <c r="H109" s="115">
        <v>5219</v>
      </c>
      <c r="I109" s="115">
        <f t="shared" si="12"/>
        <v>3120</v>
      </c>
      <c r="J109" s="115">
        <f t="shared" si="13"/>
        <v>9072</v>
      </c>
    </row>
    <row r="110" spans="2:10" x14ac:dyDescent="0.2">
      <c r="B110" s="114">
        <v>43952</v>
      </c>
      <c r="C110" s="115">
        <v>909</v>
      </c>
      <c r="D110" s="115">
        <v>2848</v>
      </c>
      <c r="E110" s="115">
        <v>78</v>
      </c>
      <c r="F110" s="115">
        <v>231</v>
      </c>
      <c r="G110" s="115">
        <v>2681</v>
      </c>
      <c r="H110" s="115">
        <v>7557</v>
      </c>
      <c r="I110" s="115">
        <f t="shared" si="12"/>
        <v>3668</v>
      </c>
      <c r="J110" s="115">
        <f t="shared" si="13"/>
        <v>10636</v>
      </c>
    </row>
    <row r="111" spans="2:10" x14ac:dyDescent="0.2">
      <c r="B111" s="114">
        <v>43983</v>
      </c>
      <c r="C111" s="115">
        <v>993</v>
      </c>
      <c r="D111" s="115">
        <v>3330</v>
      </c>
      <c r="E111" s="115">
        <v>84</v>
      </c>
      <c r="F111" s="115">
        <v>288</v>
      </c>
      <c r="G111" s="115">
        <v>2933</v>
      </c>
      <c r="H111" s="115">
        <v>8252</v>
      </c>
      <c r="I111" s="115">
        <f t="shared" si="12"/>
        <v>4010</v>
      </c>
      <c r="J111" s="115">
        <f t="shared" si="13"/>
        <v>11870</v>
      </c>
    </row>
    <row r="112" spans="2:10" x14ac:dyDescent="0.2">
      <c r="B112" s="114">
        <v>44013</v>
      </c>
      <c r="C112" s="115">
        <v>986</v>
      </c>
      <c r="D112" s="115">
        <v>3235</v>
      </c>
      <c r="E112" s="115">
        <v>89</v>
      </c>
      <c r="F112" s="115">
        <v>315</v>
      </c>
      <c r="G112" s="115">
        <v>2624</v>
      </c>
      <c r="H112" s="115">
        <v>7519</v>
      </c>
      <c r="I112" s="115">
        <f t="shared" ref="I112:I113" si="14">C112+E112+G112</f>
        <v>3699</v>
      </c>
      <c r="J112" s="115">
        <f t="shared" ref="J112:J113" si="15">D112+F112+H112</f>
        <v>11069</v>
      </c>
    </row>
    <row r="113" spans="2:10" x14ac:dyDescent="0.2">
      <c r="B113" s="114">
        <v>44044</v>
      </c>
      <c r="C113" s="115">
        <v>1480</v>
      </c>
      <c r="D113" s="115">
        <v>4797</v>
      </c>
      <c r="E113" s="115">
        <v>118</v>
      </c>
      <c r="F113" s="115">
        <v>473</v>
      </c>
      <c r="G113" s="115">
        <v>4002</v>
      </c>
      <c r="H113" s="115">
        <v>11251</v>
      </c>
      <c r="I113" s="115">
        <f t="shared" si="14"/>
        <v>5600</v>
      </c>
      <c r="J113" s="115">
        <f t="shared" si="15"/>
        <v>16521</v>
      </c>
    </row>
    <row r="114" spans="2:10" x14ac:dyDescent="0.2">
      <c r="B114" s="114">
        <v>44075</v>
      </c>
      <c r="C114" s="115">
        <v>1186</v>
      </c>
      <c r="D114" s="115">
        <v>3543</v>
      </c>
      <c r="E114" s="115">
        <v>159</v>
      </c>
      <c r="F114" s="115">
        <v>638</v>
      </c>
      <c r="G114" s="115">
        <v>4911</v>
      </c>
      <c r="H114" s="115">
        <v>13887</v>
      </c>
      <c r="I114" s="115">
        <f t="shared" ref="I114" si="16">C114+E114+G114</f>
        <v>6256</v>
      </c>
      <c r="J114" s="115">
        <f t="shared" ref="J114" si="17">D114+F114+H114</f>
        <v>18068</v>
      </c>
    </row>
    <row r="115" spans="2:10" x14ac:dyDescent="0.2">
      <c r="B115" s="114">
        <v>44105</v>
      </c>
      <c r="C115" s="115">
        <v>1467</v>
      </c>
      <c r="D115" s="115">
        <v>4681</v>
      </c>
      <c r="E115" s="115">
        <v>192</v>
      </c>
      <c r="F115" s="115">
        <v>699</v>
      </c>
      <c r="G115" s="115">
        <v>5018</v>
      </c>
      <c r="H115" s="115">
        <v>14011</v>
      </c>
      <c r="I115" s="115">
        <f t="shared" ref="I115:I117" si="18">C115+E115+G115</f>
        <v>6677</v>
      </c>
      <c r="J115" s="115">
        <f t="shared" ref="J115:J117" si="19">D115+F115+H115</f>
        <v>19391</v>
      </c>
    </row>
    <row r="116" spans="2:10" x14ac:dyDescent="0.2">
      <c r="B116" s="114">
        <v>44136</v>
      </c>
      <c r="C116" s="115">
        <v>1677</v>
      </c>
      <c r="D116" s="115">
        <v>5559</v>
      </c>
      <c r="E116" s="115">
        <v>165</v>
      </c>
      <c r="F116" s="115">
        <v>618</v>
      </c>
      <c r="G116" s="115">
        <v>5429</v>
      </c>
      <c r="H116" s="115">
        <v>14876</v>
      </c>
      <c r="I116" s="115">
        <f t="shared" si="18"/>
        <v>7271</v>
      </c>
      <c r="J116" s="115">
        <f t="shared" si="19"/>
        <v>21053</v>
      </c>
    </row>
    <row r="117" spans="2:10" x14ac:dyDescent="0.2">
      <c r="B117" s="114">
        <v>44166</v>
      </c>
      <c r="C117" s="115">
        <v>1800</v>
      </c>
      <c r="D117" s="115">
        <v>5642</v>
      </c>
      <c r="E117" s="115">
        <v>202</v>
      </c>
      <c r="F117" s="115">
        <v>734</v>
      </c>
      <c r="G117" s="115">
        <v>5058</v>
      </c>
      <c r="H117" s="115">
        <v>13896</v>
      </c>
      <c r="I117" s="115">
        <f t="shared" si="18"/>
        <v>7060</v>
      </c>
      <c r="J117" s="115">
        <f t="shared" si="19"/>
        <v>20272</v>
      </c>
    </row>
    <row r="118" spans="2:10" x14ac:dyDescent="0.2">
      <c r="B118" s="116">
        <v>2020</v>
      </c>
      <c r="C118" s="117">
        <f>SUM(C106:C117)</f>
        <v>17159</v>
      </c>
      <c r="D118" s="117">
        <f t="shared" ref="D118:J118" si="20">SUM(D106:D117)</f>
        <v>54398</v>
      </c>
      <c r="E118" s="117">
        <f t="shared" si="20"/>
        <v>2006</v>
      </c>
      <c r="F118" s="117">
        <f t="shared" si="20"/>
        <v>7456</v>
      </c>
      <c r="G118" s="117">
        <f t="shared" si="20"/>
        <v>48484</v>
      </c>
      <c r="H118" s="117">
        <f t="shared" si="20"/>
        <v>134374</v>
      </c>
      <c r="I118" s="117">
        <f t="shared" si="20"/>
        <v>67649</v>
      </c>
      <c r="J118" s="117">
        <f t="shared" si="20"/>
        <v>196228</v>
      </c>
    </row>
    <row r="119" spans="2:10" x14ac:dyDescent="0.2">
      <c r="B119" s="114">
        <v>44197</v>
      </c>
      <c r="C119" s="115">
        <v>1411</v>
      </c>
      <c r="D119" s="115">
        <v>4622</v>
      </c>
      <c r="E119" s="115">
        <v>155</v>
      </c>
      <c r="F119" s="115">
        <v>625</v>
      </c>
      <c r="G119" s="115">
        <v>4306</v>
      </c>
      <c r="H119" s="115">
        <v>11827</v>
      </c>
      <c r="I119" s="115">
        <f t="shared" ref="I119:J122" si="21">C119+E119+G119</f>
        <v>5872</v>
      </c>
      <c r="J119" s="115">
        <f t="shared" si="21"/>
        <v>17074</v>
      </c>
    </row>
    <row r="120" spans="2:10" x14ac:dyDescent="0.2">
      <c r="B120" s="114">
        <v>44228</v>
      </c>
      <c r="C120" s="115">
        <v>1495</v>
      </c>
      <c r="D120" s="115">
        <v>4904</v>
      </c>
      <c r="E120" s="115">
        <v>139</v>
      </c>
      <c r="F120" s="115">
        <v>531</v>
      </c>
      <c r="G120" s="115">
        <v>4764</v>
      </c>
      <c r="H120" s="115">
        <v>12927</v>
      </c>
      <c r="I120" s="115">
        <f t="shared" si="21"/>
        <v>6398</v>
      </c>
      <c r="J120" s="115">
        <f t="shared" si="21"/>
        <v>18362</v>
      </c>
    </row>
    <row r="121" spans="2:10" x14ac:dyDescent="0.2">
      <c r="B121" s="114">
        <v>44256</v>
      </c>
      <c r="C121" s="115">
        <v>1529</v>
      </c>
      <c r="D121" s="115">
        <v>4851</v>
      </c>
      <c r="E121" s="115">
        <v>159</v>
      </c>
      <c r="F121" s="115">
        <v>584</v>
      </c>
      <c r="G121" s="115">
        <v>4596</v>
      </c>
      <c r="H121" s="115">
        <v>12534</v>
      </c>
      <c r="I121" s="115">
        <f t="shared" si="21"/>
        <v>6284</v>
      </c>
      <c r="J121" s="115">
        <f t="shared" si="21"/>
        <v>17969</v>
      </c>
    </row>
    <row r="122" spans="2:10" x14ac:dyDescent="0.2">
      <c r="B122" s="114">
        <v>44287</v>
      </c>
      <c r="C122" s="115">
        <v>1554</v>
      </c>
      <c r="D122" s="115">
        <v>4890</v>
      </c>
      <c r="E122" s="115">
        <v>204</v>
      </c>
      <c r="F122" s="115">
        <v>672</v>
      </c>
      <c r="G122" s="115">
        <v>3887</v>
      </c>
      <c r="H122" s="115">
        <v>10535</v>
      </c>
      <c r="I122" s="115">
        <f t="shared" si="21"/>
        <v>5645</v>
      </c>
      <c r="J122" s="115">
        <f t="shared" si="21"/>
        <v>16097</v>
      </c>
    </row>
    <row r="123" spans="2:10" x14ac:dyDescent="0.2">
      <c r="B123" s="114">
        <v>44317</v>
      </c>
      <c r="C123" s="115">
        <v>1339</v>
      </c>
      <c r="D123" s="115">
        <v>4387</v>
      </c>
      <c r="E123" s="115">
        <v>188</v>
      </c>
      <c r="F123" s="115">
        <v>681</v>
      </c>
      <c r="G123" s="115">
        <v>4727</v>
      </c>
      <c r="H123" s="115">
        <v>12674</v>
      </c>
      <c r="I123" s="115">
        <f t="shared" ref="I123" si="22">C123+E123+G123</f>
        <v>6254</v>
      </c>
      <c r="J123" s="115">
        <f t="shared" ref="J123" si="23">D123+F123+H123</f>
        <v>17742</v>
      </c>
    </row>
    <row r="124" spans="2:10" x14ac:dyDescent="0.2">
      <c r="B124" s="114">
        <v>44348</v>
      </c>
      <c r="C124" s="115">
        <v>1705</v>
      </c>
      <c r="D124" s="115">
        <v>5296</v>
      </c>
      <c r="E124" s="115">
        <v>180</v>
      </c>
      <c r="F124" s="115">
        <v>647</v>
      </c>
      <c r="G124" s="115">
        <v>4571</v>
      </c>
      <c r="H124" s="115">
        <v>12236</v>
      </c>
      <c r="I124" s="115">
        <f t="shared" ref="I124:I126" si="24">C124+E124+G124</f>
        <v>6456</v>
      </c>
      <c r="J124" s="115">
        <f t="shared" ref="J124:J126" si="25">D124+F124+H124</f>
        <v>18179</v>
      </c>
    </row>
    <row r="125" spans="2:10" x14ac:dyDescent="0.2">
      <c r="B125" s="114">
        <v>44378</v>
      </c>
      <c r="C125" s="115">
        <v>1501</v>
      </c>
      <c r="D125" s="115">
        <v>4957</v>
      </c>
      <c r="E125" s="115">
        <v>165</v>
      </c>
      <c r="F125" s="115">
        <v>584</v>
      </c>
      <c r="G125" s="115">
        <v>4456</v>
      </c>
      <c r="H125" s="115">
        <v>12115</v>
      </c>
      <c r="I125" s="115">
        <f t="shared" si="24"/>
        <v>6122</v>
      </c>
      <c r="J125" s="115">
        <f t="shared" si="25"/>
        <v>17656</v>
      </c>
    </row>
    <row r="126" spans="2:10" x14ac:dyDescent="0.2">
      <c r="B126" s="114">
        <v>44409</v>
      </c>
      <c r="C126" s="115">
        <v>1958</v>
      </c>
      <c r="D126" s="115">
        <v>6075</v>
      </c>
      <c r="E126" s="115">
        <v>199</v>
      </c>
      <c r="F126" s="115">
        <v>683</v>
      </c>
      <c r="G126" s="115">
        <v>5531</v>
      </c>
      <c r="H126" s="115">
        <v>15024</v>
      </c>
      <c r="I126" s="115">
        <f t="shared" si="24"/>
        <v>7688</v>
      </c>
      <c r="J126" s="115">
        <f t="shared" si="25"/>
        <v>21782</v>
      </c>
    </row>
    <row r="127" spans="2:10" x14ac:dyDescent="0.2">
      <c r="B127" s="114">
        <v>44440</v>
      </c>
      <c r="C127" s="115">
        <v>2110</v>
      </c>
      <c r="D127" s="115">
        <v>6529</v>
      </c>
      <c r="E127" s="115">
        <v>220</v>
      </c>
      <c r="F127" s="115">
        <v>837</v>
      </c>
      <c r="G127" s="115">
        <v>5212</v>
      </c>
      <c r="H127" s="115">
        <v>13910</v>
      </c>
      <c r="I127" s="115">
        <f t="shared" ref="I127:I133" si="26">C127+E127+G127</f>
        <v>7542</v>
      </c>
      <c r="J127" s="115">
        <f t="shared" ref="J127:J133" si="27">D127+F127+H127</f>
        <v>21276</v>
      </c>
    </row>
    <row r="128" spans="2:10" x14ac:dyDescent="0.2">
      <c r="B128" s="114">
        <v>44470</v>
      </c>
      <c r="C128" s="115">
        <v>1995</v>
      </c>
      <c r="D128" s="115">
        <v>6274</v>
      </c>
      <c r="E128" s="115">
        <v>253</v>
      </c>
      <c r="F128" s="115">
        <v>909</v>
      </c>
      <c r="G128" s="115">
        <v>5673</v>
      </c>
      <c r="H128" s="115">
        <v>15241</v>
      </c>
      <c r="I128" s="115">
        <f t="shared" ref="I128:I129" si="28">C128+E128+G128</f>
        <v>7921</v>
      </c>
      <c r="J128" s="115">
        <f t="shared" ref="J128:J129" si="29">D128+F128+H128</f>
        <v>22424</v>
      </c>
    </row>
    <row r="129" spans="2:10" x14ac:dyDescent="0.2">
      <c r="B129" s="114">
        <v>44501</v>
      </c>
      <c r="C129" s="115">
        <v>2001</v>
      </c>
      <c r="D129" s="115">
        <v>6341</v>
      </c>
      <c r="E129" s="115">
        <v>307</v>
      </c>
      <c r="F129" s="115">
        <v>1121</v>
      </c>
      <c r="G129" s="115">
        <v>5341</v>
      </c>
      <c r="H129" s="115">
        <v>14390</v>
      </c>
      <c r="I129" s="115">
        <f t="shared" si="28"/>
        <v>7649</v>
      </c>
      <c r="J129" s="115">
        <f t="shared" si="29"/>
        <v>21852</v>
      </c>
    </row>
    <row r="130" spans="2:10" x14ac:dyDescent="0.2">
      <c r="B130" s="114">
        <v>44531</v>
      </c>
      <c r="C130" s="115">
        <v>2034</v>
      </c>
      <c r="D130" s="115">
        <v>6415</v>
      </c>
      <c r="E130" s="115">
        <v>294</v>
      </c>
      <c r="F130" s="115">
        <v>1037</v>
      </c>
      <c r="G130" s="115">
        <v>5520</v>
      </c>
      <c r="H130" s="115">
        <v>14702</v>
      </c>
      <c r="I130" s="115">
        <f t="shared" ref="I130" si="30">C130+E130+G130</f>
        <v>7848</v>
      </c>
      <c r="J130" s="115">
        <f t="shared" ref="J130" si="31">D130+F130+H130</f>
        <v>22154</v>
      </c>
    </row>
    <row r="131" spans="2:10" x14ac:dyDescent="0.2">
      <c r="B131" s="116">
        <v>2021</v>
      </c>
      <c r="C131" s="117">
        <f>SUM(C119:C130)</f>
        <v>20632</v>
      </c>
      <c r="D131" s="117">
        <f t="shared" ref="D131:H131" si="32">SUM(D119:D130)</f>
        <v>65541</v>
      </c>
      <c r="E131" s="117">
        <f t="shared" si="32"/>
        <v>2463</v>
      </c>
      <c r="F131" s="117">
        <f t="shared" si="32"/>
        <v>8911</v>
      </c>
      <c r="G131" s="117">
        <f t="shared" si="32"/>
        <v>58584</v>
      </c>
      <c r="H131" s="117">
        <f t="shared" si="32"/>
        <v>158115</v>
      </c>
      <c r="I131" s="117">
        <f t="shared" si="26"/>
        <v>81679</v>
      </c>
      <c r="J131" s="117">
        <f t="shared" si="27"/>
        <v>232567</v>
      </c>
    </row>
    <row r="132" spans="2:10" x14ac:dyDescent="0.2">
      <c r="B132" s="114">
        <v>44562</v>
      </c>
      <c r="C132" s="115">
        <v>2127</v>
      </c>
      <c r="D132" s="115">
        <v>6604</v>
      </c>
      <c r="E132" s="115">
        <v>322</v>
      </c>
      <c r="F132" s="115">
        <v>1143</v>
      </c>
      <c r="G132" s="115">
        <v>5219</v>
      </c>
      <c r="H132" s="115">
        <v>14359</v>
      </c>
      <c r="I132" s="115">
        <f t="shared" si="26"/>
        <v>7668</v>
      </c>
      <c r="J132" s="115">
        <f t="shared" si="27"/>
        <v>22106</v>
      </c>
    </row>
    <row r="133" spans="2:10" x14ac:dyDescent="0.2">
      <c r="B133" s="114">
        <v>44593</v>
      </c>
      <c r="C133" s="115">
        <v>823</v>
      </c>
      <c r="D133" s="115">
        <v>2334</v>
      </c>
      <c r="E133" s="115">
        <v>205</v>
      </c>
      <c r="F133" s="115">
        <v>664</v>
      </c>
      <c r="G133" s="115">
        <v>9346</v>
      </c>
      <c r="H133" s="115">
        <v>23879</v>
      </c>
      <c r="I133" s="115">
        <f t="shared" si="26"/>
        <v>10374</v>
      </c>
      <c r="J133" s="115">
        <f t="shared" si="27"/>
        <v>26877</v>
      </c>
    </row>
    <row r="134" spans="2:10" x14ac:dyDescent="0.2">
      <c r="B134" s="114">
        <v>44621</v>
      </c>
      <c r="C134" s="115">
        <v>2362</v>
      </c>
      <c r="D134" s="115">
        <v>7292</v>
      </c>
      <c r="E134" s="115">
        <v>180</v>
      </c>
      <c r="F134" s="115">
        <v>602</v>
      </c>
      <c r="G134" s="115">
        <v>6973</v>
      </c>
      <c r="H134" s="115">
        <v>17491</v>
      </c>
      <c r="I134" s="115">
        <f t="shared" ref="I134" si="33">C134+E134+G134</f>
        <v>9515</v>
      </c>
      <c r="J134" s="115">
        <f t="shared" ref="J134" si="34">D134+F134+H134</f>
        <v>25385</v>
      </c>
    </row>
    <row r="135" spans="2:10" x14ac:dyDescent="0.2">
      <c r="B135" s="114">
        <v>44652</v>
      </c>
      <c r="C135" s="115">
        <v>4289</v>
      </c>
      <c r="D135" s="115">
        <v>13350</v>
      </c>
      <c r="E135" s="115">
        <v>873</v>
      </c>
      <c r="F135" s="115">
        <v>3126</v>
      </c>
      <c r="G135" s="115">
        <v>6323</v>
      </c>
      <c r="H135" s="115">
        <v>16898</v>
      </c>
      <c r="I135" s="115">
        <f t="shared" ref="I135:I137" si="35">C135+E135+G135</f>
        <v>11485</v>
      </c>
      <c r="J135" s="115">
        <f t="shared" ref="J135:J137" si="36">D135+F135+H135</f>
        <v>33374</v>
      </c>
    </row>
    <row r="136" spans="2:10" x14ac:dyDescent="0.2">
      <c r="B136" s="114">
        <v>44682</v>
      </c>
      <c r="C136" s="115">
        <v>1956</v>
      </c>
      <c r="D136" s="115">
        <v>5953</v>
      </c>
      <c r="E136" s="115">
        <v>514</v>
      </c>
      <c r="F136" s="115">
        <v>1992</v>
      </c>
      <c r="G136" s="115">
        <v>6279</v>
      </c>
      <c r="H136" s="115">
        <v>15696</v>
      </c>
      <c r="I136" s="115">
        <f t="shared" si="35"/>
        <v>8749</v>
      </c>
      <c r="J136" s="115">
        <f t="shared" si="36"/>
        <v>23641</v>
      </c>
    </row>
    <row r="137" spans="2:10" x14ac:dyDescent="0.2">
      <c r="B137" s="114">
        <v>44713</v>
      </c>
      <c r="C137" s="115">
        <v>1649</v>
      </c>
      <c r="D137" s="115">
        <v>5071</v>
      </c>
      <c r="E137" s="115">
        <v>372</v>
      </c>
      <c r="F137" s="115">
        <v>1451</v>
      </c>
      <c r="G137" s="115">
        <v>6680</v>
      </c>
      <c r="H137" s="115">
        <v>17868</v>
      </c>
      <c r="I137" s="115">
        <f t="shared" si="35"/>
        <v>8701</v>
      </c>
      <c r="J137" s="115">
        <f t="shared" si="36"/>
        <v>24390</v>
      </c>
    </row>
    <row r="138" spans="2:10" x14ac:dyDescent="0.2">
      <c r="B138" s="272" t="s">
        <v>621</v>
      </c>
      <c r="C138" s="117">
        <f>SUM(C132:C137)</f>
        <v>13206</v>
      </c>
      <c r="D138" s="117">
        <f t="shared" ref="D138:H138" si="37">SUM(D132:D137)</f>
        <v>40604</v>
      </c>
      <c r="E138" s="117">
        <f t="shared" si="37"/>
        <v>2466</v>
      </c>
      <c r="F138" s="117">
        <f t="shared" si="37"/>
        <v>8978</v>
      </c>
      <c r="G138" s="117">
        <f t="shared" si="37"/>
        <v>40820</v>
      </c>
      <c r="H138" s="117">
        <f t="shared" si="37"/>
        <v>106191</v>
      </c>
      <c r="I138" s="117">
        <f t="shared" ref="I138" si="38">C138+E138+G138</f>
        <v>56492</v>
      </c>
      <c r="J138" s="117">
        <f t="shared" ref="J138" si="39">D138+F138+H138</f>
        <v>155773</v>
      </c>
    </row>
    <row r="139" spans="2:10" x14ac:dyDescent="0.2">
      <c r="B139" s="378" t="s">
        <v>20</v>
      </c>
      <c r="C139" s="378"/>
      <c r="D139" s="378"/>
      <c r="E139" s="378"/>
      <c r="F139" s="378"/>
      <c r="G139" s="378"/>
      <c r="H139" s="378"/>
      <c r="I139" s="172">
        <f>I11+I12+I13+I14+I27+I40+I53+I66+I79+I92+I105+I118+I131+I138</f>
        <v>860109</v>
      </c>
      <c r="J139" s="172">
        <f>J11+J12+J13+J14+J27+J40+J53+J66+J79+J92+J105+J118+J131+J138</f>
        <v>2803822</v>
      </c>
    </row>
    <row r="140" spans="2:10" x14ac:dyDescent="0.2">
      <c r="B140" s="21" t="s">
        <v>419</v>
      </c>
    </row>
    <row r="141" spans="2:10" x14ac:dyDescent="0.2">
      <c r="B141" s="21" t="s">
        <v>420</v>
      </c>
    </row>
    <row r="142" spans="2:10" x14ac:dyDescent="0.2">
      <c r="B142" s="21" t="s">
        <v>421</v>
      </c>
    </row>
  </sheetData>
  <mergeCells count="9">
    <mergeCell ref="B139:H139"/>
    <mergeCell ref="B5:J5"/>
    <mergeCell ref="B6:J6"/>
    <mergeCell ref="B8:B10"/>
    <mergeCell ref="C8:J8"/>
    <mergeCell ref="C9:D9"/>
    <mergeCell ref="E9:F9"/>
    <mergeCell ref="G9:H9"/>
    <mergeCell ref="I9:J9"/>
  </mergeCells>
  <hyperlinks>
    <hyperlink ref="L5" location="'Índice BxH'!A1" display="Volver a Bono por Hijo" xr:uid="{00000000-0004-0000-1800-000000000000}"/>
  </hyperlinks>
  <pageMargins left="0.7" right="0.7" top="0.75" bottom="0.75" header="0.3" footer="0.3"/>
  <pageSetup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L129"/>
  <sheetViews>
    <sheetView showGridLines="0" zoomScale="90" zoomScaleNormal="90" workbookViewId="0">
      <pane xSplit="2" ySplit="9" topLeftCell="C85" activePane="bottomRight" state="frozen"/>
      <selection activeCell="B6" sqref="B6:J6"/>
      <selection pane="topRight" activeCell="B6" sqref="B6:J6"/>
      <selection pane="bottomLeft" activeCell="B6" sqref="B6:J6"/>
      <selection pane="bottomRight" activeCell="B7" sqref="B7"/>
    </sheetView>
  </sheetViews>
  <sheetFormatPr baseColWidth="10" defaultRowHeight="12" x14ac:dyDescent="0.2"/>
  <cols>
    <col min="1" max="1" width="6" style="21" customWidth="1"/>
    <col min="2" max="2" width="13.85546875" style="21" customWidth="1"/>
    <col min="3" max="3" width="21.28515625" style="21" customWidth="1"/>
    <col min="4" max="4" width="19.140625" style="21" customWidth="1"/>
    <col min="5" max="5" width="16.85546875" style="21" customWidth="1"/>
    <col min="6" max="257" width="11.42578125" style="21"/>
    <col min="258" max="258" width="13.85546875" style="21" customWidth="1"/>
    <col min="259" max="259" width="21.28515625" style="21" customWidth="1"/>
    <col min="260" max="260" width="19.140625" style="21" customWidth="1"/>
    <col min="261" max="261" width="16.85546875" style="21" customWidth="1"/>
    <col min="262" max="513" width="11.42578125" style="21"/>
    <col min="514" max="514" width="13.85546875" style="21" customWidth="1"/>
    <col min="515" max="515" width="21.28515625" style="21" customWidth="1"/>
    <col min="516" max="516" width="19.140625" style="21" customWidth="1"/>
    <col min="517" max="517" width="16.85546875" style="21" customWidth="1"/>
    <col min="518" max="769" width="11.42578125" style="21"/>
    <col min="770" max="770" width="13.85546875" style="21" customWidth="1"/>
    <col min="771" max="771" width="21.28515625" style="21" customWidth="1"/>
    <col min="772" max="772" width="19.140625" style="21" customWidth="1"/>
    <col min="773" max="773" width="16.85546875" style="21" customWidth="1"/>
    <col min="774" max="1025" width="11.42578125" style="21"/>
    <col min="1026" max="1026" width="13.85546875" style="21" customWidth="1"/>
    <col min="1027" max="1027" width="21.28515625" style="21" customWidth="1"/>
    <col min="1028" max="1028" width="19.140625" style="21" customWidth="1"/>
    <col min="1029" max="1029" width="16.85546875" style="21" customWidth="1"/>
    <col min="1030" max="1281" width="11.42578125" style="21"/>
    <col min="1282" max="1282" width="13.85546875" style="21" customWidth="1"/>
    <col min="1283" max="1283" width="21.28515625" style="21" customWidth="1"/>
    <col min="1284" max="1284" width="19.140625" style="21" customWidth="1"/>
    <col min="1285" max="1285" width="16.85546875" style="21" customWidth="1"/>
    <col min="1286" max="1537" width="11.42578125" style="21"/>
    <col min="1538" max="1538" width="13.85546875" style="21" customWidth="1"/>
    <col min="1539" max="1539" width="21.28515625" style="21" customWidth="1"/>
    <col min="1540" max="1540" width="19.140625" style="21" customWidth="1"/>
    <col min="1541" max="1541" width="16.85546875" style="21" customWidth="1"/>
    <col min="1542" max="1793" width="11.42578125" style="21"/>
    <col min="1794" max="1794" width="13.85546875" style="21" customWidth="1"/>
    <col min="1795" max="1795" width="21.28515625" style="21" customWidth="1"/>
    <col min="1796" max="1796" width="19.140625" style="21" customWidth="1"/>
    <col min="1797" max="1797" width="16.85546875" style="21" customWidth="1"/>
    <col min="1798" max="2049" width="11.42578125" style="21"/>
    <col min="2050" max="2050" width="13.85546875" style="21" customWidth="1"/>
    <col min="2051" max="2051" width="21.28515625" style="21" customWidth="1"/>
    <col min="2052" max="2052" width="19.140625" style="21" customWidth="1"/>
    <col min="2053" max="2053" width="16.85546875" style="21" customWidth="1"/>
    <col min="2054" max="2305" width="11.42578125" style="21"/>
    <col min="2306" max="2306" width="13.85546875" style="21" customWidth="1"/>
    <col min="2307" max="2307" width="21.28515625" style="21" customWidth="1"/>
    <col min="2308" max="2308" width="19.140625" style="21" customWidth="1"/>
    <col min="2309" max="2309" width="16.85546875" style="21" customWidth="1"/>
    <col min="2310" max="2561" width="11.42578125" style="21"/>
    <col min="2562" max="2562" width="13.85546875" style="21" customWidth="1"/>
    <col min="2563" max="2563" width="21.28515625" style="21" customWidth="1"/>
    <col min="2564" max="2564" width="19.140625" style="21" customWidth="1"/>
    <col min="2565" max="2565" width="16.85546875" style="21" customWidth="1"/>
    <col min="2566" max="2817" width="11.42578125" style="21"/>
    <col min="2818" max="2818" width="13.85546875" style="21" customWidth="1"/>
    <col min="2819" max="2819" width="21.28515625" style="21" customWidth="1"/>
    <col min="2820" max="2820" width="19.140625" style="21" customWidth="1"/>
    <col min="2821" max="2821" width="16.85546875" style="21" customWidth="1"/>
    <col min="2822" max="3073" width="11.42578125" style="21"/>
    <col min="3074" max="3074" width="13.85546875" style="21" customWidth="1"/>
    <col min="3075" max="3075" width="21.28515625" style="21" customWidth="1"/>
    <col min="3076" max="3076" width="19.140625" style="21" customWidth="1"/>
    <col min="3077" max="3077" width="16.85546875" style="21" customWidth="1"/>
    <col min="3078" max="3329" width="11.42578125" style="21"/>
    <col min="3330" max="3330" width="13.85546875" style="21" customWidth="1"/>
    <col min="3331" max="3331" width="21.28515625" style="21" customWidth="1"/>
    <col min="3332" max="3332" width="19.140625" style="21" customWidth="1"/>
    <col min="3333" max="3333" width="16.85546875" style="21" customWidth="1"/>
    <col min="3334" max="3585" width="11.42578125" style="21"/>
    <col min="3586" max="3586" width="13.85546875" style="21" customWidth="1"/>
    <col min="3587" max="3587" width="21.28515625" style="21" customWidth="1"/>
    <col min="3588" max="3588" width="19.140625" style="21" customWidth="1"/>
    <col min="3589" max="3589" width="16.85546875" style="21" customWidth="1"/>
    <col min="3590" max="3841" width="11.42578125" style="21"/>
    <col min="3842" max="3842" width="13.85546875" style="21" customWidth="1"/>
    <col min="3843" max="3843" width="21.28515625" style="21" customWidth="1"/>
    <col min="3844" max="3844" width="19.140625" style="21" customWidth="1"/>
    <col min="3845" max="3845" width="16.85546875" style="21" customWidth="1"/>
    <col min="3846" max="4097" width="11.42578125" style="21"/>
    <col min="4098" max="4098" width="13.85546875" style="21" customWidth="1"/>
    <col min="4099" max="4099" width="21.28515625" style="21" customWidth="1"/>
    <col min="4100" max="4100" width="19.140625" style="21" customWidth="1"/>
    <col min="4101" max="4101" width="16.85546875" style="21" customWidth="1"/>
    <col min="4102" max="4353" width="11.42578125" style="21"/>
    <col min="4354" max="4354" width="13.85546875" style="21" customWidth="1"/>
    <col min="4355" max="4355" width="21.28515625" style="21" customWidth="1"/>
    <col min="4356" max="4356" width="19.140625" style="21" customWidth="1"/>
    <col min="4357" max="4357" width="16.85546875" style="21" customWidth="1"/>
    <col min="4358" max="4609" width="11.42578125" style="21"/>
    <col min="4610" max="4610" width="13.85546875" style="21" customWidth="1"/>
    <col min="4611" max="4611" width="21.28515625" style="21" customWidth="1"/>
    <col min="4612" max="4612" width="19.140625" style="21" customWidth="1"/>
    <col min="4613" max="4613" width="16.85546875" style="21" customWidth="1"/>
    <col min="4614" max="4865" width="11.42578125" style="21"/>
    <col min="4866" max="4866" width="13.85546875" style="21" customWidth="1"/>
    <col min="4867" max="4867" width="21.28515625" style="21" customWidth="1"/>
    <col min="4868" max="4868" width="19.140625" style="21" customWidth="1"/>
    <col min="4869" max="4869" width="16.85546875" style="21" customWidth="1"/>
    <col min="4870" max="5121" width="11.42578125" style="21"/>
    <col min="5122" max="5122" width="13.85546875" style="21" customWidth="1"/>
    <col min="5123" max="5123" width="21.28515625" style="21" customWidth="1"/>
    <col min="5124" max="5124" width="19.140625" style="21" customWidth="1"/>
    <col min="5125" max="5125" width="16.85546875" style="21" customWidth="1"/>
    <col min="5126" max="5377" width="11.42578125" style="21"/>
    <col min="5378" max="5378" width="13.85546875" style="21" customWidth="1"/>
    <col min="5379" max="5379" width="21.28515625" style="21" customWidth="1"/>
    <col min="5380" max="5380" width="19.140625" style="21" customWidth="1"/>
    <col min="5381" max="5381" width="16.85546875" style="21" customWidth="1"/>
    <col min="5382" max="5633" width="11.42578125" style="21"/>
    <col min="5634" max="5634" width="13.85546875" style="21" customWidth="1"/>
    <col min="5635" max="5635" width="21.28515625" style="21" customWidth="1"/>
    <col min="5636" max="5636" width="19.140625" style="21" customWidth="1"/>
    <col min="5637" max="5637" width="16.85546875" style="21" customWidth="1"/>
    <col min="5638" max="5889" width="11.42578125" style="21"/>
    <col min="5890" max="5890" width="13.85546875" style="21" customWidth="1"/>
    <col min="5891" max="5891" width="21.28515625" style="21" customWidth="1"/>
    <col min="5892" max="5892" width="19.140625" style="21" customWidth="1"/>
    <col min="5893" max="5893" width="16.85546875" style="21" customWidth="1"/>
    <col min="5894" max="6145" width="11.42578125" style="21"/>
    <col min="6146" max="6146" width="13.85546875" style="21" customWidth="1"/>
    <col min="6147" max="6147" width="21.28515625" style="21" customWidth="1"/>
    <col min="6148" max="6148" width="19.140625" style="21" customWidth="1"/>
    <col min="6149" max="6149" width="16.85546875" style="21" customWidth="1"/>
    <col min="6150" max="6401" width="11.42578125" style="21"/>
    <col min="6402" max="6402" width="13.85546875" style="21" customWidth="1"/>
    <col min="6403" max="6403" width="21.28515625" style="21" customWidth="1"/>
    <col min="6404" max="6404" width="19.140625" style="21" customWidth="1"/>
    <col min="6405" max="6405" width="16.85546875" style="21" customWidth="1"/>
    <col min="6406" max="6657" width="11.42578125" style="21"/>
    <col min="6658" max="6658" width="13.85546875" style="21" customWidth="1"/>
    <col min="6659" max="6659" width="21.28515625" style="21" customWidth="1"/>
    <col min="6660" max="6660" width="19.140625" style="21" customWidth="1"/>
    <col min="6661" max="6661" width="16.85546875" style="21" customWidth="1"/>
    <col min="6662" max="6913" width="11.42578125" style="21"/>
    <col min="6914" max="6914" width="13.85546875" style="21" customWidth="1"/>
    <col min="6915" max="6915" width="21.28515625" style="21" customWidth="1"/>
    <col min="6916" max="6916" width="19.140625" style="21" customWidth="1"/>
    <col min="6917" max="6917" width="16.85546875" style="21" customWidth="1"/>
    <col min="6918" max="7169" width="11.42578125" style="21"/>
    <col min="7170" max="7170" width="13.85546875" style="21" customWidth="1"/>
    <col min="7171" max="7171" width="21.28515625" style="21" customWidth="1"/>
    <col min="7172" max="7172" width="19.140625" style="21" customWidth="1"/>
    <col min="7173" max="7173" width="16.85546875" style="21" customWidth="1"/>
    <col min="7174" max="7425" width="11.42578125" style="21"/>
    <col min="7426" max="7426" width="13.85546875" style="21" customWidth="1"/>
    <col min="7427" max="7427" width="21.28515625" style="21" customWidth="1"/>
    <col min="7428" max="7428" width="19.140625" style="21" customWidth="1"/>
    <col min="7429" max="7429" width="16.85546875" style="21" customWidth="1"/>
    <col min="7430" max="7681" width="11.42578125" style="21"/>
    <col min="7682" max="7682" width="13.85546875" style="21" customWidth="1"/>
    <col min="7683" max="7683" width="21.28515625" style="21" customWidth="1"/>
    <col min="7684" max="7684" width="19.140625" style="21" customWidth="1"/>
    <col min="7685" max="7685" width="16.85546875" style="21" customWidth="1"/>
    <col min="7686" max="7937" width="11.42578125" style="21"/>
    <col min="7938" max="7938" width="13.85546875" style="21" customWidth="1"/>
    <col min="7939" max="7939" width="21.28515625" style="21" customWidth="1"/>
    <col min="7940" max="7940" width="19.140625" style="21" customWidth="1"/>
    <col min="7941" max="7941" width="16.85546875" style="21" customWidth="1"/>
    <col min="7942" max="8193" width="11.42578125" style="21"/>
    <col min="8194" max="8194" width="13.85546875" style="21" customWidth="1"/>
    <col min="8195" max="8195" width="21.28515625" style="21" customWidth="1"/>
    <col min="8196" max="8196" width="19.140625" style="21" customWidth="1"/>
    <col min="8197" max="8197" width="16.85546875" style="21" customWidth="1"/>
    <col min="8198" max="8449" width="11.42578125" style="21"/>
    <col min="8450" max="8450" width="13.85546875" style="21" customWidth="1"/>
    <col min="8451" max="8451" width="21.28515625" style="21" customWidth="1"/>
    <col min="8452" max="8452" width="19.140625" style="21" customWidth="1"/>
    <col min="8453" max="8453" width="16.85546875" style="21" customWidth="1"/>
    <col min="8454" max="8705" width="11.42578125" style="21"/>
    <col min="8706" max="8706" width="13.85546875" style="21" customWidth="1"/>
    <col min="8707" max="8707" width="21.28515625" style="21" customWidth="1"/>
    <col min="8708" max="8708" width="19.140625" style="21" customWidth="1"/>
    <col min="8709" max="8709" width="16.85546875" style="21" customWidth="1"/>
    <col min="8710" max="8961" width="11.42578125" style="21"/>
    <col min="8962" max="8962" width="13.85546875" style="21" customWidth="1"/>
    <col min="8963" max="8963" width="21.28515625" style="21" customWidth="1"/>
    <col min="8964" max="8964" width="19.140625" style="21" customWidth="1"/>
    <col min="8965" max="8965" width="16.85546875" style="21" customWidth="1"/>
    <col min="8966" max="9217" width="11.42578125" style="21"/>
    <col min="9218" max="9218" width="13.85546875" style="21" customWidth="1"/>
    <col min="9219" max="9219" width="21.28515625" style="21" customWidth="1"/>
    <col min="9220" max="9220" width="19.140625" style="21" customWidth="1"/>
    <col min="9221" max="9221" width="16.85546875" style="21" customWidth="1"/>
    <col min="9222" max="9473" width="11.42578125" style="21"/>
    <col min="9474" max="9474" width="13.85546875" style="21" customWidth="1"/>
    <col min="9475" max="9475" width="21.28515625" style="21" customWidth="1"/>
    <col min="9476" max="9476" width="19.140625" style="21" customWidth="1"/>
    <col min="9477" max="9477" width="16.85546875" style="21" customWidth="1"/>
    <col min="9478" max="9729" width="11.42578125" style="21"/>
    <col min="9730" max="9730" width="13.85546875" style="21" customWidth="1"/>
    <col min="9731" max="9731" width="21.28515625" style="21" customWidth="1"/>
    <col min="9732" max="9732" width="19.140625" style="21" customWidth="1"/>
    <col min="9733" max="9733" width="16.85546875" style="21" customWidth="1"/>
    <col min="9734" max="9985" width="11.42578125" style="21"/>
    <col min="9986" max="9986" width="13.85546875" style="21" customWidth="1"/>
    <col min="9987" max="9987" width="21.28515625" style="21" customWidth="1"/>
    <col min="9988" max="9988" width="19.140625" style="21" customWidth="1"/>
    <col min="9989" max="9989" width="16.85546875" style="21" customWidth="1"/>
    <col min="9990" max="10241" width="11.42578125" style="21"/>
    <col min="10242" max="10242" width="13.85546875" style="21" customWidth="1"/>
    <col min="10243" max="10243" width="21.28515625" style="21" customWidth="1"/>
    <col min="10244" max="10244" width="19.140625" style="21" customWidth="1"/>
    <col min="10245" max="10245" width="16.85546875" style="21" customWidth="1"/>
    <col min="10246" max="10497" width="11.42578125" style="21"/>
    <col min="10498" max="10498" width="13.85546875" style="21" customWidth="1"/>
    <col min="10499" max="10499" width="21.28515625" style="21" customWidth="1"/>
    <col min="10500" max="10500" width="19.140625" style="21" customWidth="1"/>
    <col min="10501" max="10501" width="16.85546875" style="21" customWidth="1"/>
    <col min="10502" max="10753" width="11.42578125" style="21"/>
    <col min="10754" max="10754" width="13.85546875" style="21" customWidth="1"/>
    <col min="10755" max="10755" width="21.28515625" style="21" customWidth="1"/>
    <col min="10756" max="10756" width="19.140625" style="21" customWidth="1"/>
    <col min="10757" max="10757" width="16.85546875" style="21" customWidth="1"/>
    <col min="10758" max="11009" width="11.42578125" style="21"/>
    <col min="11010" max="11010" width="13.85546875" style="21" customWidth="1"/>
    <col min="11011" max="11011" width="21.28515625" style="21" customWidth="1"/>
    <col min="11012" max="11012" width="19.140625" style="21" customWidth="1"/>
    <col min="11013" max="11013" width="16.85546875" style="21" customWidth="1"/>
    <col min="11014" max="11265" width="11.42578125" style="21"/>
    <col min="11266" max="11266" width="13.85546875" style="21" customWidth="1"/>
    <col min="11267" max="11267" width="21.28515625" style="21" customWidth="1"/>
    <col min="11268" max="11268" width="19.140625" style="21" customWidth="1"/>
    <col min="11269" max="11269" width="16.85546875" style="21" customWidth="1"/>
    <col min="11270" max="11521" width="11.42578125" style="21"/>
    <col min="11522" max="11522" width="13.85546875" style="21" customWidth="1"/>
    <col min="11523" max="11523" width="21.28515625" style="21" customWidth="1"/>
    <col min="11524" max="11524" width="19.140625" style="21" customWidth="1"/>
    <col min="11525" max="11525" width="16.85546875" style="21" customWidth="1"/>
    <col min="11526" max="11777" width="11.42578125" style="21"/>
    <col min="11778" max="11778" width="13.85546875" style="21" customWidth="1"/>
    <col min="11779" max="11779" width="21.28515625" style="21" customWidth="1"/>
    <col min="11780" max="11780" width="19.140625" style="21" customWidth="1"/>
    <col min="11781" max="11781" width="16.85546875" style="21" customWidth="1"/>
    <col min="11782" max="12033" width="11.42578125" style="21"/>
    <col min="12034" max="12034" width="13.85546875" style="21" customWidth="1"/>
    <col min="12035" max="12035" width="21.28515625" style="21" customWidth="1"/>
    <col min="12036" max="12036" width="19.140625" style="21" customWidth="1"/>
    <col min="12037" max="12037" width="16.85546875" style="21" customWidth="1"/>
    <col min="12038" max="12289" width="11.42578125" style="21"/>
    <col min="12290" max="12290" width="13.85546875" style="21" customWidth="1"/>
    <col min="12291" max="12291" width="21.28515625" style="21" customWidth="1"/>
    <col min="12292" max="12292" width="19.140625" style="21" customWidth="1"/>
    <col min="12293" max="12293" width="16.85546875" style="21" customWidth="1"/>
    <col min="12294" max="12545" width="11.42578125" style="21"/>
    <col min="12546" max="12546" width="13.85546875" style="21" customWidth="1"/>
    <col min="12547" max="12547" width="21.28515625" style="21" customWidth="1"/>
    <col min="12548" max="12548" width="19.140625" style="21" customWidth="1"/>
    <col min="12549" max="12549" width="16.85546875" style="21" customWidth="1"/>
    <col min="12550" max="12801" width="11.42578125" style="21"/>
    <col min="12802" max="12802" width="13.85546875" style="21" customWidth="1"/>
    <col min="12803" max="12803" width="21.28515625" style="21" customWidth="1"/>
    <col min="12804" max="12804" width="19.140625" style="21" customWidth="1"/>
    <col min="12805" max="12805" width="16.85546875" style="21" customWidth="1"/>
    <col min="12806" max="13057" width="11.42578125" style="21"/>
    <col min="13058" max="13058" width="13.85546875" style="21" customWidth="1"/>
    <col min="13059" max="13059" width="21.28515625" style="21" customWidth="1"/>
    <col min="13060" max="13060" width="19.140625" style="21" customWidth="1"/>
    <col min="13061" max="13061" width="16.85546875" style="21" customWidth="1"/>
    <col min="13062" max="13313" width="11.42578125" style="21"/>
    <col min="13314" max="13314" width="13.85546875" style="21" customWidth="1"/>
    <col min="13315" max="13315" width="21.28515625" style="21" customWidth="1"/>
    <col min="13316" max="13316" width="19.140625" style="21" customWidth="1"/>
    <col min="13317" max="13317" width="16.85546875" style="21" customWidth="1"/>
    <col min="13318" max="13569" width="11.42578125" style="21"/>
    <col min="13570" max="13570" width="13.85546875" style="21" customWidth="1"/>
    <col min="13571" max="13571" width="21.28515625" style="21" customWidth="1"/>
    <col min="13572" max="13572" width="19.140625" style="21" customWidth="1"/>
    <col min="13573" max="13573" width="16.85546875" style="21" customWidth="1"/>
    <col min="13574" max="13825" width="11.42578125" style="21"/>
    <col min="13826" max="13826" width="13.85546875" style="21" customWidth="1"/>
    <col min="13827" max="13827" width="21.28515625" style="21" customWidth="1"/>
    <col min="13828" max="13828" width="19.140625" style="21" customWidth="1"/>
    <col min="13829" max="13829" width="16.85546875" style="21" customWidth="1"/>
    <col min="13830" max="14081" width="11.42578125" style="21"/>
    <col min="14082" max="14082" width="13.85546875" style="21" customWidth="1"/>
    <col min="14083" max="14083" width="21.28515625" style="21" customWidth="1"/>
    <col min="14084" max="14084" width="19.140625" style="21" customWidth="1"/>
    <col min="14085" max="14085" width="16.85546875" style="21" customWidth="1"/>
    <col min="14086" max="14337" width="11.42578125" style="21"/>
    <col min="14338" max="14338" width="13.85546875" style="21" customWidth="1"/>
    <col min="14339" max="14339" width="21.28515625" style="21" customWidth="1"/>
    <col min="14340" max="14340" width="19.140625" style="21" customWidth="1"/>
    <col min="14341" max="14341" width="16.85546875" style="21" customWidth="1"/>
    <col min="14342" max="14593" width="11.42578125" style="21"/>
    <col min="14594" max="14594" width="13.85546875" style="21" customWidth="1"/>
    <col min="14595" max="14595" width="21.28515625" style="21" customWidth="1"/>
    <col min="14596" max="14596" width="19.140625" style="21" customWidth="1"/>
    <col min="14597" max="14597" width="16.85546875" style="21" customWidth="1"/>
    <col min="14598" max="14849" width="11.42578125" style="21"/>
    <col min="14850" max="14850" width="13.85546875" style="21" customWidth="1"/>
    <col min="14851" max="14851" width="21.28515625" style="21" customWidth="1"/>
    <col min="14852" max="14852" width="19.140625" style="21" customWidth="1"/>
    <col min="14853" max="14853" width="16.85546875" style="21" customWidth="1"/>
    <col min="14854" max="15105" width="11.42578125" style="21"/>
    <col min="15106" max="15106" width="13.85546875" style="21" customWidth="1"/>
    <col min="15107" max="15107" width="21.28515625" style="21" customWidth="1"/>
    <col min="15108" max="15108" width="19.140625" style="21" customWidth="1"/>
    <col min="15109" max="15109" width="16.85546875" style="21" customWidth="1"/>
    <col min="15110" max="15361" width="11.42578125" style="21"/>
    <col min="15362" max="15362" width="13.85546875" style="21" customWidth="1"/>
    <col min="15363" max="15363" width="21.28515625" style="21" customWidth="1"/>
    <col min="15364" max="15364" width="19.140625" style="21" customWidth="1"/>
    <col min="15365" max="15365" width="16.85546875" style="21" customWidth="1"/>
    <col min="15366" max="15617" width="11.42578125" style="21"/>
    <col min="15618" max="15618" width="13.85546875" style="21" customWidth="1"/>
    <col min="15619" max="15619" width="21.28515625" style="21" customWidth="1"/>
    <col min="15620" max="15620" width="19.140625" style="21" customWidth="1"/>
    <col min="15621" max="15621" width="16.85546875" style="21" customWidth="1"/>
    <col min="15622" max="15873" width="11.42578125" style="21"/>
    <col min="15874" max="15874" width="13.85546875" style="21" customWidth="1"/>
    <col min="15875" max="15875" width="21.28515625" style="21" customWidth="1"/>
    <col min="15876" max="15876" width="19.140625" style="21" customWidth="1"/>
    <col min="15877" max="15877" width="16.85546875" style="21" customWidth="1"/>
    <col min="15878" max="16129" width="11.42578125" style="21"/>
    <col min="16130" max="16130" width="13.85546875" style="21" customWidth="1"/>
    <col min="16131" max="16131" width="21.28515625" style="21" customWidth="1"/>
    <col min="16132" max="16132" width="19.140625" style="21" customWidth="1"/>
    <col min="16133" max="16133" width="16.85546875" style="21" customWidth="1"/>
    <col min="16134" max="16384" width="11.42578125" style="21"/>
  </cols>
  <sheetData>
    <row r="2" spans="1:12" x14ac:dyDescent="0.2">
      <c r="A2" s="40" t="s">
        <v>58</v>
      </c>
    </row>
    <row r="3" spans="1:12" ht="15" x14ac:dyDescent="0.25">
      <c r="A3" s="40" t="s">
        <v>59</v>
      </c>
      <c r="E3" s="88"/>
    </row>
    <row r="5" spans="1:12" ht="15" x14ac:dyDescent="0.25">
      <c r="B5" s="344" t="s">
        <v>422</v>
      </c>
      <c r="C5" s="344"/>
      <c r="D5" s="344"/>
      <c r="E5" s="344"/>
      <c r="G5" s="104" t="s">
        <v>508</v>
      </c>
      <c r="L5" s="88"/>
    </row>
    <row r="6" spans="1:12" ht="12.75" x14ac:dyDescent="0.2">
      <c r="B6" s="344" t="s">
        <v>620</v>
      </c>
      <c r="C6" s="344"/>
      <c r="D6" s="344"/>
      <c r="E6" s="344"/>
    </row>
    <row r="8" spans="1:12" x14ac:dyDescent="0.2">
      <c r="B8" s="387" t="s">
        <v>423</v>
      </c>
      <c r="C8" s="387"/>
      <c r="D8" s="387"/>
      <c r="E8" s="387"/>
    </row>
    <row r="9" spans="1:12" ht="24" x14ac:dyDescent="0.2">
      <c r="B9" s="160" t="s">
        <v>411</v>
      </c>
      <c r="C9" s="161" t="s">
        <v>424</v>
      </c>
      <c r="D9" s="161" t="s">
        <v>425</v>
      </c>
      <c r="E9" s="161" t="s">
        <v>426</v>
      </c>
    </row>
    <row r="10" spans="1:12" x14ac:dyDescent="0.2">
      <c r="B10" s="208" t="s">
        <v>418</v>
      </c>
      <c r="C10" s="209">
        <v>23671</v>
      </c>
      <c r="D10" s="209" t="s">
        <v>427</v>
      </c>
      <c r="E10" s="209">
        <f>C10</f>
        <v>23671</v>
      </c>
    </row>
    <row r="11" spans="1:12" x14ac:dyDescent="0.2">
      <c r="B11" s="210" t="s">
        <v>12</v>
      </c>
      <c r="C11" s="209">
        <v>90591</v>
      </c>
      <c r="D11" s="209" t="s">
        <v>427</v>
      </c>
      <c r="E11" s="209">
        <f>C11</f>
        <v>90591</v>
      </c>
    </row>
    <row r="12" spans="1:12" x14ac:dyDescent="0.2">
      <c r="B12" s="210" t="s">
        <v>13</v>
      </c>
      <c r="C12" s="209">
        <v>105822</v>
      </c>
      <c r="D12" s="209" t="s">
        <v>427</v>
      </c>
      <c r="E12" s="209">
        <f>C12</f>
        <v>105822</v>
      </c>
    </row>
    <row r="13" spans="1:12" x14ac:dyDescent="0.2">
      <c r="B13" s="210" t="s">
        <v>14</v>
      </c>
      <c r="C13" s="209">
        <v>54727</v>
      </c>
      <c r="D13" s="209" t="s">
        <v>427</v>
      </c>
      <c r="E13" s="209">
        <f>C13</f>
        <v>54727</v>
      </c>
    </row>
    <row r="14" spans="1:12" x14ac:dyDescent="0.2">
      <c r="B14" s="210" t="s">
        <v>15</v>
      </c>
      <c r="C14" s="209">
        <v>38385</v>
      </c>
      <c r="D14" s="209" t="s">
        <v>427</v>
      </c>
      <c r="E14" s="209">
        <f>C14</f>
        <v>38385</v>
      </c>
    </row>
    <row r="15" spans="1:12" x14ac:dyDescent="0.2">
      <c r="B15" s="175">
        <v>41640</v>
      </c>
      <c r="C15" s="211">
        <v>3012</v>
      </c>
      <c r="D15" s="212">
        <v>385</v>
      </c>
      <c r="E15" s="211">
        <v>3397</v>
      </c>
    </row>
    <row r="16" spans="1:12" x14ac:dyDescent="0.2">
      <c r="B16" s="175">
        <v>41671</v>
      </c>
      <c r="C16" s="211">
        <v>3146</v>
      </c>
      <c r="D16" s="212">
        <v>307</v>
      </c>
      <c r="E16" s="211">
        <v>3453</v>
      </c>
    </row>
    <row r="17" spans="2:5" x14ac:dyDescent="0.2">
      <c r="B17" s="175">
        <v>41699</v>
      </c>
      <c r="C17" s="211">
        <v>2820</v>
      </c>
      <c r="D17" s="212">
        <v>401</v>
      </c>
      <c r="E17" s="211">
        <v>3221</v>
      </c>
    </row>
    <row r="18" spans="2:5" x14ac:dyDescent="0.2">
      <c r="B18" s="175">
        <v>41730</v>
      </c>
      <c r="C18" s="211">
        <v>3671</v>
      </c>
      <c r="D18" s="212">
        <v>837</v>
      </c>
      <c r="E18" s="211">
        <v>4508</v>
      </c>
    </row>
    <row r="19" spans="2:5" x14ac:dyDescent="0.2">
      <c r="B19" s="175">
        <v>41760</v>
      </c>
      <c r="C19" s="211">
        <v>3405</v>
      </c>
      <c r="D19" s="212">
        <v>637</v>
      </c>
      <c r="E19" s="211">
        <v>4042</v>
      </c>
    </row>
    <row r="20" spans="2:5" x14ac:dyDescent="0.2">
      <c r="B20" s="175">
        <v>41791</v>
      </c>
      <c r="C20" s="211">
        <v>3448</v>
      </c>
      <c r="D20" s="212">
        <v>551</v>
      </c>
      <c r="E20" s="211">
        <v>3999</v>
      </c>
    </row>
    <row r="21" spans="2:5" x14ac:dyDescent="0.2">
      <c r="B21" s="175">
        <v>41821</v>
      </c>
      <c r="C21" s="211">
        <v>3132</v>
      </c>
      <c r="D21" s="212">
        <v>431</v>
      </c>
      <c r="E21" s="211">
        <v>3563</v>
      </c>
    </row>
    <row r="22" spans="2:5" x14ac:dyDescent="0.2">
      <c r="B22" s="175">
        <v>41852</v>
      </c>
      <c r="C22" s="211">
        <v>3702</v>
      </c>
      <c r="D22" s="212">
        <v>437</v>
      </c>
      <c r="E22" s="211">
        <v>4139</v>
      </c>
    </row>
    <row r="23" spans="2:5" x14ac:dyDescent="0.2">
      <c r="B23" s="175">
        <v>41883</v>
      </c>
      <c r="C23" s="211">
        <v>4118</v>
      </c>
      <c r="D23" s="212">
        <v>391</v>
      </c>
      <c r="E23" s="211">
        <v>4509</v>
      </c>
    </row>
    <row r="24" spans="2:5" x14ac:dyDescent="0.2">
      <c r="B24" s="175">
        <v>41913</v>
      </c>
      <c r="C24" s="211">
        <v>4714</v>
      </c>
      <c r="D24" s="212">
        <v>491</v>
      </c>
      <c r="E24" s="211">
        <v>5205</v>
      </c>
    </row>
    <row r="25" spans="2:5" x14ac:dyDescent="0.2">
      <c r="B25" s="175">
        <v>41944</v>
      </c>
      <c r="C25" s="211">
        <v>4499</v>
      </c>
      <c r="D25" s="212">
        <v>402</v>
      </c>
      <c r="E25" s="211">
        <v>4901</v>
      </c>
    </row>
    <row r="26" spans="2:5" x14ac:dyDescent="0.2">
      <c r="B26" s="175">
        <v>41974</v>
      </c>
      <c r="C26" s="211">
        <v>4587</v>
      </c>
      <c r="D26" s="212">
        <v>501</v>
      </c>
      <c r="E26" s="211">
        <v>5088</v>
      </c>
    </row>
    <row r="27" spans="2:5" x14ac:dyDescent="0.2">
      <c r="B27" s="210" t="s">
        <v>16</v>
      </c>
      <c r="C27" s="209">
        <f>SUM(C15:C26)</f>
        <v>44254</v>
      </c>
      <c r="D27" s="209">
        <f>SUM(D15:D26)</f>
        <v>5771</v>
      </c>
      <c r="E27" s="209">
        <f>SUM(E15:E26)</f>
        <v>50025</v>
      </c>
    </row>
    <row r="28" spans="2:5" x14ac:dyDescent="0.2">
      <c r="B28" s="175">
        <v>42005</v>
      </c>
      <c r="C28" s="211">
        <v>3692</v>
      </c>
      <c r="D28" s="212">
        <v>452</v>
      </c>
      <c r="E28" s="211">
        <f>C28+D28</f>
        <v>4144</v>
      </c>
    </row>
    <row r="29" spans="2:5" x14ac:dyDescent="0.2">
      <c r="B29" s="175">
        <v>42036</v>
      </c>
      <c r="C29" s="211">
        <v>3089</v>
      </c>
      <c r="D29" s="212">
        <v>314</v>
      </c>
      <c r="E29" s="211">
        <f t="shared" ref="E29:E52" si="0">C29+D29</f>
        <v>3403</v>
      </c>
    </row>
    <row r="30" spans="2:5" x14ac:dyDescent="0.2">
      <c r="B30" s="175">
        <v>42064</v>
      </c>
      <c r="C30" s="211">
        <v>3959</v>
      </c>
      <c r="D30" s="212">
        <v>437</v>
      </c>
      <c r="E30" s="211">
        <f t="shared" si="0"/>
        <v>4396</v>
      </c>
    </row>
    <row r="31" spans="2:5" x14ac:dyDescent="0.2">
      <c r="B31" s="175">
        <v>42095</v>
      </c>
      <c r="C31" s="211">
        <v>4199</v>
      </c>
      <c r="D31" s="212">
        <v>418</v>
      </c>
      <c r="E31" s="211">
        <f t="shared" si="0"/>
        <v>4617</v>
      </c>
    </row>
    <row r="32" spans="2:5" x14ac:dyDescent="0.2">
      <c r="B32" s="175">
        <v>42125</v>
      </c>
      <c r="C32" s="211">
        <v>3877</v>
      </c>
      <c r="D32" s="212">
        <v>527</v>
      </c>
      <c r="E32" s="211">
        <f t="shared" si="0"/>
        <v>4404</v>
      </c>
    </row>
    <row r="33" spans="2:5" x14ac:dyDescent="0.2">
      <c r="B33" s="175">
        <v>42156</v>
      </c>
      <c r="C33" s="211">
        <v>4140</v>
      </c>
      <c r="D33" s="212">
        <v>642</v>
      </c>
      <c r="E33" s="211">
        <f t="shared" si="0"/>
        <v>4782</v>
      </c>
    </row>
    <row r="34" spans="2:5" x14ac:dyDescent="0.2">
      <c r="B34" s="175">
        <v>42186</v>
      </c>
      <c r="C34" s="211">
        <v>3415</v>
      </c>
      <c r="D34" s="212">
        <v>391</v>
      </c>
      <c r="E34" s="211">
        <f t="shared" si="0"/>
        <v>3806</v>
      </c>
    </row>
    <row r="35" spans="2:5" x14ac:dyDescent="0.2">
      <c r="B35" s="175">
        <v>42217</v>
      </c>
      <c r="C35" s="211">
        <v>6058</v>
      </c>
      <c r="D35" s="212">
        <v>393</v>
      </c>
      <c r="E35" s="211">
        <f t="shared" si="0"/>
        <v>6451</v>
      </c>
    </row>
    <row r="36" spans="2:5" x14ac:dyDescent="0.2">
      <c r="B36" s="175">
        <v>42248</v>
      </c>
      <c r="C36" s="211">
        <v>5036</v>
      </c>
      <c r="D36" s="212">
        <v>579</v>
      </c>
      <c r="E36" s="211">
        <f t="shared" si="0"/>
        <v>5615</v>
      </c>
    </row>
    <row r="37" spans="2:5" x14ac:dyDescent="0.2">
      <c r="B37" s="175">
        <v>42278</v>
      </c>
      <c r="C37" s="211">
        <v>4175</v>
      </c>
      <c r="D37" s="212">
        <v>552</v>
      </c>
      <c r="E37" s="211">
        <f t="shared" si="0"/>
        <v>4727</v>
      </c>
    </row>
    <row r="38" spans="2:5" x14ac:dyDescent="0.2">
      <c r="B38" s="175">
        <v>42309</v>
      </c>
      <c r="C38" s="211">
        <v>5394</v>
      </c>
      <c r="D38" s="212">
        <v>555</v>
      </c>
      <c r="E38" s="211">
        <f t="shared" si="0"/>
        <v>5949</v>
      </c>
    </row>
    <row r="39" spans="2:5" x14ac:dyDescent="0.2">
      <c r="B39" s="175">
        <v>42339</v>
      </c>
      <c r="C39" s="211">
        <v>4616</v>
      </c>
      <c r="D39" s="212">
        <v>704</v>
      </c>
      <c r="E39" s="211">
        <f t="shared" si="0"/>
        <v>5320</v>
      </c>
    </row>
    <row r="40" spans="2:5" x14ac:dyDescent="0.2">
      <c r="B40" s="210" t="s">
        <v>428</v>
      </c>
      <c r="C40" s="209">
        <f>SUM(C28:C39)</f>
        <v>51650</v>
      </c>
      <c r="D40" s="209">
        <f>SUM(D28:D39)</f>
        <v>5964</v>
      </c>
      <c r="E40" s="209">
        <f>SUM(E28:E39)</f>
        <v>57614</v>
      </c>
    </row>
    <row r="41" spans="2:5" x14ac:dyDescent="0.2">
      <c r="B41" s="175">
        <v>42370</v>
      </c>
      <c r="C41" s="211">
        <v>4090</v>
      </c>
      <c r="D41" s="212">
        <v>834</v>
      </c>
      <c r="E41" s="211">
        <f t="shared" si="0"/>
        <v>4924</v>
      </c>
    </row>
    <row r="42" spans="2:5" x14ac:dyDescent="0.2">
      <c r="B42" s="175">
        <v>42401</v>
      </c>
      <c r="C42" s="211">
        <v>3843</v>
      </c>
      <c r="D42" s="212">
        <v>401</v>
      </c>
      <c r="E42" s="211">
        <f t="shared" si="0"/>
        <v>4244</v>
      </c>
    </row>
    <row r="43" spans="2:5" x14ac:dyDescent="0.2">
      <c r="B43" s="175">
        <v>42430</v>
      </c>
      <c r="C43" s="211">
        <v>5145</v>
      </c>
      <c r="D43" s="212">
        <v>878</v>
      </c>
      <c r="E43" s="211">
        <f t="shared" si="0"/>
        <v>6023</v>
      </c>
    </row>
    <row r="44" spans="2:5" x14ac:dyDescent="0.2">
      <c r="B44" s="175">
        <v>42461</v>
      </c>
      <c r="C44" s="211">
        <v>4415</v>
      </c>
      <c r="D44" s="212">
        <v>636</v>
      </c>
      <c r="E44" s="211">
        <f t="shared" si="0"/>
        <v>5051</v>
      </c>
    </row>
    <row r="45" spans="2:5" x14ac:dyDescent="0.2">
      <c r="B45" s="175">
        <v>42491</v>
      </c>
      <c r="C45" s="211">
        <v>4663</v>
      </c>
      <c r="D45" s="212">
        <v>700</v>
      </c>
      <c r="E45" s="211">
        <f t="shared" si="0"/>
        <v>5363</v>
      </c>
    </row>
    <row r="46" spans="2:5" x14ac:dyDescent="0.2">
      <c r="B46" s="175">
        <v>42522</v>
      </c>
      <c r="C46" s="211">
        <v>3794</v>
      </c>
      <c r="D46" s="212">
        <v>507</v>
      </c>
      <c r="E46" s="211">
        <f t="shared" si="0"/>
        <v>4301</v>
      </c>
    </row>
    <row r="47" spans="2:5" x14ac:dyDescent="0.2">
      <c r="B47" s="175">
        <v>42552</v>
      </c>
      <c r="C47" s="211">
        <v>4438</v>
      </c>
      <c r="D47" s="212">
        <v>635</v>
      </c>
      <c r="E47" s="211">
        <f t="shared" si="0"/>
        <v>5073</v>
      </c>
    </row>
    <row r="48" spans="2:5" x14ac:dyDescent="0.2">
      <c r="B48" s="175">
        <v>42583</v>
      </c>
      <c r="C48" s="211">
        <v>4694</v>
      </c>
      <c r="D48" s="212">
        <v>856</v>
      </c>
      <c r="E48" s="211">
        <f t="shared" si="0"/>
        <v>5550</v>
      </c>
    </row>
    <row r="49" spans="2:6" x14ac:dyDescent="0.2">
      <c r="B49" s="175">
        <v>42614</v>
      </c>
      <c r="C49" s="211">
        <v>4579</v>
      </c>
      <c r="D49" s="212">
        <v>914</v>
      </c>
      <c r="E49" s="211">
        <f t="shared" si="0"/>
        <v>5493</v>
      </c>
    </row>
    <row r="50" spans="2:6" x14ac:dyDescent="0.2">
      <c r="B50" s="175">
        <v>42644</v>
      </c>
      <c r="C50" s="211">
        <v>4407</v>
      </c>
      <c r="D50" s="212">
        <v>866</v>
      </c>
      <c r="E50" s="211">
        <f t="shared" si="0"/>
        <v>5273</v>
      </c>
    </row>
    <row r="51" spans="2:6" x14ac:dyDescent="0.2">
      <c r="B51" s="175">
        <v>42675</v>
      </c>
      <c r="C51" s="211">
        <v>3689</v>
      </c>
      <c r="D51" s="211">
        <v>1064</v>
      </c>
      <c r="E51" s="211">
        <f t="shared" si="0"/>
        <v>4753</v>
      </c>
    </row>
    <row r="52" spans="2:6" x14ac:dyDescent="0.2">
      <c r="B52" s="175">
        <v>42705</v>
      </c>
      <c r="C52" s="211">
        <v>5295</v>
      </c>
      <c r="D52" s="211">
        <v>451</v>
      </c>
      <c r="E52" s="211">
        <f t="shared" si="0"/>
        <v>5746</v>
      </c>
    </row>
    <row r="53" spans="2:6" x14ac:dyDescent="0.2">
      <c r="B53" s="177" t="s">
        <v>18</v>
      </c>
      <c r="C53" s="209">
        <f>SUM(C41:C52)</f>
        <v>53052</v>
      </c>
      <c r="D53" s="209">
        <f>SUM(D41:D52)</f>
        <v>8742</v>
      </c>
      <c r="E53" s="209">
        <f>SUM(E41:E52)</f>
        <v>61794</v>
      </c>
    </row>
    <row r="54" spans="2:6" x14ac:dyDescent="0.2">
      <c r="B54" s="175">
        <v>42736</v>
      </c>
      <c r="C54" s="211">
        <v>4977</v>
      </c>
      <c r="D54" s="211">
        <v>661</v>
      </c>
      <c r="E54" s="211">
        <f t="shared" ref="E54:E65" si="1">C54+D54</f>
        <v>5638</v>
      </c>
      <c r="F54" s="65"/>
    </row>
    <row r="55" spans="2:6" x14ac:dyDescent="0.2">
      <c r="B55" s="175">
        <v>42767</v>
      </c>
      <c r="C55" s="211">
        <v>4428</v>
      </c>
      <c r="D55" s="211">
        <v>663</v>
      </c>
      <c r="E55" s="211">
        <f t="shared" si="1"/>
        <v>5091</v>
      </c>
      <c r="F55" s="65"/>
    </row>
    <row r="56" spans="2:6" x14ac:dyDescent="0.2">
      <c r="B56" s="175">
        <v>42795</v>
      </c>
      <c r="C56" s="211">
        <v>4154</v>
      </c>
      <c r="D56" s="211">
        <v>749</v>
      </c>
      <c r="E56" s="211">
        <f t="shared" si="1"/>
        <v>4903</v>
      </c>
      <c r="F56" s="65"/>
    </row>
    <row r="57" spans="2:6" x14ac:dyDescent="0.2">
      <c r="B57" s="175">
        <v>42826</v>
      </c>
      <c r="C57" s="211">
        <v>4708</v>
      </c>
      <c r="D57" s="211">
        <v>760</v>
      </c>
      <c r="E57" s="211">
        <f t="shared" si="1"/>
        <v>5468</v>
      </c>
      <c r="F57" s="65"/>
    </row>
    <row r="58" spans="2:6" x14ac:dyDescent="0.2">
      <c r="B58" s="175">
        <v>42856</v>
      </c>
      <c r="C58" s="211">
        <v>4913</v>
      </c>
      <c r="D58" s="211">
        <v>812</v>
      </c>
      <c r="E58" s="211">
        <f t="shared" si="1"/>
        <v>5725</v>
      </c>
      <c r="F58" s="65"/>
    </row>
    <row r="59" spans="2:6" x14ac:dyDescent="0.2">
      <c r="B59" s="175">
        <v>42887</v>
      </c>
      <c r="C59" s="211">
        <v>4045</v>
      </c>
      <c r="D59" s="211">
        <v>1056</v>
      </c>
      <c r="E59" s="211">
        <f t="shared" si="1"/>
        <v>5101</v>
      </c>
      <c r="F59" s="65"/>
    </row>
    <row r="60" spans="2:6" x14ac:dyDescent="0.2">
      <c r="B60" s="175">
        <v>42917</v>
      </c>
      <c r="C60" s="211">
        <v>4769</v>
      </c>
      <c r="D60" s="211">
        <v>753</v>
      </c>
      <c r="E60" s="211">
        <f t="shared" si="1"/>
        <v>5522</v>
      </c>
      <c r="F60" s="65"/>
    </row>
    <row r="61" spans="2:6" x14ac:dyDescent="0.2">
      <c r="B61" s="175">
        <v>42948</v>
      </c>
      <c r="C61" s="211">
        <v>5278</v>
      </c>
      <c r="D61" s="211">
        <v>817</v>
      </c>
      <c r="E61" s="211">
        <f t="shared" si="1"/>
        <v>6095</v>
      </c>
      <c r="F61" s="65"/>
    </row>
    <row r="62" spans="2:6" x14ac:dyDescent="0.2">
      <c r="B62" s="175">
        <v>42979</v>
      </c>
      <c r="C62" s="211">
        <v>3974</v>
      </c>
      <c r="D62" s="211">
        <v>593</v>
      </c>
      <c r="E62" s="211">
        <f t="shared" si="1"/>
        <v>4567</v>
      </c>
      <c r="F62" s="65"/>
    </row>
    <row r="63" spans="2:6" x14ac:dyDescent="0.2">
      <c r="B63" s="175">
        <v>43009</v>
      </c>
      <c r="C63" s="211">
        <v>6946</v>
      </c>
      <c r="D63" s="211">
        <v>1191</v>
      </c>
      <c r="E63" s="211">
        <f t="shared" si="1"/>
        <v>8137</v>
      </c>
      <c r="F63" s="65"/>
    </row>
    <row r="64" spans="2:6" x14ac:dyDescent="0.2">
      <c r="B64" s="175">
        <v>43040</v>
      </c>
      <c r="C64" s="211">
        <v>5299</v>
      </c>
      <c r="D64" s="211">
        <v>833</v>
      </c>
      <c r="E64" s="211">
        <f t="shared" si="1"/>
        <v>6132</v>
      </c>
      <c r="F64" s="65"/>
    </row>
    <row r="65" spans="2:6" x14ac:dyDescent="0.2">
      <c r="B65" s="175">
        <v>43070</v>
      </c>
      <c r="C65" s="211">
        <v>4958</v>
      </c>
      <c r="D65" s="211">
        <v>795</v>
      </c>
      <c r="E65" s="211">
        <f t="shared" si="1"/>
        <v>5753</v>
      </c>
      <c r="F65" s="65"/>
    </row>
    <row r="66" spans="2:6" x14ac:dyDescent="0.2">
      <c r="B66" s="177" t="s">
        <v>19</v>
      </c>
      <c r="C66" s="178">
        <f>SUM(C54:C65)</f>
        <v>58449</v>
      </c>
      <c r="D66" s="178">
        <f>SUM(D54:D65)</f>
        <v>9683</v>
      </c>
      <c r="E66" s="178">
        <f>SUM(E54:E65)</f>
        <v>68132</v>
      </c>
      <c r="F66" s="65"/>
    </row>
    <row r="67" spans="2:6" x14ac:dyDescent="0.2">
      <c r="B67" s="175">
        <v>43101</v>
      </c>
      <c r="C67" s="211">
        <v>5007</v>
      </c>
      <c r="D67" s="211">
        <v>965</v>
      </c>
      <c r="E67" s="211">
        <f>C67+D67</f>
        <v>5972</v>
      </c>
      <c r="F67" s="65"/>
    </row>
    <row r="68" spans="2:6" x14ac:dyDescent="0.2">
      <c r="B68" s="175">
        <v>43132</v>
      </c>
      <c r="C68" s="211">
        <v>5360</v>
      </c>
      <c r="D68" s="211">
        <v>944</v>
      </c>
      <c r="E68" s="211">
        <f>C68+D68</f>
        <v>6304</v>
      </c>
      <c r="F68" s="65"/>
    </row>
    <row r="69" spans="2:6" x14ac:dyDescent="0.2">
      <c r="B69" s="175">
        <v>43160</v>
      </c>
      <c r="C69" s="211">
        <v>6203</v>
      </c>
      <c r="D69" s="211">
        <v>1124</v>
      </c>
      <c r="E69" s="211">
        <v>7327</v>
      </c>
      <c r="F69" s="65"/>
    </row>
    <row r="70" spans="2:6" x14ac:dyDescent="0.2">
      <c r="B70" s="175">
        <v>43191</v>
      </c>
      <c r="C70" s="211">
        <v>5250</v>
      </c>
      <c r="D70" s="211">
        <v>775</v>
      </c>
      <c r="E70" s="211">
        <f t="shared" ref="E70:E76" si="2">+C70+D70</f>
        <v>6025</v>
      </c>
      <c r="F70" s="65"/>
    </row>
    <row r="71" spans="2:6" x14ac:dyDescent="0.2">
      <c r="B71" s="175">
        <v>43221</v>
      </c>
      <c r="C71" s="162">
        <v>5419</v>
      </c>
      <c r="D71" s="162">
        <v>628</v>
      </c>
      <c r="E71" s="211">
        <f t="shared" si="2"/>
        <v>6047</v>
      </c>
      <c r="F71" s="65"/>
    </row>
    <row r="72" spans="2:6" x14ac:dyDescent="0.2">
      <c r="B72" s="175">
        <v>43252</v>
      </c>
      <c r="C72" s="162">
        <v>5299</v>
      </c>
      <c r="D72" s="162">
        <v>848</v>
      </c>
      <c r="E72" s="211">
        <f t="shared" si="2"/>
        <v>6147</v>
      </c>
      <c r="F72" s="65"/>
    </row>
    <row r="73" spans="2:6" x14ac:dyDescent="0.2">
      <c r="B73" s="175">
        <v>43282</v>
      </c>
      <c r="C73" s="162">
        <v>5273</v>
      </c>
      <c r="D73" s="162">
        <v>633</v>
      </c>
      <c r="E73" s="211">
        <f t="shared" si="2"/>
        <v>5906</v>
      </c>
      <c r="F73" s="65"/>
    </row>
    <row r="74" spans="2:6" x14ac:dyDescent="0.2">
      <c r="B74" s="175">
        <v>43313</v>
      </c>
      <c r="C74" s="162">
        <v>5742</v>
      </c>
      <c r="D74" s="162">
        <v>364</v>
      </c>
      <c r="E74" s="211">
        <f t="shared" si="2"/>
        <v>6106</v>
      </c>
      <c r="F74" s="65"/>
    </row>
    <row r="75" spans="2:6" x14ac:dyDescent="0.2">
      <c r="B75" s="175">
        <v>43344</v>
      </c>
      <c r="C75" s="162">
        <v>6055</v>
      </c>
      <c r="D75" s="162">
        <v>488</v>
      </c>
      <c r="E75" s="211">
        <f t="shared" si="2"/>
        <v>6543</v>
      </c>
      <c r="F75" s="65"/>
    </row>
    <row r="76" spans="2:6" x14ac:dyDescent="0.2">
      <c r="B76" s="175">
        <v>43374</v>
      </c>
      <c r="C76" s="162">
        <v>5991</v>
      </c>
      <c r="D76" s="162">
        <v>513</v>
      </c>
      <c r="E76" s="211">
        <f t="shared" si="2"/>
        <v>6504</v>
      </c>
      <c r="F76" s="65"/>
    </row>
    <row r="77" spans="2:6" x14ac:dyDescent="0.2">
      <c r="B77" s="175">
        <v>43405</v>
      </c>
      <c r="C77" s="162">
        <v>6396</v>
      </c>
      <c r="D77" s="162">
        <v>416</v>
      </c>
      <c r="E77" s="211">
        <v>6812</v>
      </c>
      <c r="F77" s="65"/>
    </row>
    <row r="78" spans="2:6" x14ac:dyDescent="0.2">
      <c r="B78" s="175">
        <v>43435</v>
      </c>
      <c r="C78" s="162">
        <v>5803</v>
      </c>
      <c r="D78" s="162">
        <v>345</v>
      </c>
      <c r="E78" s="211">
        <v>6148</v>
      </c>
      <c r="F78" s="65"/>
    </row>
    <row r="79" spans="2:6" x14ac:dyDescent="0.2">
      <c r="B79" s="177" t="s">
        <v>519</v>
      </c>
      <c r="C79" s="178">
        <f>SUM(C67:C78)</f>
        <v>67798</v>
      </c>
      <c r="D79" s="178">
        <f t="shared" ref="D79:E79" si="3">SUM(D67:D78)</f>
        <v>8043</v>
      </c>
      <c r="E79" s="178">
        <f t="shared" si="3"/>
        <v>75841</v>
      </c>
      <c r="F79" s="65"/>
    </row>
    <row r="80" spans="2:6" ht="11.25" customHeight="1" x14ac:dyDescent="0.2">
      <c r="B80" s="175">
        <v>43466</v>
      </c>
      <c r="C80" s="162">
        <v>5382</v>
      </c>
      <c r="D80" s="162">
        <v>271</v>
      </c>
      <c r="E80" s="211">
        <v>5653</v>
      </c>
      <c r="F80" s="65"/>
    </row>
    <row r="81" spans="2:6" x14ac:dyDescent="0.2">
      <c r="B81" s="175">
        <v>43497</v>
      </c>
      <c r="C81" s="163">
        <v>5714</v>
      </c>
      <c r="D81" s="164">
        <v>250</v>
      </c>
      <c r="E81" s="164">
        <v>5964</v>
      </c>
      <c r="F81" s="65"/>
    </row>
    <row r="82" spans="2:6" x14ac:dyDescent="0.2">
      <c r="B82" s="175">
        <v>43525</v>
      </c>
      <c r="C82" s="165">
        <v>5149</v>
      </c>
      <c r="D82" s="165">
        <v>433</v>
      </c>
      <c r="E82" s="165">
        <v>5582</v>
      </c>
      <c r="F82" s="65"/>
    </row>
    <row r="83" spans="2:6" x14ac:dyDescent="0.2">
      <c r="B83" s="175">
        <v>43556</v>
      </c>
      <c r="C83" s="165">
        <v>5771</v>
      </c>
      <c r="D83" s="165">
        <v>547</v>
      </c>
      <c r="E83" s="165">
        <v>6318</v>
      </c>
      <c r="F83" s="65"/>
    </row>
    <row r="84" spans="2:6" x14ac:dyDescent="0.2">
      <c r="B84" s="175">
        <v>43586</v>
      </c>
      <c r="C84" s="165">
        <v>5051</v>
      </c>
      <c r="D84" s="165">
        <v>312</v>
      </c>
      <c r="E84" s="165">
        <v>5363</v>
      </c>
      <c r="F84" s="65"/>
    </row>
    <row r="85" spans="2:6" x14ac:dyDescent="0.2">
      <c r="B85" s="175">
        <v>43617</v>
      </c>
      <c r="C85" s="176">
        <v>5467</v>
      </c>
      <c r="D85" s="176">
        <v>166</v>
      </c>
      <c r="E85" s="176">
        <v>5633</v>
      </c>
    </row>
    <row r="86" spans="2:6" x14ac:dyDescent="0.2">
      <c r="B86" s="175">
        <v>43647</v>
      </c>
      <c r="C86" s="176">
        <v>5462</v>
      </c>
      <c r="D86" s="176">
        <v>423</v>
      </c>
      <c r="E86" s="176">
        <v>5885</v>
      </c>
    </row>
    <row r="87" spans="2:6" x14ac:dyDescent="0.2">
      <c r="B87" s="175">
        <v>43678</v>
      </c>
      <c r="C87" s="176">
        <v>5228</v>
      </c>
      <c r="D87" s="176">
        <v>334</v>
      </c>
      <c r="E87" s="176">
        <v>5562</v>
      </c>
    </row>
    <row r="88" spans="2:6" x14ac:dyDescent="0.2">
      <c r="B88" s="175">
        <v>43709</v>
      </c>
      <c r="C88" s="176">
        <v>5848</v>
      </c>
      <c r="D88" s="176">
        <v>349</v>
      </c>
      <c r="E88" s="176">
        <v>6197</v>
      </c>
    </row>
    <row r="89" spans="2:6" x14ac:dyDescent="0.2">
      <c r="B89" s="175">
        <v>43739</v>
      </c>
      <c r="C89" s="176">
        <v>6655</v>
      </c>
      <c r="D89" s="176">
        <v>526</v>
      </c>
      <c r="E89" s="176">
        <v>7181</v>
      </c>
    </row>
    <row r="90" spans="2:6" x14ac:dyDescent="0.2">
      <c r="B90" s="175">
        <v>43770</v>
      </c>
      <c r="C90" s="176">
        <v>3805</v>
      </c>
      <c r="D90" s="176">
        <v>128</v>
      </c>
      <c r="E90" s="176">
        <v>3933</v>
      </c>
    </row>
    <row r="91" spans="2:6" x14ac:dyDescent="0.2">
      <c r="B91" s="175">
        <v>43800</v>
      </c>
      <c r="C91" s="176">
        <v>6358</v>
      </c>
      <c r="D91" s="176">
        <v>299</v>
      </c>
      <c r="E91" s="176">
        <v>6657</v>
      </c>
    </row>
    <row r="92" spans="2:6" x14ac:dyDescent="0.2">
      <c r="B92" s="177" t="s">
        <v>522</v>
      </c>
      <c r="C92" s="178">
        <f>SUM(C80:C91)</f>
        <v>65890</v>
      </c>
      <c r="D92" s="178">
        <f t="shared" ref="D92:E92" si="4">SUM(D80:D91)</f>
        <v>4038</v>
      </c>
      <c r="E92" s="178">
        <f t="shared" si="4"/>
        <v>69928</v>
      </c>
    </row>
    <row r="93" spans="2:6" x14ac:dyDescent="0.2">
      <c r="B93" s="175">
        <v>43831</v>
      </c>
      <c r="C93" s="176">
        <v>6973</v>
      </c>
      <c r="D93" s="176">
        <v>334</v>
      </c>
      <c r="E93" s="176">
        <f>SUM(C93:D93)</f>
        <v>7307</v>
      </c>
    </row>
    <row r="94" spans="2:6" x14ac:dyDescent="0.2">
      <c r="B94" s="175">
        <v>43862</v>
      </c>
      <c r="C94" s="176">
        <v>6865</v>
      </c>
      <c r="D94" s="176">
        <v>510</v>
      </c>
      <c r="E94" s="176">
        <f t="shared" ref="E94:E95" si="5">SUM(C94:D94)</f>
        <v>7375</v>
      </c>
    </row>
    <row r="95" spans="2:6" x14ac:dyDescent="0.2">
      <c r="B95" s="175">
        <v>43891</v>
      </c>
      <c r="C95" s="176">
        <v>6450</v>
      </c>
      <c r="D95" s="176">
        <v>524</v>
      </c>
      <c r="E95" s="176">
        <f t="shared" si="5"/>
        <v>6974</v>
      </c>
    </row>
    <row r="96" spans="2:6" x14ac:dyDescent="0.2">
      <c r="B96" s="175">
        <v>43922</v>
      </c>
      <c r="C96" s="176">
        <v>3120</v>
      </c>
      <c r="D96" s="176">
        <v>427</v>
      </c>
      <c r="E96" s="176">
        <f t="shared" ref="E96" si="6">SUM(C96:D96)</f>
        <v>3547</v>
      </c>
    </row>
    <row r="97" spans="2:5" x14ac:dyDescent="0.2">
      <c r="B97" s="175">
        <v>43952</v>
      </c>
      <c r="C97" s="176">
        <v>3668</v>
      </c>
      <c r="D97" s="176">
        <v>336</v>
      </c>
      <c r="E97" s="176">
        <f t="shared" ref="E97" si="7">SUM(C97:D97)</f>
        <v>4004</v>
      </c>
    </row>
    <row r="98" spans="2:5" x14ac:dyDescent="0.2">
      <c r="B98" s="175">
        <v>43983</v>
      </c>
      <c r="C98" s="176">
        <v>4010</v>
      </c>
      <c r="D98" s="176">
        <v>620</v>
      </c>
      <c r="E98" s="176">
        <f t="shared" ref="E98:E105" si="8">SUM(C98:D98)</f>
        <v>4630</v>
      </c>
    </row>
    <row r="99" spans="2:5" x14ac:dyDescent="0.2">
      <c r="B99" s="175">
        <v>44013</v>
      </c>
      <c r="C99" s="176">
        <v>3699</v>
      </c>
      <c r="D99" s="176">
        <v>751</v>
      </c>
      <c r="E99" s="176">
        <f t="shared" ref="E99" si="9">SUM(C99:D99)</f>
        <v>4450</v>
      </c>
    </row>
    <row r="100" spans="2:5" x14ac:dyDescent="0.2">
      <c r="B100" s="175">
        <v>44044</v>
      </c>
      <c r="C100" s="176">
        <v>5600</v>
      </c>
      <c r="D100" s="176">
        <v>304</v>
      </c>
      <c r="E100" s="176">
        <f t="shared" ref="E100:E102" si="10">SUM(C100:D100)</f>
        <v>5904</v>
      </c>
    </row>
    <row r="101" spans="2:5" x14ac:dyDescent="0.2">
      <c r="B101" s="175">
        <v>44075</v>
      </c>
      <c r="C101" s="176">
        <v>6256</v>
      </c>
      <c r="D101" s="176">
        <v>329</v>
      </c>
      <c r="E101" s="176">
        <f t="shared" si="10"/>
        <v>6585</v>
      </c>
    </row>
    <row r="102" spans="2:5" x14ac:dyDescent="0.2">
      <c r="B102" s="175">
        <v>44105</v>
      </c>
      <c r="C102" s="176">
        <v>6677</v>
      </c>
      <c r="D102" s="176">
        <v>356</v>
      </c>
      <c r="E102" s="176">
        <f t="shared" si="10"/>
        <v>7033</v>
      </c>
    </row>
    <row r="103" spans="2:5" x14ac:dyDescent="0.2">
      <c r="B103" s="175">
        <v>44136</v>
      </c>
      <c r="C103" s="176">
        <v>7271</v>
      </c>
      <c r="D103" s="176">
        <v>364</v>
      </c>
      <c r="E103" s="176">
        <f t="shared" ref="E103" si="11">SUM(C103:D103)</f>
        <v>7635</v>
      </c>
    </row>
    <row r="104" spans="2:5" x14ac:dyDescent="0.2">
      <c r="B104" s="175">
        <v>44166</v>
      </c>
      <c r="C104" s="176">
        <v>7060</v>
      </c>
      <c r="D104" s="176">
        <v>369</v>
      </c>
      <c r="E104" s="176">
        <f t="shared" ref="E104" si="12">SUM(C104:D104)</f>
        <v>7429</v>
      </c>
    </row>
    <row r="105" spans="2:5" x14ac:dyDescent="0.2">
      <c r="B105" s="253">
        <f>'Concesiones Mensuales BxH'!B118</f>
        <v>2020</v>
      </c>
      <c r="C105" s="178">
        <f>SUM(C93:C104)</f>
        <v>67649</v>
      </c>
      <c r="D105" s="178">
        <f>SUM(D93:D104)</f>
        <v>5224</v>
      </c>
      <c r="E105" s="178">
        <f t="shared" si="8"/>
        <v>72873</v>
      </c>
    </row>
    <row r="106" spans="2:5" x14ac:dyDescent="0.2">
      <c r="B106" s="175">
        <v>44197</v>
      </c>
      <c r="C106" s="176">
        <v>5872</v>
      </c>
      <c r="D106" s="176">
        <v>407</v>
      </c>
      <c r="E106" s="176">
        <f>SUM(C106:D106)</f>
        <v>6279</v>
      </c>
    </row>
    <row r="107" spans="2:5" x14ac:dyDescent="0.2">
      <c r="B107" s="175">
        <v>44228</v>
      </c>
      <c r="C107" s="176">
        <v>6398</v>
      </c>
      <c r="D107" s="176">
        <v>336</v>
      </c>
      <c r="E107" s="176">
        <f t="shared" ref="E107" si="13">SUM(C107:D107)</f>
        <v>6734</v>
      </c>
    </row>
    <row r="108" spans="2:5" x14ac:dyDescent="0.2">
      <c r="B108" s="175">
        <v>44256</v>
      </c>
      <c r="C108" s="176">
        <v>6284</v>
      </c>
      <c r="D108" s="176">
        <v>400</v>
      </c>
      <c r="E108" s="176">
        <f t="shared" ref="E108" si="14">SUM(C108:D108)</f>
        <v>6684</v>
      </c>
    </row>
    <row r="109" spans="2:5" x14ac:dyDescent="0.2">
      <c r="B109" s="175">
        <v>44287</v>
      </c>
      <c r="C109" s="176">
        <v>5645</v>
      </c>
      <c r="D109" s="176">
        <v>429</v>
      </c>
      <c r="E109" s="176">
        <f t="shared" ref="E109:E111" si="15">SUM(C109:D109)</f>
        <v>6074</v>
      </c>
    </row>
    <row r="110" spans="2:5" x14ac:dyDescent="0.2">
      <c r="B110" s="175">
        <v>44317</v>
      </c>
      <c r="C110" s="176">
        <v>6254</v>
      </c>
      <c r="D110" s="176">
        <v>475</v>
      </c>
      <c r="E110" s="176">
        <f t="shared" si="15"/>
        <v>6729</v>
      </c>
    </row>
    <row r="111" spans="2:5" x14ac:dyDescent="0.2">
      <c r="B111" s="175">
        <v>44348</v>
      </c>
      <c r="C111" s="176">
        <v>6456</v>
      </c>
      <c r="D111" s="176">
        <v>551</v>
      </c>
      <c r="E111" s="176">
        <f t="shared" si="15"/>
        <v>7007</v>
      </c>
    </row>
    <row r="112" spans="2:5" x14ac:dyDescent="0.2">
      <c r="B112" s="175">
        <v>44378</v>
      </c>
      <c r="C112" s="176">
        <v>6122</v>
      </c>
      <c r="D112" s="176">
        <v>574</v>
      </c>
      <c r="E112" s="176">
        <f t="shared" ref="E112" si="16">SUM(C112:D112)</f>
        <v>6696</v>
      </c>
    </row>
    <row r="113" spans="2:5" x14ac:dyDescent="0.2">
      <c r="B113" s="175">
        <v>44409</v>
      </c>
      <c r="C113" s="176">
        <v>7688</v>
      </c>
      <c r="D113" s="176">
        <v>653</v>
      </c>
      <c r="E113" s="176">
        <f t="shared" ref="E113:E115" si="17">SUM(C113:D113)</f>
        <v>8341</v>
      </c>
    </row>
    <row r="114" spans="2:5" x14ac:dyDescent="0.2">
      <c r="B114" s="175">
        <v>44440</v>
      </c>
      <c r="C114" s="176">
        <v>7542</v>
      </c>
      <c r="D114" s="176">
        <v>649</v>
      </c>
      <c r="E114" s="176">
        <f t="shared" si="17"/>
        <v>8191</v>
      </c>
    </row>
    <row r="115" spans="2:5" x14ac:dyDescent="0.2">
      <c r="B115" s="175">
        <v>44470</v>
      </c>
      <c r="C115" s="176">
        <v>7921</v>
      </c>
      <c r="D115" s="176">
        <v>672</v>
      </c>
      <c r="E115" s="176">
        <f t="shared" si="17"/>
        <v>8593</v>
      </c>
    </row>
    <row r="116" spans="2:5" x14ac:dyDescent="0.2">
      <c r="B116" s="175">
        <v>44501</v>
      </c>
      <c r="C116" s="176">
        <v>7649</v>
      </c>
      <c r="D116" s="176">
        <v>641</v>
      </c>
      <c r="E116" s="176">
        <f t="shared" ref="E116" si="18">SUM(C116:D116)</f>
        <v>8290</v>
      </c>
    </row>
    <row r="117" spans="2:5" x14ac:dyDescent="0.2">
      <c r="B117" s="175">
        <v>44531</v>
      </c>
      <c r="C117" s="176">
        <v>7848</v>
      </c>
      <c r="D117" s="176">
        <v>528</v>
      </c>
      <c r="E117" s="176">
        <f t="shared" ref="E117:E125" si="19">SUM(C117:D117)</f>
        <v>8376</v>
      </c>
    </row>
    <row r="118" spans="2:5" x14ac:dyDescent="0.2">
      <c r="B118" s="253">
        <f>'Concesiones Mensuales BxH'!B131</f>
        <v>2021</v>
      </c>
      <c r="C118" s="178">
        <f>SUM(C106:C117)</f>
        <v>81679</v>
      </c>
      <c r="D118" s="178">
        <f>SUM(D106:D117)</f>
        <v>6315</v>
      </c>
      <c r="E118" s="178">
        <f t="shared" ref="E118" si="20">SUM(C118:D118)</f>
        <v>87994</v>
      </c>
    </row>
    <row r="119" spans="2:5" x14ac:dyDescent="0.2">
      <c r="B119" s="175">
        <v>44562</v>
      </c>
      <c r="C119" s="176">
        <v>7668</v>
      </c>
      <c r="D119" s="176">
        <v>503</v>
      </c>
      <c r="E119" s="176">
        <f t="shared" si="19"/>
        <v>8171</v>
      </c>
    </row>
    <row r="120" spans="2:5" x14ac:dyDescent="0.2">
      <c r="B120" s="175">
        <v>44593</v>
      </c>
      <c r="C120" s="176">
        <v>10374</v>
      </c>
      <c r="D120" s="176">
        <v>972</v>
      </c>
      <c r="E120" s="176">
        <f t="shared" si="19"/>
        <v>11346</v>
      </c>
    </row>
    <row r="121" spans="2:5" x14ac:dyDescent="0.2">
      <c r="B121" s="175">
        <v>44621</v>
      </c>
      <c r="C121" s="176">
        <v>9515</v>
      </c>
      <c r="D121" s="176">
        <v>881</v>
      </c>
      <c r="E121" s="176">
        <f t="shared" si="19"/>
        <v>10396</v>
      </c>
    </row>
    <row r="122" spans="2:5" x14ac:dyDescent="0.2">
      <c r="B122" s="175">
        <v>44652</v>
      </c>
      <c r="C122" s="176">
        <v>11485</v>
      </c>
      <c r="D122" s="176">
        <v>221</v>
      </c>
      <c r="E122" s="176">
        <f t="shared" ref="E122" si="21">SUM(C122:D122)</f>
        <v>11706</v>
      </c>
    </row>
    <row r="123" spans="2:5" x14ac:dyDescent="0.2">
      <c r="B123" s="175">
        <v>44682</v>
      </c>
      <c r="C123" s="176">
        <v>8749</v>
      </c>
      <c r="D123" s="176">
        <v>469</v>
      </c>
      <c r="E123" s="176">
        <f t="shared" ref="E123" si="22">SUM(C123:D123)</f>
        <v>9218</v>
      </c>
    </row>
    <row r="124" spans="2:5" x14ac:dyDescent="0.2">
      <c r="B124" s="175">
        <v>44713</v>
      </c>
      <c r="C124" s="176">
        <v>8701</v>
      </c>
      <c r="D124" s="176">
        <v>364</v>
      </c>
      <c r="E124" s="176">
        <f t="shared" ref="E124" si="23">SUM(C124:D124)</f>
        <v>9065</v>
      </c>
    </row>
    <row r="125" spans="2:5" ht="11.25" customHeight="1" x14ac:dyDescent="0.2">
      <c r="B125" s="253" t="str">
        <f>'Concesiones Mensuales BxH'!B138</f>
        <v>A jun-22</v>
      </c>
      <c r="C125" s="178">
        <f>SUM(C119:C124)</f>
        <v>56492</v>
      </c>
      <c r="D125" s="178">
        <f>SUM(D119:D124)</f>
        <v>3410</v>
      </c>
      <c r="E125" s="178">
        <f t="shared" si="19"/>
        <v>59902</v>
      </c>
    </row>
    <row r="126" spans="2:5" x14ac:dyDescent="0.2">
      <c r="B126" s="179" t="s">
        <v>20</v>
      </c>
      <c r="C126" s="180">
        <f>C27+C40+C53+C66+C79+SUM(C10:C14)+C92+C105+C118+C125</f>
        <v>860109</v>
      </c>
      <c r="D126" s="180">
        <f>D27+D40+D53+D66+D79+SUM(D10:D14)+D92+D105+D118+D125</f>
        <v>57190</v>
      </c>
      <c r="E126" s="180">
        <f t="shared" ref="E126" si="24">E27+E40+E53+E66+E79+SUM(E10:E14)+E92+E105+E118+E125</f>
        <v>917299</v>
      </c>
    </row>
    <row r="127" spans="2:5" x14ac:dyDescent="0.2">
      <c r="B127" s="21" t="s">
        <v>419</v>
      </c>
    </row>
    <row r="128" spans="2:5" x14ac:dyDescent="0.2">
      <c r="B128" s="21" t="s">
        <v>429</v>
      </c>
    </row>
    <row r="129" spans="2:2" x14ac:dyDescent="0.2">
      <c r="B129" s="21" t="s">
        <v>430</v>
      </c>
    </row>
  </sheetData>
  <mergeCells count="3">
    <mergeCell ref="B5:E5"/>
    <mergeCell ref="B6:E6"/>
    <mergeCell ref="B8:E8"/>
  </mergeCells>
  <hyperlinks>
    <hyperlink ref="G5" location="'Índice BxH'!A1" display="Volver a Bono por Hijo" xr:uid="{00000000-0004-0000-1900-000000000000}"/>
  </hyperlinks>
  <pageMargins left="0.7" right="0.7" top="0.75" bottom="0.75" header="0.3" footer="0.3"/>
  <pageSetup orientation="portrait" verticalDpi="0" r:id="rId1"/>
  <ignoredErrors>
    <ignoredError sqref="E93:E96 E97:E99 E101" formulaRange="1"/>
    <ignoredError sqref="E100" formula="1"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K44"/>
  <sheetViews>
    <sheetView showGridLines="0" zoomScale="90" zoomScaleNormal="90" workbookViewId="0">
      <pane xSplit="4" ySplit="9" topLeftCell="E10" activePane="bottomRight" state="frozen"/>
      <selection activeCell="B6" sqref="B6:J6"/>
      <selection pane="topRight" activeCell="B6" sqref="B6:J6"/>
      <selection pane="bottomLeft" activeCell="B6" sqref="B6:J6"/>
      <selection pane="bottomRight" activeCell="G24" sqref="G24"/>
    </sheetView>
  </sheetViews>
  <sheetFormatPr baseColWidth="10" defaultColWidth="11.42578125" defaultRowHeight="12" x14ac:dyDescent="0.2"/>
  <cols>
    <col min="1" max="1" width="6" style="21" customWidth="1"/>
    <col min="2" max="2" width="13.7109375" style="21" bestFit="1" customWidth="1"/>
    <col min="3" max="3" width="4" style="21" bestFit="1" customWidth="1"/>
    <col min="4" max="4" width="19.42578125" style="21" bestFit="1" customWidth="1"/>
    <col min="5" max="16384" width="11.42578125" style="21"/>
  </cols>
  <sheetData>
    <row r="2" spans="1:11" x14ac:dyDescent="0.2">
      <c r="A2" s="40" t="s">
        <v>58</v>
      </c>
    </row>
    <row r="3" spans="1:11" ht="15" x14ac:dyDescent="0.25">
      <c r="A3" s="40" t="s">
        <v>59</v>
      </c>
      <c r="I3" s="88"/>
    </row>
    <row r="5" spans="1:11" ht="12.75" x14ac:dyDescent="0.2">
      <c r="B5" s="344" t="s">
        <v>431</v>
      </c>
      <c r="C5" s="344"/>
      <c r="D5" s="344"/>
      <c r="E5" s="344"/>
      <c r="F5" s="344"/>
      <c r="G5" s="344"/>
      <c r="H5" s="344"/>
      <c r="I5" s="344"/>
      <c r="K5" s="104" t="s">
        <v>508</v>
      </c>
    </row>
    <row r="6" spans="1:11" ht="12.75" x14ac:dyDescent="0.2">
      <c r="B6" s="388" t="s">
        <v>622</v>
      </c>
      <c r="C6" s="389"/>
      <c r="D6" s="389"/>
      <c r="E6" s="389"/>
      <c r="F6" s="389"/>
      <c r="G6" s="389"/>
      <c r="H6" s="389"/>
      <c r="I6" s="389"/>
    </row>
    <row r="7" spans="1:11" ht="15" x14ac:dyDescent="0.25">
      <c r="B7"/>
      <c r="C7"/>
      <c r="D7"/>
      <c r="E7"/>
      <c r="F7"/>
      <c r="G7"/>
      <c r="H7"/>
      <c r="I7"/>
    </row>
    <row r="8" spans="1:11" x14ac:dyDescent="0.2">
      <c r="B8" s="390" t="s">
        <v>432</v>
      </c>
      <c r="C8" s="390"/>
      <c r="D8" s="391"/>
      <c r="E8" s="390" t="s">
        <v>520</v>
      </c>
      <c r="F8" s="390"/>
      <c r="G8" s="390" t="s">
        <v>521</v>
      </c>
      <c r="H8" s="390"/>
      <c r="I8" s="390" t="s">
        <v>433</v>
      </c>
    </row>
    <row r="9" spans="1:11" ht="33.75" customHeight="1" x14ac:dyDescent="0.2">
      <c r="B9" s="390"/>
      <c r="C9" s="390"/>
      <c r="D9" s="391"/>
      <c r="E9" s="327" t="s">
        <v>598</v>
      </c>
      <c r="F9" s="327" t="s">
        <v>546</v>
      </c>
      <c r="G9" s="327" t="s">
        <v>546</v>
      </c>
      <c r="H9" s="245" t="s">
        <v>513</v>
      </c>
      <c r="I9" s="390"/>
    </row>
    <row r="10" spans="1:11" x14ac:dyDescent="0.2">
      <c r="B10" s="392" t="s">
        <v>434</v>
      </c>
      <c r="C10" s="392" t="s">
        <v>436</v>
      </c>
      <c r="D10" s="214" t="s">
        <v>435</v>
      </c>
      <c r="E10" s="215">
        <v>11</v>
      </c>
      <c r="F10" s="215">
        <v>1</v>
      </c>
      <c r="G10" s="215">
        <v>2</v>
      </c>
      <c r="H10" s="215">
        <v>77</v>
      </c>
      <c r="I10" s="215">
        <f>SUM(E10:H10)</f>
        <v>91</v>
      </c>
    </row>
    <row r="11" spans="1:11" x14ac:dyDescent="0.2">
      <c r="B11" s="392"/>
      <c r="C11" s="392"/>
      <c r="D11" s="216" t="s">
        <v>437</v>
      </c>
      <c r="E11" s="215">
        <v>30</v>
      </c>
      <c r="F11" s="215">
        <v>7</v>
      </c>
      <c r="G11" s="215">
        <v>7</v>
      </c>
      <c r="H11" s="215">
        <v>207</v>
      </c>
      <c r="I11" s="215">
        <f t="shared" ref="I11:I43" si="0">SUM(E11:H11)</f>
        <v>251</v>
      </c>
    </row>
    <row r="12" spans="1:11" x14ac:dyDescent="0.2">
      <c r="B12" s="392" t="s">
        <v>438</v>
      </c>
      <c r="C12" s="392" t="s">
        <v>439</v>
      </c>
      <c r="D12" s="214" t="s">
        <v>435</v>
      </c>
      <c r="E12" s="215">
        <v>13</v>
      </c>
      <c r="F12" s="215">
        <v>3</v>
      </c>
      <c r="G12" s="215">
        <v>5</v>
      </c>
      <c r="H12" s="215">
        <v>102</v>
      </c>
      <c r="I12" s="215">
        <f t="shared" si="0"/>
        <v>123</v>
      </c>
    </row>
    <row r="13" spans="1:11" x14ac:dyDescent="0.2">
      <c r="B13" s="392"/>
      <c r="C13" s="392"/>
      <c r="D13" s="216" t="s">
        <v>437</v>
      </c>
      <c r="E13" s="215">
        <v>32</v>
      </c>
      <c r="F13" s="215">
        <v>12</v>
      </c>
      <c r="G13" s="215">
        <v>26</v>
      </c>
      <c r="H13" s="215">
        <v>284</v>
      </c>
      <c r="I13" s="215">
        <f t="shared" si="0"/>
        <v>354</v>
      </c>
    </row>
    <row r="14" spans="1:11" x14ac:dyDescent="0.2">
      <c r="B14" s="392" t="s">
        <v>440</v>
      </c>
      <c r="C14" s="392" t="s">
        <v>441</v>
      </c>
      <c r="D14" s="214" t="s">
        <v>435</v>
      </c>
      <c r="E14" s="215">
        <v>42</v>
      </c>
      <c r="F14" s="215">
        <v>1</v>
      </c>
      <c r="G14" s="215">
        <v>5</v>
      </c>
      <c r="H14" s="215">
        <v>176</v>
      </c>
      <c r="I14" s="215">
        <f t="shared" si="0"/>
        <v>224</v>
      </c>
    </row>
    <row r="15" spans="1:11" x14ac:dyDescent="0.2">
      <c r="B15" s="392"/>
      <c r="C15" s="392"/>
      <c r="D15" s="216" t="s">
        <v>437</v>
      </c>
      <c r="E15" s="215">
        <v>154</v>
      </c>
      <c r="F15" s="215">
        <v>5</v>
      </c>
      <c r="G15" s="215">
        <v>17</v>
      </c>
      <c r="H15" s="215">
        <v>496</v>
      </c>
      <c r="I15" s="215">
        <f t="shared" si="0"/>
        <v>672</v>
      </c>
    </row>
    <row r="16" spans="1:11" x14ac:dyDescent="0.2">
      <c r="B16" s="392" t="s">
        <v>442</v>
      </c>
      <c r="C16" s="392" t="s">
        <v>443</v>
      </c>
      <c r="D16" s="214" t="s">
        <v>435</v>
      </c>
      <c r="E16" s="215">
        <v>23</v>
      </c>
      <c r="F16" s="215">
        <v>1</v>
      </c>
      <c r="G16" s="215">
        <v>1</v>
      </c>
      <c r="H16" s="215">
        <v>131</v>
      </c>
      <c r="I16" s="215">
        <f t="shared" si="0"/>
        <v>156</v>
      </c>
    </row>
    <row r="17" spans="2:9" x14ac:dyDescent="0.2">
      <c r="B17" s="392"/>
      <c r="C17" s="392"/>
      <c r="D17" s="216" t="s">
        <v>437</v>
      </c>
      <c r="E17" s="215">
        <v>82</v>
      </c>
      <c r="F17" s="215">
        <v>3</v>
      </c>
      <c r="G17" s="215">
        <v>4</v>
      </c>
      <c r="H17" s="215">
        <v>379</v>
      </c>
      <c r="I17" s="215">
        <f t="shared" si="0"/>
        <v>468</v>
      </c>
    </row>
    <row r="18" spans="2:9" x14ac:dyDescent="0.2">
      <c r="B18" s="392" t="s">
        <v>444</v>
      </c>
      <c r="C18" s="392" t="s">
        <v>445</v>
      </c>
      <c r="D18" s="214" t="s">
        <v>435</v>
      </c>
      <c r="E18" s="215">
        <v>78</v>
      </c>
      <c r="F18" s="215">
        <v>9</v>
      </c>
      <c r="G18" s="215">
        <v>10</v>
      </c>
      <c r="H18" s="215">
        <v>309</v>
      </c>
      <c r="I18" s="215">
        <f t="shared" si="0"/>
        <v>406</v>
      </c>
    </row>
    <row r="19" spans="2:9" x14ac:dyDescent="0.2">
      <c r="B19" s="392"/>
      <c r="C19" s="392"/>
      <c r="D19" s="216" t="s">
        <v>437</v>
      </c>
      <c r="E19" s="215">
        <v>253</v>
      </c>
      <c r="F19" s="215">
        <v>42</v>
      </c>
      <c r="G19" s="215">
        <v>52</v>
      </c>
      <c r="H19" s="215">
        <v>871</v>
      </c>
      <c r="I19" s="215">
        <f t="shared" si="0"/>
        <v>1218</v>
      </c>
    </row>
    <row r="20" spans="2:9" x14ac:dyDescent="0.2">
      <c r="B20" s="392" t="s">
        <v>446</v>
      </c>
      <c r="C20" s="392" t="s">
        <v>447</v>
      </c>
      <c r="D20" s="214" t="s">
        <v>435</v>
      </c>
      <c r="E20" s="215">
        <v>190</v>
      </c>
      <c r="F20" s="215">
        <v>15</v>
      </c>
      <c r="G20" s="215">
        <v>28</v>
      </c>
      <c r="H20" s="215">
        <v>820</v>
      </c>
      <c r="I20" s="215">
        <f t="shared" si="0"/>
        <v>1053</v>
      </c>
    </row>
    <row r="21" spans="2:9" x14ac:dyDescent="0.2">
      <c r="B21" s="392"/>
      <c r="C21" s="392"/>
      <c r="D21" s="216" t="s">
        <v>437</v>
      </c>
      <c r="E21" s="215">
        <v>545</v>
      </c>
      <c r="F21" s="215">
        <v>60</v>
      </c>
      <c r="G21" s="215">
        <v>93</v>
      </c>
      <c r="H21" s="215">
        <v>2160</v>
      </c>
      <c r="I21" s="215">
        <f t="shared" si="0"/>
        <v>2858</v>
      </c>
    </row>
    <row r="22" spans="2:9" x14ac:dyDescent="0.2">
      <c r="B22" s="392" t="s">
        <v>448</v>
      </c>
      <c r="C22" s="392" t="s">
        <v>449</v>
      </c>
      <c r="D22" s="214" t="s">
        <v>435</v>
      </c>
      <c r="E22" s="215">
        <v>74</v>
      </c>
      <c r="F22" s="215">
        <v>4</v>
      </c>
      <c r="G22" s="215">
        <v>9</v>
      </c>
      <c r="H22" s="215">
        <v>402</v>
      </c>
      <c r="I22" s="215">
        <f t="shared" si="0"/>
        <v>489</v>
      </c>
    </row>
    <row r="23" spans="2:9" x14ac:dyDescent="0.2">
      <c r="B23" s="392"/>
      <c r="C23" s="392"/>
      <c r="D23" s="216" t="s">
        <v>437</v>
      </c>
      <c r="E23" s="215">
        <v>201</v>
      </c>
      <c r="F23" s="215">
        <v>23</v>
      </c>
      <c r="G23" s="215">
        <v>23</v>
      </c>
      <c r="H23" s="215">
        <v>1136</v>
      </c>
      <c r="I23" s="215">
        <f t="shared" si="0"/>
        <v>1383</v>
      </c>
    </row>
    <row r="24" spans="2:9" x14ac:dyDescent="0.2">
      <c r="B24" s="392" t="s">
        <v>450</v>
      </c>
      <c r="C24" s="392" t="s">
        <v>451</v>
      </c>
      <c r="D24" s="214" t="s">
        <v>435</v>
      </c>
      <c r="E24" s="215">
        <v>106</v>
      </c>
      <c r="F24" s="215">
        <v>12</v>
      </c>
      <c r="G24" s="215">
        <v>20</v>
      </c>
      <c r="H24" s="215">
        <v>449</v>
      </c>
      <c r="I24" s="215">
        <f t="shared" si="0"/>
        <v>587</v>
      </c>
    </row>
    <row r="25" spans="2:9" x14ac:dyDescent="0.2">
      <c r="B25" s="392"/>
      <c r="C25" s="392"/>
      <c r="D25" s="216" t="s">
        <v>437</v>
      </c>
      <c r="E25" s="215">
        <v>351</v>
      </c>
      <c r="F25" s="215">
        <v>46</v>
      </c>
      <c r="G25" s="215">
        <v>84</v>
      </c>
      <c r="H25" s="215">
        <v>1217</v>
      </c>
      <c r="I25" s="215">
        <f t="shared" si="0"/>
        <v>1698</v>
      </c>
    </row>
    <row r="26" spans="2:9" x14ac:dyDescent="0.2">
      <c r="B26" s="392" t="s">
        <v>452</v>
      </c>
      <c r="C26" s="392" t="s">
        <v>453</v>
      </c>
      <c r="D26" s="214" t="s">
        <v>435</v>
      </c>
      <c r="E26" s="215">
        <v>184</v>
      </c>
      <c r="F26" s="215">
        <v>16</v>
      </c>
      <c r="G26" s="215">
        <v>36</v>
      </c>
      <c r="H26" s="215">
        <v>552</v>
      </c>
      <c r="I26" s="215">
        <f t="shared" si="0"/>
        <v>788</v>
      </c>
    </row>
    <row r="27" spans="2:9" x14ac:dyDescent="0.2">
      <c r="B27" s="392"/>
      <c r="C27" s="392"/>
      <c r="D27" s="216" t="s">
        <v>437</v>
      </c>
      <c r="E27" s="215">
        <v>589</v>
      </c>
      <c r="F27" s="215">
        <v>66</v>
      </c>
      <c r="G27" s="215">
        <v>142</v>
      </c>
      <c r="H27" s="215">
        <v>1487</v>
      </c>
      <c r="I27" s="215">
        <f t="shared" si="0"/>
        <v>2284</v>
      </c>
    </row>
    <row r="28" spans="2:9" x14ac:dyDescent="0.2">
      <c r="B28" s="392" t="s">
        <v>514</v>
      </c>
      <c r="C28" s="392" t="s">
        <v>515</v>
      </c>
      <c r="D28" s="214" t="s">
        <v>435</v>
      </c>
      <c r="E28" s="215">
        <v>63</v>
      </c>
      <c r="F28" s="215">
        <v>5</v>
      </c>
      <c r="G28" s="215">
        <v>9</v>
      </c>
      <c r="H28" s="215">
        <v>157</v>
      </c>
      <c r="I28" s="215">
        <f t="shared" si="0"/>
        <v>234</v>
      </c>
    </row>
    <row r="29" spans="2:9" x14ac:dyDescent="0.2">
      <c r="B29" s="392"/>
      <c r="C29" s="392"/>
      <c r="D29" s="216" t="s">
        <v>437</v>
      </c>
      <c r="E29" s="215">
        <v>198</v>
      </c>
      <c r="F29" s="215">
        <v>24</v>
      </c>
      <c r="G29" s="215">
        <v>33</v>
      </c>
      <c r="H29" s="215">
        <v>448</v>
      </c>
      <c r="I29" s="215">
        <f t="shared" si="0"/>
        <v>703</v>
      </c>
    </row>
    <row r="30" spans="2:9" x14ac:dyDescent="0.2">
      <c r="B30" s="392" t="s">
        <v>454</v>
      </c>
      <c r="C30" s="392" t="s">
        <v>455</v>
      </c>
      <c r="D30" s="214" t="s">
        <v>435</v>
      </c>
      <c r="E30" s="215">
        <v>141</v>
      </c>
      <c r="F30" s="215">
        <v>6</v>
      </c>
      <c r="G30" s="215">
        <v>19</v>
      </c>
      <c r="H30" s="215">
        <v>304</v>
      </c>
      <c r="I30" s="215">
        <f t="shared" si="0"/>
        <v>470</v>
      </c>
    </row>
    <row r="31" spans="2:9" x14ac:dyDescent="0.2">
      <c r="B31" s="392"/>
      <c r="C31" s="392"/>
      <c r="D31" s="216" t="s">
        <v>437</v>
      </c>
      <c r="E31" s="215">
        <v>463</v>
      </c>
      <c r="F31" s="215">
        <v>20</v>
      </c>
      <c r="G31" s="215">
        <v>70</v>
      </c>
      <c r="H31" s="215">
        <v>824</v>
      </c>
      <c r="I31" s="215">
        <f t="shared" si="0"/>
        <v>1377</v>
      </c>
    </row>
    <row r="32" spans="2:9" x14ac:dyDescent="0.2">
      <c r="B32" s="392" t="s">
        <v>456</v>
      </c>
      <c r="C32" s="392" t="s">
        <v>457</v>
      </c>
      <c r="D32" s="214" t="s">
        <v>435</v>
      </c>
      <c r="E32" s="215">
        <v>49</v>
      </c>
      <c r="F32" s="215">
        <v>5</v>
      </c>
      <c r="G32" s="215">
        <v>8</v>
      </c>
      <c r="H32" s="215">
        <v>159</v>
      </c>
      <c r="I32" s="215">
        <f t="shared" si="0"/>
        <v>221</v>
      </c>
    </row>
    <row r="33" spans="2:9" x14ac:dyDescent="0.2">
      <c r="B33" s="392"/>
      <c r="C33" s="392"/>
      <c r="D33" s="216" t="s">
        <v>437</v>
      </c>
      <c r="E33" s="215">
        <v>136</v>
      </c>
      <c r="F33" s="215">
        <v>15</v>
      </c>
      <c r="G33" s="215">
        <v>30</v>
      </c>
      <c r="H33" s="215">
        <v>419</v>
      </c>
      <c r="I33" s="215">
        <f t="shared" si="0"/>
        <v>600</v>
      </c>
    </row>
    <row r="34" spans="2:9" x14ac:dyDescent="0.2">
      <c r="B34" s="392" t="s">
        <v>458</v>
      </c>
      <c r="C34" s="392" t="s">
        <v>459</v>
      </c>
      <c r="D34" s="214" t="s">
        <v>435</v>
      </c>
      <c r="E34" s="215">
        <v>98</v>
      </c>
      <c r="F34" s="215">
        <v>7</v>
      </c>
      <c r="G34" s="215">
        <v>15</v>
      </c>
      <c r="H34" s="215">
        <v>286</v>
      </c>
      <c r="I34" s="215">
        <f t="shared" si="0"/>
        <v>406</v>
      </c>
    </row>
    <row r="35" spans="2:9" x14ac:dyDescent="0.2">
      <c r="B35" s="392"/>
      <c r="C35" s="392"/>
      <c r="D35" s="216" t="s">
        <v>437</v>
      </c>
      <c r="E35" s="215">
        <v>294</v>
      </c>
      <c r="F35" s="215">
        <v>31</v>
      </c>
      <c r="G35" s="215">
        <v>68</v>
      </c>
      <c r="H35" s="215">
        <v>761</v>
      </c>
      <c r="I35" s="215">
        <f t="shared" si="0"/>
        <v>1154</v>
      </c>
    </row>
    <row r="36" spans="2:9" x14ac:dyDescent="0.2">
      <c r="B36" s="392" t="s">
        <v>460</v>
      </c>
      <c r="C36" s="392" t="s">
        <v>461</v>
      </c>
      <c r="D36" s="214" t="s">
        <v>435</v>
      </c>
      <c r="E36" s="215">
        <v>10</v>
      </c>
      <c r="F36" s="215">
        <v>0</v>
      </c>
      <c r="G36" s="215">
        <v>1</v>
      </c>
      <c r="H36" s="215">
        <v>38</v>
      </c>
      <c r="I36" s="215">
        <f t="shared" si="0"/>
        <v>49</v>
      </c>
    </row>
    <row r="37" spans="2:9" x14ac:dyDescent="0.2">
      <c r="B37" s="392"/>
      <c r="C37" s="392"/>
      <c r="D37" s="216" t="s">
        <v>437</v>
      </c>
      <c r="E37" s="215">
        <v>32</v>
      </c>
      <c r="F37" s="215">
        <v>0</v>
      </c>
      <c r="G37" s="215">
        <v>3</v>
      </c>
      <c r="H37" s="215">
        <v>108</v>
      </c>
      <c r="I37" s="215">
        <f t="shared" si="0"/>
        <v>143</v>
      </c>
    </row>
    <row r="38" spans="2:9" x14ac:dyDescent="0.2">
      <c r="B38" s="392" t="s">
        <v>462</v>
      </c>
      <c r="C38" s="392" t="s">
        <v>463</v>
      </c>
      <c r="D38" s="214" t="s">
        <v>435</v>
      </c>
      <c r="E38" s="215">
        <v>12</v>
      </c>
      <c r="F38" s="215">
        <v>1</v>
      </c>
      <c r="G38" s="215">
        <v>1</v>
      </c>
      <c r="H38" s="215">
        <v>83</v>
      </c>
      <c r="I38" s="215">
        <f t="shared" si="0"/>
        <v>97</v>
      </c>
    </row>
    <row r="39" spans="2:9" x14ac:dyDescent="0.2">
      <c r="B39" s="392"/>
      <c r="C39" s="392"/>
      <c r="D39" s="216" t="s">
        <v>437</v>
      </c>
      <c r="E39" s="215">
        <v>29</v>
      </c>
      <c r="F39" s="215">
        <v>3</v>
      </c>
      <c r="G39" s="215">
        <v>3</v>
      </c>
      <c r="H39" s="215">
        <v>183</v>
      </c>
      <c r="I39" s="215">
        <f t="shared" si="0"/>
        <v>218</v>
      </c>
    </row>
    <row r="40" spans="2:9" x14ac:dyDescent="0.2">
      <c r="B40" s="392" t="s">
        <v>464</v>
      </c>
      <c r="C40" s="392" t="s">
        <v>465</v>
      </c>
      <c r="D40" s="214" t="s">
        <v>435</v>
      </c>
      <c r="E40" s="215">
        <v>555</v>
      </c>
      <c r="F40" s="215">
        <v>40</v>
      </c>
      <c r="G40" s="215">
        <v>77</v>
      </c>
      <c r="H40" s="215">
        <v>2635</v>
      </c>
      <c r="I40" s="215">
        <f t="shared" si="0"/>
        <v>3307</v>
      </c>
    </row>
    <row r="41" spans="2:9" x14ac:dyDescent="0.2">
      <c r="B41" s="392"/>
      <c r="C41" s="392"/>
      <c r="D41" s="216" t="s">
        <v>437</v>
      </c>
      <c r="E41" s="215">
        <v>1682</v>
      </c>
      <c r="F41" s="215">
        <v>168</v>
      </c>
      <c r="G41" s="215">
        <v>271</v>
      </c>
      <c r="H41" s="215">
        <v>6888</v>
      </c>
      <c r="I41" s="215">
        <f t="shared" si="0"/>
        <v>9009</v>
      </c>
    </row>
    <row r="42" spans="2:9" x14ac:dyDescent="0.2">
      <c r="B42" s="393" t="s">
        <v>57</v>
      </c>
      <c r="C42" s="393"/>
      <c r="D42" s="217" t="s">
        <v>435</v>
      </c>
      <c r="E42" s="218">
        <f>E10+E12+E14+E16+E18+E20+E22+E24+E26+E28+E30+E32+E34+E36+E38+E40</f>
        <v>1649</v>
      </c>
      <c r="F42" s="218">
        <f t="shared" ref="F42:H43" si="1">F10+F12+F14+F16+F18+F20+F22+F24+F26+F28+F30+F32+F34+F36+F38+F40</f>
        <v>126</v>
      </c>
      <c r="G42" s="218">
        <f t="shared" si="1"/>
        <v>246</v>
      </c>
      <c r="H42" s="218">
        <f t="shared" si="1"/>
        <v>6680</v>
      </c>
      <c r="I42" s="218">
        <f t="shared" si="0"/>
        <v>8701</v>
      </c>
    </row>
    <row r="43" spans="2:9" x14ac:dyDescent="0.2">
      <c r="B43" s="393"/>
      <c r="C43" s="393"/>
      <c r="D43" s="219" t="s">
        <v>437</v>
      </c>
      <c r="E43" s="218">
        <f>E11+E13+E15+E17+E19+E21+E23+E25+E27+E29+E31+E33+E35+E37+E39+E41</f>
        <v>5071</v>
      </c>
      <c r="F43" s="218">
        <f t="shared" si="1"/>
        <v>525</v>
      </c>
      <c r="G43" s="218">
        <f t="shared" si="1"/>
        <v>926</v>
      </c>
      <c r="H43" s="218">
        <f t="shared" si="1"/>
        <v>17868</v>
      </c>
      <c r="I43" s="218">
        <f t="shared" si="0"/>
        <v>24390</v>
      </c>
    </row>
    <row r="44" spans="2:9" x14ac:dyDescent="0.2">
      <c r="B44" s="21" t="s">
        <v>419</v>
      </c>
    </row>
  </sheetData>
  <mergeCells count="40">
    <mergeCell ref="B40:B41"/>
    <mergeCell ref="C40:C41"/>
    <mergeCell ref="B42:C43"/>
    <mergeCell ref="B38:B39"/>
    <mergeCell ref="B28:B29"/>
    <mergeCell ref="C28:C29"/>
    <mergeCell ref="B30:B31"/>
    <mergeCell ref="C30:C31"/>
    <mergeCell ref="C38:C39"/>
    <mergeCell ref="B36:B37"/>
    <mergeCell ref="C36:C37"/>
    <mergeCell ref="B34:B35"/>
    <mergeCell ref="C34:C35"/>
    <mergeCell ref="B32:B33"/>
    <mergeCell ref="C32:C33"/>
    <mergeCell ref="B22:B23"/>
    <mergeCell ref="C22:C23"/>
    <mergeCell ref="B24:B25"/>
    <mergeCell ref="C24:C25"/>
    <mergeCell ref="C26:C27"/>
    <mergeCell ref="B26:B27"/>
    <mergeCell ref="B16:B17"/>
    <mergeCell ref="C16:C17"/>
    <mergeCell ref="B18:B19"/>
    <mergeCell ref="C18:C19"/>
    <mergeCell ref="B20:B21"/>
    <mergeCell ref="C20:C21"/>
    <mergeCell ref="B10:B11"/>
    <mergeCell ref="C10:C11"/>
    <mergeCell ref="B12:B13"/>
    <mergeCell ref="C12:C13"/>
    <mergeCell ref="B14:B15"/>
    <mergeCell ref="C14:C15"/>
    <mergeCell ref="B5:I5"/>
    <mergeCell ref="B6:I6"/>
    <mergeCell ref="B8:C9"/>
    <mergeCell ref="D8:D9"/>
    <mergeCell ref="E8:F8"/>
    <mergeCell ref="G8:H8"/>
    <mergeCell ref="I8:I9"/>
  </mergeCells>
  <hyperlinks>
    <hyperlink ref="K5" location="'Índice BxH'!A1" display="Volver a Bono por Hijo"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8" tint="-0.249977111117893"/>
  </sheetPr>
  <dimension ref="A2:N16"/>
  <sheetViews>
    <sheetView showGridLines="0" workbookViewId="0">
      <selection activeCell="K26" sqref="K26"/>
    </sheetView>
  </sheetViews>
  <sheetFormatPr baseColWidth="10" defaultRowHeight="15" x14ac:dyDescent="0.25"/>
  <cols>
    <col min="1" max="1" width="6" customWidth="1"/>
  </cols>
  <sheetData>
    <row r="2" spans="1:14" x14ac:dyDescent="0.25">
      <c r="A2" s="40" t="s">
        <v>58</v>
      </c>
    </row>
    <row r="3" spans="1:14" x14ac:dyDescent="0.25">
      <c r="A3" s="40" t="s">
        <v>59</v>
      </c>
    </row>
    <row r="4" spans="1:14" x14ac:dyDescent="0.25">
      <c r="A4" s="40"/>
    </row>
    <row r="5" spans="1:14" x14ac:dyDescent="0.25">
      <c r="A5" s="40"/>
      <c r="B5" s="96" t="s">
        <v>506</v>
      </c>
      <c r="C5" s="87"/>
      <c r="D5" s="87"/>
      <c r="E5" s="87"/>
      <c r="F5" s="87"/>
      <c r="N5" s="110" t="s">
        <v>511</v>
      </c>
    </row>
    <row r="6" spans="1:14" x14ac:dyDescent="0.25">
      <c r="A6" s="40"/>
    </row>
    <row r="7" spans="1:14" s="97" customFormat="1" ht="12.75" x14ac:dyDescent="0.2">
      <c r="B7" s="98" t="s">
        <v>75</v>
      </c>
      <c r="C7" s="99"/>
      <c r="D7" s="99"/>
      <c r="E7" s="99"/>
      <c r="F7" s="99"/>
      <c r="G7" s="99"/>
      <c r="H7" s="99"/>
      <c r="I7" s="99"/>
      <c r="J7" s="99"/>
      <c r="K7" s="99"/>
      <c r="L7" s="99"/>
      <c r="M7" s="99"/>
      <c r="N7" s="100"/>
    </row>
    <row r="8" spans="1:14" s="97" customFormat="1" ht="12.75" x14ac:dyDescent="0.2">
      <c r="B8" s="106" t="s">
        <v>623</v>
      </c>
      <c r="N8" s="107"/>
    </row>
    <row r="9" spans="1:14" s="97" customFormat="1" ht="12.75" x14ac:dyDescent="0.2">
      <c r="B9" s="108" t="s">
        <v>507</v>
      </c>
      <c r="C9" s="101"/>
      <c r="D9" s="101"/>
      <c r="E9" s="101"/>
      <c r="F9" s="101"/>
      <c r="G9" s="101"/>
      <c r="H9" s="101"/>
      <c r="I9" s="101"/>
      <c r="J9" s="101"/>
      <c r="K9" s="101"/>
      <c r="L9" s="101"/>
      <c r="M9" s="101"/>
      <c r="N9" s="102"/>
    </row>
    <row r="10" spans="1:14" s="97" customFormat="1" ht="12.75" x14ac:dyDescent="0.2"/>
    <row r="11" spans="1:14" s="97" customFormat="1" ht="12.75" x14ac:dyDescent="0.2">
      <c r="B11" s="62" t="s">
        <v>466</v>
      </c>
    </row>
    <row r="12" spans="1:14" s="97" customFormat="1" ht="12.75" x14ac:dyDescent="0.2">
      <c r="B12" s="394" t="s">
        <v>624</v>
      </c>
      <c r="C12" s="394"/>
      <c r="D12" s="394"/>
      <c r="E12" s="394"/>
      <c r="F12" s="394"/>
      <c r="G12" s="394"/>
      <c r="H12" s="394"/>
      <c r="I12" s="394"/>
      <c r="J12" s="394"/>
    </row>
    <row r="13" spans="1:14" s="97" customFormat="1" ht="12.75" x14ac:dyDescent="0.2">
      <c r="B13" s="394" t="s">
        <v>625</v>
      </c>
      <c r="C13" s="394"/>
      <c r="D13" s="394"/>
      <c r="E13" s="394"/>
      <c r="F13" s="394"/>
      <c r="G13" s="394"/>
      <c r="H13" s="394"/>
      <c r="I13" s="394"/>
      <c r="J13" s="394"/>
    </row>
    <row r="14" spans="1:14" s="97" customFormat="1" ht="12.75" x14ac:dyDescent="0.2">
      <c r="B14" s="394" t="s">
        <v>626</v>
      </c>
      <c r="C14" s="394"/>
      <c r="D14" s="394"/>
      <c r="E14" s="394"/>
      <c r="F14" s="394"/>
      <c r="G14" s="394"/>
      <c r="H14" s="394"/>
      <c r="I14" s="394"/>
    </row>
    <row r="15" spans="1:14" s="97" customFormat="1" ht="12.75" x14ac:dyDescent="0.2">
      <c r="B15" s="394" t="s">
        <v>627</v>
      </c>
      <c r="C15" s="394"/>
      <c r="D15" s="394"/>
      <c r="E15" s="394"/>
      <c r="F15" s="394"/>
      <c r="G15" s="394"/>
      <c r="H15" s="394"/>
      <c r="I15" s="394"/>
      <c r="J15" s="394"/>
    </row>
    <row r="16" spans="1:14" s="97" customFormat="1" ht="12.75" x14ac:dyDescent="0.2">
      <c r="B16" s="394" t="s">
        <v>628</v>
      </c>
      <c r="C16" s="394"/>
      <c r="D16" s="394"/>
      <c r="E16" s="394"/>
      <c r="F16" s="394"/>
      <c r="G16" s="394"/>
      <c r="H16" s="394"/>
      <c r="I16" s="394"/>
      <c r="J16" s="394"/>
    </row>
  </sheetData>
  <mergeCells count="5">
    <mergeCell ref="B12:J12"/>
    <mergeCell ref="B13:J13"/>
    <mergeCell ref="B14:I14"/>
    <mergeCell ref="B15:J15"/>
    <mergeCell ref="B16:J16"/>
  </mergeCells>
  <hyperlinks>
    <hyperlink ref="B12" location="'Contratación Solicitudes'!A1" display="'Contratación Solicitudes'!A1" xr:uid="{00000000-0004-0000-1B00-000000000000}"/>
    <hyperlink ref="B13" location="'Contratación Trámite'!A1" display="'Contratación Trámite'!A1" xr:uid="{00000000-0004-0000-1B00-000001000000}"/>
    <hyperlink ref="B14" location="'Cotización Solicitudes'!A1" display="'Cotización Solicitudes'!A1" xr:uid="{00000000-0004-0000-1B00-000002000000}"/>
    <hyperlink ref="B15" location="'Cotización Trámite'!A1" display="'Cotización Trámite'!A1" xr:uid="{00000000-0004-0000-1B00-000003000000}"/>
    <hyperlink ref="B16" location="'Subsidios Pagados'!A1" display="'Subsidios Pagados'!A1" xr:uid="{00000000-0004-0000-1B00-000004000000}"/>
    <hyperlink ref="N5" location="Índice!A1" display="Volver" xr:uid="{00000000-0004-0000-1B00-000005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2:H142"/>
  <sheetViews>
    <sheetView showGridLines="0" zoomScale="90" zoomScaleNormal="90" workbookViewId="0">
      <pane xSplit="2" ySplit="10" topLeftCell="C100" activePane="bottomRight" state="frozen"/>
      <selection activeCell="B6" sqref="B6:L6"/>
      <selection pane="topRight" activeCell="B6" sqref="B6:L6"/>
      <selection pane="bottomLeft" activeCell="B6" sqref="B6:L6"/>
      <selection pane="bottomRight" activeCell="F140" sqref="F140"/>
    </sheetView>
  </sheetViews>
  <sheetFormatPr baseColWidth="10" defaultColWidth="11.42578125" defaultRowHeight="12" x14ac:dyDescent="0.2"/>
  <cols>
    <col min="1" max="1" width="6" style="21" customWidth="1"/>
    <col min="2" max="16384" width="11.42578125" style="21"/>
  </cols>
  <sheetData>
    <row r="2" spans="1:8" x14ac:dyDescent="0.2">
      <c r="A2" s="40" t="s">
        <v>58</v>
      </c>
    </row>
    <row r="3" spans="1:8" x14ac:dyDescent="0.2">
      <c r="A3" s="40" t="s">
        <v>59</v>
      </c>
    </row>
    <row r="5" spans="1:8" ht="28.5" customHeight="1" x14ac:dyDescent="0.2">
      <c r="B5" s="395" t="s">
        <v>467</v>
      </c>
      <c r="C5" s="395"/>
      <c r="D5" s="395"/>
      <c r="E5" s="395"/>
      <c r="F5" s="395"/>
      <c r="H5" s="105" t="s">
        <v>510</v>
      </c>
    </row>
    <row r="6" spans="1:8" ht="12.75" x14ac:dyDescent="0.2">
      <c r="B6" s="344" t="s">
        <v>629</v>
      </c>
      <c r="C6" s="344"/>
      <c r="D6" s="344"/>
      <c r="E6" s="344"/>
      <c r="F6" s="344"/>
    </row>
    <row r="8" spans="1:8" ht="27" customHeight="1" x14ac:dyDescent="0.2">
      <c r="B8" s="396" t="s">
        <v>468</v>
      </c>
      <c r="C8" s="399" t="s">
        <v>469</v>
      </c>
      <c r="D8" s="400"/>
      <c r="E8" s="400"/>
      <c r="F8" s="401"/>
    </row>
    <row r="9" spans="1:8" ht="12" customHeight="1" x14ac:dyDescent="0.2">
      <c r="B9" s="397"/>
      <c r="C9" s="396" t="s">
        <v>426</v>
      </c>
      <c r="D9" s="399" t="s">
        <v>470</v>
      </c>
      <c r="E9" s="401"/>
      <c r="F9" s="396" t="s">
        <v>471</v>
      </c>
    </row>
    <row r="10" spans="1:8" x14ac:dyDescent="0.2">
      <c r="B10" s="398"/>
      <c r="C10" s="398"/>
      <c r="D10" s="128" t="s">
        <v>472</v>
      </c>
      <c r="E10" s="128" t="s">
        <v>473</v>
      </c>
      <c r="F10" s="398"/>
    </row>
    <row r="11" spans="1:8" x14ac:dyDescent="0.2">
      <c r="B11" s="66" t="s">
        <v>474</v>
      </c>
      <c r="C11" s="151">
        <v>333</v>
      </c>
      <c r="D11" s="151"/>
      <c r="E11" s="151"/>
      <c r="F11" s="151"/>
    </row>
    <row r="12" spans="1:8" x14ac:dyDescent="0.2">
      <c r="B12" s="67">
        <v>2009</v>
      </c>
      <c r="C12" s="151">
        <v>2105</v>
      </c>
      <c r="D12" s="151"/>
      <c r="E12" s="151"/>
      <c r="F12" s="151"/>
    </row>
    <row r="13" spans="1:8" x14ac:dyDescent="0.2">
      <c r="B13" s="67">
        <v>2010</v>
      </c>
      <c r="C13" s="151">
        <v>1759</v>
      </c>
      <c r="D13" s="151"/>
      <c r="E13" s="151"/>
      <c r="F13" s="151"/>
    </row>
    <row r="14" spans="1:8" x14ac:dyDescent="0.2">
      <c r="B14" s="67">
        <v>2011</v>
      </c>
      <c r="C14" s="68">
        <v>1026</v>
      </c>
      <c r="D14" s="68"/>
      <c r="E14" s="68"/>
      <c r="F14" s="68"/>
    </row>
    <row r="15" spans="1:8" x14ac:dyDescent="0.2">
      <c r="B15" s="67">
        <v>2012</v>
      </c>
      <c r="C15" s="68">
        <v>807</v>
      </c>
      <c r="D15" s="68"/>
      <c r="E15" s="68"/>
      <c r="F15" s="68">
        <f>4799+6387+5277+4788+3887+4506+3139+8888+9643+3804+9793+10267</f>
        <v>75178</v>
      </c>
    </row>
    <row r="16" spans="1:8" x14ac:dyDescent="0.2">
      <c r="B16" s="69">
        <v>41275</v>
      </c>
      <c r="C16" s="70">
        <v>58</v>
      </c>
      <c r="D16" s="70"/>
      <c r="E16" s="70"/>
      <c r="F16" s="70">
        <v>10513</v>
      </c>
    </row>
    <row r="17" spans="2:6" x14ac:dyDescent="0.2">
      <c r="B17" s="69">
        <v>41306</v>
      </c>
      <c r="C17" s="70">
        <v>55</v>
      </c>
      <c r="D17" s="70"/>
      <c r="E17" s="70"/>
      <c r="F17" s="70">
        <v>8811</v>
      </c>
    </row>
    <row r="18" spans="2:6" x14ac:dyDescent="0.2">
      <c r="B18" s="69">
        <v>41334</v>
      </c>
      <c r="C18" s="70">
        <v>64</v>
      </c>
      <c r="D18" s="70"/>
      <c r="E18" s="70"/>
      <c r="F18" s="70">
        <v>11072</v>
      </c>
    </row>
    <row r="19" spans="2:6" x14ac:dyDescent="0.2">
      <c r="B19" s="69">
        <v>41365</v>
      </c>
      <c r="C19" s="70">
        <v>66</v>
      </c>
      <c r="D19" s="70"/>
      <c r="E19" s="70"/>
      <c r="F19" s="70">
        <v>9568</v>
      </c>
    </row>
    <row r="20" spans="2:6" x14ac:dyDescent="0.2">
      <c r="B20" s="69">
        <v>41395</v>
      </c>
      <c r="C20" s="70">
        <v>60</v>
      </c>
      <c r="D20" s="70"/>
      <c r="E20" s="70"/>
      <c r="F20" s="70">
        <v>9423</v>
      </c>
    </row>
    <row r="21" spans="2:6" x14ac:dyDescent="0.2">
      <c r="B21" s="69">
        <v>41426</v>
      </c>
      <c r="C21" s="70">
        <v>54</v>
      </c>
      <c r="D21" s="70"/>
      <c r="E21" s="70"/>
      <c r="F21" s="70">
        <v>10541</v>
      </c>
    </row>
    <row r="22" spans="2:6" x14ac:dyDescent="0.2">
      <c r="B22" s="69">
        <v>41456</v>
      </c>
      <c r="C22" s="70">
        <v>58</v>
      </c>
      <c r="D22" s="70"/>
      <c r="E22" s="70"/>
      <c r="F22" s="70">
        <v>10315</v>
      </c>
    </row>
    <row r="23" spans="2:6" x14ac:dyDescent="0.2">
      <c r="B23" s="69">
        <v>41487</v>
      </c>
      <c r="C23" s="70">
        <v>58</v>
      </c>
      <c r="D23" s="70"/>
      <c r="E23" s="70"/>
      <c r="F23" s="70">
        <v>9741</v>
      </c>
    </row>
    <row r="24" spans="2:6" x14ac:dyDescent="0.2">
      <c r="B24" s="69">
        <v>41518</v>
      </c>
      <c r="C24" s="70">
        <v>50</v>
      </c>
      <c r="D24" s="70"/>
      <c r="E24" s="70"/>
      <c r="F24" s="70">
        <v>9232</v>
      </c>
    </row>
    <row r="25" spans="2:6" x14ac:dyDescent="0.2">
      <c r="B25" s="69">
        <v>41548</v>
      </c>
      <c r="C25" s="70">
        <v>48</v>
      </c>
      <c r="D25" s="70"/>
      <c r="E25" s="70"/>
      <c r="F25" s="70">
        <v>9928</v>
      </c>
    </row>
    <row r="26" spans="2:6" x14ac:dyDescent="0.2">
      <c r="B26" s="69">
        <v>41579</v>
      </c>
      <c r="C26" s="70">
        <v>28</v>
      </c>
      <c r="D26" s="70"/>
      <c r="E26" s="70"/>
      <c r="F26" s="70">
        <v>6195</v>
      </c>
    </row>
    <row r="27" spans="2:6" x14ac:dyDescent="0.2">
      <c r="B27" s="69">
        <v>41609</v>
      </c>
      <c r="C27" s="71">
        <v>55</v>
      </c>
      <c r="D27" s="71"/>
      <c r="E27" s="71"/>
      <c r="F27" s="71">
        <v>8859</v>
      </c>
    </row>
    <row r="28" spans="2:6" x14ac:dyDescent="0.2">
      <c r="B28" s="67">
        <v>2013</v>
      </c>
      <c r="C28" s="151">
        <f>SUM(C16:C27)</f>
        <v>654</v>
      </c>
      <c r="D28" s="151"/>
      <c r="E28" s="151"/>
      <c r="F28" s="151">
        <f>SUM(F16:F27)</f>
        <v>114198</v>
      </c>
    </row>
    <row r="29" spans="2:6" x14ac:dyDescent="0.2">
      <c r="B29" s="69">
        <v>41640</v>
      </c>
      <c r="C29" s="71">
        <v>57</v>
      </c>
      <c r="D29" s="71"/>
      <c r="E29" s="71"/>
      <c r="F29" s="71">
        <v>10003</v>
      </c>
    </row>
    <row r="30" spans="2:6" x14ac:dyDescent="0.2">
      <c r="B30" s="69">
        <v>41671</v>
      </c>
      <c r="C30" s="71">
        <v>36</v>
      </c>
      <c r="D30" s="71"/>
      <c r="E30" s="71"/>
      <c r="F30" s="71">
        <v>8116</v>
      </c>
    </row>
    <row r="31" spans="2:6" x14ac:dyDescent="0.2">
      <c r="B31" s="69">
        <v>41699</v>
      </c>
      <c r="C31" s="71">
        <v>43</v>
      </c>
      <c r="D31" s="71"/>
      <c r="E31" s="71"/>
      <c r="F31" s="71">
        <v>3794</v>
      </c>
    </row>
    <row r="32" spans="2:6" x14ac:dyDescent="0.2">
      <c r="B32" s="69">
        <v>41730</v>
      </c>
      <c r="C32" s="71">
        <v>44</v>
      </c>
      <c r="D32" s="71"/>
      <c r="E32" s="71"/>
      <c r="F32" s="71">
        <v>5833</v>
      </c>
    </row>
    <row r="33" spans="2:6" x14ac:dyDescent="0.2">
      <c r="B33" s="69">
        <v>41760</v>
      </c>
      <c r="C33" s="71">
        <v>47</v>
      </c>
      <c r="D33" s="71"/>
      <c r="E33" s="71"/>
      <c r="F33" s="71">
        <v>3916</v>
      </c>
    </row>
    <row r="34" spans="2:6" x14ac:dyDescent="0.2">
      <c r="B34" s="69">
        <v>41791</v>
      </c>
      <c r="C34" s="71">
        <v>48</v>
      </c>
      <c r="D34" s="71"/>
      <c r="E34" s="71"/>
      <c r="F34" s="71">
        <v>3251</v>
      </c>
    </row>
    <row r="35" spans="2:6" x14ac:dyDescent="0.2">
      <c r="B35" s="69">
        <v>41821</v>
      </c>
      <c r="C35" s="71">
        <v>47</v>
      </c>
      <c r="D35" s="71"/>
      <c r="E35" s="71"/>
      <c r="F35" s="71">
        <v>3190</v>
      </c>
    </row>
    <row r="36" spans="2:6" x14ac:dyDescent="0.2">
      <c r="B36" s="69">
        <v>41852</v>
      </c>
      <c r="C36" s="71">
        <v>44</v>
      </c>
      <c r="D36" s="71"/>
      <c r="E36" s="71"/>
      <c r="F36" s="71">
        <v>3136</v>
      </c>
    </row>
    <row r="37" spans="2:6" x14ac:dyDescent="0.2">
      <c r="B37" s="69">
        <v>41883</v>
      </c>
      <c r="C37" s="71">
        <v>41</v>
      </c>
      <c r="D37" s="71"/>
      <c r="E37" s="71"/>
      <c r="F37" s="71">
        <v>2928</v>
      </c>
    </row>
    <row r="38" spans="2:6" x14ac:dyDescent="0.2">
      <c r="B38" s="69">
        <v>41913</v>
      </c>
      <c r="C38" s="71">
        <v>34</v>
      </c>
      <c r="D38" s="71"/>
      <c r="E38" s="71"/>
      <c r="F38" s="71">
        <v>2732</v>
      </c>
    </row>
    <row r="39" spans="2:6" x14ac:dyDescent="0.2">
      <c r="B39" s="69">
        <v>41944</v>
      </c>
      <c r="C39" s="71">
        <v>25</v>
      </c>
      <c r="D39" s="71"/>
      <c r="E39" s="71"/>
      <c r="F39" s="71">
        <v>3936</v>
      </c>
    </row>
    <row r="40" spans="2:6" x14ac:dyDescent="0.2">
      <c r="B40" s="69">
        <v>41974</v>
      </c>
      <c r="C40" s="71">
        <v>47</v>
      </c>
      <c r="D40" s="71"/>
      <c r="E40" s="71"/>
      <c r="F40" s="71">
        <v>3018</v>
      </c>
    </row>
    <row r="41" spans="2:6" x14ac:dyDescent="0.2">
      <c r="B41" s="67">
        <v>2014</v>
      </c>
      <c r="C41" s="151">
        <f>SUM(C29:C40)</f>
        <v>513</v>
      </c>
      <c r="D41" s="151"/>
      <c r="E41" s="151"/>
      <c r="F41" s="151">
        <f>SUM(F29:F40)</f>
        <v>53853</v>
      </c>
    </row>
    <row r="42" spans="2:6" x14ac:dyDescent="0.2">
      <c r="B42" s="69">
        <v>42005</v>
      </c>
      <c r="C42" s="71">
        <v>40</v>
      </c>
      <c r="D42" s="71"/>
      <c r="E42" s="71"/>
      <c r="F42" s="71">
        <v>2343</v>
      </c>
    </row>
    <row r="43" spans="2:6" x14ac:dyDescent="0.2">
      <c r="B43" s="69">
        <v>42036</v>
      </c>
      <c r="C43" s="71">
        <v>37</v>
      </c>
      <c r="D43" s="71"/>
      <c r="E43" s="71"/>
      <c r="F43" s="71">
        <v>2758</v>
      </c>
    </row>
    <row r="44" spans="2:6" x14ac:dyDescent="0.2">
      <c r="B44" s="69">
        <v>42064</v>
      </c>
      <c r="C44" s="71">
        <v>39</v>
      </c>
      <c r="D44" s="71"/>
      <c r="E44" s="71"/>
      <c r="F44" s="71">
        <v>2319</v>
      </c>
    </row>
    <row r="45" spans="2:6" x14ac:dyDescent="0.2">
      <c r="B45" s="69">
        <v>42095</v>
      </c>
      <c r="C45" s="71">
        <v>33</v>
      </c>
      <c r="D45" s="71"/>
      <c r="E45" s="71"/>
      <c r="F45" s="71">
        <v>1250</v>
      </c>
    </row>
    <row r="46" spans="2:6" x14ac:dyDescent="0.2">
      <c r="B46" s="69">
        <v>42125</v>
      </c>
      <c r="C46" s="71">
        <v>31</v>
      </c>
      <c r="D46" s="71"/>
      <c r="E46" s="71"/>
      <c r="F46" s="71">
        <v>1952</v>
      </c>
    </row>
    <row r="47" spans="2:6" x14ac:dyDescent="0.2">
      <c r="B47" s="69">
        <v>42156</v>
      </c>
      <c r="C47" s="71">
        <v>38</v>
      </c>
      <c r="D47" s="71"/>
      <c r="E47" s="71"/>
      <c r="F47" s="71">
        <v>1536</v>
      </c>
    </row>
    <row r="48" spans="2:6" x14ac:dyDescent="0.2">
      <c r="B48" s="69">
        <v>42186</v>
      </c>
      <c r="C48" s="71">
        <v>33</v>
      </c>
      <c r="D48" s="71"/>
      <c r="E48" s="71"/>
      <c r="F48" s="71">
        <v>2640</v>
      </c>
    </row>
    <row r="49" spans="2:6" x14ac:dyDescent="0.2">
      <c r="B49" s="69">
        <v>42217</v>
      </c>
      <c r="C49" s="71">
        <v>37</v>
      </c>
      <c r="D49" s="71"/>
      <c r="E49" s="71"/>
      <c r="F49" s="71">
        <v>1723</v>
      </c>
    </row>
    <row r="50" spans="2:6" x14ac:dyDescent="0.2">
      <c r="B50" s="69">
        <v>42248</v>
      </c>
      <c r="C50" s="71">
        <v>40</v>
      </c>
      <c r="D50" s="71"/>
      <c r="E50" s="71"/>
      <c r="F50" s="71">
        <v>2602</v>
      </c>
    </row>
    <row r="51" spans="2:6" x14ac:dyDescent="0.2">
      <c r="B51" s="69">
        <v>42278</v>
      </c>
      <c r="C51" s="71">
        <v>39</v>
      </c>
      <c r="D51" s="71"/>
      <c r="E51" s="71"/>
      <c r="F51" s="71">
        <v>2691</v>
      </c>
    </row>
    <row r="52" spans="2:6" x14ac:dyDescent="0.2">
      <c r="B52" s="69">
        <v>42309</v>
      </c>
      <c r="C52" s="71">
        <v>37</v>
      </c>
      <c r="D52" s="71"/>
      <c r="E52" s="71"/>
      <c r="F52" s="71">
        <v>2518</v>
      </c>
    </row>
    <row r="53" spans="2:6" x14ac:dyDescent="0.2">
      <c r="B53" s="69">
        <v>42339</v>
      </c>
      <c r="C53" s="71">
        <v>33</v>
      </c>
      <c r="D53" s="71"/>
      <c r="E53" s="71"/>
      <c r="F53" s="71">
        <v>2358</v>
      </c>
    </row>
    <row r="54" spans="2:6" x14ac:dyDescent="0.2">
      <c r="B54" s="67">
        <v>2015</v>
      </c>
      <c r="C54" s="151">
        <f>SUM(C42:C53)</f>
        <v>437</v>
      </c>
      <c r="D54" s="151"/>
      <c r="E54" s="151"/>
      <c r="F54" s="151">
        <f>SUM(F42:F53)</f>
        <v>26690</v>
      </c>
    </row>
    <row r="55" spans="2:6" x14ac:dyDescent="0.2">
      <c r="B55" s="69">
        <v>42370</v>
      </c>
      <c r="C55" s="71">
        <v>33</v>
      </c>
      <c r="D55" s="71"/>
      <c r="E55" s="71"/>
      <c r="F55" s="71">
        <v>3308</v>
      </c>
    </row>
    <row r="56" spans="2:6" x14ac:dyDescent="0.2">
      <c r="B56" s="69">
        <v>42401</v>
      </c>
      <c r="C56" s="71">
        <v>33</v>
      </c>
      <c r="D56" s="71"/>
      <c r="E56" s="71"/>
      <c r="F56" s="71">
        <v>2327</v>
      </c>
    </row>
    <row r="57" spans="2:6" x14ac:dyDescent="0.2">
      <c r="B57" s="69">
        <v>42430</v>
      </c>
      <c r="C57" s="71">
        <v>40</v>
      </c>
      <c r="D57" s="71"/>
      <c r="E57" s="71"/>
      <c r="F57" s="71">
        <v>2621</v>
      </c>
    </row>
    <row r="58" spans="2:6" x14ac:dyDescent="0.2">
      <c r="B58" s="69">
        <v>42461</v>
      </c>
      <c r="C58" s="71">
        <v>39</v>
      </c>
      <c r="D58" s="71"/>
      <c r="E58" s="71"/>
      <c r="F58" s="71">
        <v>2495</v>
      </c>
    </row>
    <row r="59" spans="2:6" x14ac:dyDescent="0.2">
      <c r="B59" s="69">
        <v>42491</v>
      </c>
      <c r="C59" s="71">
        <v>40</v>
      </c>
      <c r="D59" s="71">
        <v>1000</v>
      </c>
      <c r="E59" s="71">
        <v>1038</v>
      </c>
      <c r="F59" s="71">
        <f>D59+E59</f>
        <v>2038</v>
      </c>
    </row>
    <row r="60" spans="2:6" x14ac:dyDescent="0.2">
      <c r="B60" s="69">
        <v>42522</v>
      </c>
      <c r="C60" s="71">
        <v>37</v>
      </c>
      <c r="D60" s="72" t="s">
        <v>427</v>
      </c>
      <c r="E60" s="72" t="s">
        <v>427</v>
      </c>
      <c r="F60" s="71">
        <v>1960</v>
      </c>
    </row>
    <row r="61" spans="2:6" x14ac:dyDescent="0.2">
      <c r="B61" s="69">
        <v>42552</v>
      </c>
      <c r="C61" s="71">
        <v>46</v>
      </c>
      <c r="D61" s="71">
        <v>1739</v>
      </c>
      <c r="E61" s="71">
        <v>1498</v>
      </c>
      <c r="F61" s="71">
        <f t="shared" ref="F61:F66" si="0">D61+E61</f>
        <v>3237</v>
      </c>
    </row>
    <row r="62" spans="2:6" x14ac:dyDescent="0.2">
      <c r="B62" s="69">
        <v>42583</v>
      </c>
      <c r="C62" s="71">
        <v>47</v>
      </c>
      <c r="D62" s="71">
        <v>1262</v>
      </c>
      <c r="E62" s="71">
        <v>1077</v>
      </c>
      <c r="F62" s="71">
        <f t="shared" si="0"/>
        <v>2339</v>
      </c>
    </row>
    <row r="63" spans="2:6" x14ac:dyDescent="0.2">
      <c r="B63" s="69">
        <v>42614</v>
      </c>
      <c r="C63" s="71">
        <v>38</v>
      </c>
      <c r="D63" s="71">
        <v>1119</v>
      </c>
      <c r="E63" s="71">
        <v>1309</v>
      </c>
      <c r="F63" s="71">
        <f t="shared" si="0"/>
        <v>2428</v>
      </c>
    </row>
    <row r="64" spans="2:6" x14ac:dyDescent="0.2">
      <c r="B64" s="69">
        <v>42644</v>
      </c>
      <c r="C64" s="71">
        <v>36</v>
      </c>
      <c r="D64" s="71">
        <v>943</v>
      </c>
      <c r="E64" s="71">
        <v>705</v>
      </c>
      <c r="F64" s="71">
        <f t="shared" si="0"/>
        <v>1648</v>
      </c>
    </row>
    <row r="65" spans="2:6" x14ac:dyDescent="0.2">
      <c r="B65" s="69">
        <v>42675</v>
      </c>
      <c r="C65" s="71">
        <v>42</v>
      </c>
      <c r="D65" s="71">
        <v>2225</v>
      </c>
      <c r="E65" s="71">
        <v>1770</v>
      </c>
      <c r="F65" s="71">
        <f t="shared" si="0"/>
        <v>3995</v>
      </c>
    </row>
    <row r="66" spans="2:6" x14ac:dyDescent="0.2">
      <c r="B66" s="69">
        <v>42705</v>
      </c>
      <c r="C66" s="71">
        <v>50</v>
      </c>
      <c r="D66" s="71">
        <v>3021</v>
      </c>
      <c r="E66" s="71">
        <v>2296</v>
      </c>
      <c r="F66" s="71">
        <f t="shared" si="0"/>
        <v>5317</v>
      </c>
    </row>
    <row r="67" spans="2:6" x14ac:dyDescent="0.2">
      <c r="B67" s="67">
        <v>2016</v>
      </c>
      <c r="C67" s="151">
        <f>SUM(C55:C66)</f>
        <v>481</v>
      </c>
      <c r="D67" s="151"/>
      <c r="E67" s="151"/>
      <c r="F67" s="151">
        <f>SUM(F55:F66)</f>
        <v>33713</v>
      </c>
    </row>
    <row r="68" spans="2:6" x14ac:dyDescent="0.2">
      <c r="B68" s="69">
        <v>42736</v>
      </c>
      <c r="C68" s="71">
        <v>40</v>
      </c>
      <c r="D68" s="71">
        <v>2335</v>
      </c>
      <c r="E68" s="71">
        <v>1830</v>
      </c>
      <c r="F68" s="71">
        <f t="shared" ref="F68:F79" si="1">D68+E68</f>
        <v>4165</v>
      </c>
    </row>
    <row r="69" spans="2:6" x14ac:dyDescent="0.2">
      <c r="B69" s="69">
        <v>42767</v>
      </c>
      <c r="C69" s="71">
        <v>32</v>
      </c>
      <c r="D69" s="71">
        <v>2075</v>
      </c>
      <c r="E69" s="71">
        <v>1511</v>
      </c>
      <c r="F69" s="71">
        <f t="shared" si="1"/>
        <v>3586</v>
      </c>
    </row>
    <row r="70" spans="2:6" x14ac:dyDescent="0.2">
      <c r="B70" s="69">
        <v>42795</v>
      </c>
      <c r="C70" s="71">
        <v>37</v>
      </c>
      <c r="D70" s="71">
        <v>922</v>
      </c>
      <c r="E70" s="71">
        <v>763</v>
      </c>
      <c r="F70" s="71">
        <f t="shared" si="1"/>
        <v>1685</v>
      </c>
    </row>
    <row r="71" spans="2:6" x14ac:dyDescent="0.2">
      <c r="B71" s="69">
        <v>42826</v>
      </c>
      <c r="C71" s="71">
        <v>27</v>
      </c>
      <c r="D71" s="71">
        <v>464</v>
      </c>
      <c r="E71" s="71">
        <v>377</v>
      </c>
      <c r="F71" s="71">
        <f t="shared" si="1"/>
        <v>841</v>
      </c>
    </row>
    <row r="72" spans="2:6" x14ac:dyDescent="0.2">
      <c r="B72" s="69">
        <v>42856</v>
      </c>
      <c r="C72" s="71">
        <v>36</v>
      </c>
      <c r="D72" s="71">
        <v>870</v>
      </c>
      <c r="E72" s="71">
        <v>555</v>
      </c>
      <c r="F72" s="71">
        <f t="shared" si="1"/>
        <v>1425</v>
      </c>
    </row>
    <row r="73" spans="2:6" x14ac:dyDescent="0.2">
      <c r="B73" s="69">
        <v>42887</v>
      </c>
      <c r="C73" s="71">
        <v>38</v>
      </c>
      <c r="D73" s="71">
        <v>479</v>
      </c>
      <c r="E73" s="71">
        <v>437</v>
      </c>
      <c r="F73" s="71">
        <f t="shared" si="1"/>
        <v>916</v>
      </c>
    </row>
    <row r="74" spans="2:6" x14ac:dyDescent="0.2">
      <c r="B74" s="69">
        <v>42917</v>
      </c>
      <c r="C74" s="71">
        <v>31</v>
      </c>
      <c r="D74" s="71">
        <v>544</v>
      </c>
      <c r="E74" s="71">
        <v>385</v>
      </c>
      <c r="F74" s="71">
        <f t="shared" si="1"/>
        <v>929</v>
      </c>
    </row>
    <row r="75" spans="2:6" x14ac:dyDescent="0.2">
      <c r="B75" s="69">
        <v>42948</v>
      </c>
      <c r="C75" s="71">
        <v>34</v>
      </c>
      <c r="D75" s="71">
        <v>715</v>
      </c>
      <c r="E75" s="71">
        <v>414</v>
      </c>
      <c r="F75" s="71">
        <f t="shared" si="1"/>
        <v>1129</v>
      </c>
    </row>
    <row r="76" spans="2:6" x14ac:dyDescent="0.2">
      <c r="B76" s="69">
        <v>42979</v>
      </c>
      <c r="C76" s="71">
        <v>36</v>
      </c>
      <c r="D76" s="71">
        <v>680</v>
      </c>
      <c r="E76" s="71">
        <v>537</v>
      </c>
      <c r="F76" s="71">
        <f t="shared" si="1"/>
        <v>1217</v>
      </c>
    </row>
    <row r="77" spans="2:6" x14ac:dyDescent="0.2">
      <c r="B77" s="69">
        <v>43009</v>
      </c>
      <c r="C77" s="71">
        <v>33</v>
      </c>
      <c r="D77" s="71">
        <v>503</v>
      </c>
      <c r="E77" s="71">
        <v>374</v>
      </c>
      <c r="F77" s="71">
        <f t="shared" si="1"/>
        <v>877</v>
      </c>
    </row>
    <row r="78" spans="2:6" x14ac:dyDescent="0.2">
      <c r="B78" s="69">
        <v>43040</v>
      </c>
      <c r="C78" s="71">
        <v>40</v>
      </c>
      <c r="D78" s="71">
        <v>676</v>
      </c>
      <c r="E78" s="71">
        <v>640</v>
      </c>
      <c r="F78" s="71">
        <f t="shared" si="1"/>
        <v>1316</v>
      </c>
    </row>
    <row r="79" spans="2:6" x14ac:dyDescent="0.2">
      <c r="B79" s="69">
        <v>43070</v>
      </c>
      <c r="C79" s="71">
        <v>56</v>
      </c>
      <c r="D79" s="71">
        <v>742</v>
      </c>
      <c r="E79" s="71">
        <v>697</v>
      </c>
      <c r="F79" s="71">
        <f t="shared" si="1"/>
        <v>1439</v>
      </c>
    </row>
    <row r="80" spans="2:6" x14ac:dyDescent="0.2">
      <c r="B80" s="67">
        <v>2017</v>
      </c>
      <c r="C80" s="151">
        <f>SUM(C68:C79)</f>
        <v>440</v>
      </c>
      <c r="D80" s="138">
        <f>SUM(D68:D79)</f>
        <v>11005</v>
      </c>
      <c r="E80" s="138">
        <f>SUM(E68:E79)</f>
        <v>8520</v>
      </c>
      <c r="F80" s="138">
        <f>SUM(F68:F79)</f>
        <v>19525</v>
      </c>
    </row>
    <row r="81" spans="2:6" x14ac:dyDescent="0.2">
      <c r="B81" s="69">
        <v>43101</v>
      </c>
      <c r="C81" s="71">
        <v>46</v>
      </c>
      <c r="D81" s="71">
        <v>1310</v>
      </c>
      <c r="E81" s="71">
        <v>1294</v>
      </c>
      <c r="F81" s="71">
        <f>D81+E81</f>
        <v>2604</v>
      </c>
    </row>
    <row r="82" spans="2:6" x14ac:dyDescent="0.2">
      <c r="B82" s="69">
        <v>43132</v>
      </c>
      <c r="C82" s="71">
        <v>61</v>
      </c>
      <c r="D82" s="71">
        <v>1107</v>
      </c>
      <c r="E82" s="71">
        <v>809</v>
      </c>
      <c r="F82" s="71">
        <f t="shared" ref="F82:F91" si="2">D82+E82</f>
        <v>1916</v>
      </c>
    </row>
    <row r="83" spans="2:6" x14ac:dyDescent="0.2">
      <c r="B83" s="69">
        <v>43160</v>
      </c>
      <c r="C83" s="71">
        <v>44</v>
      </c>
      <c r="D83" s="71">
        <v>861</v>
      </c>
      <c r="E83" s="71">
        <v>608</v>
      </c>
      <c r="F83" s="71">
        <f t="shared" si="2"/>
        <v>1469</v>
      </c>
    </row>
    <row r="84" spans="2:6" x14ac:dyDescent="0.2">
      <c r="B84" s="69">
        <v>43191</v>
      </c>
      <c r="C84" s="71">
        <v>39</v>
      </c>
      <c r="D84" s="71">
        <v>653</v>
      </c>
      <c r="E84" s="71">
        <v>498</v>
      </c>
      <c r="F84" s="71">
        <f t="shared" si="2"/>
        <v>1151</v>
      </c>
    </row>
    <row r="85" spans="2:6" x14ac:dyDescent="0.2">
      <c r="B85" s="69">
        <v>43221</v>
      </c>
      <c r="C85" s="71">
        <v>40</v>
      </c>
      <c r="D85" s="71">
        <v>965</v>
      </c>
      <c r="E85" s="71">
        <v>663</v>
      </c>
      <c r="F85" s="71">
        <f t="shared" si="2"/>
        <v>1628</v>
      </c>
    </row>
    <row r="86" spans="2:6" x14ac:dyDescent="0.2">
      <c r="B86" s="69">
        <v>43252</v>
      </c>
      <c r="C86" s="71">
        <v>55</v>
      </c>
      <c r="D86" s="71">
        <v>836</v>
      </c>
      <c r="E86" s="71">
        <v>774</v>
      </c>
      <c r="F86" s="71">
        <f t="shared" si="2"/>
        <v>1610</v>
      </c>
    </row>
    <row r="87" spans="2:6" x14ac:dyDescent="0.2">
      <c r="B87" s="69">
        <v>43282</v>
      </c>
      <c r="C87" s="71">
        <v>54</v>
      </c>
      <c r="D87" s="71">
        <v>1124</v>
      </c>
      <c r="E87" s="71">
        <v>980</v>
      </c>
      <c r="F87" s="71">
        <f t="shared" si="2"/>
        <v>2104</v>
      </c>
    </row>
    <row r="88" spans="2:6" x14ac:dyDescent="0.2">
      <c r="B88" s="69">
        <v>43313</v>
      </c>
      <c r="C88" s="71">
        <v>74</v>
      </c>
      <c r="D88" s="71">
        <v>1725</v>
      </c>
      <c r="E88" s="71">
        <v>1398</v>
      </c>
      <c r="F88" s="71">
        <f t="shared" si="2"/>
        <v>3123</v>
      </c>
    </row>
    <row r="89" spans="2:6" x14ac:dyDescent="0.2">
      <c r="B89" s="69">
        <v>43344</v>
      </c>
      <c r="C89" s="71">
        <v>50</v>
      </c>
      <c r="D89" s="71">
        <v>1229</v>
      </c>
      <c r="E89" s="71">
        <v>1067</v>
      </c>
      <c r="F89" s="71">
        <f t="shared" si="2"/>
        <v>2296</v>
      </c>
    </row>
    <row r="90" spans="2:6" x14ac:dyDescent="0.2">
      <c r="B90" s="69">
        <v>43374</v>
      </c>
      <c r="C90" s="71">
        <v>31</v>
      </c>
      <c r="D90" s="71">
        <v>1359</v>
      </c>
      <c r="E90" s="71">
        <v>477</v>
      </c>
      <c r="F90" s="71">
        <f t="shared" si="2"/>
        <v>1836</v>
      </c>
    </row>
    <row r="91" spans="2:6" x14ac:dyDescent="0.2">
      <c r="B91" s="69">
        <v>43405</v>
      </c>
      <c r="C91" s="71">
        <v>21</v>
      </c>
      <c r="D91" s="71">
        <v>1224</v>
      </c>
      <c r="E91" s="71">
        <v>699</v>
      </c>
      <c r="F91" s="71">
        <f t="shared" si="2"/>
        <v>1923</v>
      </c>
    </row>
    <row r="92" spans="2:6" x14ac:dyDescent="0.2">
      <c r="B92" s="69">
        <v>43435</v>
      </c>
      <c r="C92" s="118">
        <v>63</v>
      </c>
      <c r="D92" s="119">
        <v>1322</v>
      </c>
      <c r="E92" s="120">
        <v>1102</v>
      </c>
      <c r="F92" s="120">
        <v>2424</v>
      </c>
    </row>
    <row r="93" spans="2:6" x14ac:dyDescent="0.2">
      <c r="B93" s="67">
        <v>2018</v>
      </c>
      <c r="C93" s="151">
        <f>SUM(C81:C92)</f>
        <v>578</v>
      </c>
      <c r="D93" s="138">
        <f>SUM(D81:D92)</f>
        <v>13715</v>
      </c>
      <c r="E93" s="138">
        <f>SUM(E81:E92)</f>
        <v>10369</v>
      </c>
      <c r="F93" s="138">
        <f>SUM(F81:F92)</f>
        <v>24084</v>
      </c>
    </row>
    <row r="94" spans="2:6" x14ac:dyDescent="0.2">
      <c r="B94" s="69">
        <v>43466</v>
      </c>
      <c r="C94" s="71">
        <v>46</v>
      </c>
      <c r="D94" s="71">
        <v>1409</v>
      </c>
      <c r="E94" s="71">
        <v>848</v>
      </c>
      <c r="F94" s="71">
        <v>2257</v>
      </c>
    </row>
    <row r="95" spans="2:6" x14ac:dyDescent="0.2">
      <c r="B95" s="69">
        <v>43497</v>
      </c>
      <c r="C95" s="71">
        <v>47</v>
      </c>
      <c r="D95" s="71">
        <v>543</v>
      </c>
      <c r="E95" s="71">
        <v>395</v>
      </c>
      <c r="F95" s="71">
        <v>938</v>
      </c>
    </row>
    <row r="96" spans="2:6" x14ac:dyDescent="0.2">
      <c r="B96" s="69">
        <v>43525</v>
      </c>
      <c r="C96" s="71">
        <v>42</v>
      </c>
      <c r="D96" s="71">
        <v>524</v>
      </c>
      <c r="E96" s="71">
        <v>314</v>
      </c>
      <c r="F96" s="71">
        <v>838</v>
      </c>
    </row>
    <row r="97" spans="2:6" x14ac:dyDescent="0.2">
      <c r="B97" s="69">
        <v>43556</v>
      </c>
      <c r="C97" s="71">
        <v>49</v>
      </c>
      <c r="D97" s="71">
        <v>627</v>
      </c>
      <c r="E97" s="71">
        <v>551</v>
      </c>
      <c r="F97" s="71">
        <v>1178</v>
      </c>
    </row>
    <row r="98" spans="2:6" x14ac:dyDescent="0.2">
      <c r="B98" s="69">
        <v>43586</v>
      </c>
      <c r="C98" s="71">
        <v>71</v>
      </c>
      <c r="D98" s="71">
        <v>1402</v>
      </c>
      <c r="E98" s="71">
        <v>1306</v>
      </c>
      <c r="F98" s="71">
        <v>2708</v>
      </c>
    </row>
    <row r="99" spans="2:6" x14ac:dyDescent="0.2">
      <c r="B99" s="69">
        <v>43617</v>
      </c>
      <c r="C99" s="71">
        <v>68</v>
      </c>
      <c r="D99" s="71">
        <v>1687</v>
      </c>
      <c r="E99" s="71">
        <v>1029</v>
      </c>
      <c r="F99" s="71">
        <v>2716</v>
      </c>
    </row>
    <row r="100" spans="2:6" x14ac:dyDescent="0.2">
      <c r="B100" s="69">
        <v>43647</v>
      </c>
      <c r="C100" s="71">
        <v>73</v>
      </c>
      <c r="D100" s="71">
        <v>1201</v>
      </c>
      <c r="E100" s="71">
        <v>953</v>
      </c>
      <c r="F100" s="71">
        <v>2154</v>
      </c>
    </row>
    <row r="101" spans="2:6" x14ac:dyDescent="0.2">
      <c r="B101" s="69">
        <v>43678</v>
      </c>
      <c r="C101" s="71">
        <v>72</v>
      </c>
      <c r="D101" s="71">
        <v>1090</v>
      </c>
      <c r="E101" s="71">
        <v>1128</v>
      </c>
      <c r="F101" s="71">
        <v>2218</v>
      </c>
    </row>
    <row r="102" spans="2:6" x14ac:dyDescent="0.2">
      <c r="B102" s="69">
        <v>43709</v>
      </c>
      <c r="C102" s="71">
        <v>81</v>
      </c>
      <c r="D102" s="71">
        <v>620</v>
      </c>
      <c r="E102" s="71">
        <v>590</v>
      </c>
      <c r="F102" s="71">
        <v>1210</v>
      </c>
    </row>
    <row r="103" spans="2:6" x14ac:dyDescent="0.2">
      <c r="B103" s="69">
        <v>43739</v>
      </c>
      <c r="C103" s="71">
        <v>33</v>
      </c>
      <c r="D103" s="71">
        <v>599</v>
      </c>
      <c r="E103" s="71">
        <v>438</v>
      </c>
      <c r="F103" s="71">
        <v>1037</v>
      </c>
    </row>
    <row r="104" spans="2:6" x14ac:dyDescent="0.2">
      <c r="B104" s="69">
        <v>43770</v>
      </c>
      <c r="C104" s="71">
        <v>78</v>
      </c>
      <c r="D104" s="71">
        <v>535</v>
      </c>
      <c r="E104" s="71">
        <v>508</v>
      </c>
      <c r="F104" s="71">
        <v>1043</v>
      </c>
    </row>
    <row r="105" spans="2:6" x14ac:dyDescent="0.2">
      <c r="B105" s="69">
        <v>43800</v>
      </c>
      <c r="C105" s="71">
        <v>77</v>
      </c>
      <c r="D105" s="71">
        <v>536</v>
      </c>
      <c r="E105" s="71">
        <v>544</v>
      </c>
      <c r="F105" s="71">
        <v>1080</v>
      </c>
    </row>
    <row r="106" spans="2:6" x14ac:dyDescent="0.2">
      <c r="B106" s="67">
        <v>2019</v>
      </c>
      <c r="C106" s="151">
        <f>SUM(C94:C105)</f>
        <v>737</v>
      </c>
      <c r="D106" s="151">
        <f t="shared" ref="D106:F106" si="3">SUM(D94:D105)</f>
        <v>10773</v>
      </c>
      <c r="E106" s="151">
        <f t="shared" si="3"/>
        <v>8604</v>
      </c>
      <c r="F106" s="151">
        <f t="shared" si="3"/>
        <v>19377</v>
      </c>
    </row>
    <row r="107" spans="2:6" x14ac:dyDescent="0.2">
      <c r="B107" s="69">
        <v>43831</v>
      </c>
      <c r="C107" s="71">
        <v>83</v>
      </c>
      <c r="D107" s="71">
        <v>1062</v>
      </c>
      <c r="E107" s="71">
        <v>1446</v>
      </c>
      <c r="F107" s="71">
        <f>SUM(D107:E107)</f>
        <v>2508</v>
      </c>
    </row>
    <row r="108" spans="2:6" x14ac:dyDescent="0.2">
      <c r="B108" s="69">
        <v>43862</v>
      </c>
      <c r="C108" s="71">
        <v>91</v>
      </c>
      <c r="D108" s="71">
        <v>1308</v>
      </c>
      <c r="E108" s="71">
        <v>1064</v>
      </c>
      <c r="F108" s="71">
        <f>SUM(D108:E108)</f>
        <v>2372</v>
      </c>
    </row>
    <row r="109" spans="2:6" x14ac:dyDescent="0.2">
      <c r="B109" s="69">
        <v>43891</v>
      </c>
      <c r="C109" s="71">
        <v>73</v>
      </c>
      <c r="D109" s="71">
        <v>908</v>
      </c>
      <c r="E109" s="71">
        <v>827</v>
      </c>
      <c r="F109" s="71">
        <f t="shared" ref="F109:F119" si="4">SUM(D109:E109)</f>
        <v>1735</v>
      </c>
    </row>
    <row r="110" spans="2:6" x14ac:dyDescent="0.2">
      <c r="B110" s="69">
        <v>43922</v>
      </c>
      <c r="C110" s="71">
        <v>13</v>
      </c>
      <c r="D110" s="71">
        <v>34</v>
      </c>
      <c r="E110" s="71">
        <v>58</v>
      </c>
      <c r="F110" s="71">
        <f t="shared" si="4"/>
        <v>92</v>
      </c>
    </row>
    <row r="111" spans="2:6" x14ac:dyDescent="0.2">
      <c r="B111" s="69">
        <v>43952</v>
      </c>
      <c r="C111" s="71">
        <v>16</v>
      </c>
      <c r="D111" s="71">
        <v>356</v>
      </c>
      <c r="E111" s="71">
        <v>298</v>
      </c>
      <c r="F111" s="71">
        <f t="shared" si="4"/>
        <v>654</v>
      </c>
    </row>
    <row r="112" spans="2:6" x14ac:dyDescent="0.2">
      <c r="B112" s="69">
        <v>43983</v>
      </c>
      <c r="C112" s="71">
        <v>16</v>
      </c>
      <c r="D112" s="71">
        <v>143</v>
      </c>
      <c r="E112" s="71">
        <v>150</v>
      </c>
      <c r="F112" s="71">
        <f t="shared" si="4"/>
        <v>293</v>
      </c>
    </row>
    <row r="113" spans="2:6" x14ac:dyDescent="0.2">
      <c r="B113" s="69">
        <v>44013</v>
      </c>
      <c r="C113" s="71">
        <v>26</v>
      </c>
      <c r="D113" s="71">
        <v>245</v>
      </c>
      <c r="E113" s="71">
        <v>212</v>
      </c>
      <c r="F113" s="71">
        <f t="shared" si="4"/>
        <v>457</v>
      </c>
    </row>
    <row r="114" spans="2:6" x14ac:dyDescent="0.2">
      <c r="B114" s="69">
        <v>44044</v>
      </c>
      <c r="C114" s="71">
        <v>27</v>
      </c>
      <c r="D114" s="71">
        <v>364</v>
      </c>
      <c r="E114" s="71">
        <v>280</v>
      </c>
      <c r="F114" s="71">
        <f t="shared" si="4"/>
        <v>644</v>
      </c>
    </row>
    <row r="115" spans="2:6" x14ac:dyDescent="0.2">
      <c r="B115" s="69">
        <v>44075</v>
      </c>
      <c r="C115" s="71">
        <v>32</v>
      </c>
      <c r="D115" s="71">
        <v>439</v>
      </c>
      <c r="E115" s="71">
        <v>549</v>
      </c>
      <c r="F115" s="71">
        <f t="shared" si="4"/>
        <v>988</v>
      </c>
    </row>
    <row r="116" spans="2:6" x14ac:dyDescent="0.2">
      <c r="B116" s="69">
        <v>44105</v>
      </c>
      <c r="C116" s="71">
        <v>45</v>
      </c>
      <c r="D116" s="71">
        <v>439</v>
      </c>
      <c r="E116" s="71">
        <v>356</v>
      </c>
      <c r="F116" s="71">
        <f t="shared" si="4"/>
        <v>795</v>
      </c>
    </row>
    <row r="117" spans="2:6" x14ac:dyDescent="0.2">
      <c r="B117" s="69">
        <v>44136</v>
      </c>
      <c r="C117" s="71">
        <v>21</v>
      </c>
      <c r="D117" s="71">
        <v>423</v>
      </c>
      <c r="E117" s="71">
        <v>315</v>
      </c>
      <c r="F117" s="71">
        <f t="shared" si="4"/>
        <v>738</v>
      </c>
    </row>
    <row r="118" spans="2:6" x14ac:dyDescent="0.2">
      <c r="B118" s="69">
        <v>44166</v>
      </c>
      <c r="C118" s="71">
        <v>14</v>
      </c>
      <c r="D118" s="71">
        <v>326</v>
      </c>
      <c r="E118" s="71">
        <v>348</v>
      </c>
      <c r="F118" s="71">
        <f t="shared" si="4"/>
        <v>674</v>
      </c>
    </row>
    <row r="119" spans="2:6" x14ac:dyDescent="0.2">
      <c r="B119" s="67">
        <v>2020</v>
      </c>
      <c r="C119" s="151">
        <f>SUM(C107:C118)</f>
        <v>457</v>
      </c>
      <c r="D119" s="151">
        <f t="shared" ref="D119:E119" si="5">SUM(D107:D118)</f>
        <v>6047</v>
      </c>
      <c r="E119" s="151">
        <f t="shared" si="5"/>
        <v>5903</v>
      </c>
      <c r="F119" s="151">
        <f t="shared" si="4"/>
        <v>11950</v>
      </c>
    </row>
    <row r="120" spans="2:6" x14ac:dyDescent="0.2">
      <c r="B120" s="69">
        <v>44197</v>
      </c>
      <c r="C120" s="71">
        <v>21</v>
      </c>
      <c r="D120" s="71">
        <v>863</v>
      </c>
      <c r="E120" s="71">
        <v>646</v>
      </c>
      <c r="F120" s="71">
        <f>SUM(D120:E120)</f>
        <v>1509</v>
      </c>
    </row>
    <row r="121" spans="2:6" x14ac:dyDescent="0.2">
      <c r="B121" s="69">
        <v>44228</v>
      </c>
      <c r="C121" s="71">
        <v>12</v>
      </c>
      <c r="D121" s="71">
        <v>504</v>
      </c>
      <c r="E121" s="71">
        <v>400</v>
      </c>
      <c r="F121" s="71">
        <f>SUM(D121:E121)</f>
        <v>904</v>
      </c>
    </row>
    <row r="122" spans="2:6" x14ac:dyDescent="0.2">
      <c r="B122" s="69">
        <v>44256</v>
      </c>
      <c r="C122" s="71">
        <v>17</v>
      </c>
      <c r="D122" s="71">
        <v>371</v>
      </c>
      <c r="E122" s="71">
        <v>245</v>
      </c>
      <c r="F122" s="71">
        <f t="shared" ref="F122:F132" si="6">SUM(D122:E122)</f>
        <v>616</v>
      </c>
    </row>
    <row r="123" spans="2:6" x14ac:dyDescent="0.2">
      <c r="B123" s="69">
        <v>44287</v>
      </c>
      <c r="C123" s="71">
        <v>9</v>
      </c>
      <c r="D123" s="71">
        <v>304</v>
      </c>
      <c r="E123" s="71">
        <v>210</v>
      </c>
      <c r="F123" s="71">
        <f t="shared" si="6"/>
        <v>514</v>
      </c>
    </row>
    <row r="124" spans="2:6" x14ac:dyDescent="0.2">
      <c r="B124" s="69">
        <v>44317</v>
      </c>
      <c r="C124" s="71">
        <v>37</v>
      </c>
      <c r="D124" s="71">
        <v>321</v>
      </c>
      <c r="E124" s="71">
        <v>719</v>
      </c>
      <c r="F124" s="71">
        <f t="shared" si="6"/>
        <v>1040</v>
      </c>
    </row>
    <row r="125" spans="2:6" x14ac:dyDescent="0.2">
      <c r="B125" s="69">
        <v>44348</v>
      </c>
      <c r="C125" s="71">
        <v>54</v>
      </c>
      <c r="D125" s="71">
        <v>420</v>
      </c>
      <c r="E125" s="71">
        <v>429</v>
      </c>
      <c r="F125" s="71">
        <f t="shared" si="6"/>
        <v>849</v>
      </c>
    </row>
    <row r="126" spans="2:6" x14ac:dyDescent="0.2">
      <c r="B126" s="69">
        <v>44378</v>
      </c>
      <c r="C126" s="71">
        <v>14</v>
      </c>
      <c r="D126" s="71">
        <v>83</v>
      </c>
      <c r="E126" s="71">
        <v>65</v>
      </c>
      <c r="F126" s="71">
        <f t="shared" si="6"/>
        <v>148</v>
      </c>
    </row>
    <row r="127" spans="2:6" x14ac:dyDescent="0.2">
      <c r="B127" s="69">
        <v>44409</v>
      </c>
      <c r="C127" s="71">
        <v>50</v>
      </c>
      <c r="D127" s="71">
        <v>526</v>
      </c>
      <c r="E127" s="71">
        <v>488</v>
      </c>
      <c r="F127" s="71">
        <f t="shared" si="6"/>
        <v>1014</v>
      </c>
    </row>
    <row r="128" spans="2:6" x14ac:dyDescent="0.2">
      <c r="B128" s="69">
        <v>44440</v>
      </c>
      <c r="C128" s="71">
        <v>17</v>
      </c>
      <c r="D128" s="71">
        <v>200</v>
      </c>
      <c r="E128" s="71">
        <v>159</v>
      </c>
      <c r="F128" s="71">
        <f t="shared" si="6"/>
        <v>359</v>
      </c>
    </row>
    <row r="129" spans="2:6" x14ac:dyDescent="0.2">
      <c r="B129" s="69">
        <v>44470</v>
      </c>
      <c r="C129" s="71">
        <v>17</v>
      </c>
      <c r="D129" s="71">
        <v>244</v>
      </c>
      <c r="E129" s="71">
        <v>174</v>
      </c>
      <c r="F129" s="71">
        <f t="shared" si="6"/>
        <v>418</v>
      </c>
    </row>
    <row r="130" spans="2:6" x14ac:dyDescent="0.2">
      <c r="B130" s="69">
        <v>44501</v>
      </c>
      <c r="C130" s="71">
        <v>13</v>
      </c>
      <c r="D130" s="71">
        <v>138</v>
      </c>
      <c r="E130" s="71">
        <v>158</v>
      </c>
      <c r="F130" s="71">
        <f t="shared" si="6"/>
        <v>296</v>
      </c>
    </row>
    <row r="131" spans="2:6" x14ac:dyDescent="0.2">
      <c r="B131" s="69">
        <v>44531</v>
      </c>
      <c r="C131" s="71">
        <v>35</v>
      </c>
      <c r="D131" s="71">
        <v>241</v>
      </c>
      <c r="E131" s="71">
        <v>258</v>
      </c>
      <c r="F131" s="71">
        <f t="shared" si="6"/>
        <v>499</v>
      </c>
    </row>
    <row r="132" spans="2:6" x14ac:dyDescent="0.2">
      <c r="B132" s="67">
        <v>2021</v>
      </c>
      <c r="C132" s="151">
        <f>SUM(C120:C131)</f>
        <v>296</v>
      </c>
      <c r="D132" s="151">
        <f t="shared" ref="D132:E132" si="7">SUM(D120:D131)</f>
        <v>4215</v>
      </c>
      <c r="E132" s="151">
        <f t="shared" si="7"/>
        <v>3951</v>
      </c>
      <c r="F132" s="151">
        <f t="shared" si="6"/>
        <v>8166</v>
      </c>
    </row>
    <row r="133" spans="2:6" x14ac:dyDescent="0.2">
      <c r="B133" s="69">
        <v>44562</v>
      </c>
      <c r="C133" s="71">
        <v>52</v>
      </c>
      <c r="D133" s="71">
        <v>987</v>
      </c>
      <c r="E133" s="71">
        <v>892</v>
      </c>
      <c r="F133" s="71">
        <v>1879</v>
      </c>
    </row>
    <row r="134" spans="2:6" x14ac:dyDescent="0.2">
      <c r="B134" s="69">
        <v>44593</v>
      </c>
      <c r="C134" s="71">
        <v>47</v>
      </c>
      <c r="D134" s="71">
        <v>751</v>
      </c>
      <c r="E134" s="71">
        <v>629</v>
      </c>
      <c r="F134" s="71">
        <f t="shared" ref="F134:F139" si="8">SUM(D134:E134)</f>
        <v>1380</v>
      </c>
    </row>
    <row r="135" spans="2:6" x14ac:dyDescent="0.2">
      <c r="B135" s="69">
        <v>44621</v>
      </c>
      <c r="C135" s="71">
        <v>69</v>
      </c>
      <c r="D135" s="71">
        <v>383</v>
      </c>
      <c r="E135" s="71">
        <v>358</v>
      </c>
      <c r="F135" s="71">
        <f t="shared" si="8"/>
        <v>741</v>
      </c>
    </row>
    <row r="136" spans="2:6" x14ac:dyDescent="0.2">
      <c r="B136" s="69">
        <v>44652</v>
      </c>
      <c r="C136" s="71">
        <v>75</v>
      </c>
      <c r="D136" s="71">
        <v>425</v>
      </c>
      <c r="E136" s="71">
        <v>381</v>
      </c>
      <c r="F136" s="71">
        <f t="shared" si="8"/>
        <v>806</v>
      </c>
    </row>
    <row r="137" spans="2:6" x14ac:dyDescent="0.2">
      <c r="B137" s="69">
        <v>44682</v>
      </c>
      <c r="C137" s="71">
        <v>80</v>
      </c>
      <c r="D137" s="71">
        <v>426</v>
      </c>
      <c r="E137" s="71">
        <v>325</v>
      </c>
      <c r="F137" s="71">
        <f t="shared" si="8"/>
        <v>751</v>
      </c>
    </row>
    <row r="138" spans="2:6" x14ac:dyDescent="0.2">
      <c r="B138" s="69">
        <v>44713</v>
      </c>
      <c r="C138" s="71">
        <v>51</v>
      </c>
      <c r="D138" s="71">
        <v>361</v>
      </c>
      <c r="E138" s="71">
        <v>295</v>
      </c>
      <c r="F138" s="71">
        <f>SUM(D138:E138)</f>
        <v>656</v>
      </c>
    </row>
    <row r="139" spans="2:6" x14ac:dyDescent="0.2">
      <c r="B139" s="67" t="s">
        <v>633</v>
      </c>
      <c r="C139" s="151">
        <f>SUM(C133:C138)</f>
        <v>374</v>
      </c>
      <c r="D139" s="151">
        <f t="shared" ref="D139:E139" si="9">SUM(D133:D138)</f>
        <v>3333</v>
      </c>
      <c r="E139" s="151">
        <f t="shared" si="9"/>
        <v>2880</v>
      </c>
      <c r="F139" s="151">
        <f t="shared" si="8"/>
        <v>6213</v>
      </c>
    </row>
    <row r="140" spans="2:6" x14ac:dyDescent="0.2">
      <c r="B140" s="152" t="s">
        <v>20</v>
      </c>
      <c r="C140" s="153">
        <f>C11+C12+C13+C14+C15+C28+C41+C54+C67+C80+C93+C106+C119+C132+C139</f>
        <v>10997</v>
      </c>
      <c r="D140" s="153">
        <f t="shared" ref="D140:F140" si="10">D11+D12+D13+D14+D15+D28+D41+D54+D67+D80+D93+D106+D119+D132+D139</f>
        <v>49088</v>
      </c>
      <c r="E140" s="153">
        <f t="shared" si="10"/>
        <v>40227</v>
      </c>
      <c r="F140" s="153">
        <f t="shared" si="10"/>
        <v>392947</v>
      </c>
    </row>
    <row r="141" spans="2:6" x14ac:dyDescent="0.2">
      <c r="B141" s="21" t="s">
        <v>419</v>
      </c>
    </row>
    <row r="142" spans="2:6" ht="39.75" customHeight="1" x14ac:dyDescent="0.2">
      <c r="B142" s="352" t="s">
        <v>475</v>
      </c>
      <c r="C142" s="352"/>
      <c r="D142" s="352"/>
      <c r="E142" s="352"/>
      <c r="F142" s="352"/>
    </row>
  </sheetData>
  <mergeCells count="8">
    <mergeCell ref="B142:F142"/>
    <mergeCell ref="B5:F5"/>
    <mergeCell ref="B6:F6"/>
    <mergeCell ref="B8:B10"/>
    <mergeCell ref="C8:F8"/>
    <mergeCell ref="C9:C10"/>
    <mergeCell ref="D9:E9"/>
    <mergeCell ref="F9:F10"/>
  </mergeCells>
  <hyperlinks>
    <hyperlink ref="H5" location="'Índice STJ'!A1" display="'Índice STJ'!A1" xr:uid="{00000000-0004-0000-1C00-000000000000}"/>
  </hyperlinks>
  <pageMargins left="0.7" right="0.7" top="0.75" bottom="0.75" header="0.3" footer="0.3"/>
  <ignoredErrors>
    <ignoredError sqref="F119 F107:F115" formulaRange="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2:H136"/>
  <sheetViews>
    <sheetView showGridLines="0" zoomScale="90" zoomScaleNormal="90" workbookViewId="0">
      <pane xSplit="2" ySplit="9" topLeftCell="C94" activePane="bottomRight" state="frozen"/>
      <selection activeCell="B6" sqref="B6:L6"/>
      <selection pane="topRight" activeCell="B6" sqref="B6:L6"/>
      <selection pane="bottomLeft" activeCell="B6" sqref="B6:L6"/>
      <selection pane="bottomRight" activeCell="D134" sqref="D134:E134"/>
    </sheetView>
  </sheetViews>
  <sheetFormatPr baseColWidth="10" defaultColWidth="11.42578125" defaultRowHeight="12" x14ac:dyDescent="0.2"/>
  <cols>
    <col min="1" max="1" width="6" style="21" customWidth="1"/>
    <col min="2" max="2" width="12.28515625" style="21" bestFit="1" customWidth="1"/>
    <col min="3" max="16384" width="11.42578125" style="21"/>
  </cols>
  <sheetData>
    <row r="2" spans="1:8" x14ac:dyDescent="0.2">
      <c r="A2" s="40" t="s">
        <v>58</v>
      </c>
    </row>
    <row r="3" spans="1:8" x14ac:dyDescent="0.2">
      <c r="A3" s="40" t="s">
        <v>59</v>
      </c>
    </row>
    <row r="5" spans="1:8" ht="28.5" customHeight="1" x14ac:dyDescent="0.2">
      <c r="B5" s="402" t="s">
        <v>476</v>
      </c>
      <c r="C5" s="402"/>
      <c r="D5" s="402"/>
      <c r="E5" s="402"/>
      <c r="F5" s="402"/>
      <c r="H5" s="105" t="s">
        <v>510</v>
      </c>
    </row>
    <row r="6" spans="1:8" ht="12.75" x14ac:dyDescent="0.2">
      <c r="B6" s="403" t="s">
        <v>632</v>
      </c>
      <c r="C6" s="403"/>
      <c r="D6" s="403"/>
      <c r="E6" s="403"/>
      <c r="F6" s="403"/>
    </row>
    <row r="8" spans="1:8" ht="27.75" customHeight="1" x14ac:dyDescent="0.2">
      <c r="B8" s="404" t="s">
        <v>468</v>
      </c>
      <c r="C8" s="399" t="s">
        <v>477</v>
      </c>
      <c r="D8" s="405"/>
      <c r="E8" s="405"/>
      <c r="F8" s="406"/>
    </row>
    <row r="9" spans="1:8" x14ac:dyDescent="0.2">
      <c r="B9" s="404"/>
      <c r="C9" s="127" t="s">
        <v>478</v>
      </c>
      <c r="D9" s="127" t="s">
        <v>479</v>
      </c>
      <c r="E9" s="127" t="s">
        <v>480</v>
      </c>
      <c r="F9" s="127" t="s">
        <v>20</v>
      </c>
    </row>
    <row r="10" spans="1:8" x14ac:dyDescent="0.2">
      <c r="B10" s="328" t="s">
        <v>603</v>
      </c>
      <c r="C10" s="73">
        <v>114</v>
      </c>
      <c r="D10" s="73">
        <v>539</v>
      </c>
      <c r="E10" s="74">
        <v>154</v>
      </c>
      <c r="F10" s="75">
        <f t="shared" ref="F10:F22" si="0">SUM(C10:E10)</f>
        <v>807</v>
      </c>
    </row>
    <row r="11" spans="1:8" x14ac:dyDescent="0.2">
      <c r="B11" s="69">
        <v>41275</v>
      </c>
      <c r="C11" s="72">
        <v>8</v>
      </c>
      <c r="D11" s="72">
        <v>38</v>
      </c>
      <c r="E11" s="76">
        <v>12</v>
      </c>
      <c r="F11" s="77">
        <f t="shared" si="0"/>
        <v>58</v>
      </c>
    </row>
    <row r="12" spans="1:8" x14ac:dyDescent="0.2">
      <c r="B12" s="69">
        <v>41306</v>
      </c>
      <c r="C12" s="72">
        <v>5</v>
      </c>
      <c r="D12" s="72">
        <v>35</v>
      </c>
      <c r="E12" s="76">
        <v>15</v>
      </c>
      <c r="F12" s="77">
        <f t="shared" si="0"/>
        <v>55</v>
      </c>
    </row>
    <row r="13" spans="1:8" x14ac:dyDescent="0.2">
      <c r="B13" s="69">
        <v>41334</v>
      </c>
      <c r="C13" s="72">
        <v>10</v>
      </c>
      <c r="D13" s="72">
        <v>42</v>
      </c>
      <c r="E13" s="76">
        <v>12</v>
      </c>
      <c r="F13" s="77">
        <f t="shared" si="0"/>
        <v>64</v>
      </c>
    </row>
    <row r="14" spans="1:8" x14ac:dyDescent="0.2">
      <c r="B14" s="69">
        <v>41365</v>
      </c>
      <c r="C14" s="72">
        <v>10</v>
      </c>
      <c r="D14" s="72">
        <v>41</v>
      </c>
      <c r="E14" s="76">
        <v>15</v>
      </c>
      <c r="F14" s="77">
        <f t="shared" si="0"/>
        <v>66</v>
      </c>
    </row>
    <row r="15" spans="1:8" x14ac:dyDescent="0.2">
      <c r="B15" s="69">
        <v>41395</v>
      </c>
      <c r="C15" s="72">
        <v>6</v>
      </c>
      <c r="D15" s="72">
        <v>43</v>
      </c>
      <c r="E15" s="76">
        <v>11</v>
      </c>
      <c r="F15" s="77">
        <f t="shared" si="0"/>
        <v>60</v>
      </c>
    </row>
    <row r="16" spans="1:8" x14ac:dyDescent="0.2">
      <c r="B16" s="69">
        <v>41426</v>
      </c>
      <c r="C16" s="72">
        <v>6</v>
      </c>
      <c r="D16" s="72">
        <v>34</v>
      </c>
      <c r="E16" s="76">
        <v>14</v>
      </c>
      <c r="F16" s="77">
        <f t="shared" si="0"/>
        <v>54</v>
      </c>
    </row>
    <row r="17" spans="2:6" x14ac:dyDescent="0.2">
      <c r="B17" s="69">
        <v>41456</v>
      </c>
      <c r="C17" s="72">
        <v>4</v>
      </c>
      <c r="D17" s="72">
        <v>42</v>
      </c>
      <c r="E17" s="76">
        <v>12</v>
      </c>
      <c r="F17" s="77">
        <f t="shared" si="0"/>
        <v>58</v>
      </c>
    </row>
    <row r="18" spans="2:6" x14ac:dyDescent="0.2">
      <c r="B18" s="69">
        <v>41487</v>
      </c>
      <c r="C18" s="72">
        <v>7</v>
      </c>
      <c r="D18" s="72">
        <v>39</v>
      </c>
      <c r="E18" s="76">
        <v>12</v>
      </c>
      <c r="F18" s="77">
        <f t="shared" si="0"/>
        <v>58</v>
      </c>
    </row>
    <row r="19" spans="2:6" x14ac:dyDescent="0.2">
      <c r="B19" s="69">
        <v>41518</v>
      </c>
      <c r="C19" s="72">
        <v>5</v>
      </c>
      <c r="D19" s="72">
        <v>33</v>
      </c>
      <c r="E19" s="76">
        <v>12</v>
      </c>
      <c r="F19" s="77">
        <f t="shared" si="0"/>
        <v>50</v>
      </c>
    </row>
    <row r="20" spans="2:6" x14ac:dyDescent="0.2">
      <c r="B20" s="69">
        <v>41548</v>
      </c>
      <c r="C20" s="72">
        <v>3</v>
      </c>
      <c r="D20" s="72">
        <v>28</v>
      </c>
      <c r="E20" s="76">
        <v>17</v>
      </c>
      <c r="F20" s="77">
        <f t="shared" si="0"/>
        <v>48</v>
      </c>
    </row>
    <row r="21" spans="2:6" x14ac:dyDescent="0.2">
      <c r="B21" s="69">
        <v>41579</v>
      </c>
      <c r="C21" s="72">
        <v>3</v>
      </c>
      <c r="D21" s="72">
        <v>18</v>
      </c>
      <c r="E21" s="76">
        <v>7</v>
      </c>
      <c r="F21" s="77">
        <f t="shared" si="0"/>
        <v>28</v>
      </c>
    </row>
    <row r="22" spans="2:6" x14ac:dyDescent="0.2">
      <c r="B22" s="69">
        <v>41609</v>
      </c>
      <c r="C22" s="72">
        <v>7</v>
      </c>
      <c r="D22" s="72">
        <v>37</v>
      </c>
      <c r="E22" s="76">
        <v>11</v>
      </c>
      <c r="F22" s="77">
        <f t="shared" si="0"/>
        <v>55</v>
      </c>
    </row>
    <row r="23" spans="2:6" x14ac:dyDescent="0.2">
      <c r="B23" s="329" t="s">
        <v>604</v>
      </c>
      <c r="C23" s="75">
        <f>SUM(C11:C22)</f>
        <v>74</v>
      </c>
      <c r="D23" s="75">
        <f t="shared" ref="D23:E23" si="1">SUM(D11:D22)</f>
        <v>430</v>
      </c>
      <c r="E23" s="75">
        <f t="shared" si="1"/>
        <v>150</v>
      </c>
      <c r="F23" s="75">
        <f>SUM(F11:F22)</f>
        <v>654</v>
      </c>
    </row>
    <row r="24" spans="2:6" x14ac:dyDescent="0.2">
      <c r="B24" s="78">
        <v>41640</v>
      </c>
      <c r="C24" s="72">
        <v>7</v>
      </c>
      <c r="D24" s="72">
        <v>32</v>
      </c>
      <c r="E24" s="76">
        <v>18</v>
      </c>
      <c r="F24" s="77">
        <f>SUM(C24:E24)</f>
        <v>57</v>
      </c>
    </row>
    <row r="25" spans="2:6" x14ac:dyDescent="0.2">
      <c r="B25" s="78">
        <v>41671</v>
      </c>
      <c r="C25" s="72">
        <v>3</v>
      </c>
      <c r="D25" s="72">
        <v>24</v>
      </c>
      <c r="E25" s="76">
        <v>9</v>
      </c>
      <c r="F25" s="77">
        <f t="shared" ref="F25:F48" si="2">C25+D25+E25</f>
        <v>36</v>
      </c>
    </row>
    <row r="26" spans="2:6" x14ac:dyDescent="0.2">
      <c r="B26" s="78">
        <v>41699</v>
      </c>
      <c r="C26" s="72">
        <v>7</v>
      </c>
      <c r="D26" s="72">
        <v>21</v>
      </c>
      <c r="E26" s="76">
        <v>15</v>
      </c>
      <c r="F26" s="77">
        <f t="shared" si="2"/>
        <v>43</v>
      </c>
    </row>
    <row r="27" spans="2:6" x14ac:dyDescent="0.2">
      <c r="B27" s="78">
        <v>41730</v>
      </c>
      <c r="C27" s="72">
        <v>9</v>
      </c>
      <c r="D27" s="72">
        <v>25</v>
      </c>
      <c r="E27" s="76">
        <v>10</v>
      </c>
      <c r="F27" s="77">
        <f t="shared" si="2"/>
        <v>44</v>
      </c>
    </row>
    <row r="28" spans="2:6" x14ac:dyDescent="0.2">
      <c r="B28" s="78">
        <v>41760</v>
      </c>
      <c r="C28" s="72">
        <v>7</v>
      </c>
      <c r="D28" s="72">
        <v>29</v>
      </c>
      <c r="E28" s="76">
        <v>11</v>
      </c>
      <c r="F28" s="77">
        <f t="shared" si="2"/>
        <v>47</v>
      </c>
    </row>
    <row r="29" spans="2:6" x14ac:dyDescent="0.2">
      <c r="B29" s="78">
        <v>41791</v>
      </c>
      <c r="C29" s="72">
        <v>0</v>
      </c>
      <c r="D29" s="72">
        <v>31</v>
      </c>
      <c r="E29" s="76">
        <v>17</v>
      </c>
      <c r="F29" s="77">
        <f t="shared" si="2"/>
        <v>48</v>
      </c>
    </row>
    <row r="30" spans="2:6" x14ac:dyDescent="0.2">
      <c r="B30" s="78">
        <v>41821</v>
      </c>
      <c r="C30" s="72">
        <v>3</v>
      </c>
      <c r="D30" s="72">
        <v>29</v>
      </c>
      <c r="E30" s="76">
        <v>15</v>
      </c>
      <c r="F30" s="77">
        <f t="shared" si="2"/>
        <v>47</v>
      </c>
    </row>
    <row r="31" spans="2:6" x14ac:dyDescent="0.2">
      <c r="B31" s="78">
        <v>41852</v>
      </c>
      <c r="C31" s="72">
        <v>5</v>
      </c>
      <c r="D31" s="72">
        <v>30</v>
      </c>
      <c r="E31" s="76">
        <v>9</v>
      </c>
      <c r="F31" s="77">
        <f t="shared" si="2"/>
        <v>44</v>
      </c>
    </row>
    <row r="32" spans="2:6" x14ac:dyDescent="0.2">
      <c r="B32" s="78">
        <v>41883</v>
      </c>
      <c r="C32" s="72">
        <v>2</v>
      </c>
      <c r="D32" s="72">
        <v>39</v>
      </c>
      <c r="E32" s="76"/>
      <c r="F32" s="77">
        <f t="shared" si="2"/>
        <v>41</v>
      </c>
    </row>
    <row r="33" spans="2:6" x14ac:dyDescent="0.2">
      <c r="B33" s="78">
        <v>41913</v>
      </c>
      <c r="C33" s="72">
        <v>5</v>
      </c>
      <c r="D33" s="72">
        <v>29</v>
      </c>
      <c r="E33" s="76"/>
      <c r="F33" s="77">
        <f t="shared" si="2"/>
        <v>34</v>
      </c>
    </row>
    <row r="34" spans="2:6" x14ac:dyDescent="0.2">
      <c r="B34" s="78">
        <v>41944</v>
      </c>
      <c r="C34" s="72">
        <v>1</v>
      </c>
      <c r="D34" s="72">
        <v>20</v>
      </c>
      <c r="E34" s="76">
        <v>4</v>
      </c>
      <c r="F34" s="77">
        <f t="shared" si="2"/>
        <v>25</v>
      </c>
    </row>
    <row r="35" spans="2:6" x14ac:dyDescent="0.2">
      <c r="B35" s="78">
        <v>41974</v>
      </c>
      <c r="C35" s="72">
        <v>4</v>
      </c>
      <c r="D35" s="72">
        <v>38</v>
      </c>
      <c r="E35" s="76">
        <v>5</v>
      </c>
      <c r="F35" s="77">
        <f t="shared" si="2"/>
        <v>47</v>
      </c>
    </row>
    <row r="36" spans="2:6" x14ac:dyDescent="0.2">
      <c r="B36" s="329" t="s">
        <v>605</v>
      </c>
      <c r="C36" s="75">
        <f>SUM(C24:C35)</f>
        <v>53</v>
      </c>
      <c r="D36" s="75">
        <f>SUM(D24:D35)</f>
        <v>347</v>
      </c>
      <c r="E36" s="75">
        <f>SUM(E24:E35)</f>
        <v>113</v>
      </c>
      <c r="F36" s="75">
        <f t="shared" si="2"/>
        <v>513</v>
      </c>
    </row>
    <row r="37" spans="2:6" x14ac:dyDescent="0.2">
      <c r="B37" s="78">
        <v>42005</v>
      </c>
      <c r="C37" s="72">
        <v>2</v>
      </c>
      <c r="D37" s="72">
        <v>26</v>
      </c>
      <c r="E37" s="76">
        <v>12</v>
      </c>
      <c r="F37" s="77">
        <f t="shared" si="2"/>
        <v>40</v>
      </c>
    </row>
    <row r="38" spans="2:6" x14ac:dyDescent="0.2">
      <c r="B38" s="78">
        <v>42036</v>
      </c>
      <c r="C38" s="72">
        <v>1</v>
      </c>
      <c r="D38" s="72">
        <v>21</v>
      </c>
      <c r="E38" s="76">
        <v>15</v>
      </c>
      <c r="F38" s="77">
        <f t="shared" si="2"/>
        <v>37</v>
      </c>
    </row>
    <row r="39" spans="2:6" x14ac:dyDescent="0.2">
      <c r="B39" s="78">
        <v>42064</v>
      </c>
      <c r="C39" s="72">
        <v>7</v>
      </c>
      <c r="D39" s="72">
        <v>24</v>
      </c>
      <c r="E39" s="76">
        <v>8</v>
      </c>
      <c r="F39" s="77">
        <f t="shared" si="2"/>
        <v>39</v>
      </c>
    </row>
    <row r="40" spans="2:6" x14ac:dyDescent="0.2">
      <c r="B40" s="78">
        <v>42095</v>
      </c>
      <c r="C40" s="72">
        <v>7</v>
      </c>
      <c r="D40" s="72">
        <v>21</v>
      </c>
      <c r="E40" s="76">
        <v>5</v>
      </c>
      <c r="F40" s="77">
        <f t="shared" si="2"/>
        <v>33</v>
      </c>
    </row>
    <row r="41" spans="2:6" x14ac:dyDescent="0.2">
      <c r="B41" s="78">
        <v>42125</v>
      </c>
      <c r="C41" s="72"/>
      <c r="D41" s="72">
        <v>18</v>
      </c>
      <c r="E41" s="76">
        <v>13</v>
      </c>
      <c r="F41" s="77">
        <f t="shared" si="2"/>
        <v>31</v>
      </c>
    </row>
    <row r="42" spans="2:6" x14ac:dyDescent="0.2">
      <c r="B42" s="78">
        <v>42156</v>
      </c>
      <c r="C42" s="72">
        <v>5</v>
      </c>
      <c r="D42" s="72">
        <v>22</v>
      </c>
      <c r="E42" s="76">
        <v>11</v>
      </c>
      <c r="F42" s="77">
        <f t="shared" si="2"/>
        <v>38</v>
      </c>
    </row>
    <row r="43" spans="2:6" x14ac:dyDescent="0.2">
      <c r="B43" s="78">
        <v>42186</v>
      </c>
      <c r="C43" s="72">
        <v>1</v>
      </c>
      <c r="D43" s="72">
        <v>22</v>
      </c>
      <c r="E43" s="76">
        <v>10</v>
      </c>
      <c r="F43" s="77">
        <f t="shared" si="2"/>
        <v>33</v>
      </c>
    </row>
    <row r="44" spans="2:6" x14ac:dyDescent="0.2">
      <c r="B44" s="78">
        <v>42217</v>
      </c>
      <c r="C44" s="72">
        <v>4</v>
      </c>
      <c r="D44" s="72">
        <v>27</v>
      </c>
      <c r="E44" s="76">
        <v>6</v>
      </c>
      <c r="F44" s="77">
        <f t="shared" si="2"/>
        <v>37</v>
      </c>
    </row>
    <row r="45" spans="2:6" x14ac:dyDescent="0.2">
      <c r="B45" s="78">
        <v>42248</v>
      </c>
      <c r="C45" s="72">
        <v>1</v>
      </c>
      <c r="D45" s="72">
        <v>32</v>
      </c>
      <c r="E45" s="76">
        <v>7</v>
      </c>
      <c r="F45" s="77">
        <f t="shared" si="2"/>
        <v>40</v>
      </c>
    </row>
    <row r="46" spans="2:6" x14ac:dyDescent="0.2">
      <c r="B46" s="78">
        <v>42278</v>
      </c>
      <c r="C46" s="72">
        <v>9</v>
      </c>
      <c r="D46" s="72">
        <v>21</v>
      </c>
      <c r="E46" s="76">
        <v>9</v>
      </c>
      <c r="F46" s="77">
        <f t="shared" si="2"/>
        <v>39</v>
      </c>
    </row>
    <row r="47" spans="2:6" x14ac:dyDescent="0.2">
      <c r="B47" s="78">
        <v>42309</v>
      </c>
      <c r="C47" s="72">
        <v>7</v>
      </c>
      <c r="D47" s="72">
        <v>26</v>
      </c>
      <c r="E47" s="76">
        <v>4</v>
      </c>
      <c r="F47" s="77">
        <f t="shared" si="2"/>
        <v>37</v>
      </c>
    </row>
    <row r="48" spans="2:6" x14ac:dyDescent="0.2">
      <c r="B48" s="78">
        <v>42339</v>
      </c>
      <c r="C48" s="72">
        <v>6</v>
      </c>
      <c r="D48" s="72">
        <v>21</v>
      </c>
      <c r="E48" s="76">
        <v>6</v>
      </c>
      <c r="F48" s="77">
        <f t="shared" si="2"/>
        <v>33</v>
      </c>
    </row>
    <row r="49" spans="2:6" x14ac:dyDescent="0.2">
      <c r="B49" s="329" t="s">
        <v>606</v>
      </c>
      <c r="C49" s="75">
        <f>SUM(C37:C48)</f>
        <v>50</v>
      </c>
      <c r="D49" s="75">
        <f t="shared" ref="D49:F49" si="3">SUM(D37:D48)</f>
        <v>281</v>
      </c>
      <c r="E49" s="75">
        <f t="shared" si="3"/>
        <v>106</v>
      </c>
      <c r="F49" s="75">
        <f t="shared" si="3"/>
        <v>437</v>
      </c>
    </row>
    <row r="50" spans="2:6" x14ac:dyDescent="0.2">
      <c r="B50" s="78">
        <v>42370</v>
      </c>
      <c r="C50" s="72">
        <v>4</v>
      </c>
      <c r="D50" s="72">
        <v>19</v>
      </c>
      <c r="E50" s="76">
        <v>10</v>
      </c>
      <c r="F50" s="77">
        <f t="shared" ref="F50:F87" si="4">C50+D50+E50</f>
        <v>33</v>
      </c>
    </row>
    <row r="51" spans="2:6" x14ac:dyDescent="0.2">
      <c r="B51" s="78">
        <v>42401</v>
      </c>
      <c r="C51" s="72">
        <v>17</v>
      </c>
      <c r="D51" s="72">
        <v>16</v>
      </c>
      <c r="E51" s="76">
        <v>0</v>
      </c>
      <c r="F51" s="77">
        <f t="shared" si="4"/>
        <v>33</v>
      </c>
    </row>
    <row r="52" spans="2:6" x14ac:dyDescent="0.2">
      <c r="B52" s="78">
        <v>42430</v>
      </c>
      <c r="C52" s="72">
        <v>14</v>
      </c>
      <c r="D52" s="72">
        <v>13</v>
      </c>
      <c r="E52" s="76">
        <v>13</v>
      </c>
      <c r="F52" s="77">
        <f t="shared" si="4"/>
        <v>40</v>
      </c>
    </row>
    <row r="53" spans="2:6" x14ac:dyDescent="0.2">
      <c r="B53" s="78">
        <v>42461</v>
      </c>
      <c r="C53" s="72">
        <v>8</v>
      </c>
      <c r="D53" s="72">
        <v>19</v>
      </c>
      <c r="E53" s="76">
        <v>12</v>
      </c>
      <c r="F53" s="77">
        <f t="shared" si="4"/>
        <v>39</v>
      </c>
    </row>
    <row r="54" spans="2:6" x14ac:dyDescent="0.2">
      <c r="B54" s="78">
        <v>42491</v>
      </c>
      <c r="C54" s="72">
        <v>7</v>
      </c>
      <c r="D54" s="72">
        <v>21</v>
      </c>
      <c r="E54" s="76">
        <v>12</v>
      </c>
      <c r="F54" s="77">
        <f t="shared" si="4"/>
        <v>40</v>
      </c>
    </row>
    <row r="55" spans="2:6" x14ac:dyDescent="0.2">
      <c r="B55" s="78">
        <v>42522</v>
      </c>
      <c r="C55" s="72">
        <v>7</v>
      </c>
      <c r="D55" s="72">
        <v>19</v>
      </c>
      <c r="E55" s="76">
        <v>11</v>
      </c>
      <c r="F55" s="77">
        <f t="shared" si="4"/>
        <v>37</v>
      </c>
    </row>
    <row r="56" spans="2:6" x14ac:dyDescent="0.2">
      <c r="B56" s="78">
        <v>42552</v>
      </c>
      <c r="C56" s="72">
        <v>18</v>
      </c>
      <c r="D56" s="72">
        <v>16</v>
      </c>
      <c r="E56" s="76">
        <v>12</v>
      </c>
      <c r="F56" s="77">
        <f t="shared" si="4"/>
        <v>46</v>
      </c>
    </row>
    <row r="57" spans="2:6" x14ac:dyDescent="0.2">
      <c r="B57" s="78">
        <v>42583</v>
      </c>
      <c r="C57" s="72">
        <v>12</v>
      </c>
      <c r="D57" s="72">
        <v>18</v>
      </c>
      <c r="E57" s="76">
        <v>17</v>
      </c>
      <c r="F57" s="77">
        <f t="shared" si="4"/>
        <v>47</v>
      </c>
    </row>
    <row r="58" spans="2:6" x14ac:dyDescent="0.2">
      <c r="B58" s="78">
        <v>42614</v>
      </c>
      <c r="C58" s="72">
        <v>6</v>
      </c>
      <c r="D58" s="72">
        <v>19</v>
      </c>
      <c r="E58" s="76">
        <v>13</v>
      </c>
      <c r="F58" s="77">
        <f t="shared" si="4"/>
        <v>38</v>
      </c>
    </row>
    <row r="59" spans="2:6" x14ac:dyDescent="0.2">
      <c r="B59" s="78">
        <v>42644</v>
      </c>
      <c r="C59" s="72">
        <v>10</v>
      </c>
      <c r="D59" s="72">
        <v>15</v>
      </c>
      <c r="E59" s="76">
        <v>11</v>
      </c>
      <c r="F59" s="77">
        <f t="shared" si="4"/>
        <v>36</v>
      </c>
    </row>
    <row r="60" spans="2:6" x14ac:dyDescent="0.2">
      <c r="B60" s="78">
        <v>42675</v>
      </c>
      <c r="C60" s="72">
        <v>14</v>
      </c>
      <c r="D60" s="72">
        <v>16</v>
      </c>
      <c r="E60" s="76">
        <v>12</v>
      </c>
      <c r="F60" s="77">
        <f t="shared" si="4"/>
        <v>42</v>
      </c>
    </row>
    <row r="61" spans="2:6" x14ac:dyDescent="0.2">
      <c r="B61" s="78">
        <v>42705</v>
      </c>
      <c r="C61" s="72">
        <v>14</v>
      </c>
      <c r="D61" s="72">
        <v>16</v>
      </c>
      <c r="E61" s="76">
        <v>20</v>
      </c>
      <c r="F61" s="77">
        <f t="shared" si="4"/>
        <v>50</v>
      </c>
    </row>
    <row r="62" spans="2:6" x14ac:dyDescent="0.2">
      <c r="B62" s="329" t="s">
        <v>607</v>
      </c>
      <c r="C62" s="75">
        <f>SUM(C50:C61)</f>
        <v>131</v>
      </c>
      <c r="D62" s="75">
        <f t="shared" ref="D62:F62" si="5">SUM(D50:D61)</f>
        <v>207</v>
      </c>
      <c r="E62" s="75">
        <f t="shared" si="5"/>
        <v>143</v>
      </c>
      <c r="F62" s="75">
        <f t="shared" si="5"/>
        <v>481</v>
      </c>
    </row>
    <row r="63" spans="2:6" x14ac:dyDescent="0.2">
      <c r="B63" s="78">
        <v>42736</v>
      </c>
      <c r="C63" s="72">
        <v>8</v>
      </c>
      <c r="D63" s="72">
        <v>17</v>
      </c>
      <c r="E63" s="76">
        <v>15</v>
      </c>
      <c r="F63" s="77">
        <f t="shared" si="4"/>
        <v>40</v>
      </c>
    </row>
    <row r="64" spans="2:6" x14ac:dyDescent="0.2">
      <c r="B64" s="78">
        <v>42767</v>
      </c>
      <c r="C64" s="72">
        <v>9</v>
      </c>
      <c r="D64" s="72">
        <v>11</v>
      </c>
      <c r="E64" s="76">
        <v>12</v>
      </c>
      <c r="F64" s="77">
        <f t="shared" si="4"/>
        <v>32</v>
      </c>
    </row>
    <row r="65" spans="2:6" x14ac:dyDescent="0.2">
      <c r="B65" s="78">
        <v>42795</v>
      </c>
      <c r="C65" s="72">
        <v>9</v>
      </c>
      <c r="D65" s="72">
        <v>13</v>
      </c>
      <c r="E65" s="76">
        <v>15</v>
      </c>
      <c r="F65" s="77">
        <f t="shared" si="4"/>
        <v>37</v>
      </c>
    </row>
    <row r="66" spans="2:6" x14ac:dyDescent="0.2">
      <c r="B66" s="78">
        <v>42826</v>
      </c>
      <c r="C66" s="72">
        <v>3</v>
      </c>
      <c r="D66" s="72">
        <v>17</v>
      </c>
      <c r="E66" s="76">
        <v>7</v>
      </c>
      <c r="F66" s="77">
        <f t="shared" si="4"/>
        <v>27</v>
      </c>
    </row>
    <row r="67" spans="2:6" x14ac:dyDescent="0.2">
      <c r="B67" s="78">
        <v>42856</v>
      </c>
      <c r="C67" s="72">
        <v>8</v>
      </c>
      <c r="D67" s="72">
        <v>18</v>
      </c>
      <c r="E67" s="76">
        <v>10</v>
      </c>
      <c r="F67" s="77">
        <f t="shared" si="4"/>
        <v>36</v>
      </c>
    </row>
    <row r="68" spans="2:6" x14ac:dyDescent="0.2">
      <c r="B68" s="78">
        <v>42887</v>
      </c>
      <c r="C68" s="72">
        <v>12</v>
      </c>
      <c r="D68" s="72">
        <v>19</v>
      </c>
      <c r="E68" s="76">
        <v>7</v>
      </c>
      <c r="F68" s="77">
        <f t="shared" si="4"/>
        <v>38</v>
      </c>
    </row>
    <row r="69" spans="2:6" x14ac:dyDescent="0.2">
      <c r="B69" s="78">
        <v>42917</v>
      </c>
      <c r="C69" s="72">
        <v>8</v>
      </c>
      <c r="D69" s="72">
        <v>12</v>
      </c>
      <c r="E69" s="76">
        <v>11</v>
      </c>
      <c r="F69" s="77">
        <f t="shared" si="4"/>
        <v>31</v>
      </c>
    </row>
    <row r="70" spans="2:6" x14ac:dyDescent="0.2">
      <c r="B70" s="78">
        <v>42948</v>
      </c>
      <c r="C70" s="72">
        <v>10</v>
      </c>
      <c r="D70" s="72">
        <v>13</v>
      </c>
      <c r="E70" s="76">
        <v>11</v>
      </c>
      <c r="F70" s="77">
        <f t="shared" si="4"/>
        <v>34</v>
      </c>
    </row>
    <row r="71" spans="2:6" x14ac:dyDescent="0.2">
      <c r="B71" s="78">
        <v>42979</v>
      </c>
      <c r="C71" s="72">
        <v>10</v>
      </c>
      <c r="D71" s="72">
        <v>9</v>
      </c>
      <c r="E71" s="76">
        <v>17</v>
      </c>
      <c r="F71" s="77">
        <f t="shared" si="4"/>
        <v>36</v>
      </c>
    </row>
    <row r="72" spans="2:6" x14ac:dyDescent="0.2">
      <c r="B72" s="78">
        <v>43009</v>
      </c>
      <c r="C72" s="72">
        <v>6</v>
      </c>
      <c r="D72" s="72">
        <v>14</v>
      </c>
      <c r="E72" s="76">
        <v>13</v>
      </c>
      <c r="F72" s="77">
        <f t="shared" si="4"/>
        <v>33</v>
      </c>
    </row>
    <row r="73" spans="2:6" x14ac:dyDescent="0.2">
      <c r="B73" s="78">
        <v>43040</v>
      </c>
      <c r="C73" s="72">
        <v>5</v>
      </c>
      <c r="D73" s="72">
        <v>23</v>
      </c>
      <c r="E73" s="76">
        <v>12</v>
      </c>
      <c r="F73" s="77">
        <f t="shared" si="4"/>
        <v>40</v>
      </c>
    </row>
    <row r="74" spans="2:6" x14ac:dyDescent="0.2">
      <c r="B74" s="78">
        <v>43070</v>
      </c>
      <c r="C74" s="72">
        <v>19</v>
      </c>
      <c r="D74" s="72">
        <v>22</v>
      </c>
      <c r="E74" s="76">
        <v>15</v>
      </c>
      <c r="F74" s="77">
        <f t="shared" si="4"/>
        <v>56</v>
      </c>
    </row>
    <row r="75" spans="2:6" x14ac:dyDescent="0.2">
      <c r="B75" s="329" t="s">
        <v>608</v>
      </c>
      <c r="C75" s="75">
        <f>SUM(C63:C74)</f>
        <v>107</v>
      </c>
      <c r="D75" s="75">
        <f t="shared" ref="D75:E75" si="6">SUM(D63:D74)</f>
        <v>188</v>
      </c>
      <c r="E75" s="75">
        <f t="shared" si="6"/>
        <v>145</v>
      </c>
      <c r="F75" s="75">
        <f t="shared" si="4"/>
        <v>440</v>
      </c>
    </row>
    <row r="76" spans="2:6" x14ac:dyDescent="0.2">
      <c r="B76" s="78">
        <v>43101</v>
      </c>
      <c r="C76" s="72">
        <v>13</v>
      </c>
      <c r="D76" s="72">
        <v>23</v>
      </c>
      <c r="E76" s="76">
        <v>10</v>
      </c>
      <c r="F76" s="77">
        <f t="shared" si="4"/>
        <v>46</v>
      </c>
    </row>
    <row r="77" spans="2:6" x14ac:dyDescent="0.2">
      <c r="B77" s="78">
        <v>43132</v>
      </c>
      <c r="C77" s="72">
        <v>16</v>
      </c>
      <c r="D77" s="72">
        <v>22</v>
      </c>
      <c r="E77" s="76">
        <v>23</v>
      </c>
      <c r="F77" s="77">
        <f t="shared" si="4"/>
        <v>61</v>
      </c>
    </row>
    <row r="78" spans="2:6" x14ac:dyDescent="0.2">
      <c r="B78" s="78">
        <v>43160</v>
      </c>
      <c r="C78" s="72">
        <v>14</v>
      </c>
      <c r="D78" s="72">
        <v>19</v>
      </c>
      <c r="E78" s="76">
        <v>11</v>
      </c>
      <c r="F78" s="77">
        <f t="shared" si="4"/>
        <v>44</v>
      </c>
    </row>
    <row r="79" spans="2:6" x14ac:dyDescent="0.2">
      <c r="B79" s="78">
        <v>43191</v>
      </c>
      <c r="C79" s="72">
        <v>10</v>
      </c>
      <c r="D79" s="72">
        <v>18</v>
      </c>
      <c r="E79" s="76">
        <v>11</v>
      </c>
      <c r="F79" s="77">
        <f t="shared" si="4"/>
        <v>39</v>
      </c>
    </row>
    <row r="80" spans="2:6" x14ac:dyDescent="0.2">
      <c r="B80" s="78">
        <v>43221</v>
      </c>
      <c r="C80" s="72">
        <v>22</v>
      </c>
      <c r="D80" s="72">
        <v>9</v>
      </c>
      <c r="E80" s="76">
        <v>9</v>
      </c>
      <c r="F80" s="77">
        <f t="shared" si="4"/>
        <v>40</v>
      </c>
    </row>
    <row r="81" spans="2:6" x14ac:dyDescent="0.2">
      <c r="B81" s="78">
        <v>43252</v>
      </c>
      <c r="C81" s="72">
        <v>27</v>
      </c>
      <c r="D81" s="72">
        <v>18</v>
      </c>
      <c r="E81" s="76">
        <v>10</v>
      </c>
      <c r="F81" s="77">
        <f t="shared" si="4"/>
        <v>55</v>
      </c>
    </row>
    <row r="82" spans="2:6" x14ac:dyDescent="0.2">
      <c r="B82" s="78">
        <v>43282</v>
      </c>
      <c r="C82" s="72">
        <v>15</v>
      </c>
      <c r="D82" s="72">
        <v>20</v>
      </c>
      <c r="E82" s="76">
        <v>19</v>
      </c>
      <c r="F82" s="77">
        <f t="shared" si="4"/>
        <v>54</v>
      </c>
    </row>
    <row r="83" spans="2:6" x14ac:dyDescent="0.2">
      <c r="B83" s="78">
        <v>43313</v>
      </c>
      <c r="C83" s="72">
        <v>17</v>
      </c>
      <c r="D83" s="72">
        <v>40</v>
      </c>
      <c r="E83" s="76">
        <v>17</v>
      </c>
      <c r="F83" s="77">
        <f t="shared" si="4"/>
        <v>74</v>
      </c>
    </row>
    <row r="84" spans="2:6" x14ac:dyDescent="0.2">
      <c r="B84" s="78">
        <v>43344</v>
      </c>
      <c r="C84" s="72">
        <v>16</v>
      </c>
      <c r="D84" s="72">
        <v>31</v>
      </c>
      <c r="E84" s="76">
        <v>3</v>
      </c>
      <c r="F84" s="77">
        <f t="shared" si="4"/>
        <v>50</v>
      </c>
    </row>
    <row r="85" spans="2:6" x14ac:dyDescent="0.2">
      <c r="B85" s="78">
        <v>43374</v>
      </c>
      <c r="C85" s="72">
        <v>4</v>
      </c>
      <c r="D85" s="72">
        <v>22</v>
      </c>
      <c r="E85" s="76">
        <v>5</v>
      </c>
      <c r="F85" s="77">
        <f t="shared" si="4"/>
        <v>31</v>
      </c>
    </row>
    <row r="86" spans="2:6" x14ac:dyDescent="0.2">
      <c r="B86" s="78">
        <v>43405</v>
      </c>
      <c r="C86" s="72">
        <v>3</v>
      </c>
      <c r="D86" s="72">
        <v>16</v>
      </c>
      <c r="E86" s="76">
        <v>2</v>
      </c>
      <c r="F86" s="77">
        <f t="shared" si="4"/>
        <v>21</v>
      </c>
    </row>
    <row r="87" spans="2:6" x14ac:dyDescent="0.2">
      <c r="B87" s="78">
        <v>43435</v>
      </c>
      <c r="C87" s="121">
        <v>21</v>
      </c>
      <c r="D87" s="121">
        <v>40</v>
      </c>
      <c r="E87" s="121">
        <v>2</v>
      </c>
      <c r="F87" s="77">
        <f t="shared" si="4"/>
        <v>63</v>
      </c>
    </row>
    <row r="88" spans="2:6" x14ac:dyDescent="0.2">
      <c r="B88" s="329" t="s">
        <v>609</v>
      </c>
      <c r="C88" s="75">
        <f>SUM(C76:C87)</f>
        <v>178</v>
      </c>
      <c r="D88" s="75">
        <f t="shared" ref="D88:F88" si="7">SUM(D76:D87)</f>
        <v>278</v>
      </c>
      <c r="E88" s="75">
        <f t="shared" si="7"/>
        <v>122</v>
      </c>
      <c r="F88" s="75">
        <f t="shared" si="7"/>
        <v>578</v>
      </c>
    </row>
    <row r="89" spans="2:6" x14ac:dyDescent="0.2">
      <c r="B89" s="78">
        <v>43466</v>
      </c>
      <c r="C89" s="121">
        <v>19</v>
      </c>
      <c r="D89" s="121">
        <v>25</v>
      </c>
      <c r="E89" s="121">
        <v>2</v>
      </c>
      <c r="F89" s="77">
        <f t="shared" ref="F89" si="8">C89+D89+E89</f>
        <v>46</v>
      </c>
    </row>
    <row r="90" spans="2:6" x14ac:dyDescent="0.2">
      <c r="B90" s="78">
        <v>43497</v>
      </c>
      <c r="C90" s="121">
        <v>15</v>
      </c>
      <c r="D90" s="121">
        <v>30</v>
      </c>
      <c r="E90" s="121">
        <v>2</v>
      </c>
      <c r="F90" s="77">
        <v>47</v>
      </c>
    </row>
    <row r="91" spans="2:6" x14ac:dyDescent="0.2">
      <c r="B91" s="78">
        <v>43525</v>
      </c>
      <c r="C91" s="121">
        <v>9</v>
      </c>
      <c r="D91" s="121">
        <v>30</v>
      </c>
      <c r="E91" s="121">
        <v>3</v>
      </c>
      <c r="F91" s="77">
        <v>42</v>
      </c>
    </row>
    <row r="92" spans="2:6" x14ac:dyDescent="0.2">
      <c r="B92" s="78">
        <v>43556</v>
      </c>
      <c r="C92" s="121">
        <v>8</v>
      </c>
      <c r="D92" s="121">
        <v>39</v>
      </c>
      <c r="E92" s="121">
        <v>2</v>
      </c>
      <c r="F92" s="77">
        <v>49</v>
      </c>
    </row>
    <row r="93" spans="2:6" x14ac:dyDescent="0.2">
      <c r="B93" s="78">
        <v>43586</v>
      </c>
      <c r="C93" s="121">
        <v>27</v>
      </c>
      <c r="D93" s="121">
        <v>34</v>
      </c>
      <c r="E93" s="121">
        <v>10</v>
      </c>
      <c r="F93" s="77">
        <f t="shared" ref="F93:F96" si="9">C93+D93+E93</f>
        <v>71</v>
      </c>
    </row>
    <row r="94" spans="2:6" x14ac:dyDescent="0.2">
      <c r="B94" s="78">
        <v>43617</v>
      </c>
      <c r="C94" s="121">
        <v>22</v>
      </c>
      <c r="D94" s="121">
        <v>41</v>
      </c>
      <c r="E94" s="121">
        <v>5</v>
      </c>
      <c r="F94" s="77">
        <f t="shared" si="9"/>
        <v>68</v>
      </c>
    </row>
    <row r="95" spans="2:6" x14ac:dyDescent="0.2">
      <c r="B95" s="78">
        <v>43647</v>
      </c>
      <c r="C95" s="121">
        <v>25</v>
      </c>
      <c r="D95" s="121">
        <v>40</v>
      </c>
      <c r="E95" s="121">
        <v>8</v>
      </c>
      <c r="F95" s="77">
        <f t="shared" si="9"/>
        <v>73</v>
      </c>
    </row>
    <row r="96" spans="2:6" x14ac:dyDescent="0.2">
      <c r="B96" s="78">
        <v>43678</v>
      </c>
      <c r="C96" s="121">
        <v>17</v>
      </c>
      <c r="D96" s="121">
        <v>50</v>
      </c>
      <c r="E96" s="121">
        <v>5</v>
      </c>
      <c r="F96" s="77">
        <f t="shared" si="9"/>
        <v>72</v>
      </c>
    </row>
    <row r="97" spans="2:6" x14ac:dyDescent="0.2">
      <c r="B97" s="78">
        <v>43709</v>
      </c>
      <c r="C97" s="121">
        <v>19</v>
      </c>
      <c r="D97" s="121">
        <v>54</v>
      </c>
      <c r="E97" s="121">
        <v>8</v>
      </c>
      <c r="F97" s="77">
        <f>C97+D97+E97</f>
        <v>81</v>
      </c>
    </row>
    <row r="98" spans="2:6" x14ac:dyDescent="0.2">
      <c r="B98" s="78">
        <v>43739</v>
      </c>
      <c r="C98" s="121">
        <v>7</v>
      </c>
      <c r="D98" s="121">
        <v>24</v>
      </c>
      <c r="E98" s="121">
        <v>2</v>
      </c>
      <c r="F98" s="77">
        <v>33</v>
      </c>
    </row>
    <row r="99" spans="2:6" x14ac:dyDescent="0.2">
      <c r="B99" s="78">
        <v>43770</v>
      </c>
      <c r="C99" s="121">
        <v>16</v>
      </c>
      <c r="D99" s="121">
        <v>57</v>
      </c>
      <c r="E99" s="121">
        <v>5</v>
      </c>
      <c r="F99" s="77">
        <v>78</v>
      </c>
    </row>
    <row r="100" spans="2:6" x14ac:dyDescent="0.2">
      <c r="B100" s="78">
        <v>43800</v>
      </c>
      <c r="C100" s="121">
        <v>1</v>
      </c>
      <c r="D100" s="121">
        <v>72</v>
      </c>
      <c r="E100" s="121">
        <v>4</v>
      </c>
      <c r="F100" s="77">
        <f>C100+D100+E100</f>
        <v>77</v>
      </c>
    </row>
    <row r="101" spans="2:6" x14ac:dyDescent="0.2">
      <c r="B101" s="329" t="s">
        <v>610</v>
      </c>
      <c r="C101" s="75">
        <f>SUM(C89:C100)</f>
        <v>185</v>
      </c>
      <c r="D101" s="75">
        <f t="shared" ref="D101:E101" si="10">SUM(D89:D100)</f>
        <v>496</v>
      </c>
      <c r="E101" s="75">
        <f t="shared" si="10"/>
        <v>56</v>
      </c>
      <c r="F101" s="75">
        <f>C101+D101+E101</f>
        <v>737</v>
      </c>
    </row>
    <row r="102" spans="2:6" x14ac:dyDescent="0.2">
      <c r="B102" s="78">
        <v>43831</v>
      </c>
      <c r="C102" s="121">
        <v>5</v>
      </c>
      <c r="D102" s="121">
        <v>54</v>
      </c>
      <c r="E102" s="121">
        <v>24</v>
      </c>
      <c r="F102" s="77">
        <f t="shared" ref="F102:F127" si="11">C102+D102+E102</f>
        <v>83</v>
      </c>
    </row>
    <row r="103" spans="2:6" x14ac:dyDescent="0.2">
      <c r="B103" s="78">
        <v>43862</v>
      </c>
      <c r="C103" s="121">
        <v>7</v>
      </c>
      <c r="D103" s="121">
        <v>70</v>
      </c>
      <c r="E103" s="121">
        <v>14</v>
      </c>
      <c r="F103" s="77">
        <f t="shared" si="11"/>
        <v>91</v>
      </c>
    </row>
    <row r="104" spans="2:6" x14ac:dyDescent="0.2">
      <c r="B104" s="78">
        <v>43891</v>
      </c>
      <c r="C104" s="121">
        <v>6</v>
      </c>
      <c r="D104" s="121">
        <v>59</v>
      </c>
      <c r="E104" s="121">
        <v>8</v>
      </c>
      <c r="F104" s="77">
        <f t="shared" si="11"/>
        <v>73</v>
      </c>
    </row>
    <row r="105" spans="2:6" x14ac:dyDescent="0.2">
      <c r="B105" s="78">
        <v>43922</v>
      </c>
      <c r="C105" s="121">
        <v>3</v>
      </c>
      <c r="D105" s="121">
        <v>8</v>
      </c>
      <c r="E105" s="121">
        <v>2</v>
      </c>
      <c r="F105" s="77">
        <f t="shared" si="11"/>
        <v>13</v>
      </c>
    </row>
    <row r="106" spans="2:6" x14ac:dyDescent="0.2">
      <c r="B106" s="78">
        <v>43952</v>
      </c>
      <c r="C106" s="121">
        <v>5</v>
      </c>
      <c r="D106" s="121">
        <v>7</v>
      </c>
      <c r="E106" s="121">
        <v>4</v>
      </c>
      <c r="F106" s="77">
        <f t="shared" si="11"/>
        <v>16</v>
      </c>
    </row>
    <row r="107" spans="2:6" x14ac:dyDescent="0.2">
      <c r="B107" s="78">
        <v>43983</v>
      </c>
      <c r="C107" s="121">
        <v>4</v>
      </c>
      <c r="D107" s="121">
        <v>9</v>
      </c>
      <c r="E107" s="121">
        <v>3</v>
      </c>
      <c r="F107" s="77">
        <f t="shared" si="11"/>
        <v>16</v>
      </c>
    </row>
    <row r="108" spans="2:6" x14ac:dyDescent="0.2">
      <c r="B108" s="78">
        <v>44013</v>
      </c>
      <c r="C108" s="121">
        <v>5</v>
      </c>
      <c r="D108" s="121">
        <v>9</v>
      </c>
      <c r="E108" s="121">
        <v>12</v>
      </c>
      <c r="F108" s="77">
        <f t="shared" si="11"/>
        <v>26</v>
      </c>
    </row>
    <row r="109" spans="2:6" x14ac:dyDescent="0.2">
      <c r="B109" s="78">
        <v>44044</v>
      </c>
      <c r="C109" s="121">
        <v>2</v>
      </c>
      <c r="D109" s="121">
        <v>14</v>
      </c>
      <c r="E109" s="121">
        <v>11</v>
      </c>
      <c r="F109" s="77">
        <f t="shared" si="11"/>
        <v>27</v>
      </c>
    </row>
    <row r="110" spans="2:6" x14ac:dyDescent="0.2">
      <c r="B110" s="78">
        <v>44075</v>
      </c>
      <c r="C110" s="121">
        <v>7</v>
      </c>
      <c r="D110" s="121">
        <v>22</v>
      </c>
      <c r="E110" s="121">
        <v>3</v>
      </c>
      <c r="F110" s="77">
        <f t="shared" si="11"/>
        <v>32</v>
      </c>
    </row>
    <row r="111" spans="2:6" x14ac:dyDescent="0.2">
      <c r="B111" s="78">
        <v>44105</v>
      </c>
      <c r="C111" s="121">
        <v>2</v>
      </c>
      <c r="D111" s="121">
        <v>38</v>
      </c>
      <c r="E111" s="121">
        <v>5</v>
      </c>
      <c r="F111" s="77">
        <f t="shared" si="11"/>
        <v>45</v>
      </c>
    </row>
    <row r="112" spans="2:6" x14ac:dyDescent="0.2">
      <c r="B112" s="249" t="s">
        <v>533</v>
      </c>
      <c r="C112" s="121">
        <v>0</v>
      </c>
      <c r="D112" s="121">
        <v>16</v>
      </c>
      <c r="E112" s="121">
        <v>5</v>
      </c>
      <c r="F112" s="77">
        <f t="shared" si="11"/>
        <v>21</v>
      </c>
    </row>
    <row r="113" spans="2:6" x14ac:dyDescent="0.2">
      <c r="B113" s="249" t="s">
        <v>534</v>
      </c>
      <c r="C113" s="121">
        <v>0</v>
      </c>
      <c r="D113" s="121">
        <v>11</v>
      </c>
      <c r="E113" s="121">
        <v>3</v>
      </c>
      <c r="F113" s="77">
        <f t="shared" si="11"/>
        <v>14</v>
      </c>
    </row>
    <row r="114" spans="2:6" x14ac:dyDescent="0.2">
      <c r="B114" s="329" t="s">
        <v>611</v>
      </c>
      <c r="C114" s="75">
        <f>SUM(C102:C113)</f>
        <v>46</v>
      </c>
      <c r="D114" s="75">
        <f t="shared" ref="D114:E114" si="12">SUM(D102:D113)</f>
        <v>317</v>
      </c>
      <c r="E114" s="75">
        <f t="shared" si="12"/>
        <v>94</v>
      </c>
      <c r="F114" s="75">
        <f t="shared" si="11"/>
        <v>457</v>
      </c>
    </row>
    <row r="115" spans="2:6" x14ac:dyDescent="0.2">
      <c r="B115" s="78">
        <v>44197</v>
      </c>
      <c r="C115" s="121">
        <v>1</v>
      </c>
      <c r="D115" s="121">
        <v>19</v>
      </c>
      <c r="E115" s="121">
        <v>1</v>
      </c>
      <c r="F115" s="77">
        <f t="shared" si="11"/>
        <v>21</v>
      </c>
    </row>
    <row r="116" spans="2:6" x14ac:dyDescent="0.2">
      <c r="B116" s="78">
        <v>44228</v>
      </c>
      <c r="C116" s="121">
        <v>0</v>
      </c>
      <c r="D116" s="121">
        <v>12</v>
      </c>
      <c r="E116" s="121">
        <v>0</v>
      </c>
      <c r="F116" s="77">
        <f t="shared" si="11"/>
        <v>12</v>
      </c>
    </row>
    <row r="117" spans="2:6" x14ac:dyDescent="0.2">
      <c r="B117" s="78">
        <v>44256</v>
      </c>
      <c r="C117" s="121">
        <v>2</v>
      </c>
      <c r="D117" s="121">
        <v>13</v>
      </c>
      <c r="E117" s="121">
        <v>2</v>
      </c>
      <c r="F117" s="77">
        <f t="shared" si="11"/>
        <v>17</v>
      </c>
    </row>
    <row r="118" spans="2:6" x14ac:dyDescent="0.2">
      <c r="B118" s="78">
        <v>44287</v>
      </c>
      <c r="C118" s="121">
        <v>0</v>
      </c>
      <c r="D118" s="121">
        <v>9</v>
      </c>
      <c r="E118" s="121">
        <v>0</v>
      </c>
      <c r="F118" s="77">
        <f t="shared" si="11"/>
        <v>9</v>
      </c>
    </row>
    <row r="119" spans="2:6" x14ac:dyDescent="0.2">
      <c r="B119" s="78">
        <v>44317</v>
      </c>
      <c r="C119" s="121">
        <v>1</v>
      </c>
      <c r="D119" s="121">
        <v>28</v>
      </c>
      <c r="E119" s="121">
        <v>8</v>
      </c>
      <c r="F119" s="77">
        <f t="shared" si="11"/>
        <v>37</v>
      </c>
    </row>
    <row r="120" spans="2:6" x14ac:dyDescent="0.2">
      <c r="B120" s="78">
        <v>44348</v>
      </c>
      <c r="C120" s="121">
        <v>3</v>
      </c>
      <c r="D120" s="121">
        <v>35</v>
      </c>
      <c r="E120" s="121">
        <v>16</v>
      </c>
      <c r="F120" s="77">
        <f t="shared" si="11"/>
        <v>54</v>
      </c>
    </row>
    <row r="121" spans="2:6" x14ac:dyDescent="0.2">
      <c r="B121" s="78">
        <v>44378</v>
      </c>
      <c r="C121" s="121">
        <v>4</v>
      </c>
      <c r="D121" s="121">
        <v>9</v>
      </c>
      <c r="E121" s="121">
        <v>1</v>
      </c>
      <c r="F121" s="77">
        <f t="shared" si="11"/>
        <v>14</v>
      </c>
    </row>
    <row r="122" spans="2:6" x14ac:dyDescent="0.2">
      <c r="B122" s="78">
        <v>44409</v>
      </c>
      <c r="C122" s="121">
        <v>1</v>
      </c>
      <c r="D122" s="121">
        <v>38</v>
      </c>
      <c r="E122" s="121">
        <v>11</v>
      </c>
      <c r="F122" s="77">
        <f t="shared" si="11"/>
        <v>50</v>
      </c>
    </row>
    <row r="123" spans="2:6" x14ac:dyDescent="0.2">
      <c r="B123" s="78">
        <v>44440</v>
      </c>
      <c r="C123" s="121">
        <v>2</v>
      </c>
      <c r="D123" s="121">
        <v>15</v>
      </c>
      <c r="E123" s="121">
        <v>0</v>
      </c>
      <c r="F123" s="77">
        <f t="shared" si="11"/>
        <v>17</v>
      </c>
    </row>
    <row r="124" spans="2:6" x14ac:dyDescent="0.2">
      <c r="B124" s="78">
        <v>44470</v>
      </c>
      <c r="C124" s="121">
        <v>3</v>
      </c>
      <c r="D124" s="121">
        <v>14</v>
      </c>
      <c r="E124" s="121">
        <v>0</v>
      </c>
      <c r="F124" s="77">
        <f t="shared" si="11"/>
        <v>17</v>
      </c>
    </row>
    <row r="125" spans="2:6" x14ac:dyDescent="0.2">
      <c r="B125" s="78">
        <v>44501</v>
      </c>
      <c r="C125" s="121">
        <v>2</v>
      </c>
      <c r="D125" s="121">
        <v>11</v>
      </c>
      <c r="E125" s="121">
        <v>0</v>
      </c>
      <c r="F125" s="77">
        <f t="shared" si="11"/>
        <v>13</v>
      </c>
    </row>
    <row r="126" spans="2:6" x14ac:dyDescent="0.2">
      <c r="B126" s="78">
        <v>44531</v>
      </c>
      <c r="C126" s="121">
        <v>10</v>
      </c>
      <c r="D126" s="121">
        <v>13</v>
      </c>
      <c r="E126" s="121">
        <v>12</v>
      </c>
      <c r="F126" s="77">
        <f t="shared" si="11"/>
        <v>35</v>
      </c>
    </row>
    <row r="127" spans="2:6" x14ac:dyDescent="0.2">
      <c r="B127" s="329" t="s">
        <v>612</v>
      </c>
      <c r="C127" s="75">
        <f>SUM(C115:C126)</f>
        <v>29</v>
      </c>
      <c r="D127" s="75">
        <f t="shared" ref="D127:E127" si="13">SUM(D115:D126)</f>
        <v>216</v>
      </c>
      <c r="E127" s="75">
        <f t="shared" si="13"/>
        <v>51</v>
      </c>
      <c r="F127" s="75">
        <f t="shared" si="11"/>
        <v>296</v>
      </c>
    </row>
    <row r="128" spans="2:6" x14ac:dyDescent="0.2">
      <c r="B128" s="78">
        <v>44562</v>
      </c>
      <c r="C128" s="121">
        <v>21</v>
      </c>
      <c r="D128" s="121">
        <v>8</v>
      </c>
      <c r="E128" s="121">
        <v>23</v>
      </c>
      <c r="F128" s="77">
        <f>C128+D128+E128</f>
        <v>52</v>
      </c>
    </row>
    <row r="129" spans="2:6" x14ac:dyDescent="0.2">
      <c r="B129" s="78">
        <v>44593</v>
      </c>
      <c r="C129" s="121">
        <v>24</v>
      </c>
      <c r="D129" s="121">
        <v>10</v>
      </c>
      <c r="E129" s="121">
        <v>13</v>
      </c>
      <c r="F129" s="77">
        <f>C129+D129+E129</f>
        <v>47</v>
      </c>
    </row>
    <row r="130" spans="2:6" x14ac:dyDescent="0.2">
      <c r="B130" s="78">
        <v>44621</v>
      </c>
      <c r="C130" s="121">
        <v>44</v>
      </c>
      <c r="D130" s="121">
        <v>13</v>
      </c>
      <c r="E130" s="121">
        <v>12</v>
      </c>
      <c r="F130" s="77">
        <f>C130+D130+E130</f>
        <v>69</v>
      </c>
    </row>
    <row r="131" spans="2:6" x14ac:dyDescent="0.2">
      <c r="B131" s="78">
        <v>44652</v>
      </c>
      <c r="C131" s="121">
        <v>41</v>
      </c>
      <c r="D131" s="121">
        <v>6</v>
      </c>
      <c r="E131" s="121">
        <v>28</v>
      </c>
      <c r="F131" s="77">
        <f t="shared" ref="F131:F133" si="14">C131+D131+E131</f>
        <v>75</v>
      </c>
    </row>
    <row r="132" spans="2:6" x14ac:dyDescent="0.2">
      <c r="B132" s="78">
        <v>44682</v>
      </c>
      <c r="C132" s="121">
        <v>49</v>
      </c>
      <c r="D132" s="121">
        <v>13</v>
      </c>
      <c r="E132" s="121">
        <v>18</v>
      </c>
      <c r="F132" s="77">
        <f t="shared" si="14"/>
        <v>80</v>
      </c>
    </row>
    <row r="133" spans="2:6" x14ac:dyDescent="0.2">
      <c r="B133" s="78">
        <v>44713</v>
      </c>
      <c r="C133" s="121">
        <v>24</v>
      </c>
      <c r="D133" s="121">
        <v>13</v>
      </c>
      <c r="E133" s="121">
        <v>14</v>
      </c>
      <c r="F133" s="77">
        <f t="shared" si="14"/>
        <v>51</v>
      </c>
    </row>
    <row r="134" spans="2:6" x14ac:dyDescent="0.2">
      <c r="B134" s="288" t="s">
        <v>621</v>
      </c>
      <c r="C134" s="75">
        <f>SUM(C128:C133)</f>
        <v>203</v>
      </c>
      <c r="D134" s="75">
        <f t="shared" ref="D134:E134" si="15">SUM(D128:D133)</f>
        <v>63</v>
      </c>
      <c r="E134" s="75">
        <f t="shared" si="15"/>
        <v>108</v>
      </c>
      <c r="F134" s="75">
        <f>C134+D134+E134</f>
        <v>374</v>
      </c>
    </row>
    <row r="135" spans="2:6" x14ac:dyDescent="0.2">
      <c r="B135" s="21" t="s">
        <v>419</v>
      </c>
    </row>
    <row r="136" spans="2:6" ht="81" customHeight="1" x14ac:dyDescent="0.2">
      <c r="B136" s="352" t="s">
        <v>535</v>
      </c>
      <c r="C136" s="352"/>
      <c r="D136" s="352"/>
      <c r="E136" s="352"/>
      <c r="F136" s="352"/>
    </row>
  </sheetData>
  <mergeCells count="5">
    <mergeCell ref="B5:F5"/>
    <mergeCell ref="B6:F6"/>
    <mergeCell ref="B8:B9"/>
    <mergeCell ref="C8:F8"/>
    <mergeCell ref="B136:F136"/>
  </mergeCells>
  <hyperlinks>
    <hyperlink ref="H5" location="'Índice STJ'!A1" display="'Índice STJ'!A1" xr:uid="{00000000-0004-0000-1D00-000000000000}"/>
  </hyperlinks>
  <pageMargins left="0.7" right="0.7" top="0.75" bottom="0.75" header="0.3" footer="0.3"/>
  <pageSetup orientation="portrait" horizontalDpi="300" verticalDpi="300" r:id="rId1"/>
  <ignoredErrors>
    <ignoredError sqref="F11:F23 F24 C23:E23" formulaRange="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2:G140"/>
  <sheetViews>
    <sheetView showGridLines="0" zoomScale="90" zoomScaleNormal="90" workbookViewId="0">
      <pane xSplit="1" ySplit="9" topLeftCell="B95" activePane="bottomRight" state="frozen"/>
      <selection activeCell="B6" sqref="B6:L6"/>
      <selection pane="topRight" activeCell="B6" sqref="B6:L6"/>
      <selection pane="bottomLeft" activeCell="B6" sqref="B6:L6"/>
      <selection pane="bottomRight" activeCell="E136" sqref="E136"/>
    </sheetView>
  </sheetViews>
  <sheetFormatPr baseColWidth="10" defaultColWidth="11.42578125" defaultRowHeight="12" x14ac:dyDescent="0.2"/>
  <cols>
    <col min="1" max="1" width="6" style="21" customWidth="1"/>
    <col min="2" max="16384" width="11.42578125" style="21"/>
  </cols>
  <sheetData>
    <row r="2" spans="1:7" x14ac:dyDescent="0.2">
      <c r="A2" s="40" t="s">
        <v>58</v>
      </c>
    </row>
    <row r="3" spans="1:7" x14ac:dyDescent="0.2">
      <c r="A3" s="40" t="s">
        <v>59</v>
      </c>
    </row>
    <row r="5" spans="1:7" ht="27.75" customHeight="1" x14ac:dyDescent="0.2">
      <c r="B5" s="402" t="s">
        <v>481</v>
      </c>
      <c r="C5" s="402"/>
      <c r="D5" s="402"/>
      <c r="E5" s="402"/>
      <c r="G5" s="105" t="s">
        <v>510</v>
      </c>
    </row>
    <row r="6" spans="1:7" ht="12.75" x14ac:dyDescent="0.2">
      <c r="B6" s="344" t="s">
        <v>631</v>
      </c>
      <c r="C6" s="344"/>
      <c r="D6" s="344"/>
      <c r="E6" s="344"/>
    </row>
    <row r="8" spans="1:7" ht="27.75" customHeight="1" x14ac:dyDescent="0.2">
      <c r="B8" s="396" t="s">
        <v>468</v>
      </c>
      <c r="C8" s="399" t="s">
        <v>482</v>
      </c>
      <c r="D8" s="400"/>
      <c r="E8" s="401"/>
    </row>
    <row r="9" spans="1:7" x14ac:dyDescent="0.2">
      <c r="B9" s="398"/>
      <c r="C9" s="128" t="s">
        <v>472</v>
      </c>
      <c r="D9" s="128" t="s">
        <v>473</v>
      </c>
      <c r="E9" s="128" t="s">
        <v>57</v>
      </c>
    </row>
    <row r="10" spans="1:7" x14ac:dyDescent="0.2">
      <c r="B10" s="407" t="s">
        <v>483</v>
      </c>
      <c r="C10" s="408"/>
      <c r="D10" s="409"/>
      <c r="E10" s="6">
        <f>105378+4602+2837+2889+4557+2387</f>
        <v>122650</v>
      </c>
    </row>
    <row r="11" spans="1:7" x14ac:dyDescent="0.2">
      <c r="B11" s="410">
        <v>2012</v>
      </c>
      <c r="C11" s="411"/>
      <c r="D11" s="412"/>
      <c r="E11" s="6">
        <v>32605</v>
      </c>
    </row>
    <row r="12" spans="1:7" x14ac:dyDescent="0.2">
      <c r="B12" s="69">
        <v>41275</v>
      </c>
      <c r="C12" s="69"/>
      <c r="D12" s="69"/>
      <c r="E12" s="71">
        <v>2532</v>
      </c>
    </row>
    <row r="13" spans="1:7" x14ac:dyDescent="0.2">
      <c r="B13" s="69">
        <v>41306</v>
      </c>
      <c r="C13" s="69"/>
      <c r="D13" s="69"/>
      <c r="E13" s="71">
        <v>2439</v>
      </c>
    </row>
    <row r="14" spans="1:7" x14ac:dyDescent="0.2">
      <c r="B14" s="69">
        <v>41334</v>
      </c>
      <c r="C14" s="69"/>
      <c r="D14" s="69"/>
      <c r="E14" s="71">
        <v>2431</v>
      </c>
    </row>
    <row r="15" spans="1:7" x14ac:dyDescent="0.2">
      <c r="B15" s="69">
        <v>41365</v>
      </c>
      <c r="C15" s="69"/>
      <c r="D15" s="69"/>
      <c r="E15" s="71">
        <v>1851</v>
      </c>
    </row>
    <row r="16" spans="1:7" x14ac:dyDescent="0.2">
      <c r="B16" s="69">
        <v>41395</v>
      </c>
      <c r="C16" s="69"/>
      <c r="D16" s="69"/>
      <c r="E16" s="71">
        <v>2369</v>
      </c>
    </row>
    <row r="17" spans="2:5" x14ac:dyDescent="0.2">
      <c r="B17" s="69">
        <v>41426</v>
      </c>
      <c r="C17" s="69"/>
      <c r="D17" s="69"/>
      <c r="E17" s="71">
        <v>2281</v>
      </c>
    </row>
    <row r="18" spans="2:5" x14ac:dyDescent="0.2">
      <c r="B18" s="69">
        <v>41456</v>
      </c>
      <c r="C18" s="69"/>
      <c r="D18" s="69"/>
      <c r="E18" s="71">
        <v>2297</v>
      </c>
    </row>
    <row r="19" spans="2:5" x14ac:dyDescent="0.2">
      <c r="B19" s="69">
        <v>41487</v>
      </c>
      <c r="C19" s="69"/>
      <c r="D19" s="69"/>
      <c r="E19" s="71">
        <v>1478</v>
      </c>
    </row>
    <row r="20" spans="2:5" x14ac:dyDescent="0.2">
      <c r="B20" s="69">
        <v>41518</v>
      </c>
      <c r="C20" s="69"/>
      <c r="D20" s="69"/>
      <c r="E20" s="71">
        <v>1310</v>
      </c>
    </row>
    <row r="21" spans="2:5" x14ac:dyDescent="0.2">
      <c r="B21" s="69">
        <v>41548</v>
      </c>
      <c r="C21" s="69"/>
      <c r="D21" s="69"/>
      <c r="E21" s="71">
        <v>1141</v>
      </c>
    </row>
    <row r="22" spans="2:5" x14ac:dyDescent="0.2">
      <c r="B22" s="69">
        <v>41579</v>
      </c>
      <c r="C22" s="69"/>
      <c r="D22" s="69"/>
      <c r="E22" s="71">
        <v>925</v>
      </c>
    </row>
    <row r="23" spans="2:5" x14ac:dyDescent="0.2">
      <c r="B23" s="69">
        <v>41609</v>
      </c>
      <c r="C23" s="69"/>
      <c r="D23" s="69"/>
      <c r="E23" s="71">
        <v>2271</v>
      </c>
    </row>
    <row r="24" spans="2:5" x14ac:dyDescent="0.2">
      <c r="B24" s="410">
        <v>2013</v>
      </c>
      <c r="C24" s="411"/>
      <c r="D24" s="412"/>
      <c r="E24" s="6">
        <f>SUM(E12:E23)</f>
        <v>23325</v>
      </c>
    </row>
    <row r="25" spans="2:5" x14ac:dyDescent="0.2">
      <c r="B25" s="69">
        <v>41640</v>
      </c>
      <c r="C25" s="69"/>
      <c r="D25" s="69"/>
      <c r="E25" s="71">
        <v>2624</v>
      </c>
    </row>
    <row r="26" spans="2:5" x14ac:dyDescent="0.2">
      <c r="B26" s="69">
        <v>41671</v>
      </c>
      <c r="C26" s="69"/>
      <c r="D26" s="69"/>
      <c r="E26" s="71">
        <v>1598</v>
      </c>
    </row>
    <row r="27" spans="2:5" x14ac:dyDescent="0.2">
      <c r="B27" s="69">
        <v>41699</v>
      </c>
      <c r="C27" s="69"/>
      <c r="D27" s="69"/>
      <c r="E27" s="71">
        <v>1914</v>
      </c>
    </row>
    <row r="28" spans="2:5" x14ac:dyDescent="0.2">
      <c r="B28" s="69">
        <v>41730</v>
      </c>
      <c r="C28" s="69"/>
      <c r="D28" s="69"/>
      <c r="E28" s="71">
        <v>1065</v>
      </c>
    </row>
    <row r="29" spans="2:5" x14ac:dyDescent="0.2">
      <c r="B29" s="69">
        <v>41760</v>
      </c>
      <c r="C29" s="69"/>
      <c r="D29" s="69"/>
      <c r="E29" s="71">
        <v>1919</v>
      </c>
    </row>
    <row r="30" spans="2:5" x14ac:dyDescent="0.2">
      <c r="B30" s="69">
        <v>41791</v>
      </c>
      <c r="C30" s="69"/>
      <c r="D30" s="69"/>
      <c r="E30" s="71">
        <v>1580</v>
      </c>
    </row>
    <row r="31" spans="2:5" x14ac:dyDescent="0.2">
      <c r="B31" s="69">
        <v>41821</v>
      </c>
      <c r="C31" s="69"/>
      <c r="D31" s="69"/>
      <c r="E31" s="71">
        <v>1542</v>
      </c>
    </row>
    <row r="32" spans="2:5" x14ac:dyDescent="0.2">
      <c r="B32" s="69">
        <v>41852</v>
      </c>
      <c r="C32" s="69"/>
      <c r="D32" s="69"/>
      <c r="E32" s="71">
        <v>1606</v>
      </c>
    </row>
    <row r="33" spans="2:5" x14ac:dyDescent="0.2">
      <c r="B33" s="69">
        <v>41883</v>
      </c>
      <c r="C33" s="69"/>
      <c r="D33" s="69"/>
      <c r="E33" s="71">
        <v>2676</v>
      </c>
    </row>
    <row r="34" spans="2:5" x14ac:dyDescent="0.2">
      <c r="B34" s="79">
        <v>41913</v>
      </c>
      <c r="C34" s="79"/>
      <c r="D34" s="79"/>
      <c r="E34" s="71">
        <v>2626</v>
      </c>
    </row>
    <row r="35" spans="2:5" x14ac:dyDescent="0.2">
      <c r="B35" s="78">
        <v>41944</v>
      </c>
      <c r="C35" s="78"/>
      <c r="D35" s="78"/>
      <c r="E35" s="71">
        <v>2422</v>
      </c>
    </row>
    <row r="36" spans="2:5" x14ac:dyDescent="0.2">
      <c r="B36" s="78">
        <v>41974</v>
      </c>
      <c r="C36" s="78"/>
      <c r="D36" s="78"/>
      <c r="E36" s="71">
        <v>1349</v>
      </c>
    </row>
    <row r="37" spans="2:5" x14ac:dyDescent="0.2">
      <c r="B37" s="410">
        <v>2014</v>
      </c>
      <c r="C37" s="411"/>
      <c r="D37" s="412"/>
      <c r="E37" s="6">
        <f>SUM(E25:E36)</f>
        <v>22921</v>
      </c>
    </row>
    <row r="38" spans="2:5" x14ac:dyDescent="0.2">
      <c r="B38" s="79">
        <v>42005</v>
      </c>
      <c r="C38" s="79"/>
      <c r="D38" s="79"/>
      <c r="E38" s="71">
        <v>2382</v>
      </c>
    </row>
    <row r="39" spans="2:5" x14ac:dyDescent="0.2">
      <c r="B39" s="69">
        <v>42036</v>
      </c>
      <c r="C39" s="69"/>
      <c r="D39" s="69"/>
      <c r="E39" s="71">
        <v>3962</v>
      </c>
    </row>
    <row r="40" spans="2:5" x14ac:dyDescent="0.2">
      <c r="B40" s="69">
        <v>42064</v>
      </c>
      <c r="C40" s="69"/>
      <c r="D40" s="69"/>
      <c r="E40" s="71">
        <v>2652</v>
      </c>
    </row>
    <row r="41" spans="2:5" x14ac:dyDescent="0.2">
      <c r="B41" s="69">
        <v>42095</v>
      </c>
      <c r="C41" s="69"/>
      <c r="D41" s="69"/>
      <c r="E41" s="71">
        <v>3302</v>
      </c>
    </row>
    <row r="42" spans="2:5" x14ac:dyDescent="0.2">
      <c r="B42" s="69">
        <v>42125</v>
      </c>
      <c r="C42" s="69"/>
      <c r="D42" s="69"/>
      <c r="E42" s="71">
        <v>1564</v>
      </c>
    </row>
    <row r="43" spans="2:5" x14ac:dyDescent="0.2">
      <c r="B43" s="69">
        <v>42156</v>
      </c>
      <c r="C43" s="69"/>
      <c r="D43" s="69"/>
      <c r="E43" s="71">
        <v>2459</v>
      </c>
    </row>
    <row r="44" spans="2:5" x14ac:dyDescent="0.2">
      <c r="B44" s="69">
        <v>42186</v>
      </c>
      <c r="C44" s="69"/>
      <c r="D44" s="69"/>
      <c r="E44" s="71">
        <v>1307</v>
      </c>
    </row>
    <row r="45" spans="2:5" x14ac:dyDescent="0.2">
      <c r="B45" s="69">
        <v>42217</v>
      </c>
      <c r="C45" s="69"/>
      <c r="D45" s="69"/>
      <c r="E45" s="71">
        <v>2005</v>
      </c>
    </row>
    <row r="46" spans="2:5" x14ac:dyDescent="0.2">
      <c r="B46" s="69">
        <v>42248</v>
      </c>
      <c r="C46" s="69"/>
      <c r="D46" s="69"/>
      <c r="E46" s="71">
        <v>1605</v>
      </c>
    </row>
    <row r="47" spans="2:5" x14ac:dyDescent="0.2">
      <c r="B47" s="69">
        <v>42278</v>
      </c>
      <c r="C47" s="69"/>
      <c r="D47" s="69"/>
      <c r="E47" s="71">
        <v>5170</v>
      </c>
    </row>
    <row r="48" spans="2:5" x14ac:dyDescent="0.2">
      <c r="B48" s="69">
        <v>42309</v>
      </c>
      <c r="C48" s="69"/>
      <c r="D48" s="69"/>
      <c r="E48" s="71">
        <v>2737</v>
      </c>
    </row>
    <row r="49" spans="2:5" x14ac:dyDescent="0.2">
      <c r="B49" s="69">
        <v>42339</v>
      </c>
      <c r="C49" s="69"/>
      <c r="D49" s="69"/>
      <c r="E49" s="71">
        <v>1802</v>
      </c>
    </row>
    <row r="50" spans="2:5" x14ac:dyDescent="0.2">
      <c r="B50" s="410">
        <v>2015</v>
      </c>
      <c r="C50" s="411"/>
      <c r="D50" s="412"/>
      <c r="E50" s="80">
        <f>SUM(E38:E49)</f>
        <v>30947</v>
      </c>
    </row>
    <row r="51" spans="2:5" x14ac:dyDescent="0.2">
      <c r="B51" s="69">
        <v>42370</v>
      </c>
      <c r="C51" s="69"/>
      <c r="D51" s="69"/>
      <c r="E51" s="71">
        <v>3979</v>
      </c>
    </row>
    <row r="52" spans="2:5" x14ac:dyDescent="0.2">
      <c r="B52" s="69">
        <v>42401</v>
      </c>
      <c r="C52" s="69"/>
      <c r="D52" s="69"/>
      <c r="E52" s="71">
        <v>4366</v>
      </c>
    </row>
    <row r="53" spans="2:5" x14ac:dyDescent="0.2">
      <c r="B53" s="69">
        <v>42430</v>
      </c>
      <c r="C53" s="69"/>
      <c r="D53" s="69"/>
      <c r="E53" s="71">
        <v>2056</v>
      </c>
    </row>
    <row r="54" spans="2:5" x14ac:dyDescent="0.2">
      <c r="B54" s="69">
        <v>42461</v>
      </c>
      <c r="C54" s="69"/>
      <c r="D54" s="69"/>
      <c r="E54" s="71">
        <v>2454</v>
      </c>
    </row>
    <row r="55" spans="2:5" x14ac:dyDescent="0.2">
      <c r="B55" s="69">
        <v>42491</v>
      </c>
      <c r="C55" s="71">
        <v>1021</v>
      </c>
      <c r="D55" s="71">
        <v>834</v>
      </c>
      <c r="E55" s="71">
        <f t="shared" ref="E55:E62" si="0">C55+D55</f>
        <v>1855</v>
      </c>
    </row>
    <row r="56" spans="2:5" x14ac:dyDescent="0.2">
      <c r="B56" s="69">
        <v>42522</v>
      </c>
      <c r="C56" s="71">
        <v>983</v>
      </c>
      <c r="D56" s="71">
        <v>924</v>
      </c>
      <c r="E56" s="71">
        <f t="shared" si="0"/>
        <v>1907</v>
      </c>
    </row>
    <row r="57" spans="2:5" x14ac:dyDescent="0.2">
      <c r="B57" s="69">
        <v>42552</v>
      </c>
      <c r="C57" s="71">
        <v>1011</v>
      </c>
      <c r="D57" s="71">
        <v>872</v>
      </c>
      <c r="E57" s="71">
        <f t="shared" si="0"/>
        <v>1883</v>
      </c>
    </row>
    <row r="58" spans="2:5" x14ac:dyDescent="0.2">
      <c r="B58" s="69">
        <v>42583</v>
      </c>
      <c r="C58" s="71">
        <v>2375</v>
      </c>
      <c r="D58" s="71">
        <v>1728</v>
      </c>
      <c r="E58" s="71">
        <f t="shared" si="0"/>
        <v>4103</v>
      </c>
    </row>
    <row r="59" spans="2:5" x14ac:dyDescent="0.2">
      <c r="B59" s="69">
        <v>42614</v>
      </c>
      <c r="C59" s="71">
        <v>993</v>
      </c>
      <c r="D59" s="71">
        <v>820</v>
      </c>
      <c r="E59" s="71">
        <f t="shared" si="0"/>
        <v>1813</v>
      </c>
    </row>
    <row r="60" spans="2:5" x14ac:dyDescent="0.2">
      <c r="B60" s="69">
        <v>42644</v>
      </c>
      <c r="C60" s="71">
        <v>783</v>
      </c>
      <c r="D60" s="71">
        <v>848</v>
      </c>
      <c r="E60" s="71">
        <f t="shared" si="0"/>
        <v>1631</v>
      </c>
    </row>
    <row r="61" spans="2:5" x14ac:dyDescent="0.2">
      <c r="B61" s="69">
        <v>42675</v>
      </c>
      <c r="C61" s="71">
        <v>497</v>
      </c>
      <c r="D61" s="71">
        <v>326</v>
      </c>
      <c r="E61" s="71">
        <f t="shared" si="0"/>
        <v>823</v>
      </c>
    </row>
    <row r="62" spans="2:5" x14ac:dyDescent="0.2">
      <c r="B62" s="69">
        <v>42705</v>
      </c>
      <c r="C62" s="71">
        <v>1219</v>
      </c>
      <c r="D62" s="71">
        <v>923</v>
      </c>
      <c r="E62" s="71">
        <f t="shared" si="0"/>
        <v>2142</v>
      </c>
    </row>
    <row r="63" spans="2:5" x14ac:dyDescent="0.2">
      <c r="B63" s="410">
        <v>2016</v>
      </c>
      <c r="C63" s="411"/>
      <c r="D63" s="412"/>
      <c r="E63" s="6">
        <f>SUM(E51:E62)</f>
        <v>29012</v>
      </c>
    </row>
    <row r="64" spans="2:5" x14ac:dyDescent="0.2">
      <c r="B64" s="69">
        <v>42736</v>
      </c>
      <c r="C64" s="71">
        <v>1817</v>
      </c>
      <c r="D64" s="71">
        <v>1272</v>
      </c>
      <c r="E64" s="71">
        <f t="shared" ref="E64:E75" si="1">C64+D64</f>
        <v>3089</v>
      </c>
    </row>
    <row r="65" spans="2:5" x14ac:dyDescent="0.2">
      <c r="B65" s="69">
        <v>42767</v>
      </c>
      <c r="C65" s="71">
        <v>1645</v>
      </c>
      <c r="D65" s="71">
        <v>1289</v>
      </c>
      <c r="E65" s="71">
        <f t="shared" si="1"/>
        <v>2934</v>
      </c>
    </row>
    <row r="66" spans="2:5" x14ac:dyDescent="0.2">
      <c r="B66" s="69">
        <v>42795</v>
      </c>
      <c r="C66" s="71">
        <v>1362</v>
      </c>
      <c r="D66" s="71">
        <v>1006</v>
      </c>
      <c r="E66" s="71">
        <f t="shared" si="1"/>
        <v>2368</v>
      </c>
    </row>
    <row r="67" spans="2:5" x14ac:dyDescent="0.2">
      <c r="B67" s="69">
        <v>42826</v>
      </c>
      <c r="C67" s="71">
        <v>718</v>
      </c>
      <c r="D67" s="71">
        <v>604</v>
      </c>
      <c r="E67" s="71">
        <f t="shared" si="1"/>
        <v>1322</v>
      </c>
    </row>
    <row r="68" spans="2:5" x14ac:dyDescent="0.2">
      <c r="B68" s="69">
        <v>42856</v>
      </c>
      <c r="C68" s="71">
        <v>762</v>
      </c>
      <c r="D68" s="71">
        <v>531</v>
      </c>
      <c r="E68" s="71">
        <f t="shared" si="1"/>
        <v>1293</v>
      </c>
    </row>
    <row r="69" spans="2:5" x14ac:dyDescent="0.2">
      <c r="B69" s="69">
        <v>42887</v>
      </c>
      <c r="C69" s="71">
        <v>919</v>
      </c>
      <c r="D69" s="71">
        <v>611</v>
      </c>
      <c r="E69" s="71">
        <f t="shared" si="1"/>
        <v>1530</v>
      </c>
    </row>
    <row r="70" spans="2:5" x14ac:dyDescent="0.2">
      <c r="B70" s="69">
        <v>42917</v>
      </c>
      <c r="C70" s="71">
        <v>956</v>
      </c>
      <c r="D70" s="71">
        <v>639</v>
      </c>
      <c r="E70" s="71">
        <f t="shared" si="1"/>
        <v>1595</v>
      </c>
    </row>
    <row r="71" spans="2:5" x14ac:dyDescent="0.2">
      <c r="B71" s="69">
        <v>42948</v>
      </c>
      <c r="C71" s="71">
        <v>751</v>
      </c>
      <c r="D71" s="71">
        <v>503</v>
      </c>
      <c r="E71" s="71">
        <f t="shared" si="1"/>
        <v>1254</v>
      </c>
    </row>
    <row r="72" spans="2:5" x14ac:dyDescent="0.2">
      <c r="B72" s="69">
        <v>42979</v>
      </c>
      <c r="C72" s="71">
        <v>863</v>
      </c>
      <c r="D72" s="71">
        <v>564</v>
      </c>
      <c r="E72" s="71">
        <f t="shared" si="1"/>
        <v>1427</v>
      </c>
    </row>
    <row r="73" spans="2:5" x14ac:dyDescent="0.2">
      <c r="B73" s="69">
        <v>43009</v>
      </c>
      <c r="C73" s="71">
        <v>352</v>
      </c>
      <c r="D73" s="71">
        <v>264</v>
      </c>
      <c r="E73" s="71">
        <f t="shared" si="1"/>
        <v>616</v>
      </c>
    </row>
    <row r="74" spans="2:5" x14ac:dyDescent="0.2">
      <c r="B74" s="69">
        <v>43040</v>
      </c>
      <c r="C74" s="71">
        <v>561</v>
      </c>
      <c r="D74" s="71">
        <v>386</v>
      </c>
      <c r="E74" s="71">
        <f t="shared" si="1"/>
        <v>947</v>
      </c>
    </row>
    <row r="75" spans="2:5" x14ac:dyDescent="0.2">
      <c r="B75" s="69">
        <v>43070</v>
      </c>
      <c r="C75" s="71">
        <v>660</v>
      </c>
      <c r="D75" s="71">
        <v>615</v>
      </c>
      <c r="E75" s="71">
        <f t="shared" si="1"/>
        <v>1275</v>
      </c>
    </row>
    <row r="76" spans="2:5" x14ac:dyDescent="0.2">
      <c r="B76" s="81">
        <v>2017</v>
      </c>
      <c r="C76" s="80">
        <f>SUM(C64:C75)</f>
        <v>11366</v>
      </c>
      <c r="D76" s="80">
        <f t="shared" ref="D76:E76" si="2">SUM(D64:D75)</f>
        <v>8284</v>
      </c>
      <c r="E76" s="80">
        <f t="shared" si="2"/>
        <v>19650</v>
      </c>
    </row>
    <row r="77" spans="2:5" x14ac:dyDescent="0.2">
      <c r="B77" s="69">
        <v>43101</v>
      </c>
      <c r="C77" s="71">
        <v>777</v>
      </c>
      <c r="D77" s="71">
        <v>678</v>
      </c>
      <c r="E77" s="71">
        <f t="shared" ref="E77:E87" si="3">C77+D77</f>
        <v>1455</v>
      </c>
    </row>
    <row r="78" spans="2:5" x14ac:dyDescent="0.2">
      <c r="B78" s="69">
        <v>43132</v>
      </c>
      <c r="C78" s="71">
        <v>979</v>
      </c>
      <c r="D78" s="71">
        <v>837</v>
      </c>
      <c r="E78" s="71">
        <f t="shared" si="3"/>
        <v>1816</v>
      </c>
    </row>
    <row r="79" spans="2:5" x14ac:dyDescent="0.2">
      <c r="B79" s="69">
        <v>43160</v>
      </c>
      <c r="C79" s="71">
        <v>1375</v>
      </c>
      <c r="D79" s="71">
        <v>894</v>
      </c>
      <c r="E79" s="71">
        <f t="shared" si="3"/>
        <v>2269</v>
      </c>
    </row>
    <row r="80" spans="2:5" x14ac:dyDescent="0.2">
      <c r="B80" s="69">
        <v>43191</v>
      </c>
      <c r="C80" s="71">
        <v>1043</v>
      </c>
      <c r="D80" s="71">
        <v>596</v>
      </c>
      <c r="E80" s="71">
        <f t="shared" si="3"/>
        <v>1639</v>
      </c>
    </row>
    <row r="81" spans="2:5" x14ac:dyDescent="0.2">
      <c r="B81" s="69">
        <v>43221</v>
      </c>
      <c r="C81" s="71">
        <v>760</v>
      </c>
      <c r="D81" s="71">
        <v>451</v>
      </c>
      <c r="E81" s="71">
        <f t="shared" si="3"/>
        <v>1211</v>
      </c>
    </row>
    <row r="82" spans="2:5" x14ac:dyDescent="0.2">
      <c r="B82" s="69">
        <v>43252</v>
      </c>
      <c r="C82" s="71">
        <v>1059</v>
      </c>
      <c r="D82" s="71">
        <v>680</v>
      </c>
      <c r="E82" s="71">
        <f t="shared" si="3"/>
        <v>1739</v>
      </c>
    </row>
    <row r="83" spans="2:5" x14ac:dyDescent="0.2">
      <c r="B83" s="69">
        <v>43282</v>
      </c>
      <c r="C83" s="71">
        <v>968</v>
      </c>
      <c r="D83" s="71">
        <v>597</v>
      </c>
      <c r="E83" s="71">
        <f t="shared" si="3"/>
        <v>1565</v>
      </c>
    </row>
    <row r="84" spans="2:5" x14ac:dyDescent="0.2">
      <c r="B84" s="69">
        <v>43313</v>
      </c>
      <c r="C84" s="71">
        <v>1231</v>
      </c>
      <c r="D84" s="71">
        <v>879</v>
      </c>
      <c r="E84" s="71">
        <f t="shared" si="3"/>
        <v>2110</v>
      </c>
    </row>
    <row r="85" spans="2:5" x14ac:dyDescent="0.2">
      <c r="B85" s="69">
        <v>43344</v>
      </c>
      <c r="C85" s="71">
        <v>1614</v>
      </c>
      <c r="D85" s="71">
        <v>1116</v>
      </c>
      <c r="E85" s="71">
        <f t="shared" si="3"/>
        <v>2730</v>
      </c>
    </row>
    <row r="86" spans="2:5" x14ac:dyDescent="0.2">
      <c r="B86" s="69">
        <v>43374</v>
      </c>
      <c r="C86" s="71">
        <v>1026</v>
      </c>
      <c r="D86" s="71">
        <v>810</v>
      </c>
      <c r="E86" s="71">
        <f t="shared" si="3"/>
        <v>1836</v>
      </c>
    </row>
    <row r="87" spans="2:5" x14ac:dyDescent="0.2">
      <c r="B87" s="69">
        <v>43405</v>
      </c>
      <c r="C87" s="71">
        <v>655</v>
      </c>
      <c r="D87" s="71">
        <v>330</v>
      </c>
      <c r="E87" s="71">
        <f t="shared" si="3"/>
        <v>985</v>
      </c>
    </row>
    <row r="88" spans="2:5" x14ac:dyDescent="0.2">
      <c r="B88" s="69">
        <v>43435</v>
      </c>
      <c r="C88" s="122">
        <v>1554</v>
      </c>
      <c r="D88" s="123">
        <v>766</v>
      </c>
      <c r="E88" s="123">
        <v>2320</v>
      </c>
    </row>
    <row r="89" spans="2:5" x14ac:dyDescent="0.2">
      <c r="B89" s="81" t="s">
        <v>517</v>
      </c>
      <c r="C89" s="80">
        <f>SUM(C77:C88)</f>
        <v>13041</v>
      </c>
      <c r="D89" s="80">
        <f t="shared" ref="D89" si="4">SUM(D77:D88)</f>
        <v>8634</v>
      </c>
      <c r="E89" s="80">
        <f>SUM(E77:E88)</f>
        <v>21675</v>
      </c>
    </row>
    <row r="90" spans="2:5" x14ac:dyDescent="0.2">
      <c r="B90" s="69">
        <v>43466</v>
      </c>
      <c r="C90" s="122">
        <v>1711</v>
      </c>
      <c r="D90" s="123">
        <v>1024</v>
      </c>
      <c r="E90" s="123">
        <v>2735</v>
      </c>
    </row>
    <row r="91" spans="2:5" x14ac:dyDescent="0.2">
      <c r="B91" s="69">
        <v>43497</v>
      </c>
      <c r="C91" s="122">
        <v>1618</v>
      </c>
      <c r="D91" s="123">
        <v>809</v>
      </c>
      <c r="E91" s="123">
        <v>2427</v>
      </c>
    </row>
    <row r="92" spans="2:5" x14ac:dyDescent="0.2">
      <c r="B92" s="69">
        <v>43525</v>
      </c>
      <c r="C92" s="122">
        <v>467</v>
      </c>
      <c r="D92" s="123">
        <v>342</v>
      </c>
      <c r="E92" s="123">
        <v>809</v>
      </c>
    </row>
    <row r="93" spans="2:5" x14ac:dyDescent="0.2">
      <c r="B93" s="69">
        <v>43556</v>
      </c>
      <c r="C93" s="122">
        <v>1080</v>
      </c>
      <c r="D93" s="123">
        <v>564</v>
      </c>
      <c r="E93" s="123">
        <v>1644</v>
      </c>
    </row>
    <row r="94" spans="2:5" x14ac:dyDescent="0.2">
      <c r="B94" s="69">
        <v>43586</v>
      </c>
      <c r="C94" s="122">
        <v>1085</v>
      </c>
      <c r="D94" s="123">
        <v>663</v>
      </c>
      <c r="E94" s="123">
        <v>1748</v>
      </c>
    </row>
    <row r="95" spans="2:5" x14ac:dyDescent="0.2">
      <c r="B95" s="69">
        <v>43617</v>
      </c>
      <c r="C95" s="122">
        <v>2004</v>
      </c>
      <c r="D95" s="123">
        <v>1413</v>
      </c>
      <c r="E95" s="123">
        <v>3417</v>
      </c>
    </row>
    <row r="96" spans="2:5" x14ac:dyDescent="0.2">
      <c r="B96" s="69">
        <v>43647</v>
      </c>
      <c r="C96" s="122">
        <v>2427</v>
      </c>
      <c r="D96" s="123">
        <v>1403</v>
      </c>
      <c r="E96" s="123">
        <v>3830</v>
      </c>
    </row>
    <row r="97" spans="2:5" x14ac:dyDescent="0.2">
      <c r="B97" s="69">
        <v>43678</v>
      </c>
      <c r="C97" s="122">
        <v>2118</v>
      </c>
      <c r="D97" s="123">
        <v>1197</v>
      </c>
      <c r="E97" s="123">
        <v>3315</v>
      </c>
    </row>
    <row r="98" spans="2:5" x14ac:dyDescent="0.2">
      <c r="B98" s="69">
        <v>43709</v>
      </c>
      <c r="C98" s="122">
        <v>1382</v>
      </c>
      <c r="D98" s="123">
        <v>1016</v>
      </c>
      <c r="E98" s="123">
        <v>2398</v>
      </c>
    </row>
    <row r="99" spans="2:5" x14ac:dyDescent="0.2">
      <c r="B99" s="69">
        <v>43739</v>
      </c>
      <c r="C99" s="122">
        <v>948</v>
      </c>
      <c r="D99" s="123">
        <v>627</v>
      </c>
      <c r="E99" s="123">
        <v>1575</v>
      </c>
    </row>
    <row r="100" spans="2:5" x14ac:dyDescent="0.2">
      <c r="B100" s="69">
        <v>43770</v>
      </c>
      <c r="C100" s="122">
        <v>949</v>
      </c>
      <c r="D100" s="123">
        <v>527</v>
      </c>
      <c r="E100" s="123">
        <v>1476</v>
      </c>
    </row>
    <row r="101" spans="2:5" x14ac:dyDescent="0.2">
      <c r="B101" s="69">
        <v>43800</v>
      </c>
      <c r="C101" s="122">
        <v>506</v>
      </c>
      <c r="D101" s="123">
        <v>423</v>
      </c>
      <c r="E101" s="123">
        <v>929</v>
      </c>
    </row>
    <row r="102" spans="2:5" x14ac:dyDescent="0.2">
      <c r="B102" s="81">
        <v>2019</v>
      </c>
      <c r="C102" s="80">
        <f>SUM(C90:C101)</f>
        <v>16295</v>
      </c>
      <c r="D102" s="80">
        <f t="shared" ref="D102:E102" si="5">SUM(D90:D101)</f>
        <v>10008</v>
      </c>
      <c r="E102" s="80">
        <f t="shared" si="5"/>
        <v>26303</v>
      </c>
    </row>
    <row r="103" spans="2:5" x14ac:dyDescent="0.2">
      <c r="B103" s="69">
        <v>43831</v>
      </c>
      <c r="C103" s="122">
        <v>1297</v>
      </c>
      <c r="D103" s="123">
        <v>758</v>
      </c>
      <c r="E103" s="123">
        <f>SUM(C103:D103)</f>
        <v>2055</v>
      </c>
    </row>
    <row r="104" spans="2:5" x14ac:dyDescent="0.2">
      <c r="B104" s="69">
        <v>43862</v>
      </c>
      <c r="C104" s="122">
        <v>1495</v>
      </c>
      <c r="D104" s="123">
        <v>1505</v>
      </c>
      <c r="E104" s="123">
        <f t="shared" ref="E104:E115" si="6">SUM(C104:D104)</f>
        <v>3000</v>
      </c>
    </row>
    <row r="105" spans="2:5" x14ac:dyDescent="0.2">
      <c r="B105" s="69">
        <v>43891</v>
      </c>
      <c r="C105" s="122">
        <v>1883</v>
      </c>
      <c r="D105" s="123">
        <v>1296</v>
      </c>
      <c r="E105" s="123">
        <f t="shared" si="6"/>
        <v>3179</v>
      </c>
    </row>
    <row r="106" spans="2:5" x14ac:dyDescent="0.2">
      <c r="B106" s="69">
        <v>43922</v>
      </c>
      <c r="C106" s="122">
        <v>3853</v>
      </c>
      <c r="D106" s="123">
        <v>2369</v>
      </c>
      <c r="E106" s="123">
        <f t="shared" si="6"/>
        <v>6222</v>
      </c>
    </row>
    <row r="107" spans="2:5" x14ac:dyDescent="0.2">
      <c r="B107" s="69">
        <v>43952</v>
      </c>
      <c r="C107" s="122">
        <v>3685</v>
      </c>
      <c r="D107" s="123">
        <v>1919</v>
      </c>
      <c r="E107" s="123">
        <f t="shared" si="6"/>
        <v>5604</v>
      </c>
    </row>
    <row r="108" spans="2:5" x14ac:dyDescent="0.2">
      <c r="B108" s="69">
        <v>43983</v>
      </c>
      <c r="C108" s="122">
        <v>3750</v>
      </c>
      <c r="D108" s="123">
        <v>1981</v>
      </c>
      <c r="E108" s="123">
        <f t="shared" si="6"/>
        <v>5731</v>
      </c>
    </row>
    <row r="109" spans="2:5" x14ac:dyDescent="0.2">
      <c r="B109" s="69">
        <v>44013</v>
      </c>
      <c r="C109" s="122">
        <v>5203</v>
      </c>
      <c r="D109" s="123">
        <v>2979</v>
      </c>
      <c r="E109" s="123">
        <f t="shared" si="6"/>
        <v>8182</v>
      </c>
    </row>
    <row r="110" spans="2:5" x14ac:dyDescent="0.2">
      <c r="B110" s="69">
        <v>44044</v>
      </c>
      <c r="C110" s="122">
        <v>4969</v>
      </c>
      <c r="D110" s="123">
        <v>2864</v>
      </c>
      <c r="E110" s="123">
        <f t="shared" si="6"/>
        <v>7833</v>
      </c>
    </row>
    <row r="111" spans="2:5" x14ac:dyDescent="0.2">
      <c r="B111" s="69">
        <v>44075</v>
      </c>
      <c r="C111" s="122">
        <v>2385</v>
      </c>
      <c r="D111" s="123">
        <v>1258</v>
      </c>
      <c r="E111" s="123">
        <f t="shared" si="6"/>
        <v>3643</v>
      </c>
    </row>
    <row r="112" spans="2:5" x14ac:dyDescent="0.2">
      <c r="B112" s="69">
        <v>44105</v>
      </c>
      <c r="C112" s="122">
        <v>2045</v>
      </c>
      <c r="D112" s="123">
        <v>1173</v>
      </c>
      <c r="E112" s="123">
        <f t="shared" si="6"/>
        <v>3218</v>
      </c>
    </row>
    <row r="113" spans="2:5" x14ac:dyDescent="0.2">
      <c r="B113" s="69">
        <v>44136</v>
      </c>
      <c r="C113" s="122">
        <v>1545</v>
      </c>
      <c r="D113" s="123">
        <v>906</v>
      </c>
      <c r="E113" s="123">
        <f t="shared" si="6"/>
        <v>2451</v>
      </c>
    </row>
    <row r="114" spans="2:5" x14ac:dyDescent="0.2">
      <c r="B114" s="69">
        <v>44166</v>
      </c>
      <c r="C114" s="122">
        <v>1765</v>
      </c>
      <c r="D114" s="123">
        <v>802</v>
      </c>
      <c r="E114" s="123">
        <f t="shared" si="6"/>
        <v>2567</v>
      </c>
    </row>
    <row r="115" spans="2:5" x14ac:dyDescent="0.2">
      <c r="B115" s="81">
        <f>'Contratación Solicitudes'!B119</f>
        <v>2020</v>
      </c>
      <c r="C115" s="80">
        <f>SUM(C103:C114)</f>
        <v>33875</v>
      </c>
      <c r="D115" s="80">
        <f>SUM(D103:D114)</f>
        <v>19810</v>
      </c>
      <c r="E115" s="80">
        <f t="shared" si="6"/>
        <v>53685</v>
      </c>
    </row>
    <row r="116" spans="2:5" x14ac:dyDescent="0.2">
      <c r="B116" s="78">
        <v>44197</v>
      </c>
      <c r="C116" s="122">
        <v>2266</v>
      </c>
      <c r="D116" s="123">
        <v>1048</v>
      </c>
      <c r="E116" s="123">
        <f>SUM(C116:D116)</f>
        <v>3314</v>
      </c>
    </row>
    <row r="117" spans="2:5" x14ac:dyDescent="0.2">
      <c r="B117" s="78">
        <v>44228</v>
      </c>
      <c r="C117" s="122">
        <v>3079</v>
      </c>
      <c r="D117" s="123">
        <v>1343</v>
      </c>
      <c r="E117" s="123">
        <f t="shared" ref="E117:E119" si="7">SUM(C117:D117)</f>
        <v>4422</v>
      </c>
    </row>
    <row r="118" spans="2:5" x14ac:dyDescent="0.2">
      <c r="B118" s="78">
        <v>44256</v>
      </c>
      <c r="C118" s="122">
        <v>3621</v>
      </c>
      <c r="D118" s="123">
        <v>1770</v>
      </c>
      <c r="E118" s="123">
        <f t="shared" si="7"/>
        <v>5391</v>
      </c>
    </row>
    <row r="119" spans="2:5" x14ac:dyDescent="0.2">
      <c r="B119" s="78">
        <v>44287</v>
      </c>
      <c r="C119" s="122">
        <v>4727</v>
      </c>
      <c r="D119" s="123">
        <v>2416</v>
      </c>
      <c r="E119" s="123">
        <f t="shared" si="7"/>
        <v>7143</v>
      </c>
    </row>
    <row r="120" spans="2:5" x14ac:dyDescent="0.2">
      <c r="B120" s="78">
        <v>44317</v>
      </c>
      <c r="C120" s="122">
        <v>3848</v>
      </c>
      <c r="D120" s="123">
        <v>2237</v>
      </c>
      <c r="E120" s="123">
        <f>SUM(C120:D120)</f>
        <v>6085</v>
      </c>
    </row>
    <row r="121" spans="2:5" x14ac:dyDescent="0.2">
      <c r="B121" s="78">
        <v>44348</v>
      </c>
      <c r="C121" s="122">
        <v>3185</v>
      </c>
      <c r="D121" s="123">
        <v>2330</v>
      </c>
      <c r="E121" s="123">
        <f>SUM(C121:D121)</f>
        <v>5515</v>
      </c>
    </row>
    <row r="122" spans="2:5" x14ac:dyDescent="0.2">
      <c r="B122" s="78">
        <v>44378</v>
      </c>
      <c r="C122" s="122">
        <v>2655</v>
      </c>
      <c r="D122" s="123">
        <v>1488</v>
      </c>
      <c r="E122" s="123">
        <f>SUM(C122:D122)</f>
        <v>4143</v>
      </c>
    </row>
    <row r="123" spans="2:5" x14ac:dyDescent="0.2">
      <c r="B123" s="78">
        <v>44409</v>
      </c>
      <c r="C123" s="122">
        <v>2460</v>
      </c>
      <c r="D123" s="123">
        <v>1179</v>
      </c>
      <c r="E123" s="123">
        <f t="shared" ref="E123:E134" si="8">SUM(C123:D123)</f>
        <v>3639</v>
      </c>
    </row>
    <row r="124" spans="2:5" x14ac:dyDescent="0.2">
      <c r="B124" s="78">
        <v>44440</v>
      </c>
      <c r="C124" s="122">
        <v>2275</v>
      </c>
      <c r="D124" s="123">
        <v>1293</v>
      </c>
      <c r="E124" s="123">
        <f t="shared" si="8"/>
        <v>3568</v>
      </c>
    </row>
    <row r="125" spans="2:5" x14ac:dyDescent="0.2">
      <c r="B125" s="78">
        <v>44470</v>
      </c>
      <c r="C125" s="122">
        <v>1844</v>
      </c>
      <c r="D125" s="123">
        <v>901</v>
      </c>
      <c r="E125" s="123">
        <f t="shared" si="8"/>
        <v>2745</v>
      </c>
    </row>
    <row r="126" spans="2:5" x14ac:dyDescent="0.2">
      <c r="B126" s="78">
        <v>44501</v>
      </c>
      <c r="C126" s="122">
        <v>1736</v>
      </c>
      <c r="D126" s="123">
        <v>897</v>
      </c>
      <c r="E126" s="123">
        <f t="shared" si="8"/>
        <v>2633</v>
      </c>
    </row>
    <row r="127" spans="2:5" x14ac:dyDescent="0.2">
      <c r="B127" s="78">
        <v>44531</v>
      </c>
      <c r="C127" s="122">
        <v>1412</v>
      </c>
      <c r="D127" s="123">
        <v>755</v>
      </c>
      <c r="E127" s="123">
        <f t="shared" si="8"/>
        <v>2167</v>
      </c>
    </row>
    <row r="128" spans="2:5" x14ac:dyDescent="0.2">
      <c r="B128" s="81">
        <f>'Contratación Solicitudes'!B132</f>
        <v>2021</v>
      </c>
      <c r="C128" s="80">
        <f>SUM(C116:C127)</f>
        <v>33108</v>
      </c>
      <c r="D128" s="80">
        <f>SUM(D116:D127)</f>
        <v>17657</v>
      </c>
      <c r="E128" s="80">
        <f>SUM(C128:D128)</f>
        <v>50765</v>
      </c>
    </row>
    <row r="129" spans="2:5" x14ac:dyDescent="0.2">
      <c r="B129" s="78">
        <v>44562</v>
      </c>
      <c r="C129" s="122">
        <v>2120</v>
      </c>
      <c r="D129" s="123">
        <v>1047</v>
      </c>
      <c r="E129" s="123">
        <f t="shared" si="8"/>
        <v>3167</v>
      </c>
    </row>
    <row r="130" spans="2:5" x14ac:dyDescent="0.2">
      <c r="B130" s="78">
        <v>44593</v>
      </c>
      <c r="C130" s="122">
        <v>1533</v>
      </c>
      <c r="D130" s="123">
        <v>678</v>
      </c>
      <c r="E130" s="123">
        <f t="shared" si="8"/>
        <v>2211</v>
      </c>
    </row>
    <row r="131" spans="2:5" x14ac:dyDescent="0.2">
      <c r="B131" s="78">
        <v>44621</v>
      </c>
      <c r="C131" s="122">
        <v>1322</v>
      </c>
      <c r="D131" s="123">
        <v>822</v>
      </c>
      <c r="E131" s="123">
        <f t="shared" si="8"/>
        <v>2144</v>
      </c>
    </row>
    <row r="132" spans="2:5" x14ac:dyDescent="0.2">
      <c r="B132" s="78">
        <v>44652</v>
      </c>
      <c r="C132" s="122">
        <v>4292</v>
      </c>
      <c r="D132" s="123">
        <v>2262</v>
      </c>
      <c r="E132" s="123">
        <f t="shared" si="8"/>
        <v>6554</v>
      </c>
    </row>
    <row r="133" spans="2:5" x14ac:dyDescent="0.2">
      <c r="B133" s="78">
        <v>44682</v>
      </c>
      <c r="C133" s="122">
        <v>3114</v>
      </c>
      <c r="D133" s="123">
        <v>1783</v>
      </c>
      <c r="E133" s="123">
        <f t="shared" si="8"/>
        <v>4897</v>
      </c>
    </row>
    <row r="134" spans="2:5" x14ac:dyDescent="0.2">
      <c r="B134" s="78">
        <v>44713</v>
      </c>
      <c r="C134" s="122">
        <v>2806</v>
      </c>
      <c r="D134" s="123">
        <v>1333</v>
      </c>
      <c r="E134" s="123">
        <f t="shared" si="8"/>
        <v>4139</v>
      </c>
    </row>
    <row r="135" spans="2:5" x14ac:dyDescent="0.2">
      <c r="B135" s="81" t="str">
        <f>'Contratación Solicitudes'!B139</f>
        <v>A jun-2022</v>
      </c>
      <c r="C135" s="80">
        <f>SUM(C129:C134)</f>
        <v>15187</v>
      </c>
      <c r="D135" s="80">
        <f>SUM(D129:D134)</f>
        <v>7925</v>
      </c>
      <c r="E135" s="80">
        <f>SUM(C135:D135)</f>
        <v>23112</v>
      </c>
    </row>
    <row r="136" spans="2:5" x14ac:dyDescent="0.2">
      <c r="B136" s="413" t="s">
        <v>20</v>
      </c>
      <c r="C136" s="413"/>
      <c r="D136" s="413"/>
      <c r="E136" s="156">
        <f>E10+E11+E24+E37+E50+E63+E76+E89+E102+E115+E128+E135</f>
        <v>456650</v>
      </c>
    </row>
    <row r="137" spans="2:5" x14ac:dyDescent="0.2">
      <c r="B137" s="21" t="s">
        <v>419</v>
      </c>
    </row>
    <row r="138" spans="2:5" ht="52.5" customHeight="1" x14ac:dyDescent="0.2">
      <c r="B138" s="352" t="s">
        <v>484</v>
      </c>
      <c r="C138" s="352"/>
      <c r="D138" s="352"/>
      <c r="E138" s="352"/>
    </row>
    <row r="139" spans="2:5" ht="52.5" customHeight="1" x14ac:dyDescent="0.2">
      <c r="B139" s="63"/>
      <c r="C139" s="63"/>
      <c r="D139" s="63"/>
      <c r="E139" s="63"/>
    </row>
    <row r="140" spans="2:5" x14ac:dyDescent="0.2">
      <c r="B140" s="21" t="s">
        <v>536</v>
      </c>
    </row>
  </sheetData>
  <mergeCells count="12">
    <mergeCell ref="B138:E138"/>
    <mergeCell ref="B5:E5"/>
    <mergeCell ref="B6:E6"/>
    <mergeCell ref="B8:B9"/>
    <mergeCell ref="C8:E8"/>
    <mergeCell ref="B10:D10"/>
    <mergeCell ref="B11:D11"/>
    <mergeCell ref="B24:D24"/>
    <mergeCell ref="B37:D37"/>
    <mergeCell ref="B50:D50"/>
    <mergeCell ref="B63:D63"/>
    <mergeCell ref="B136:D136"/>
  </mergeCells>
  <hyperlinks>
    <hyperlink ref="G5" location="'Índice STJ'!A1" display="'Índice STJ'!A1" xr:uid="{00000000-0004-0000-1E00-000000000000}"/>
  </hyperlinks>
  <pageMargins left="0.7" right="0.7" top="0.75" bottom="0.75" header="0.3" footer="0.3"/>
  <ignoredErrors>
    <ignoredError sqref="E103:E110" formulaRange="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2:N137"/>
  <sheetViews>
    <sheetView showGridLines="0" zoomScale="90" zoomScaleNormal="90" workbookViewId="0">
      <pane xSplit="2" ySplit="10" topLeftCell="C98" activePane="bottomRight" state="frozen"/>
      <selection activeCell="B6" sqref="B6:L6"/>
      <selection pane="topRight" activeCell="B6" sqref="B6:L6"/>
      <selection pane="bottomLeft" activeCell="B6" sqref="B6:L6"/>
      <selection pane="bottomRight" activeCell="K136" sqref="K136"/>
    </sheetView>
  </sheetViews>
  <sheetFormatPr baseColWidth="10" defaultColWidth="11.42578125" defaultRowHeight="12" x14ac:dyDescent="0.2"/>
  <cols>
    <col min="1" max="1" width="6" style="21" customWidth="1"/>
    <col min="2" max="16384" width="11.42578125" style="21"/>
  </cols>
  <sheetData>
    <row r="2" spans="1:14" x14ac:dyDescent="0.2">
      <c r="A2" s="40" t="s">
        <v>58</v>
      </c>
    </row>
    <row r="3" spans="1:14" x14ac:dyDescent="0.2">
      <c r="A3" s="40" t="s">
        <v>59</v>
      </c>
    </row>
    <row r="5" spans="1:14" ht="12.75" x14ac:dyDescent="0.2">
      <c r="B5" s="344" t="s">
        <v>485</v>
      </c>
      <c r="C5" s="344"/>
      <c r="D5" s="344"/>
      <c r="E5" s="344"/>
      <c r="F5" s="344"/>
      <c r="G5" s="344"/>
      <c r="H5" s="344"/>
      <c r="I5" s="344"/>
      <c r="J5" s="344"/>
      <c r="K5" s="344"/>
      <c r="L5" s="344"/>
      <c r="N5" s="105" t="s">
        <v>510</v>
      </c>
    </row>
    <row r="6" spans="1:14" ht="12.75" x14ac:dyDescent="0.2">
      <c r="B6" s="344" t="s">
        <v>631</v>
      </c>
      <c r="C6" s="344"/>
      <c r="D6" s="344"/>
      <c r="E6" s="344"/>
      <c r="F6" s="344"/>
      <c r="G6" s="344"/>
      <c r="H6" s="344"/>
      <c r="I6" s="344"/>
      <c r="J6" s="344"/>
      <c r="K6" s="344"/>
      <c r="L6" s="344"/>
    </row>
    <row r="8" spans="1:14" ht="29.25" customHeight="1" x14ac:dyDescent="0.2">
      <c r="B8" s="414" t="s">
        <v>0</v>
      </c>
      <c r="C8" s="415" t="s">
        <v>486</v>
      </c>
      <c r="D8" s="415"/>
      <c r="E8" s="415"/>
      <c r="F8" s="415"/>
      <c r="G8" s="415"/>
      <c r="H8" s="415"/>
      <c r="I8" s="415"/>
      <c r="J8" s="415"/>
      <c r="K8" s="415"/>
      <c r="L8" s="415"/>
    </row>
    <row r="9" spans="1:14" ht="12.75" x14ac:dyDescent="0.2">
      <c r="B9" s="414"/>
      <c r="C9" s="414" t="s">
        <v>478</v>
      </c>
      <c r="D9" s="414"/>
      <c r="E9" s="414"/>
      <c r="F9" s="416" t="s">
        <v>479</v>
      </c>
      <c r="G9" s="416"/>
      <c r="H9" s="416"/>
      <c r="I9" s="416" t="s">
        <v>480</v>
      </c>
      <c r="J9" s="416"/>
      <c r="K9" s="416"/>
      <c r="L9" s="414" t="s">
        <v>20</v>
      </c>
    </row>
    <row r="10" spans="1:14" ht="12.75" x14ac:dyDescent="0.2">
      <c r="B10" s="414"/>
      <c r="C10" s="148" t="s">
        <v>472</v>
      </c>
      <c r="D10" s="148" t="s">
        <v>473</v>
      </c>
      <c r="E10" s="149" t="s">
        <v>433</v>
      </c>
      <c r="F10" s="148" t="s">
        <v>472</v>
      </c>
      <c r="G10" s="148" t="s">
        <v>473</v>
      </c>
      <c r="H10" s="149" t="s">
        <v>433</v>
      </c>
      <c r="I10" s="148" t="s">
        <v>472</v>
      </c>
      <c r="J10" s="148" t="s">
        <v>473</v>
      </c>
      <c r="K10" s="149" t="s">
        <v>433</v>
      </c>
      <c r="L10" s="414"/>
    </row>
    <row r="11" spans="1:14" ht="12.75" x14ac:dyDescent="0.2">
      <c r="B11" s="139" t="s">
        <v>483</v>
      </c>
      <c r="C11" s="139"/>
      <c r="D11" s="139"/>
      <c r="E11" s="140">
        <f>104069+4050+2362+2539+4084+2107</f>
        <v>119211</v>
      </c>
      <c r="F11" s="140"/>
      <c r="G11" s="140"/>
      <c r="H11" s="140">
        <f>1303+54+38+22+19+21</f>
        <v>1457</v>
      </c>
      <c r="I11" s="140"/>
      <c r="J11" s="140"/>
      <c r="K11" s="140">
        <f>6+498+437+328+454+259</f>
        <v>1982</v>
      </c>
      <c r="L11" s="140">
        <f t="shared" ref="L11:L24" si="0">E11+H11+K11</f>
        <v>122650</v>
      </c>
    </row>
    <row r="12" spans="1:14" ht="12.75" x14ac:dyDescent="0.2">
      <c r="B12" s="124">
        <v>2012</v>
      </c>
      <c r="C12" s="139"/>
      <c r="D12" s="139"/>
      <c r="E12" s="140">
        <v>24495</v>
      </c>
      <c r="F12" s="140"/>
      <c r="G12" s="140"/>
      <c r="H12" s="140">
        <v>248</v>
      </c>
      <c r="I12" s="140"/>
      <c r="J12" s="140"/>
      <c r="K12" s="140">
        <v>7862</v>
      </c>
      <c r="L12" s="140">
        <f t="shared" si="0"/>
        <v>32605</v>
      </c>
    </row>
    <row r="13" spans="1:14" ht="12.75" x14ac:dyDescent="0.2">
      <c r="B13" s="141">
        <v>41275</v>
      </c>
      <c r="C13" s="141"/>
      <c r="D13" s="141"/>
      <c r="E13" s="142">
        <v>1593</v>
      </c>
      <c r="F13" s="142"/>
      <c r="G13" s="142"/>
      <c r="H13" s="142">
        <v>15</v>
      </c>
      <c r="I13" s="142"/>
      <c r="J13" s="142"/>
      <c r="K13" s="142">
        <v>924</v>
      </c>
      <c r="L13" s="142">
        <f t="shared" si="0"/>
        <v>2532</v>
      </c>
    </row>
    <row r="14" spans="1:14" ht="12.75" x14ac:dyDescent="0.2">
      <c r="B14" s="141">
        <v>41306</v>
      </c>
      <c r="C14" s="141"/>
      <c r="D14" s="141"/>
      <c r="E14" s="142">
        <v>1468</v>
      </c>
      <c r="F14" s="142"/>
      <c r="G14" s="142"/>
      <c r="H14" s="142">
        <v>22</v>
      </c>
      <c r="I14" s="142"/>
      <c r="J14" s="142"/>
      <c r="K14" s="142">
        <v>949</v>
      </c>
      <c r="L14" s="142">
        <f t="shared" si="0"/>
        <v>2439</v>
      </c>
    </row>
    <row r="15" spans="1:14" ht="12.75" x14ac:dyDescent="0.2">
      <c r="B15" s="141">
        <v>41334</v>
      </c>
      <c r="C15" s="141"/>
      <c r="D15" s="141"/>
      <c r="E15" s="142">
        <v>1784</v>
      </c>
      <c r="F15" s="142"/>
      <c r="G15" s="142"/>
      <c r="H15" s="142">
        <v>16</v>
      </c>
      <c r="I15" s="142"/>
      <c r="J15" s="142"/>
      <c r="K15" s="142">
        <v>631</v>
      </c>
      <c r="L15" s="142">
        <f t="shared" si="0"/>
        <v>2431</v>
      </c>
    </row>
    <row r="16" spans="1:14" ht="12.75" x14ac:dyDescent="0.2">
      <c r="B16" s="141">
        <v>41365</v>
      </c>
      <c r="C16" s="141"/>
      <c r="D16" s="141"/>
      <c r="E16" s="143">
        <v>1305</v>
      </c>
      <c r="F16" s="143"/>
      <c r="G16" s="143"/>
      <c r="H16" s="144">
        <v>44</v>
      </c>
      <c r="I16" s="144"/>
      <c r="J16" s="144"/>
      <c r="K16" s="154">
        <v>502</v>
      </c>
      <c r="L16" s="142">
        <f t="shared" si="0"/>
        <v>1851</v>
      </c>
    </row>
    <row r="17" spans="2:12" ht="12.75" x14ac:dyDescent="0.2">
      <c r="B17" s="141">
        <v>41395</v>
      </c>
      <c r="C17" s="141"/>
      <c r="D17" s="141"/>
      <c r="E17" s="143">
        <v>1777</v>
      </c>
      <c r="F17" s="143"/>
      <c r="G17" s="143"/>
      <c r="H17" s="144">
        <v>10</v>
      </c>
      <c r="I17" s="144"/>
      <c r="J17" s="144"/>
      <c r="K17" s="154">
        <v>582</v>
      </c>
      <c r="L17" s="142">
        <f t="shared" si="0"/>
        <v>2369</v>
      </c>
    </row>
    <row r="18" spans="2:12" ht="12.75" x14ac:dyDescent="0.2">
      <c r="B18" s="141">
        <v>41426</v>
      </c>
      <c r="C18" s="141"/>
      <c r="D18" s="141"/>
      <c r="E18" s="143">
        <v>1540</v>
      </c>
      <c r="F18" s="143"/>
      <c r="G18" s="143"/>
      <c r="H18" s="144">
        <v>16</v>
      </c>
      <c r="I18" s="144"/>
      <c r="J18" s="144"/>
      <c r="K18" s="154">
        <v>725</v>
      </c>
      <c r="L18" s="142">
        <f t="shared" si="0"/>
        <v>2281</v>
      </c>
    </row>
    <row r="19" spans="2:12" ht="12.75" x14ac:dyDescent="0.2">
      <c r="B19" s="141">
        <v>41456</v>
      </c>
      <c r="C19" s="141"/>
      <c r="D19" s="141"/>
      <c r="E19" s="143">
        <v>1026</v>
      </c>
      <c r="F19" s="143"/>
      <c r="G19" s="143"/>
      <c r="H19" s="144">
        <v>10</v>
      </c>
      <c r="I19" s="144"/>
      <c r="J19" s="144"/>
      <c r="K19" s="154">
        <v>1261</v>
      </c>
      <c r="L19" s="142">
        <f t="shared" si="0"/>
        <v>2297</v>
      </c>
    </row>
    <row r="20" spans="2:12" ht="12.75" x14ac:dyDescent="0.2">
      <c r="B20" s="141">
        <v>41487</v>
      </c>
      <c r="C20" s="141"/>
      <c r="D20" s="141"/>
      <c r="E20" s="143">
        <v>610</v>
      </c>
      <c r="F20" s="143"/>
      <c r="G20" s="143"/>
      <c r="H20" s="144">
        <v>14</v>
      </c>
      <c r="I20" s="144"/>
      <c r="J20" s="144"/>
      <c r="K20" s="154">
        <v>854</v>
      </c>
      <c r="L20" s="142">
        <f t="shared" si="0"/>
        <v>1478</v>
      </c>
    </row>
    <row r="21" spans="2:12" ht="12.75" x14ac:dyDescent="0.2">
      <c r="B21" s="141">
        <v>41518</v>
      </c>
      <c r="C21" s="141"/>
      <c r="D21" s="141"/>
      <c r="E21" s="143">
        <v>816</v>
      </c>
      <c r="F21" s="143"/>
      <c r="G21" s="143"/>
      <c r="H21" s="144">
        <v>1</v>
      </c>
      <c r="I21" s="144"/>
      <c r="J21" s="144"/>
      <c r="K21" s="154">
        <v>493</v>
      </c>
      <c r="L21" s="142">
        <f t="shared" si="0"/>
        <v>1310</v>
      </c>
    </row>
    <row r="22" spans="2:12" ht="12.75" x14ac:dyDescent="0.2">
      <c r="B22" s="141">
        <v>41548</v>
      </c>
      <c r="C22" s="141"/>
      <c r="D22" s="141"/>
      <c r="E22" s="143">
        <v>485</v>
      </c>
      <c r="F22" s="143"/>
      <c r="G22" s="143"/>
      <c r="H22" s="144">
        <v>2</v>
      </c>
      <c r="I22" s="144"/>
      <c r="J22" s="144"/>
      <c r="K22" s="154">
        <v>654</v>
      </c>
      <c r="L22" s="142">
        <f t="shared" si="0"/>
        <v>1141</v>
      </c>
    </row>
    <row r="23" spans="2:12" ht="12.75" x14ac:dyDescent="0.2">
      <c r="B23" s="141">
        <v>41579</v>
      </c>
      <c r="C23" s="141"/>
      <c r="D23" s="141"/>
      <c r="E23" s="143">
        <v>480</v>
      </c>
      <c r="F23" s="143"/>
      <c r="G23" s="143"/>
      <c r="H23" s="144">
        <v>2</v>
      </c>
      <c r="I23" s="144"/>
      <c r="J23" s="144"/>
      <c r="K23" s="154">
        <v>443</v>
      </c>
      <c r="L23" s="142">
        <f t="shared" si="0"/>
        <v>925</v>
      </c>
    </row>
    <row r="24" spans="2:12" ht="12.75" x14ac:dyDescent="0.2">
      <c r="B24" s="141">
        <v>41609</v>
      </c>
      <c r="C24" s="141"/>
      <c r="D24" s="141"/>
      <c r="E24" s="143">
        <v>1157</v>
      </c>
      <c r="F24" s="143"/>
      <c r="G24" s="143"/>
      <c r="H24" s="144">
        <v>6</v>
      </c>
      <c r="I24" s="144"/>
      <c r="J24" s="144"/>
      <c r="K24" s="154">
        <v>1108</v>
      </c>
      <c r="L24" s="142">
        <f t="shared" si="0"/>
        <v>2271</v>
      </c>
    </row>
    <row r="25" spans="2:12" ht="12.75" x14ac:dyDescent="0.2">
      <c r="B25" s="124">
        <v>2013</v>
      </c>
      <c r="C25" s="139"/>
      <c r="D25" s="139"/>
      <c r="E25" s="145">
        <f>SUM(E13:E24)</f>
        <v>14041</v>
      </c>
      <c r="F25" s="145"/>
      <c r="G25" s="145"/>
      <c r="H25" s="145">
        <f t="shared" ref="H25:L25" si="1">SUM(H13:H24)</f>
        <v>158</v>
      </c>
      <c r="I25" s="145"/>
      <c r="J25" s="145"/>
      <c r="K25" s="145">
        <f t="shared" si="1"/>
        <v>9126</v>
      </c>
      <c r="L25" s="145">
        <f t="shared" si="1"/>
        <v>23325</v>
      </c>
    </row>
    <row r="26" spans="2:12" ht="12.75" x14ac:dyDescent="0.2">
      <c r="B26" s="141">
        <v>41640</v>
      </c>
      <c r="C26" s="141"/>
      <c r="D26" s="141"/>
      <c r="E26" s="143">
        <v>1358</v>
      </c>
      <c r="F26" s="143"/>
      <c r="G26" s="143"/>
      <c r="H26" s="154">
        <v>5</v>
      </c>
      <c r="I26" s="154"/>
      <c r="J26" s="154"/>
      <c r="K26" s="154">
        <v>1261</v>
      </c>
      <c r="L26" s="142">
        <f t="shared" ref="L26:L32" si="2">E26+H26+K26</f>
        <v>2624</v>
      </c>
    </row>
    <row r="27" spans="2:12" ht="12.75" x14ac:dyDescent="0.2">
      <c r="B27" s="141">
        <v>41671</v>
      </c>
      <c r="C27" s="141"/>
      <c r="D27" s="141"/>
      <c r="E27" s="143">
        <v>746</v>
      </c>
      <c r="F27" s="143"/>
      <c r="G27" s="143"/>
      <c r="H27" s="154">
        <v>4</v>
      </c>
      <c r="I27" s="154"/>
      <c r="J27" s="154"/>
      <c r="K27" s="154">
        <v>848</v>
      </c>
      <c r="L27" s="142">
        <f t="shared" si="2"/>
        <v>1598</v>
      </c>
    </row>
    <row r="28" spans="2:12" ht="12.75" x14ac:dyDescent="0.2">
      <c r="B28" s="113">
        <v>41699</v>
      </c>
      <c r="C28" s="113"/>
      <c r="D28" s="113"/>
      <c r="E28" s="143">
        <v>1052</v>
      </c>
      <c r="F28" s="143"/>
      <c r="G28" s="143"/>
      <c r="H28" s="154">
        <v>10</v>
      </c>
      <c r="I28" s="154"/>
      <c r="J28" s="154"/>
      <c r="K28" s="154">
        <v>852</v>
      </c>
      <c r="L28" s="142">
        <f t="shared" si="2"/>
        <v>1914</v>
      </c>
    </row>
    <row r="29" spans="2:12" ht="12.75" x14ac:dyDescent="0.2">
      <c r="B29" s="113">
        <v>41730</v>
      </c>
      <c r="C29" s="113"/>
      <c r="D29" s="113"/>
      <c r="E29" s="143">
        <v>549</v>
      </c>
      <c r="F29" s="143"/>
      <c r="G29" s="143"/>
      <c r="H29" s="154">
        <v>4</v>
      </c>
      <c r="I29" s="154"/>
      <c r="J29" s="154"/>
      <c r="K29" s="154">
        <v>512</v>
      </c>
      <c r="L29" s="142">
        <f t="shared" si="2"/>
        <v>1065</v>
      </c>
    </row>
    <row r="30" spans="2:12" ht="12.75" x14ac:dyDescent="0.2">
      <c r="B30" s="113">
        <v>41760</v>
      </c>
      <c r="C30" s="113"/>
      <c r="D30" s="113"/>
      <c r="E30" s="143">
        <v>773</v>
      </c>
      <c r="F30" s="143"/>
      <c r="G30" s="143"/>
      <c r="H30" s="154">
        <v>9</v>
      </c>
      <c r="I30" s="154"/>
      <c r="J30" s="154"/>
      <c r="K30" s="154">
        <v>1137</v>
      </c>
      <c r="L30" s="142">
        <f t="shared" si="2"/>
        <v>1919</v>
      </c>
    </row>
    <row r="31" spans="2:12" ht="12.75" x14ac:dyDescent="0.2">
      <c r="B31" s="113">
        <v>41791</v>
      </c>
      <c r="C31" s="113"/>
      <c r="D31" s="113"/>
      <c r="E31" s="143">
        <v>660</v>
      </c>
      <c r="F31" s="143"/>
      <c r="G31" s="143"/>
      <c r="H31" s="154">
        <v>15</v>
      </c>
      <c r="I31" s="154"/>
      <c r="J31" s="154"/>
      <c r="K31" s="154">
        <v>905</v>
      </c>
      <c r="L31" s="142">
        <f t="shared" si="2"/>
        <v>1580</v>
      </c>
    </row>
    <row r="32" spans="2:12" ht="12.75" x14ac:dyDescent="0.2">
      <c r="B32" s="113">
        <v>41821</v>
      </c>
      <c r="C32" s="113"/>
      <c r="D32" s="113"/>
      <c r="E32" s="143">
        <v>881</v>
      </c>
      <c r="F32" s="143"/>
      <c r="G32" s="143"/>
      <c r="H32" s="154">
        <v>15</v>
      </c>
      <c r="I32" s="154"/>
      <c r="J32" s="154"/>
      <c r="K32" s="154">
        <v>646</v>
      </c>
      <c r="L32" s="142">
        <f t="shared" si="2"/>
        <v>1542</v>
      </c>
    </row>
    <row r="33" spans="2:12" ht="12.75" x14ac:dyDescent="0.2">
      <c r="B33" s="141">
        <v>41852</v>
      </c>
      <c r="C33" s="141"/>
      <c r="D33" s="141"/>
      <c r="E33" s="143">
        <v>825</v>
      </c>
      <c r="F33" s="143"/>
      <c r="G33" s="143"/>
      <c r="H33" s="154">
        <v>28</v>
      </c>
      <c r="I33" s="154"/>
      <c r="J33" s="154"/>
      <c r="K33" s="154">
        <v>753</v>
      </c>
      <c r="L33" s="142">
        <f>E33+H33+K33</f>
        <v>1606</v>
      </c>
    </row>
    <row r="34" spans="2:12" ht="12.75" x14ac:dyDescent="0.2">
      <c r="B34" s="141">
        <v>41883</v>
      </c>
      <c r="C34" s="141"/>
      <c r="D34" s="141"/>
      <c r="E34" s="154">
        <v>1489</v>
      </c>
      <c r="F34" s="154"/>
      <c r="G34" s="154"/>
      <c r="H34" s="154">
        <v>41</v>
      </c>
      <c r="I34" s="154"/>
      <c r="J34" s="154"/>
      <c r="K34" s="154">
        <v>1146</v>
      </c>
      <c r="L34" s="154">
        <f>E34+H34+K34</f>
        <v>2676</v>
      </c>
    </row>
    <row r="35" spans="2:12" ht="12.75" x14ac:dyDescent="0.2">
      <c r="B35" s="113">
        <v>41913</v>
      </c>
      <c r="C35" s="113"/>
      <c r="D35" s="113"/>
      <c r="E35" s="154">
        <v>1667</v>
      </c>
      <c r="F35" s="154"/>
      <c r="G35" s="154"/>
      <c r="H35" s="154">
        <v>132</v>
      </c>
      <c r="I35" s="154"/>
      <c r="J35" s="154"/>
      <c r="K35" s="154">
        <v>827</v>
      </c>
      <c r="L35" s="154">
        <f>E35+H35+K35</f>
        <v>2626</v>
      </c>
    </row>
    <row r="36" spans="2:12" ht="12.75" x14ac:dyDescent="0.2">
      <c r="B36" s="113">
        <v>41944</v>
      </c>
      <c r="C36" s="113"/>
      <c r="D36" s="113"/>
      <c r="E36" s="154">
        <v>1332</v>
      </c>
      <c r="F36" s="154"/>
      <c r="G36" s="154"/>
      <c r="H36" s="154">
        <v>22</v>
      </c>
      <c r="I36" s="154"/>
      <c r="J36" s="154"/>
      <c r="K36" s="154">
        <v>1068</v>
      </c>
      <c r="L36" s="154">
        <f>E36+H36+K36</f>
        <v>2422</v>
      </c>
    </row>
    <row r="37" spans="2:12" ht="12.75" x14ac:dyDescent="0.2">
      <c r="B37" s="113">
        <v>41974</v>
      </c>
      <c r="C37" s="113"/>
      <c r="D37" s="113"/>
      <c r="E37" s="154">
        <v>500</v>
      </c>
      <c r="F37" s="154"/>
      <c r="G37" s="154"/>
      <c r="H37" s="154">
        <v>14</v>
      </c>
      <c r="I37" s="154"/>
      <c r="J37" s="154"/>
      <c r="K37" s="154">
        <v>835</v>
      </c>
      <c r="L37" s="154">
        <f>E37+H37+K37</f>
        <v>1349</v>
      </c>
    </row>
    <row r="38" spans="2:12" ht="12.75" x14ac:dyDescent="0.2">
      <c r="B38" s="124">
        <v>2014</v>
      </c>
      <c r="C38" s="139"/>
      <c r="D38" s="139"/>
      <c r="E38" s="146">
        <f>SUM(E26:E37)</f>
        <v>11832</v>
      </c>
      <c r="F38" s="146"/>
      <c r="G38" s="146"/>
      <c r="H38" s="146">
        <f t="shared" ref="H38:L38" si="3">SUM(H26:H37)</f>
        <v>299</v>
      </c>
      <c r="I38" s="146"/>
      <c r="J38" s="146"/>
      <c r="K38" s="146">
        <f t="shared" si="3"/>
        <v>10790</v>
      </c>
      <c r="L38" s="146">
        <f t="shared" si="3"/>
        <v>22921</v>
      </c>
    </row>
    <row r="39" spans="2:12" ht="12.75" x14ac:dyDescent="0.2">
      <c r="B39" s="113">
        <v>42005</v>
      </c>
      <c r="C39" s="113"/>
      <c r="D39" s="113"/>
      <c r="E39" s="154">
        <v>38</v>
      </c>
      <c r="F39" s="154"/>
      <c r="G39" s="154"/>
      <c r="H39" s="154">
        <v>896</v>
      </c>
      <c r="I39" s="154"/>
      <c r="J39" s="154"/>
      <c r="K39" s="154">
        <v>1448</v>
      </c>
      <c r="L39" s="154">
        <f t="shared" ref="L39:L50" si="4">E39+H39+K39</f>
        <v>2382</v>
      </c>
    </row>
    <row r="40" spans="2:12" ht="12.75" x14ac:dyDescent="0.2">
      <c r="B40" s="113">
        <v>42036</v>
      </c>
      <c r="C40" s="113"/>
      <c r="D40" s="113"/>
      <c r="E40" s="154">
        <v>1411</v>
      </c>
      <c r="F40" s="154"/>
      <c r="G40" s="154"/>
      <c r="H40" s="154">
        <v>90</v>
      </c>
      <c r="I40" s="154"/>
      <c r="J40" s="154"/>
      <c r="K40" s="154">
        <v>2461</v>
      </c>
      <c r="L40" s="154">
        <f t="shared" si="4"/>
        <v>3962</v>
      </c>
    </row>
    <row r="41" spans="2:12" ht="12.75" x14ac:dyDescent="0.2">
      <c r="B41" s="113">
        <v>42064</v>
      </c>
      <c r="C41" s="113"/>
      <c r="D41" s="113"/>
      <c r="E41" s="154">
        <v>1147</v>
      </c>
      <c r="F41" s="154"/>
      <c r="G41" s="154"/>
      <c r="H41" s="154">
        <v>78</v>
      </c>
      <c r="I41" s="154"/>
      <c r="J41" s="154"/>
      <c r="K41" s="154">
        <v>1427</v>
      </c>
      <c r="L41" s="154">
        <f t="shared" si="4"/>
        <v>2652</v>
      </c>
    </row>
    <row r="42" spans="2:12" ht="12.75" x14ac:dyDescent="0.2">
      <c r="B42" s="113">
        <v>42095</v>
      </c>
      <c r="C42" s="113"/>
      <c r="D42" s="113"/>
      <c r="E42" s="154">
        <v>1650</v>
      </c>
      <c r="F42" s="154"/>
      <c r="G42" s="154"/>
      <c r="H42" s="154">
        <v>172</v>
      </c>
      <c r="I42" s="154"/>
      <c r="J42" s="154"/>
      <c r="K42" s="154">
        <v>1480</v>
      </c>
      <c r="L42" s="154">
        <f t="shared" si="4"/>
        <v>3302</v>
      </c>
    </row>
    <row r="43" spans="2:12" ht="12.75" x14ac:dyDescent="0.2">
      <c r="B43" s="113">
        <v>42125</v>
      </c>
      <c r="C43" s="113"/>
      <c r="D43" s="113"/>
      <c r="E43" s="154">
        <v>1272</v>
      </c>
      <c r="F43" s="154"/>
      <c r="G43" s="154"/>
      <c r="H43" s="154">
        <v>123</v>
      </c>
      <c r="I43" s="154"/>
      <c r="J43" s="154"/>
      <c r="K43" s="154">
        <v>169</v>
      </c>
      <c r="L43" s="154">
        <f t="shared" si="4"/>
        <v>1564</v>
      </c>
    </row>
    <row r="44" spans="2:12" ht="12.75" x14ac:dyDescent="0.2">
      <c r="B44" s="113">
        <v>42156</v>
      </c>
      <c r="C44" s="113"/>
      <c r="D44" s="113"/>
      <c r="E44" s="154">
        <v>1877</v>
      </c>
      <c r="F44" s="154"/>
      <c r="G44" s="154"/>
      <c r="H44" s="154">
        <v>135</v>
      </c>
      <c r="I44" s="154"/>
      <c r="J44" s="154"/>
      <c r="K44" s="154">
        <v>447</v>
      </c>
      <c r="L44" s="154">
        <f t="shared" si="4"/>
        <v>2459</v>
      </c>
    </row>
    <row r="45" spans="2:12" ht="12.75" x14ac:dyDescent="0.2">
      <c r="B45" s="113">
        <v>42186</v>
      </c>
      <c r="C45" s="113"/>
      <c r="D45" s="113"/>
      <c r="E45" s="154">
        <v>1030</v>
      </c>
      <c r="F45" s="154"/>
      <c r="G45" s="154"/>
      <c r="H45" s="154">
        <v>110</v>
      </c>
      <c r="I45" s="154"/>
      <c r="J45" s="154"/>
      <c r="K45" s="154">
        <v>167</v>
      </c>
      <c r="L45" s="154">
        <f t="shared" si="4"/>
        <v>1307</v>
      </c>
    </row>
    <row r="46" spans="2:12" ht="12.75" x14ac:dyDescent="0.2">
      <c r="B46" s="113">
        <v>42217</v>
      </c>
      <c r="C46" s="113"/>
      <c r="D46" s="113"/>
      <c r="E46" s="154">
        <v>1674</v>
      </c>
      <c r="F46" s="154"/>
      <c r="G46" s="154"/>
      <c r="H46" s="154">
        <v>113</v>
      </c>
      <c r="I46" s="154"/>
      <c r="J46" s="154"/>
      <c r="K46" s="154">
        <v>218</v>
      </c>
      <c r="L46" s="154">
        <f t="shared" si="4"/>
        <v>2005</v>
      </c>
    </row>
    <row r="47" spans="2:12" ht="12.75" x14ac:dyDescent="0.2">
      <c r="B47" s="113">
        <v>42248</v>
      </c>
      <c r="C47" s="113"/>
      <c r="D47" s="113"/>
      <c r="E47" s="154">
        <v>1313</v>
      </c>
      <c r="F47" s="154"/>
      <c r="G47" s="154"/>
      <c r="H47" s="154">
        <v>136</v>
      </c>
      <c r="I47" s="154"/>
      <c r="J47" s="154"/>
      <c r="K47" s="154">
        <v>156</v>
      </c>
      <c r="L47" s="154">
        <f t="shared" si="4"/>
        <v>1605</v>
      </c>
    </row>
    <row r="48" spans="2:12" ht="12.75" x14ac:dyDescent="0.2">
      <c r="B48" s="113">
        <v>42278</v>
      </c>
      <c r="C48" s="113"/>
      <c r="D48" s="113"/>
      <c r="E48" s="154">
        <v>5045</v>
      </c>
      <c r="F48" s="154"/>
      <c r="G48" s="154"/>
      <c r="H48" s="154">
        <v>104</v>
      </c>
      <c r="I48" s="154"/>
      <c r="J48" s="154"/>
      <c r="K48" s="154">
        <v>21</v>
      </c>
      <c r="L48" s="154">
        <f t="shared" si="4"/>
        <v>5170</v>
      </c>
    </row>
    <row r="49" spans="2:12" ht="12.75" x14ac:dyDescent="0.2">
      <c r="B49" s="113">
        <v>42309</v>
      </c>
      <c r="C49" s="113"/>
      <c r="D49" s="113"/>
      <c r="E49" s="154">
        <v>1924</v>
      </c>
      <c r="F49" s="154"/>
      <c r="G49" s="154"/>
      <c r="H49" s="154">
        <v>764</v>
      </c>
      <c r="I49" s="154"/>
      <c r="J49" s="154"/>
      <c r="K49" s="154">
        <v>49</v>
      </c>
      <c r="L49" s="154">
        <f t="shared" si="4"/>
        <v>2737</v>
      </c>
    </row>
    <row r="50" spans="2:12" ht="12.75" x14ac:dyDescent="0.2">
      <c r="B50" s="113">
        <v>42339</v>
      </c>
      <c r="C50" s="113"/>
      <c r="D50" s="113"/>
      <c r="E50" s="154">
        <v>1346</v>
      </c>
      <c r="F50" s="154"/>
      <c r="G50" s="154"/>
      <c r="H50" s="154">
        <v>239</v>
      </c>
      <c r="I50" s="154"/>
      <c r="J50" s="154"/>
      <c r="K50" s="154">
        <v>217</v>
      </c>
      <c r="L50" s="154">
        <f t="shared" si="4"/>
        <v>1802</v>
      </c>
    </row>
    <row r="51" spans="2:12" ht="12.75" x14ac:dyDescent="0.2">
      <c r="B51" s="124">
        <v>2015</v>
      </c>
      <c r="C51" s="147"/>
      <c r="D51" s="147"/>
      <c r="E51" s="140">
        <f>SUM(E39:E50)</f>
        <v>19727</v>
      </c>
      <c r="F51" s="140"/>
      <c r="G51" s="140"/>
      <c r="H51" s="140">
        <f t="shared" ref="H51:K51" si="5">SUM(H39:H50)</f>
        <v>2960</v>
      </c>
      <c r="I51" s="140"/>
      <c r="J51" s="140"/>
      <c r="K51" s="140">
        <f t="shared" si="5"/>
        <v>8260</v>
      </c>
      <c r="L51" s="140">
        <f>SUM(L39:L50)</f>
        <v>30947</v>
      </c>
    </row>
    <row r="52" spans="2:12" ht="12.75" x14ac:dyDescent="0.2">
      <c r="B52" s="113">
        <v>42370</v>
      </c>
      <c r="C52" s="113"/>
      <c r="D52" s="113"/>
      <c r="E52" s="154">
        <v>3773</v>
      </c>
      <c r="F52" s="154"/>
      <c r="G52" s="154"/>
      <c r="H52" s="154">
        <v>149</v>
      </c>
      <c r="I52" s="154"/>
      <c r="J52" s="154"/>
      <c r="K52" s="154">
        <v>57</v>
      </c>
      <c r="L52" s="154">
        <f t="shared" ref="L52:L76" si="6">E52+H52+K52</f>
        <v>3979</v>
      </c>
    </row>
    <row r="53" spans="2:12" ht="12.75" x14ac:dyDescent="0.2">
      <c r="B53" s="113">
        <v>42401</v>
      </c>
      <c r="C53" s="113"/>
      <c r="D53" s="113"/>
      <c r="E53" s="154">
        <v>4253</v>
      </c>
      <c r="F53" s="154"/>
      <c r="G53" s="154"/>
      <c r="H53" s="154">
        <v>113</v>
      </c>
      <c r="I53" s="154"/>
      <c r="J53" s="154"/>
      <c r="K53" s="154">
        <v>0</v>
      </c>
      <c r="L53" s="154">
        <f t="shared" si="6"/>
        <v>4366</v>
      </c>
    </row>
    <row r="54" spans="2:12" ht="12.75" x14ac:dyDescent="0.2">
      <c r="B54" s="113">
        <v>42430</v>
      </c>
      <c r="C54" s="113"/>
      <c r="D54" s="113"/>
      <c r="E54" s="154">
        <v>2016</v>
      </c>
      <c r="F54" s="154"/>
      <c r="G54" s="154"/>
      <c r="H54" s="154">
        <v>25</v>
      </c>
      <c r="I54" s="154"/>
      <c r="J54" s="154"/>
      <c r="K54" s="154">
        <v>15</v>
      </c>
      <c r="L54" s="154">
        <f t="shared" si="6"/>
        <v>2056</v>
      </c>
    </row>
    <row r="55" spans="2:12" ht="12.75" x14ac:dyDescent="0.2">
      <c r="B55" s="113">
        <v>42461</v>
      </c>
      <c r="C55" s="113"/>
      <c r="D55" s="113"/>
      <c r="E55" s="154">
        <v>2405</v>
      </c>
      <c r="F55" s="154"/>
      <c r="G55" s="154"/>
      <c r="H55" s="154">
        <v>33</v>
      </c>
      <c r="I55" s="154"/>
      <c r="J55" s="154"/>
      <c r="K55" s="154">
        <v>16</v>
      </c>
      <c r="L55" s="154">
        <f t="shared" si="6"/>
        <v>2454</v>
      </c>
    </row>
    <row r="56" spans="2:12" ht="12.75" x14ac:dyDescent="0.2">
      <c r="B56" s="113">
        <v>42491</v>
      </c>
      <c r="C56" s="154">
        <v>996</v>
      </c>
      <c r="D56" s="154">
        <v>817</v>
      </c>
      <c r="E56" s="154">
        <f t="shared" ref="E56:E76" si="7">C56+D56</f>
        <v>1813</v>
      </c>
      <c r="F56" s="154">
        <v>17</v>
      </c>
      <c r="G56" s="154">
        <v>17</v>
      </c>
      <c r="H56" s="154">
        <f t="shared" ref="H56:H76" si="8">F56+G56</f>
        <v>34</v>
      </c>
      <c r="I56" s="154">
        <v>8</v>
      </c>
      <c r="J56" s="154">
        <v>0</v>
      </c>
      <c r="K56" s="154">
        <f t="shared" ref="K56:K76" si="9">I56+J56</f>
        <v>8</v>
      </c>
      <c r="L56" s="154">
        <f t="shared" si="6"/>
        <v>1855</v>
      </c>
    </row>
    <row r="57" spans="2:12" ht="12.75" x14ac:dyDescent="0.2">
      <c r="B57" s="113">
        <v>42522</v>
      </c>
      <c r="C57" s="154">
        <v>957</v>
      </c>
      <c r="D57" s="154">
        <v>898</v>
      </c>
      <c r="E57" s="154">
        <f t="shared" si="7"/>
        <v>1855</v>
      </c>
      <c r="F57" s="154">
        <v>15</v>
      </c>
      <c r="G57" s="154">
        <v>21</v>
      </c>
      <c r="H57" s="154">
        <f t="shared" si="8"/>
        <v>36</v>
      </c>
      <c r="I57" s="154">
        <v>11</v>
      </c>
      <c r="J57" s="154">
        <v>5</v>
      </c>
      <c r="K57" s="154">
        <f t="shared" si="9"/>
        <v>16</v>
      </c>
      <c r="L57" s="154">
        <f t="shared" si="6"/>
        <v>1907</v>
      </c>
    </row>
    <row r="58" spans="2:12" ht="12.75" x14ac:dyDescent="0.2">
      <c r="B58" s="113">
        <v>42552</v>
      </c>
      <c r="C58" s="154">
        <v>977</v>
      </c>
      <c r="D58" s="154">
        <v>835</v>
      </c>
      <c r="E58" s="154">
        <f t="shared" si="7"/>
        <v>1812</v>
      </c>
      <c r="F58" s="154">
        <v>24</v>
      </c>
      <c r="G58" s="154">
        <v>24</v>
      </c>
      <c r="H58" s="154">
        <f t="shared" si="8"/>
        <v>48</v>
      </c>
      <c r="I58" s="154">
        <v>10</v>
      </c>
      <c r="J58" s="154">
        <v>13</v>
      </c>
      <c r="K58" s="154">
        <f t="shared" si="9"/>
        <v>23</v>
      </c>
      <c r="L58" s="154">
        <f t="shared" si="6"/>
        <v>1883</v>
      </c>
    </row>
    <row r="59" spans="2:12" ht="12.75" x14ac:dyDescent="0.2">
      <c r="B59" s="113">
        <v>42583</v>
      </c>
      <c r="C59" s="154">
        <v>2266</v>
      </c>
      <c r="D59" s="154">
        <v>1640</v>
      </c>
      <c r="E59" s="154">
        <f t="shared" si="7"/>
        <v>3906</v>
      </c>
      <c r="F59" s="154">
        <v>90</v>
      </c>
      <c r="G59" s="154">
        <v>73</v>
      </c>
      <c r="H59" s="154">
        <f t="shared" si="8"/>
        <v>163</v>
      </c>
      <c r="I59" s="154">
        <v>19</v>
      </c>
      <c r="J59" s="154">
        <v>15</v>
      </c>
      <c r="K59" s="154">
        <f t="shared" si="9"/>
        <v>34</v>
      </c>
      <c r="L59" s="154">
        <f t="shared" si="6"/>
        <v>4103</v>
      </c>
    </row>
    <row r="60" spans="2:12" ht="12.75" x14ac:dyDescent="0.2">
      <c r="B60" s="113">
        <v>42614</v>
      </c>
      <c r="C60" s="154">
        <v>948</v>
      </c>
      <c r="D60" s="154">
        <v>779</v>
      </c>
      <c r="E60" s="154">
        <f t="shared" si="7"/>
        <v>1727</v>
      </c>
      <c r="F60" s="154">
        <v>42</v>
      </c>
      <c r="G60" s="154">
        <v>41</v>
      </c>
      <c r="H60" s="154">
        <f t="shared" si="8"/>
        <v>83</v>
      </c>
      <c r="I60" s="154">
        <v>3</v>
      </c>
      <c r="J60" s="154">
        <v>0</v>
      </c>
      <c r="K60" s="154">
        <f t="shared" si="9"/>
        <v>3</v>
      </c>
      <c r="L60" s="154">
        <f t="shared" si="6"/>
        <v>1813</v>
      </c>
    </row>
    <row r="61" spans="2:12" ht="12.75" x14ac:dyDescent="0.2">
      <c r="B61" s="113">
        <v>42644</v>
      </c>
      <c r="C61" s="154">
        <v>770</v>
      </c>
      <c r="D61" s="154">
        <v>832</v>
      </c>
      <c r="E61" s="154">
        <f t="shared" si="7"/>
        <v>1602</v>
      </c>
      <c r="F61" s="154">
        <v>13</v>
      </c>
      <c r="G61" s="154">
        <v>16</v>
      </c>
      <c r="H61" s="154">
        <f t="shared" si="8"/>
        <v>29</v>
      </c>
      <c r="I61" s="154">
        <v>0</v>
      </c>
      <c r="J61" s="154">
        <v>0</v>
      </c>
      <c r="K61" s="154">
        <f t="shared" si="9"/>
        <v>0</v>
      </c>
      <c r="L61" s="154">
        <f t="shared" si="6"/>
        <v>1631</v>
      </c>
    </row>
    <row r="62" spans="2:12" ht="12.75" x14ac:dyDescent="0.2">
      <c r="B62" s="113">
        <v>42675</v>
      </c>
      <c r="C62" s="154">
        <v>484</v>
      </c>
      <c r="D62" s="154">
        <v>317</v>
      </c>
      <c r="E62" s="154">
        <f t="shared" si="7"/>
        <v>801</v>
      </c>
      <c r="F62" s="154">
        <v>12</v>
      </c>
      <c r="G62" s="154">
        <v>9</v>
      </c>
      <c r="H62" s="154">
        <f t="shared" si="8"/>
        <v>21</v>
      </c>
      <c r="I62" s="154">
        <v>0</v>
      </c>
      <c r="J62" s="154">
        <v>0</v>
      </c>
      <c r="K62" s="154">
        <f t="shared" si="9"/>
        <v>0</v>
      </c>
      <c r="L62" s="154">
        <f t="shared" si="6"/>
        <v>822</v>
      </c>
    </row>
    <row r="63" spans="2:12" ht="12.75" x14ac:dyDescent="0.2">
      <c r="B63" s="113">
        <v>42705</v>
      </c>
      <c r="C63" s="154">
        <v>1057</v>
      </c>
      <c r="D63" s="154">
        <v>797</v>
      </c>
      <c r="E63" s="154">
        <f t="shared" si="7"/>
        <v>1854</v>
      </c>
      <c r="F63" s="154">
        <v>156</v>
      </c>
      <c r="G63" s="154">
        <v>126</v>
      </c>
      <c r="H63" s="154">
        <f t="shared" si="8"/>
        <v>282</v>
      </c>
      <c r="I63" s="154">
        <v>6</v>
      </c>
      <c r="J63" s="154">
        <v>0</v>
      </c>
      <c r="K63" s="154">
        <f t="shared" si="9"/>
        <v>6</v>
      </c>
      <c r="L63" s="154">
        <f t="shared" si="6"/>
        <v>2142</v>
      </c>
    </row>
    <row r="64" spans="2:12" ht="12.75" x14ac:dyDescent="0.2">
      <c r="B64" s="124">
        <v>2016</v>
      </c>
      <c r="C64" s="154"/>
      <c r="D64" s="154"/>
      <c r="E64" s="125">
        <f>SUM(E52:E63)</f>
        <v>27817</v>
      </c>
      <c r="F64" s="125"/>
      <c r="G64" s="125"/>
      <c r="H64" s="125">
        <f>SUM(H52:H63)</f>
        <v>1016</v>
      </c>
      <c r="I64" s="125"/>
      <c r="J64" s="125"/>
      <c r="K64" s="125">
        <f>SUM(K52:K63)</f>
        <v>178</v>
      </c>
      <c r="L64" s="125">
        <f>SUM(L52:L63)</f>
        <v>29011</v>
      </c>
    </row>
    <row r="65" spans="2:12" ht="12.75" x14ac:dyDescent="0.2">
      <c r="B65" s="113">
        <v>42736</v>
      </c>
      <c r="C65" s="154">
        <v>1709</v>
      </c>
      <c r="D65" s="154">
        <v>1188</v>
      </c>
      <c r="E65" s="154">
        <f t="shared" si="7"/>
        <v>2897</v>
      </c>
      <c r="F65" s="154">
        <v>87</v>
      </c>
      <c r="G65" s="154">
        <v>62</v>
      </c>
      <c r="H65" s="154">
        <f t="shared" si="8"/>
        <v>149</v>
      </c>
      <c r="I65" s="154">
        <v>21</v>
      </c>
      <c r="J65" s="154">
        <v>22</v>
      </c>
      <c r="K65" s="154">
        <f t="shared" si="9"/>
        <v>43</v>
      </c>
      <c r="L65" s="154">
        <f t="shared" si="6"/>
        <v>3089</v>
      </c>
    </row>
    <row r="66" spans="2:12" ht="12.75" x14ac:dyDescent="0.2">
      <c r="B66" s="113">
        <v>42767</v>
      </c>
      <c r="C66" s="154">
        <v>1599</v>
      </c>
      <c r="D66" s="154">
        <v>1237</v>
      </c>
      <c r="E66" s="154">
        <f t="shared" si="7"/>
        <v>2836</v>
      </c>
      <c r="F66" s="154">
        <v>35</v>
      </c>
      <c r="G66" s="154">
        <v>42</v>
      </c>
      <c r="H66" s="154">
        <f t="shared" si="8"/>
        <v>77</v>
      </c>
      <c r="I66" s="154">
        <v>11</v>
      </c>
      <c r="J66" s="154">
        <v>10</v>
      </c>
      <c r="K66" s="154">
        <f t="shared" si="9"/>
        <v>21</v>
      </c>
      <c r="L66" s="154">
        <f t="shared" si="6"/>
        <v>2934</v>
      </c>
    </row>
    <row r="67" spans="2:12" ht="12.75" x14ac:dyDescent="0.2">
      <c r="B67" s="113">
        <v>42795</v>
      </c>
      <c r="C67" s="154">
        <v>1281</v>
      </c>
      <c r="D67" s="154">
        <v>949</v>
      </c>
      <c r="E67" s="154">
        <f t="shared" si="7"/>
        <v>2230</v>
      </c>
      <c r="F67" s="154">
        <v>63</v>
      </c>
      <c r="G67" s="154">
        <v>47</v>
      </c>
      <c r="H67" s="154">
        <f t="shared" si="8"/>
        <v>110</v>
      </c>
      <c r="I67" s="154">
        <v>18</v>
      </c>
      <c r="J67" s="154">
        <v>10</v>
      </c>
      <c r="K67" s="154">
        <f t="shared" si="9"/>
        <v>28</v>
      </c>
      <c r="L67" s="154">
        <f t="shared" si="6"/>
        <v>2368</v>
      </c>
    </row>
    <row r="68" spans="2:12" ht="12.75" x14ac:dyDescent="0.2">
      <c r="B68" s="113">
        <v>42826</v>
      </c>
      <c r="C68" s="154">
        <v>694</v>
      </c>
      <c r="D68" s="154">
        <v>578</v>
      </c>
      <c r="E68" s="154">
        <f t="shared" si="7"/>
        <v>1272</v>
      </c>
      <c r="F68" s="154">
        <v>16</v>
      </c>
      <c r="G68" s="154">
        <v>19</v>
      </c>
      <c r="H68" s="154">
        <f t="shared" si="8"/>
        <v>35</v>
      </c>
      <c r="I68" s="154">
        <v>8</v>
      </c>
      <c r="J68" s="154">
        <v>7</v>
      </c>
      <c r="K68" s="154">
        <f t="shared" si="9"/>
        <v>15</v>
      </c>
      <c r="L68" s="154">
        <f t="shared" si="6"/>
        <v>1322</v>
      </c>
    </row>
    <row r="69" spans="2:12" ht="12.75" x14ac:dyDescent="0.2">
      <c r="B69" s="113">
        <v>42856</v>
      </c>
      <c r="C69" s="154">
        <v>698</v>
      </c>
      <c r="D69" s="154">
        <v>493</v>
      </c>
      <c r="E69" s="154">
        <f t="shared" si="7"/>
        <v>1191</v>
      </c>
      <c r="F69" s="154">
        <v>13</v>
      </c>
      <c r="G69" s="154">
        <v>3</v>
      </c>
      <c r="H69" s="154">
        <f t="shared" si="8"/>
        <v>16</v>
      </c>
      <c r="I69" s="154">
        <v>45</v>
      </c>
      <c r="J69" s="154">
        <v>41</v>
      </c>
      <c r="K69" s="154">
        <f t="shared" si="9"/>
        <v>86</v>
      </c>
      <c r="L69" s="154">
        <f t="shared" si="6"/>
        <v>1293</v>
      </c>
    </row>
    <row r="70" spans="2:12" ht="12.75" x14ac:dyDescent="0.2">
      <c r="B70" s="113">
        <v>42887</v>
      </c>
      <c r="C70" s="154">
        <v>891</v>
      </c>
      <c r="D70" s="154">
        <v>581</v>
      </c>
      <c r="E70" s="154">
        <f t="shared" si="7"/>
        <v>1472</v>
      </c>
      <c r="F70" s="154">
        <v>18</v>
      </c>
      <c r="G70" s="154">
        <v>18</v>
      </c>
      <c r="H70" s="154">
        <f t="shared" si="8"/>
        <v>36</v>
      </c>
      <c r="I70" s="154">
        <v>10</v>
      </c>
      <c r="J70" s="154">
        <v>12</v>
      </c>
      <c r="K70" s="154">
        <f t="shared" si="9"/>
        <v>22</v>
      </c>
      <c r="L70" s="154">
        <f t="shared" si="6"/>
        <v>1530</v>
      </c>
    </row>
    <row r="71" spans="2:12" ht="12.75" x14ac:dyDescent="0.2">
      <c r="B71" s="113">
        <v>42917</v>
      </c>
      <c r="C71" s="154">
        <v>857</v>
      </c>
      <c r="D71" s="154">
        <v>571</v>
      </c>
      <c r="E71" s="154">
        <f t="shared" si="7"/>
        <v>1428</v>
      </c>
      <c r="F71" s="154">
        <v>15</v>
      </c>
      <c r="G71" s="154">
        <v>14</v>
      </c>
      <c r="H71" s="154">
        <f t="shared" si="8"/>
        <v>29</v>
      </c>
      <c r="I71" s="154">
        <v>84</v>
      </c>
      <c r="J71" s="154">
        <v>54</v>
      </c>
      <c r="K71" s="154">
        <f t="shared" si="9"/>
        <v>138</v>
      </c>
      <c r="L71" s="154">
        <f t="shared" si="6"/>
        <v>1595</v>
      </c>
    </row>
    <row r="72" spans="2:12" ht="12.75" x14ac:dyDescent="0.2">
      <c r="B72" s="113">
        <v>42948</v>
      </c>
      <c r="C72" s="154">
        <v>697</v>
      </c>
      <c r="D72" s="154">
        <v>460</v>
      </c>
      <c r="E72" s="154">
        <f t="shared" si="7"/>
        <v>1157</v>
      </c>
      <c r="F72" s="154">
        <v>11</v>
      </c>
      <c r="G72" s="154">
        <v>9</v>
      </c>
      <c r="H72" s="154">
        <f t="shared" si="8"/>
        <v>20</v>
      </c>
      <c r="I72" s="154">
        <v>43</v>
      </c>
      <c r="J72" s="154">
        <v>34</v>
      </c>
      <c r="K72" s="154">
        <f t="shared" si="9"/>
        <v>77</v>
      </c>
      <c r="L72" s="154">
        <f t="shared" si="6"/>
        <v>1254</v>
      </c>
    </row>
    <row r="73" spans="2:12" ht="12.75" x14ac:dyDescent="0.2">
      <c r="B73" s="113">
        <v>42979</v>
      </c>
      <c r="C73" s="154">
        <v>850</v>
      </c>
      <c r="D73" s="154">
        <v>547</v>
      </c>
      <c r="E73" s="154">
        <f t="shared" si="7"/>
        <v>1397</v>
      </c>
      <c r="F73" s="154">
        <v>1</v>
      </c>
      <c r="G73" s="154">
        <v>3</v>
      </c>
      <c r="H73" s="154">
        <f t="shared" si="8"/>
        <v>4</v>
      </c>
      <c r="I73" s="154">
        <v>12</v>
      </c>
      <c r="J73" s="154">
        <v>14</v>
      </c>
      <c r="K73" s="154">
        <f t="shared" si="9"/>
        <v>26</v>
      </c>
      <c r="L73" s="154">
        <f t="shared" si="6"/>
        <v>1427</v>
      </c>
    </row>
    <row r="74" spans="2:12" ht="12.75" x14ac:dyDescent="0.2">
      <c r="B74" s="113">
        <v>43009</v>
      </c>
      <c r="C74" s="154">
        <v>305</v>
      </c>
      <c r="D74" s="154">
        <v>234</v>
      </c>
      <c r="E74" s="154">
        <f t="shared" si="7"/>
        <v>539</v>
      </c>
      <c r="F74" s="154">
        <v>11</v>
      </c>
      <c r="G74" s="154">
        <v>11</v>
      </c>
      <c r="H74" s="154">
        <f t="shared" si="8"/>
        <v>22</v>
      </c>
      <c r="I74" s="154">
        <v>36</v>
      </c>
      <c r="J74" s="154">
        <v>19</v>
      </c>
      <c r="K74" s="154">
        <f t="shared" si="9"/>
        <v>55</v>
      </c>
      <c r="L74" s="154">
        <f t="shared" si="6"/>
        <v>616</v>
      </c>
    </row>
    <row r="75" spans="2:12" ht="12.75" x14ac:dyDescent="0.2">
      <c r="B75" s="113">
        <v>43040</v>
      </c>
      <c r="C75" s="154">
        <v>524</v>
      </c>
      <c r="D75" s="154">
        <v>369</v>
      </c>
      <c r="E75" s="154">
        <f t="shared" si="7"/>
        <v>893</v>
      </c>
      <c r="F75" s="154">
        <v>15</v>
      </c>
      <c r="G75" s="154">
        <v>6</v>
      </c>
      <c r="H75" s="154">
        <f t="shared" si="8"/>
        <v>21</v>
      </c>
      <c r="I75" s="154">
        <v>22</v>
      </c>
      <c r="J75" s="154">
        <v>11</v>
      </c>
      <c r="K75" s="154">
        <f t="shared" si="9"/>
        <v>33</v>
      </c>
      <c r="L75" s="154">
        <f t="shared" si="6"/>
        <v>947</v>
      </c>
    </row>
    <row r="76" spans="2:12" ht="12.75" x14ac:dyDescent="0.2">
      <c r="B76" s="113">
        <v>43070</v>
      </c>
      <c r="C76" s="154">
        <v>638</v>
      </c>
      <c r="D76" s="154">
        <v>595</v>
      </c>
      <c r="E76" s="154">
        <f t="shared" si="7"/>
        <v>1233</v>
      </c>
      <c r="F76" s="154">
        <v>17</v>
      </c>
      <c r="G76" s="154">
        <v>15</v>
      </c>
      <c r="H76" s="154">
        <f t="shared" si="8"/>
        <v>32</v>
      </c>
      <c r="I76" s="154">
        <v>5</v>
      </c>
      <c r="J76" s="154">
        <v>5</v>
      </c>
      <c r="K76" s="154">
        <f t="shared" si="9"/>
        <v>10</v>
      </c>
      <c r="L76" s="154">
        <f t="shared" si="6"/>
        <v>1275</v>
      </c>
    </row>
    <row r="77" spans="2:12" ht="12.75" x14ac:dyDescent="0.2">
      <c r="B77" s="124">
        <v>2017</v>
      </c>
      <c r="C77" s="125"/>
      <c r="D77" s="125"/>
      <c r="E77" s="125">
        <f>SUM(E65:E76)</f>
        <v>18545</v>
      </c>
      <c r="F77" s="125"/>
      <c r="G77" s="125"/>
      <c r="H77" s="125">
        <f>SUM(H65:H76)</f>
        <v>551</v>
      </c>
      <c r="I77" s="125"/>
      <c r="J77" s="125"/>
      <c r="K77" s="125">
        <f>SUM(K65:K76)</f>
        <v>554</v>
      </c>
      <c r="L77" s="125">
        <f>SUM(L65:L76)</f>
        <v>19650</v>
      </c>
    </row>
    <row r="78" spans="2:12" ht="12.75" x14ac:dyDescent="0.2">
      <c r="B78" s="113">
        <v>43101</v>
      </c>
      <c r="C78" s="154">
        <v>755</v>
      </c>
      <c r="D78" s="154">
        <v>663</v>
      </c>
      <c r="E78" s="154">
        <f t="shared" ref="E78:E88" si="10">C78+D78</f>
        <v>1418</v>
      </c>
      <c r="F78" s="154">
        <v>14</v>
      </c>
      <c r="G78" s="154">
        <v>12</v>
      </c>
      <c r="H78" s="154">
        <f t="shared" ref="H78:H88" si="11">F78+G78</f>
        <v>26</v>
      </c>
      <c r="I78" s="154">
        <v>8</v>
      </c>
      <c r="J78" s="154">
        <v>3</v>
      </c>
      <c r="K78" s="154">
        <f t="shared" ref="K78:K88" si="12">I78+J78</f>
        <v>11</v>
      </c>
      <c r="L78" s="154">
        <f t="shared" ref="L78:L89" si="13">E78+H78+K78</f>
        <v>1455</v>
      </c>
    </row>
    <row r="79" spans="2:12" ht="12.75" x14ac:dyDescent="0.2">
      <c r="B79" s="113">
        <v>43132</v>
      </c>
      <c r="C79" s="154">
        <v>908</v>
      </c>
      <c r="D79" s="154">
        <v>778</v>
      </c>
      <c r="E79" s="154">
        <f t="shared" si="10"/>
        <v>1686</v>
      </c>
      <c r="F79" s="154">
        <v>16</v>
      </c>
      <c r="G79" s="154">
        <v>9</v>
      </c>
      <c r="H79" s="154">
        <f t="shared" si="11"/>
        <v>25</v>
      </c>
      <c r="I79" s="154">
        <v>55</v>
      </c>
      <c r="J79" s="154">
        <v>50</v>
      </c>
      <c r="K79" s="154">
        <f t="shared" si="12"/>
        <v>105</v>
      </c>
      <c r="L79" s="154">
        <f t="shared" si="13"/>
        <v>1816</v>
      </c>
    </row>
    <row r="80" spans="2:12" ht="12.75" x14ac:dyDescent="0.2">
      <c r="B80" s="113">
        <v>43160</v>
      </c>
      <c r="C80" s="154">
        <v>1306</v>
      </c>
      <c r="D80" s="154">
        <v>853</v>
      </c>
      <c r="E80" s="154">
        <f t="shared" si="10"/>
        <v>2159</v>
      </c>
      <c r="F80" s="154">
        <v>34</v>
      </c>
      <c r="G80" s="154">
        <v>26</v>
      </c>
      <c r="H80" s="154">
        <f t="shared" si="11"/>
        <v>60</v>
      </c>
      <c r="I80" s="154">
        <v>35</v>
      </c>
      <c r="J80" s="154">
        <v>15</v>
      </c>
      <c r="K80" s="154">
        <f t="shared" si="12"/>
        <v>50</v>
      </c>
      <c r="L80" s="154">
        <f t="shared" si="13"/>
        <v>2269</v>
      </c>
    </row>
    <row r="81" spans="2:12" ht="12.75" x14ac:dyDescent="0.2">
      <c r="B81" s="113">
        <v>43191</v>
      </c>
      <c r="C81" s="154">
        <v>1004</v>
      </c>
      <c r="D81" s="154">
        <v>564</v>
      </c>
      <c r="E81" s="154">
        <f t="shared" si="10"/>
        <v>1568</v>
      </c>
      <c r="F81" s="154">
        <v>19</v>
      </c>
      <c r="G81" s="154">
        <v>14</v>
      </c>
      <c r="H81" s="154">
        <f t="shared" si="11"/>
        <v>33</v>
      </c>
      <c r="I81" s="154">
        <v>20</v>
      </c>
      <c r="J81" s="154">
        <v>18</v>
      </c>
      <c r="K81" s="154">
        <f t="shared" si="12"/>
        <v>38</v>
      </c>
      <c r="L81" s="154">
        <f t="shared" si="13"/>
        <v>1639</v>
      </c>
    </row>
    <row r="82" spans="2:12" ht="12.75" x14ac:dyDescent="0.2">
      <c r="B82" s="113">
        <v>43221</v>
      </c>
      <c r="C82" s="154">
        <v>717</v>
      </c>
      <c r="D82" s="154">
        <v>410</v>
      </c>
      <c r="E82" s="154">
        <f t="shared" si="10"/>
        <v>1127</v>
      </c>
      <c r="F82" s="154">
        <v>17</v>
      </c>
      <c r="G82" s="154">
        <v>15</v>
      </c>
      <c r="H82" s="154">
        <f t="shared" si="11"/>
        <v>32</v>
      </c>
      <c r="I82" s="154">
        <v>26</v>
      </c>
      <c r="J82" s="154">
        <v>26</v>
      </c>
      <c r="K82" s="154">
        <f t="shared" si="12"/>
        <v>52</v>
      </c>
      <c r="L82" s="154">
        <f t="shared" si="13"/>
        <v>1211</v>
      </c>
    </row>
    <row r="83" spans="2:12" ht="12.75" x14ac:dyDescent="0.2">
      <c r="B83" s="113">
        <v>43252</v>
      </c>
      <c r="C83" s="154">
        <v>1018</v>
      </c>
      <c r="D83" s="154">
        <v>658</v>
      </c>
      <c r="E83" s="154">
        <f t="shared" si="10"/>
        <v>1676</v>
      </c>
      <c r="F83" s="154">
        <v>18</v>
      </c>
      <c r="G83" s="154">
        <v>12</v>
      </c>
      <c r="H83" s="154">
        <f t="shared" si="11"/>
        <v>30</v>
      </c>
      <c r="I83" s="154">
        <v>23</v>
      </c>
      <c r="J83" s="154">
        <v>10</v>
      </c>
      <c r="K83" s="154">
        <f t="shared" si="12"/>
        <v>33</v>
      </c>
      <c r="L83" s="154">
        <f t="shared" si="13"/>
        <v>1739</v>
      </c>
    </row>
    <row r="84" spans="2:12" ht="12.75" x14ac:dyDescent="0.2">
      <c r="B84" s="113">
        <v>43282</v>
      </c>
      <c r="C84" s="154">
        <v>845</v>
      </c>
      <c r="D84" s="154">
        <v>604</v>
      </c>
      <c r="E84" s="154">
        <f t="shared" si="10"/>
        <v>1449</v>
      </c>
      <c r="F84" s="154">
        <v>17</v>
      </c>
      <c r="G84" s="154">
        <v>33</v>
      </c>
      <c r="H84" s="154">
        <f t="shared" si="11"/>
        <v>50</v>
      </c>
      <c r="I84" s="154">
        <v>35</v>
      </c>
      <c r="J84" s="154">
        <v>31</v>
      </c>
      <c r="K84" s="154">
        <f t="shared" si="12"/>
        <v>66</v>
      </c>
      <c r="L84" s="154">
        <f t="shared" si="13"/>
        <v>1565</v>
      </c>
    </row>
    <row r="85" spans="2:12" ht="12.75" x14ac:dyDescent="0.2">
      <c r="B85" s="113">
        <v>43313</v>
      </c>
      <c r="C85" s="154">
        <v>1178</v>
      </c>
      <c r="D85" s="154">
        <v>821</v>
      </c>
      <c r="E85" s="154">
        <f t="shared" si="10"/>
        <v>1999</v>
      </c>
      <c r="F85" s="154">
        <v>20</v>
      </c>
      <c r="G85" s="154">
        <v>30</v>
      </c>
      <c r="H85" s="154">
        <f t="shared" si="11"/>
        <v>50</v>
      </c>
      <c r="I85" s="154">
        <v>33</v>
      </c>
      <c r="J85" s="154">
        <v>28</v>
      </c>
      <c r="K85" s="154">
        <f t="shared" si="12"/>
        <v>61</v>
      </c>
      <c r="L85" s="154">
        <f t="shared" si="13"/>
        <v>2110</v>
      </c>
    </row>
    <row r="86" spans="2:12" ht="12.75" x14ac:dyDescent="0.2">
      <c r="B86" s="113">
        <v>43344</v>
      </c>
      <c r="C86" s="154">
        <v>1529</v>
      </c>
      <c r="D86" s="154">
        <v>1059</v>
      </c>
      <c r="E86" s="154">
        <f t="shared" si="10"/>
        <v>2588</v>
      </c>
      <c r="F86" s="154">
        <v>40</v>
      </c>
      <c r="G86" s="154">
        <v>42</v>
      </c>
      <c r="H86" s="154">
        <f t="shared" si="11"/>
        <v>82</v>
      </c>
      <c r="I86" s="154">
        <v>45</v>
      </c>
      <c r="J86" s="154">
        <v>15</v>
      </c>
      <c r="K86" s="154">
        <f t="shared" si="12"/>
        <v>60</v>
      </c>
      <c r="L86" s="154">
        <f t="shared" si="13"/>
        <v>2730</v>
      </c>
    </row>
    <row r="87" spans="2:12" ht="12.75" x14ac:dyDescent="0.2">
      <c r="B87" s="113">
        <v>43374</v>
      </c>
      <c r="C87" s="154">
        <v>978</v>
      </c>
      <c r="D87" s="154">
        <v>757</v>
      </c>
      <c r="E87" s="154">
        <f t="shared" si="10"/>
        <v>1735</v>
      </c>
      <c r="F87" s="154">
        <v>21</v>
      </c>
      <c r="G87" s="154">
        <v>40</v>
      </c>
      <c r="H87" s="154">
        <f t="shared" si="11"/>
        <v>61</v>
      </c>
      <c r="I87" s="154">
        <v>27</v>
      </c>
      <c r="J87" s="154">
        <v>13</v>
      </c>
      <c r="K87" s="154">
        <f t="shared" si="12"/>
        <v>40</v>
      </c>
      <c r="L87" s="154">
        <f t="shared" si="13"/>
        <v>1836</v>
      </c>
    </row>
    <row r="88" spans="2:12" ht="12.75" x14ac:dyDescent="0.2">
      <c r="B88" s="113">
        <v>43405</v>
      </c>
      <c r="C88" s="154">
        <v>583</v>
      </c>
      <c r="D88" s="154">
        <v>278</v>
      </c>
      <c r="E88" s="154">
        <f t="shared" si="10"/>
        <v>861</v>
      </c>
      <c r="F88" s="154">
        <v>9</v>
      </c>
      <c r="G88" s="154">
        <v>8</v>
      </c>
      <c r="H88" s="154">
        <f t="shared" si="11"/>
        <v>17</v>
      </c>
      <c r="I88" s="154">
        <v>63</v>
      </c>
      <c r="J88" s="154">
        <v>44</v>
      </c>
      <c r="K88" s="154">
        <f t="shared" si="12"/>
        <v>107</v>
      </c>
      <c r="L88" s="154">
        <f t="shared" si="13"/>
        <v>985</v>
      </c>
    </row>
    <row r="89" spans="2:12" ht="12.75" x14ac:dyDescent="0.2">
      <c r="B89" s="113">
        <v>43435</v>
      </c>
      <c r="C89" s="154">
        <v>1471</v>
      </c>
      <c r="D89" s="154">
        <v>707</v>
      </c>
      <c r="E89" s="154">
        <v>2178</v>
      </c>
      <c r="F89" s="154">
        <v>34</v>
      </c>
      <c r="G89" s="154">
        <v>21</v>
      </c>
      <c r="H89" s="154">
        <v>55</v>
      </c>
      <c r="I89" s="154">
        <v>49</v>
      </c>
      <c r="J89" s="154">
        <v>38</v>
      </c>
      <c r="K89" s="154">
        <v>87</v>
      </c>
      <c r="L89" s="154">
        <f t="shared" si="13"/>
        <v>2320</v>
      </c>
    </row>
    <row r="90" spans="2:12" ht="12.75" x14ac:dyDescent="0.2">
      <c r="B90" s="124">
        <v>2018</v>
      </c>
      <c r="C90" s="125"/>
      <c r="D90" s="125"/>
      <c r="E90" s="125">
        <f>SUM(E78:E89)</f>
        <v>20444</v>
      </c>
      <c r="F90" s="125"/>
      <c r="G90" s="125"/>
      <c r="H90" s="125">
        <f>SUM(H78:H89)</f>
        <v>521</v>
      </c>
      <c r="I90" s="125"/>
      <c r="J90" s="125"/>
      <c r="K90" s="125">
        <f>SUM(K78:K89)</f>
        <v>710</v>
      </c>
      <c r="L90" s="125">
        <f>SUM(L78:L89)</f>
        <v>21675</v>
      </c>
    </row>
    <row r="91" spans="2:12" ht="12.75" x14ac:dyDescent="0.2">
      <c r="B91" s="113">
        <v>43466</v>
      </c>
      <c r="C91" s="154">
        <v>1585</v>
      </c>
      <c r="D91" s="154">
        <v>954</v>
      </c>
      <c r="E91" s="154">
        <v>2539</v>
      </c>
      <c r="F91" s="154">
        <v>44</v>
      </c>
      <c r="G91" s="154">
        <v>43</v>
      </c>
      <c r="H91" s="154">
        <v>87</v>
      </c>
      <c r="I91" s="154">
        <v>82</v>
      </c>
      <c r="J91" s="154">
        <v>27</v>
      </c>
      <c r="K91" s="154">
        <v>109</v>
      </c>
      <c r="L91" s="154">
        <f t="shared" ref="L91:L102" si="14">E91+H91+K91</f>
        <v>2735</v>
      </c>
    </row>
    <row r="92" spans="2:12" ht="12.75" x14ac:dyDescent="0.2">
      <c r="B92" s="113">
        <v>43497</v>
      </c>
      <c r="C92" s="154">
        <v>1537</v>
      </c>
      <c r="D92" s="154">
        <v>762</v>
      </c>
      <c r="E92" s="154">
        <v>2299</v>
      </c>
      <c r="F92" s="154">
        <v>27</v>
      </c>
      <c r="G92" s="154">
        <v>19</v>
      </c>
      <c r="H92" s="154">
        <v>46</v>
      </c>
      <c r="I92" s="154">
        <v>54</v>
      </c>
      <c r="J92" s="154">
        <v>28</v>
      </c>
      <c r="K92" s="154">
        <v>82</v>
      </c>
      <c r="L92" s="154">
        <f t="shared" si="14"/>
        <v>2427</v>
      </c>
    </row>
    <row r="93" spans="2:12" ht="12.75" x14ac:dyDescent="0.2">
      <c r="B93" s="113">
        <v>43525</v>
      </c>
      <c r="C93" s="154">
        <v>454</v>
      </c>
      <c r="D93" s="154">
        <v>329</v>
      </c>
      <c r="E93" s="154">
        <v>783</v>
      </c>
      <c r="F93" s="154">
        <v>8</v>
      </c>
      <c r="G93" s="154">
        <v>7</v>
      </c>
      <c r="H93" s="154">
        <v>15</v>
      </c>
      <c r="I93" s="154">
        <v>5</v>
      </c>
      <c r="J93" s="154">
        <v>6</v>
      </c>
      <c r="K93" s="154">
        <v>11</v>
      </c>
      <c r="L93" s="154">
        <f t="shared" si="14"/>
        <v>809</v>
      </c>
    </row>
    <row r="94" spans="2:12" ht="12.75" x14ac:dyDescent="0.2">
      <c r="B94" s="113">
        <v>43556</v>
      </c>
      <c r="C94" s="154">
        <v>988</v>
      </c>
      <c r="D94" s="154">
        <v>507</v>
      </c>
      <c r="E94" s="154">
        <v>1495</v>
      </c>
      <c r="F94" s="154">
        <v>20</v>
      </c>
      <c r="G94" s="154">
        <v>11</v>
      </c>
      <c r="H94" s="154">
        <v>31</v>
      </c>
      <c r="I94" s="154">
        <v>72</v>
      </c>
      <c r="J94" s="154">
        <v>46</v>
      </c>
      <c r="K94" s="154">
        <v>118</v>
      </c>
      <c r="L94" s="154">
        <f t="shared" si="14"/>
        <v>1644</v>
      </c>
    </row>
    <row r="95" spans="2:12" ht="12.75" x14ac:dyDescent="0.2">
      <c r="B95" s="113">
        <v>43586</v>
      </c>
      <c r="C95" s="154">
        <v>995</v>
      </c>
      <c r="D95" s="154">
        <v>602</v>
      </c>
      <c r="E95" s="154">
        <v>1597</v>
      </c>
      <c r="F95" s="154">
        <v>30</v>
      </c>
      <c r="G95" s="154">
        <v>28</v>
      </c>
      <c r="H95" s="154">
        <v>58</v>
      </c>
      <c r="I95" s="154">
        <v>60</v>
      </c>
      <c r="J95" s="154">
        <v>33</v>
      </c>
      <c r="K95" s="154">
        <v>93</v>
      </c>
      <c r="L95" s="154">
        <f t="shared" si="14"/>
        <v>1748</v>
      </c>
    </row>
    <row r="96" spans="2:12" ht="12.75" x14ac:dyDescent="0.2">
      <c r="B96" s="113">
        <v>43617</v>
      </c>
      <c r="C96" s="154">
        <v>1868</v>
      </c>
      <c r="D96" s="154">
        <v>1297</v>
      </c>
      <c r="E96" s="154">
        <v>3165</v>
      </c>
      <c r="F96" s="154">
        <v>86</v>
      </c>
      <c r="G96" s="154">
        <v>86</v>
      </c>
      <c r="H96" s="154">
        <v>172</v>
      </c>
      <c r="I96" s="154">
        <v>50</v>
      </c>
      <c r="J96" s="154">
        <v>30</v>
      </c>
      <c r="K96" s="154">
        <v>80</v>
      </c>
      <c r="L96" s="154">
        <f t="shared" si="14"/>
        <v>3417</v>
      </c>
    </row>
    <row r="97" spans="2:12" ht="12.75" x14ac:dyDescent="0.2">
      <c r="B97" s="113">
        <v>43647</v>
      </c>
      <c r="C97" s="154">
        <v>2276</v>
      </c>
      <c r="D97" s="154">
        <v>1274</v>
      </c>
      <c r="E97" s="154">
        <v>3550</v>
      </c>
      <c r="F97" s="154">
        <v>43</v>
      </c>
      <c r="G97" s="154">
        <v>59</v>
      </c>
      <c r="H97" s="154">
        <v>102</v>
      </c>
      <c r="I97" s="154">
        <v>108</v>
      </c>
      <c r="J97" s="154">
        <v>70</v>
      </c>
      <c r="K97" s="154">
        <v>178</v>
      </c>
      <c r="L97" s="154">
        <f t="shared" si="14"/>
        <v>3830</v>
      </c>
    </row>
    <row r="98" spans="2:12" ht="12.75" x14ac:dyDescent="0.2">
      <c r="B98" s="113">
        <v>43678</v>
      </c>
      <c r="C98" s="154">
        <v>1983</v>
      </c>
      <c r="D98" s="154">
        <v>1098</v>
      </c>
      <c r="E98" s="154">
        <v>3081</v>
      </c>
      <c r="F98" s="154">
        <v>57</v>
      </c>
      <c r="G98" s="154">
        <v>62</v>
      </c>
      <c r="H98" s="154">
        <v>119</v>
      </c>
      <c r="I98" s="154">
        <v>78</v>
      </c>
      <c r="J98" s="154">
        <v>37</v>
      </c>
      <c r="K98" s="154">
        <v>115</v>
      </c>
      <c r="L98" s="154">
        <f t="shared" si="14"/>
        <v>3315</v>
      </c>
    </row>
    <row r="99" spans="2:12" ht="12.75" x14ac:dyDescent="0.2">
      <c r="B99" s="113">
        <v>43709</v>
      </c>
      <c r="C99" s="154">
        <v>1341</v>
      </c>
      <c r="D99" s="154">
        <v>990</v>
      </c>
      <c r="E99" s="154">
        <v>2331</v>
      </c>
      <c r="F99" s="154">
        <v>18</v>
      </c>
      <c r="G99" s="154">
        <v>11</v>
      </c>
      <c r="H99" s="154">
        <v>29</v>
      </c>
      <c r="I99" s="154">
        <v>23</v>
      </c>
      <c r="J99" s="154">
        <v>15</v>
      </c>
      <c r="K99" s="154">
        <v>38</v>
      </c>
      <c r="L99" s="154">
        <f t="shared" si="14"/>
        <v>2398</v>
      </c>
    </row>
    <row r="100" spans="2:12" ht="12.75" x14ac:dyDescent="0.2">
      <c r="B100" s="113">
        <v>43739</v>
      </c>
      <c r="C100" s="154">
        <v>866</v>
      </c>
      <c r="D100" s="154">
        <v>575</v>
      </c>
      <c r="E100" s="154">
        <v>1441</v>
      </c>
      <c r="F100" s="154">
        <v>51</v>
      </c>
      <c r="G100" s="154">
        <v>40</v>
      </c>
      <c r="H100" s="154">
        <v>91</v>
      </c>
      <c r="I100" s="154">
        <v>31</v>
      </c>
      <c r="J100" s="154">
        <v>12</v>
      </c>
      <c r="K100" s="154">
        <v>43</v>
      </c>
      <c r="L100" s="154">
        <f t="shared" si="14"/>
        <v>1575</v>
      </c>
    </row>
    <row r="101" spans="2:12" ht="12.75" x14ac:dyDescent="0.2">
      <c r="B101" s="113">
        <v>43770</v>
      </c>
      <c r="C101" s="154">
        <v>902</v>
      </c>
      <c r="D101" s="154">
        <v>489</v>
      </c>
      <c r="E101" s="154">
        <v>1391</v>
      </c>
      <c r="F101" s="154">
        <v>23</v>
      </c>
      <c r="G101" s="154">
        <v>20</v>
      </c>
      <c r="H101" s="154">
        <v>43</v>
      </c>
      <c r="I101" s="154">
        <v>24</v>
      </c>
      <c r="J101" s="154">
        <v>18</v>
      </c>
      <c r="K101" s="154">
        <v>42</v>
      </c>
      <c r="L101" s="154">
        <f t="shared" si="14"/>
        <v>1476</v>
      </c>
    </row>
    <row r="102" spans="2:12" ht="12.75" x14ac:dyDescent="0.2">
      <c r="B102" s="113">
        <v>43800</v>
      </c>
      <c r="C102" s="154">
        <v>491</v>
      </c>
      <c r="D102" s="154">
        <v>410</v>
      </c>
      <c r="E102" s="154">
        <v>901</v>
      </c>
      <c r="F102" s="154">
        <v>12</v>
      </c>
      <c r="G102" s="154">
        <v>12</v>
      </c>
      <c r="H102" s="154">
        <v>24</v>
      </c>
      <c r="I102" s="154">
        <v>3</v>
      </c>
      <c r="J102" s="154">
        <v>1</v>
      </c>
      <c r="K102" s="154">
        <v>4</v>
      </c>
      <c r="L102" s="154">
        <f t="shared" si="14"/>
        <v>929</v>
      </c>
    </row>
    <row r="103" spans="2:12" ht="12.75" x14ac:dyDescent="0.2">
      <c r="B103" s="124">
        <v>2019</v>
      </c>
      <c r="C103" s="125"/>
      <c r="D103" s="125"/>
      <c r="E103" s="125">
        <f>SUM(E91:E102)</f>
        <v>24573</v>
      </c>
      <c r="F103" s="125"/>
      <c r="G103" s="125"/>
      <c r="H103" s="125">
        <f>SUM(H91:H102)</f>
        <v>817</v>
      </c>
      <c r="I103" s="125"/>
      <c r="J103" s="125"/>
      <c r="K103" s="125">
        <f>SUM(K91:K102)</f>
        <v>913</v>
      </c>
      <c r="L103" s="125">
        <f>SUM(L91:L102)</f>
        <v>26303</v>
      </c>
    </row>
    <row r="104" spans="2:12" ht="12.75" x14ac:dyDescent="0.2">
      <c r="B104" s="113">
        <v>43831</v>
      </c>
      <c r="C104" s="154">
        <v>1205</v>
      </c>
      <c r="D104" s="154">
        <v>702</v>
      </c>
      <c r="E104" s="154">
        <f>SUM(C104:D104)</f>
        <v>1907</v>
      </c>
      <c r="F104" s="154">
        <v>38</v>
      </c>
      <c r="G104" s="154">
        <v>19</v>
      </c>
      <c r="H104" s="154">
        <f>SUM(F104:G104)</f>
        <v>57</v>
      </c>
      <c r="I104" s="154">
        <v>54</v>
      </c>
      <c r="J104" s="154">
        <v>37</v>
      </c>
      <c r="K104" s="154">
        <f>SUM(I104:J104)</f>
        <v>91</v>
      </c>
      <c r="L104" s="154">
        <f t="shared" ref="L104:L115" si="15">E104+H104+K104</f>
        <v>2055</v>
      </c>
    </row>
    <row r="105" spans="2:12" ht="12.75" x14ac:dyDescent="0.2">
      <c r="B105" s="113">
        <v>43862</v>
      </c>
      <c r="C105" s="154">
        <v>1372</v>
      </c>
      <c r="D105" s="154">
        <v>1327</v>
      </c>
      <c r="E105" s="154">
        <f>SUM(C105:D105)</f>
        <v>2699</v>
      </c>
      <c r="F105" s="154">
        <v>81</v>
      </c>
      <c r="G105" s="154">
        <v>150</v>
      </c>
      <c r="H105" s="154">
        <f>SUM(F105:G105)</f>
        <v>231</v>
      </c>
      <c r="I105" s="154">
        <v>42</v>
      </c>
      <c r="J105" s="154">
        <v>28</v>
      </c>
      <c r="K105" s="154">
        <f>SUM(I105:J105)</f>
        <v>70</v>
      </c>
      <c r="L105" s="154">
        <f t="shared" si="15"/>
        <v>3000</v>
      </c>
    </row>
    <row r="106" spans="2:12" ht="12.75" x14ac:dyDescent="0.2">
      <c r="B106" s="113">
        <v>43891</v>
      </c>
      <c r="C106" s="154">
        <v>1750</v>
      </c>
      <c r="D106" s="154">
        <v>1162</v>
      </c>
      <c r="E106" s="154">
        <f t="shared" ref="E106" si="16">SUM(C106:D106)</f>
        <v>2912</v>
      </c>
      <c r="F106" s="154">
        <v>73</v>
      </c>
      <c r="G106" s="154">
        <v>85</v>
      </c>
      <c r="H106" s="154">
        <f t="shared" ref="H106:H115" si="17">SUM(F106:G106)</f>
        <v>158</v>
      </c>
      <c r="I106" s="154">
        <v>60</v>
      </c>
      <c r="J106" s="154">
        <v>49</v>
      </c>
      <c r="K106" s="154">
        <f>SUM(I106:J106)</f>
        <v>109</v>
      </c>
      <c r="L106" s="154">
        <f t="shared" si="15"/>
        <v>3179</v>
      </c>
    </row>
    <row r="107" spans="2:12" ht="12.75" x14ac:dyDescent="0.2">
      <c r="B107" s="113">
        <v>43922</v>
      </c>
      <c r="C107" s="154">
        <v>3482</v>
      </c>
      <c r="D107" s="154">
        <v>2096</v>
      </c>
      <c r="E107" s="154">
        <f t="shared" ref="E107" si="18">SUM(C107:D107)</f>
        <v>5578</v>
      </c>
      <c r="F107" s="154">
        <v>132</v>
      </c>
      <c r="G107" s="154">
        <v>116</v>
      </c>
      <c r="H107" s="154">
        <f t="shared" si="17"/>
        <v>248</v>
      </c>
      <c r="I107" s="154">
        <v>239</v>
      </c>
      <c r="J107" s="154">
        <v>157</v>
      </c>
      <c r="K107" s="154">
        <f>SUM(I107:J107)</f>
        <v>396</v>
      </c>
      <c r="L107" s="154">
        <f t="shared" si="15"/>
        <v>6222</v>
      </c>
    </row>
    <row r="108" spans="2:12" ht="12.75" x14ac:dyDescent="0.2">
      <c r="B108" s="113">
        <v>43952</v>
      </c>
      <c r="C108" s="154">
        <v>3376</v>
      </c>
      <c r="D108" s="154">
        <v>1668</v>
      </c>
      <c r="E108" s="154">
        <f t="shared" ref="E108" si="19">SUM(C108:D108)</f>
        <v>5044</v>
      </c>
      <c r="F108" s="154">
        <v>71</v>
      </c>
      <c r="G108" s="154">
        <v>48</v>
      </c>
      <c r="H108" s="154">
        <f t="shared" si="17"/>
        <v>119</v>
      </c>
      <c r="I108" s="154">
        <v>238</v>
      </c>
      <c r="J108" s="154">
        <v>203</v>
      </c>
      <c r="K108" s="154">
        <f t="shared" ref="K108" si="20">SUM(I108:J108)</f>
        <v>441</v>
      </c>
      <c r="L108" s="154">
        <f t="shared" si="15"/>
        <v>5604</v>
      </c>
    </row>
    <row r="109" spans="2:12" ht="12.75" x14ac:dyDescent="0.2">
      <c r="B109" s="113">
        <v>43983</v>
      </c>
      <c r="C109" s="154">
        <v>3453</v>
      </c>
      <c r="D109" s="154">
        <v>1719</v>
      </c>
      <c r="E109" s="154">
        <f t="shared" ref="E109" si="21">SUM(C109:D109)</f>
        <v>5172</v>
      </c>
      <c r="F109" s="154">
        <v>56</v>
      </c>
      <c r="G109" s="154">
        <v>45</v>
      </c>
      <c r="H109" s="154">
        <f t="shared" si="17"/>
        <v>101</v>
      </c>
      <c r="I109" s="154">
        <v>241</v>
      </c>
      <c r="J109" s="154">
        <v>217</v>
      </c>
      <c r="K109" s="154">
        <f t="shared" ref="K109" si="22">SUM(I109:J109)</f>
        <v>458</v>
      </c>
      <c r="L109" s="154">
        <f t="shared" si="15"/>
        <v>5731</v>
      </c>
    </row>
    <row r="110" spans="2:12" ht="12.75" x14ac:dyDescent="0.2">
      <c r="B110" s="113">
        <v>44013</v>
      </c>
      <c r="C110" s="154">
        <v>4515</v>
      </c>
      <c r="D110" s="154">
        <v>2459</v>
      </c>
      <c r="E110" s="154">
        <f t="shared" ref="E110" si="23">SUM(C110:D110)</f>
        <v>6974</v>
      </c>
      <c r="F110" s="154">
        <v>191</v>
      </c>
      <c r="G110" s="154">
        <v>130</v>
      </c>
      <c r="H110" s="154">
        <f t="shared" si="17"/>
        <v>321</v>
      </c>
      <c r="I110" s="154">
        <v>497</v>
      </c>
      <c r="J110" s="154">
        <v>390</v>
      </c>
      <c r="K110" s="154">
        <f t="shared" ref="K110" si="24">SUM(I110:J110)</f>
        <v>887</v>
      </c>
      <c r="L110" s="154">
        <f t="shared" si="15"/>
        <v>8182</v>
      </c>
    </row>
    <row r="111" spans="2:12" ht="12.75" x14ac:dyDescent="0.2">
      <c r="B111" s="113">
        <v>44044</v>
      </c>
      <c r="C111" s="154">
        <v>4543</v>
      </c>
      <c r="D111" s="154">
        <v>2497</v>
      </c>
      <c r="E111" s="154">
        <f t="shared" ref="E111" si="25">SUM(C111:D111)</f>
        <v>7040</v>
      </c>
      <c r="F111" s="154">
        <v>180</v>
      </c>
      <c r="G111" s="154">
        <v>146</v>
      </c>
      <c r="H111" s="154">
        <f t="shared" si="17"/>
        <v>326</v>
      </c>
      <c r="I111" s="154">
        <v>246</v>
      </c>
      <c r="J111" s="154">
        <v>221</v>
      </c>
      <c r="K111" s="154">
        <f t="shared" ref="K111" si="26">SUM(I111:J111)</f>
        <v>467</v>
      </c>
      <c r="L111" s="154">
        <f t="shared" si="15"/>
        <v>7833</v>
      </c>
    </row>
    <row r="112" spans="2:12" ht="12.75" x14ac:dyDescent="0.2">
      <c r="B112" s="113">
        <v>44075</v>
      </c>
      <c r="C112" s="154">
        <v>2169</v>
      </c>
      <c r="D112" s="154">
        <v>1096</v>
      </c>
      <c r="E112" s="154">
        <f t="shared" ref="E112" si="27">SUM(C112:D112)</f>
        <v>3265</v>
      </c>
      <c r="F112" s="154">
        <v>93</v>
      </c>
      <c r="G112" s="154">
        <v>82</v>
      </c>
      <c r="H112" s="154">
        <f t="shared" si="17"/>
        <v>175</v>
      </c>
      <c r="I112" s="154">
        <v>123</v>
      </c>
      <c r="J112" s="154">
        <v>80</v>
      </c>
      <c r="K112" s="154">
        <f t="shared" ref="K112" si="28">SUM(I112:J112)</f>
        <v>203</v>
      </c>
      <c r="L112" s="154">
        <f t="shared" si="15"/>
        <v>3643</v>
      </c>
    </row>
    <row r="113" spans="2:12" ht="12.75" x14ac:dyDescent="0.2">
      <c r="B113" s="113">
        <v>44105</v>
      </c>
      <c r="C113" s="154">
        <v>1870</v>
      </c>
      <c r="D113" s="154">
        <v>1040</v>
      </c>
      <c r="E113" s="154">
        <f t="shared" ref="E113" si="29">SUM(C113:D113)</f>
        <v>2910</v>
      </c>
      <c r="F113" s="154">
        <v>30</v>
      </c>
      <c r="G113" s="154">
        <v>43</v>
      </c>
      <c r="H113" s="154">
        <f t="shared" si="17"/>
        <v>73</v>
      </c>
      <c r="I113" s="154">
        <v>145</v>
      </c>
      <c r="J113" s="154">
        <v>90</v>
      </c>
      <c r="K113" s="154">
        <f t="shared" ref="K113" si="30">SUM(I113:J113)</f>
        <v>235</v>
      </c>
      <c r="L113" s="154">
        <f t="shared" si="15"/>
        <v>3218</v>
      </c>
    </row>
    <row r="114" spans="2:12" ht="12.75" x14ac:dyDescent="0.2">
      <c r="B114" s="113">
        <v>44136</v>
      </c>
      <c r="C114" s="154">
        <v>1395</v>
      </c>
      <c r="D114" s="154">
        <v>773</v>
      </c>
      <c r="E114" s="154">
        <f t="shared" ref="E114" si="31">SUM(C114:D114)</f>
        <v>2168</v>
      </c>
      <c r="F114" s="154">
        <v>61</v>
      </c>
      <c r="G114" s="154">
        <v>54</v>
      </c>
      <c r="H114" s="154">
        <f t="shared" si="17"/>
        <v>115</v>
      </c>
      <c r="I114" s="154">
        <v>89</v>
      </c>
      <c r="J114" s="154">
        <v>79</v>
      </c>
      <c r="K114" s="154">
        <f t="shared" ref="K114" si="32">SUM(I114:J114)</f>
        <v>168</v>
      </c>
      <c r="L114" s="154">
        <f t="shared" si="15"/>
        <v>2451</v>
      </c>
    </row>
    <row r="115" spans="2:12" ht="12.75" x14ac:dyDescent="0.2">
      <c r="B115" s="113">
        <v>44166</v>
      </c>
      <c r="C115" s="154">
        <v>1662</v>
      </c>
      <c r="D115" s="154">
        <v>710</v>
      </c>
      <c r="E115" s="154">
        <f t="shared" ref="E115" si="33">SUM(C115:D115)</f>
        <v>2372</v>
      </c>
      <c r="F115" s="154">
        <v>30</v>
      </c>
      <c r="G115" s="154">
        <v>31</v>
      </c>
      <c r="H115" s="154">
        <f t="shared" si="17"/>
        <v>61</v>
      </c>
      <c r="I115" s="154">
        <v>73</v>
      </c>
      <c r="J115" s="154">
        <v>61</v>
      </c>
      <c r="K115" s="154">
        <f t="shared" ref="K115" si="34">SUM(I115:J115)</f>
        <v>134</v>
      </c>
      <c r="L115" s="154">
        <f t="shared" si="15"/>
        <v>2567</v>
      </c>
    </row>
    <row r="116" spans="2:12" ht="12.75" x14ac:dyDescent="0.2">
      <c r="B116" s="124">
        <f>'Cotización Solicitudes'!B115</f>
        <v>2020</v>
      </c>
      <c r="C116" s="125"/>
      <c r="D116" s="125"/>
      <c r="E116" s="125">
        <f>SUM(E104:E115)</f>
        <v>48041</v>
      </c>
      <c r="F116" s="125"/>
      <c r="G116" s="125"/>
      <c r="H116" s="125">
        <f>SUM(H104:H115)</f>
        <v>1985</v>
      </c>
      <c r="I116" s="125"/>
      <c r="J116" s="125"/>
      <c r="K116" s="125"/>
      <c r="L116" s="125">
        <f>SUM(L104:L115)</f>
        <v>53685</v>
      </c>
    </row>
    <row r="117" spans="2:12" ht="12.75" x14ac:dyDescent="0.2">
      <c r="B117" s="113">
        <v>44197</v>
      </c>
      <c r="C117" s="154">
        <v>2090</v>
      </c>
      <c r="D117" s="154">
        <v>934</v>
      </c>
      <c r="E117" s="154">
        <f>SUM(C117:D117)</f>
        <v>3024</v>
      </c>
      <c r="F117" s="154">
        <v>46</v>
      </c>
      <c r="G117" s="154">
        <v>31</v>
      </c>
      <c r="H117" s="154">
        <f>SUM(F117:G117)</f>
        <v>77</v>
      </c>
      <c r="I117" s="154">
        <v>112</v>
      </c>
      <c r="J117" s="154">
        <v>101</v>
      </c>
      <c r="K117" s="154">
        <f>SUM(I117:J117)</f>
        <v>213</v>
      </c>
      <c r="L117" s="154">
        <f t="shared" ref="L117:L119" si="35">E117+H117+K117</f>
        <v>3314</v>
      </c>
    </row>
    <row r="118" spans="2:12" ht="12.75" x14ac:dyDescent="0.2">
      <c r="B118" s="113">
        <v>44228</v>
      </c>
      <c r="C118" s="154">
        <v>2887</v>
      </c>
      <c r="D118" s="154">
        <v>1200</v>
      </c>
      <c r="E118" s="154">
        <f>SUM(C118:D118)</f>
        <v>4087</v>
      </c>
      <c r="F118" s="154">
        <v>78</v>
      </c>
      <c r="G118" s="154">
        <v>53</v>
      </c>
      <c r="H118" s="154">
        <f>SUM(F118:G118)</f>
        <v>131</v>
      </c>
      <c r="I118" s="154">
        <v>114</v>
      </c>
      <c r="J118" s="154">
        <v>90</v>
      </c>
      <c r="K118" s="154">
        <f>SUM(I118:J118)</f>
        <v>204</v>
      </c>
      <c r="L118" s="154">
        <f t="shared" si="35"/>
        <v>4422</v>
      </c>
    </row>
    <row r="119" spans="2:12" ht="12.75" x14ac:dyDescent="0.2">
      <c r="B119" s="113">
        <v>44256</v>
      </c>
      <c r="C119" s="154">
        <v>3264</v>
      </c>
      <c r="D119" s="154">
        <v>1514</v>
      </c>
      <c r="E119" s="154">
        <f t="shared" ref="E119:E120" si="36">SUM(C119:D119)</f>
        <v>4778</v>
      </c>
      <c r="F119" s="154">
        <v>49</v>
      </c>
      <c r="G119" s="154">
        <v>53</v>
      </c>
      <c r="H119" s="154">
        <f t="shared" ref="H119:H128" si="37">SUM(F119:G119)</f>
        <v>102</v>
      </c>
      <c r="I119" s="154">
        <v>308</v>
      </c>
      <c r="J119" s="154">
        <v>203</v>
      </c>
      <c r="K119" s="154">
        <f t="shared" ref="K119" si="38">SUM(I119:J119)</f>
        <v>511</v>
      </c>
      <c r="L119" s="154">
        <f t="shared" si="35"/>
        <v>5391</v>
      </c>
    </row>
    <row r="120" spans="2:12" ht="12.75" x14ac:dyDescent="0.2">
      <c r="B120" s="113">
        <v>44287</v>
      </c>
      <c r="C120" s="154">
        <v>4279</v>
      </c>
      <c r="D120" s="154">
        <v>2062</v>
      </c>
      <c r="E120" s="154">
        <f t="shared" si="36"/>
        <v>6341</v>
      </c>
      <c r="F120" s="154">
        <v>106</v>
      </c>
      <c r="G120" s="154">
        <v>82</v>
      </c>
      <c r="H120" s="154">
        <f t="shared" si="37"/>
        <v>188</v>
      </c>
      <c r="I120" s="154">
        <v>342</v>
      </c>
      <c r="J120" s="154">
        <v>272</v>
      </c>
      <c r="K120" s="154">
        <f t="shared" ref="K120:K121" si="39">SUM(I120:J120)</f>
        <v>614</v>
      </c>
      <c r="L120" s="154">
        <f t="shared" ref="L120:L129" si="40">E120+H120+K120</f>
        <v>7143</v>
      </c>
    </row>
    <row r="121" spans="2:12" ht="12.75" x14ac:dyDescent="0.2">
      <c r="B121" s="113">
        <v>44317</v>
      </c>
      <c r="C121" s="154">
        <v>3493</v>
      </c>
      <c r="D121" s="154">
        <v>1924</v>
      </c>
      <c r="E121" s="154">
        <f>SUM(C121:D121)</f>
        <v>5417</v>
      </c>
      <c r="F121" s="154">
        <v>95</v>
      </c>
      <c r="G121" s="154">
        <v>76</v>
      </c>
      <c r="H121" s="154">
        <f t="shared" si="37"/>
        <v>171</v>
      </c>
      <c r="I121" s="154">
        <v>260</v>
      </c>
      <c r="J121" s="154">
        <v>237</v>
      </c>
      <c r="K121" s="154">
        <f t="shared" si="39"/>
        <v>497</v>
      </c>
      <c r="L121" s="154">
        <f t="shared" si="40"/>
        <v>6085</v>
      </c>
    </row>
    <row r="122" spans="2:12" ht="12.75" x14ac:dyDescent="0.2">
      <c r="B122" s="113">
        <v>44348</v>
      </c>
      <c r="C122" s="154">
        <v>2836</v>
      </c>
      <c r="D122" s="154">
        <v>1991</v>
      </c>
      <c r="E122" s="154">
        <f>SUM(C122:D122)</f>
        <v>4827</v>
      </c>
      <c r="F122" s="154">
        <v>87</v>
      </c>
      <c r="G122" s="154">
        <v>140</v>
      </c>
      <c r="H122" s="154">
        <f t="shared" si="37"/>
        <v>227</v>
      </c>
      <c r="I122" s="154">
        <v>262</v>
      </c>
      <c r="J122" s="154">
        <v>199</v>
      </c>
      <c r="K122" s="154">
        <f t="shared" ref="K122:K124" si="41">SUM(I122:J122)</f>
        <v>461</v>
      </c>
      <c r="L122" s="154">
        <f t="shared" ref="L122:L124" si="42">E122+H122+K122</f>
        <v>5515</v>
      </c>
    </row>
    <row r="123" spans="2:12" x14ac:dyDescent="0.2">
      <c r="B123" s="78">
        <v>44378</v>
      </c>
      <c r="C123" s="265">
        <v>2343</v>
      </c>
      <c r="D123" s="265">
        <v>1233</v>
      </c>
      <c r="E123" s="265">
        <f t="shared" ref="E123" si="43">SUM(C123:D123)</f>
        <v>3576</v>
      </c>
      <c r="F123" s="265">
        <v>100</v>
      </c>
      <c r="G123" s="265">
        <v>93</v>
      </c>
      <c r="H123" s="265">
        <f t="shared" si="37"/>
        <v>193</v>
      </c>
      <c r="I123" s="265">
        <v>212</v>
      </c>
      <c r="J123" s="265">
        <v>162</v>
      </c>
      <c r="K123" s="265">
        <f t="shared" si="41"/>
        <v>374</v>
      </c>
      <c r="L123" s="265">
        <f t="shared" si="42"/>
        <v>4143</v>
      </c>
    </row>
    <row r="124" spans="2:12" x14ac:dyDescent="0.2">
      <c r="B124" s="78">
        <v>44409</v>
      </c>
      <c r="C124" s="265">
        <v>2201</v>
      </c>
      <c r="D124" s="265">
        <v>996</v>
      </c>
      <c r="E124" s="265">
        <f t="shared" ref="E124:E126" si="44">SUM(C124:D124)</f>
        <v>3197</v>
      </c>
      <c r="F124" s="265">
        <v>47</v>
      </c>
      <c r="G124" s="265">
        <v>37</v>
      </c>
      <c r="H124" s="265">
        <f t="shared" si="37"/>
        <v>84</v>
      </c>
      <c r="I124" s="265">
        <v>212</v>
      </c>
      <c r="J124" s="265">
        <v>146</v>
      </c>
      <c r="K124" s="265">
        <f t="shared" si="41"/>
        <v>358</v>
      </c>
      <c r="L124" s="265">
        <f t="shared" si="42"/>
        <v>3639</v>
      </c>
    </row>
    <row r="125" spans="2:12" ht="12.75" x14ac:dyDescent="0.2">
      <c r="B125" s="113">
        <v>44440</v>
      </c>
      <c r="C125" s="265">
        <v>1991</v>
      </c>
      <c r="D125" s="265">
        <v>1077</v>
      </c>
      <c r="E125" s="265">
        <f t="shared" si="44"/>
        <v>3068</v>
      </c>
      <c r="F125" s="265">
        <v>76</v>
      </c>
      <c r="G125" s="265">
        <v>70</v>
      </c>
      <c r="H125" s="265">
        <f t="shared" si="37"/>
        <v>146</v>
      </c>
      <c r="I125" s="265">
        <v>208</v>
      </c>
      <c r="J125" s="265">
        <v>146</v>
      </c>
      <c r="K125" s="265">
        <f t="shared" ref="K125" si="45">SUM(I125:J125)</f>
        <v>354</v>
      </c>
      <c r="L125" s="265">
        <f t="shared" ref="L125" si="46">E125+H125+K125</f>
        <v>3568</v>
      </c>
    </row>
    <row r="126" spans="2:12" x14ac:dyDescent="0.2">
      <c r="B126" s="78">
        <v>44470</v>
      </c>
      <c r="C126" s="265">
        <v>1639</v>
      </c>
      <c r="D126" s="265">
        <v>788</v>
      </c>
      <c r="E126" s="265">
        <f t="shared" si="44"/>
        <v>2427</v>
      </c>
      <c r="F126" s="265">
        <v>61</v>
      </c>
      <c r="G126" s="265">
        <v>34</v>
      </c>
      <c r="H126" s="265">
        <f t="shared" si="37"/>
        <v>95</v>
      </c>
      <c r="I126" s="265">
        <v>144</v>
      </c>
      <c r="J126" s="265">
        <v>79</v>
      </c>
      <c r="K126" s="265">
        <f t="shared" ref="K126:K128" si="47">SUM(I126:J126)</f>
        <v>223</v>
      </c>
      <c r="L126" s="265">
        <f t="shared" ref="L126:L128" si="48">E126+H126+K126</f>
        <v>2745</v>
      </c>
    </row>
    <row r="127" spans="2:12" x14ac:dyDescent="0.2">
      <c r="B127" s="78">
        <v>44501</v>
      </c>
      <c r="C127" s="265">
        <v>1532</v>
      </c>
      <c r="D127" s="265">
        <v>765</v>
      </c>
      <c r="E127" s="265">
        <f t="shared" ref="E127" si="49">SUM(C127:D127)</f>
        <v>2297</v>
      </c>
      <c r="F127" s="265">
        <v>25</v>
      </c>
      <c r="G127" s="265">
        <v>18</v>
      </c>
      <c r="H127" s="265">
        <f t="shared" si="37"/>
        <v>43</v>
      </c>
      <c r="I127" s="265">
        <v>179</v>
      </c>
      <c r="J127" s="265">
        <v>114</v>
      </c>
      <c r="K127" s="265">
        <f t="shared" si="47"/>
        <v>293</v>
      </c>
      <c r="L127" s="265">
        <f t="shared" si="48"/>
        <v>2633</v>
      </c>
    </row>
    <row r="128" spans="2:12" x14ac:dyDescent="0.2">
      <c r="B128" s="78">
        <v>44531</v>
      </c>
      <c r="C128" s="265">
        <v>1277</v>
      </c>
      <c r="D128" s="265">
        <v>646</v>
      </c>
      <c r="E128" s="265">
        <f t="shared" ref="E128" si="50">SUM(C128:D128)</f>
        <v>1923</v>
      </c>
      <c r="F128" s="265">
        <v>39</v>
      </c>
      <c r="G128" s="265">
        <v>24</v>
      </c>
      <c r="H128" s="265">
        <f t="shared" si="37"/>
        <v>63</v>
      </c>
      <c r="I128" s="265">
        <v>76</v>
      </c>
      <c r="J128" s="265">
        <v>105</v>
      </c>
      <c r="K128" s="265">
        <f t="shared" si="47"/>
        <v>181</v>
      </c>
      <c r="L128" s="265">
        <f t="shared" si="48"/>
        <v>2167</v>
      </c>
    </row>
    <row r="129" spans="2:12" ht="12.75" x14ac:dyDescent="0.2">
      <c r="B129" s="124">
        <f>'Contratación Solicitudes'!B132</f>
        <v>2021</v>
      </c>
      <c r="C129" s="125"/>
      <c r="D129" s="125"/>
      <c r="E129" s="125">
        <f>SUM(E117:E128)</f>
        <v>44962</v>
      </c>
      <c r="F129" s="125"/>
      <c r="G129" s="125"/>
      <c r="H129" s="125">
        <f>SUM(H117:H128)</f>
        <v>1520</v>
      </c>
      <c r="I129" s="125"/>
      <c r="J129" s="125"/>
      <c r="K129" s="125">
        <f>SUM(K117:K128)</f>
        <v>4283</v>
      </c>
      <c r="L129" s="125">
        <f t="shared" si="40"/>
        <v>50765</v>
      </c>
    </row>
    <row r="130" spans="2:12" x14ac:dyDescent="0.2">
      <c r="B130" s="78">
        <v>44562</v>
      </c>
      <c r="C130" s="265">
        <v>1886</v>
      </c>
      <c r="D130" s="265">
        <v>887</v>
      </c>
      <c r="E130" s="265">
        <v>2773</v>
      </c>
      <c r="F130" s="265">
        <v>53</v>
      </c>
      <c r="G130" s="265">
        <v>47</v>
      </c>
      <c r="H130" s="265">
        <v>100</v>
      </c>
      <c r="I130" s="265">
        <v>181</v>
      </c>
      <c r="J130" s="265">
        <v>113</v>
      </c>
      <c r="K130" s="265">
        <v>294</v>
      </c>
      <c r="L130" s="265">
        <v>3167</v>
      </c>
    </row>
    <row r="131" spans="2:12" x14ac:dyDescent="0.2">
      <c r="B131" s="78">
        <v>44593</v>
      </c>
      <c r="C131" s="265">
        <v>1412</v>
      </c>
      <c r="D131" s="265">
        <v>595</v>
      </c>
      <c r="E131" s="265">
        <f>SUM(C131:D131)</f>
        <v>2007</v>
      </c>
      <c r="F131" s="265">
        <v>30</v>
      </c>
      <c r="G131" s="265">
        <v>18</v>
      </c>
      <c r="H131" s="265">
        <f t="shared" ref="H131:H135" si="51">SUM(F131:G131)</f>
        <v>48</v>
      </c>
      <c r="I131" s="265">
        <v>91</v>
      </c>
      <c r="J131" s="265">
        <v>65</v>
      </c>
      <c r="K131" s="265">
        <f t="shared" ref="K131:K135" si="52">SUM(I131:J131)</f>
        <v>156</v>
      </c>
      <c r="L131" s="265">
        <f t="shared" ref="L131:L136" si="53">E131+H131+K131</f>
        <v>2211</v>
      </c>
    </row>
    <row r="132" spans="2:12" x14ac:dyDescent="0.2">
      <c r="B132" s="78">
        <v>44621</v>
      </c>
      <c r="C132" s="265">
        <v>1162</v>
      </c>
      <c r="D132" s="265">
        <v>726</v>
      </c>
      <c r="E132" s="265">
        <f t="shared" ref="E132" si="54">SUM(C132:D132)</f>
        <v>1888</v>
      </c>
      <c r="F132" s="265">
        <v>26</v>
      </c>
      <c r="G132" s="265">
        <v>33</v>
      </c>
      <c r="H132" s="265">
        <f t="shared" si="51"/>
        <v>59</v>
      </c>
      <c r="I132" s="265">
        <v>134</v>
      </c>
      <c r="J132" s="265">
        <v>63</v>
      </c>
      <c r="K132" s="265">
        <f t="shared" si="52"/>
        <v>197</v>
      </c>
      <c r="L132" s="265">
        <f t="shared" si="53"/>
        <v>2144</v>
      </c>
    </row>
    <row r="133" spans="2:12" x14ac:dyDescent="0.2">
      <c r="B133" s="78">
        <v>44652</v>
      </c>
      <c r="C133" s="265">
        <v>3769</v>
      </c>
      <c r="D133" s="265">
        <v>1904</v>
      </c>
      <c r="E133" s="265">
        <f t="shared" ref="E133" si="55">SUM(C133:D133)</f>
        <v>5673</v>
      </c>
      <c r="F133" s="265">
        <v>61</v>
      </c>
      <c r="G133" s="265">
        <v>35</v>
      </c>
      <c r="H133" s="265">
        <f t="shared" si="51"/>
        <v>96</v>
      </c>
      <c r="I133" s="265">
        <v>462</v>
      </c>
      <c r="J133" s="265">
        <v>323</v>
      </c>
      <c r="K133" s="265">
        <f t="shared" si="52"/>
        <v>785</v>
      </c>
      <c r="L133" s="265">
        <f t="shared" si="53"/>
        <v>6554</v>
      </c>
    </row>
    <row r="134" spans="2:12" x14ac:dyDescent="0.2">
      <c r="B134" s="78">
        <v>44682</v>
      </c>
      <c r="C134" s="265">
        <v>2974</v>
      </c>
      <c r="D134" s="265">
        <v>1701</v>
      </c>
      <c r="E134" s="265">
        <f>SUM(C134:D134)</f>
        <v>4675</v>
      </c>
      <c r="F134" s="265">
        <v>45</v>
      </c>
      <c r="G134" s="265">
        <v>26</v>
      </c>
      <c r="H134" s="265">
        <f t="shared" si="51"/>
        <v>71</v>
      </c>
      <c r="I134" s="265">
        <v>95</v>
      </c>
      <c r="J134" s="265">
        <v>56</v>
      </c>
      <c r="K134" s="265">
        <f t="shared" si="52"/>
        <v>151</v>
      </c>
      <c r="L134" s="265">
        <f t="shared" si="53"/>
        <v>4897</v>
      </c>
    </row>
    <row r="135" spans="2:12" x14ac:dyDescent="0.2">
      <c r="B135" s="78">
        <v>44713</v>
      </c>
      <c r="C135" s="265">
        <v>2583</v>
      </c>
      <c r="D135" s="265">
        <v>1144</v>
      </c>
      <c r="E135" s="265">
        <f t="shared" ref="E135" si="56">SUM(C135:D135)</f>
        <v>3727</v>
      </c>
      <c r="F135" s="265">
        <v>69</v>
      </c>
      <c r="G135" s="265">
        <v>74</v>
      </c>
      <c r="H135" s="265">
        <f t="shared" si="51"/>
        <v>143</v>
      </c>
      <c r="I135" s="265">
        <v>154</v>
      </c>
      <c r="J135" s="265">
        <v>115</v>
      </c>
      <c r="K135" s="265">
        <f t="shared" si="52"/>
        <v>269</v>
      </c>
      <c r="L135" s="265">
        <f t="shared" si="53"/>
        <v>4139</v>
      </c>
    </row>
    <row r="136" spans="2:12" ht="12.75" x14ac:dyDescent="0.2">
      <c r="B136" s="124" t="str">
        <f>'Contratación Solicitudes'!B139</f>
        <v>A jun-2022</v>
      </c>
      <c r="C136" s="125"/>
      <c r="D136" s="125"/>
      <c r="E136" s="125">
        <f>SUM(E130:E135)</f>
        <v>20743</v>
      </c>
      <c r="F136" s="125"/>
      <c r="G136" s="125"/>
      <c r="H136" s="125">
        <f>SUM(H130:H135)</f>
        <v>517</v>
      </c>
      <c r="I136" s="125"/>
      <c r="J136" s="125"/>
      <c r="K136" s="125">
        <f>SUM(K130:K135)</f>
        <v>1852</v>
      </c>
      <c r="L136" s="125">
        <f t="shared" si="53"/>
        <v>23112</v>
      </c>
    </row>
    <row r="137" spans="2:12" x14ac:dyDescent="0.2">
      <c r="B137" s="21" t="s">
        <v>419</v>
      </c>
    </row>
  </sheetData>
  <mergeCells count="8">
    <mergeCell ref="B5:L5"/>
    <mergeCell ref="B6:L6"/>
    <mergeCell ref="B8:B10"/>
    <mergeCell ref="C8:L8"/>
    <mergeCell ref="C9:E9"/>
    <mergeCell ref="F9:H9"/>
    <mergeCell ref="I9:K9"/>
    <mergeCell ref="L9:L10"/>
  </mergeCells>
  <hyperlinks>
    <hyperlink ref="N5" location="'Índice STJ'!A1" display="'Índice STJ'!A1" xr:uid="{00000000-0004-0000-1F00-000000000000}"/>
  </hyperlinks>
  <pageMargins left="0.7" right="0.7" top="0.75" bottom="0.75" header="0.3" footer="0.3"/>
  <pageSetup orientation="portrait" horizontalDpi="300" verticalDpi="300" r:id="rId1"/>
  <ignoredErrors>
    <ignoredError sqref="E25:K25 E104:E105 E106:E109 E110:E111" formulaRange="1"/>
    <ignoredError sqref="L103" formula="1"/>
    <ignoredError sqref="L25" formula="1" formulaRange="1"/>
  </ignoredError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2:K184"/>
  <sheetViews>
    <sheetView showGridLines="0" zoomScale="90" zoomScaleNormal="90" workbookViewId="0">
      <pane xSplit="2" ySplit="10" topLeftCell="C132" activePane="bottomRight" state="frozen"/>
      <selection activeCell="B6" sqref="B6:L6"/>
      <selection pane="topRight" activeCell="B6" sqref="B6:L6"/>
      <selection pane="bottomLeft" activeCell="B6" sqref="B6:L6"/>
      <selection pane="bottomRight" activeCell="D137" sqref="D137"/>
    </sheetView>
  </sheetViews>
  <sheetFormatPr baseColWidth="10" defaultColWidth="11.42578125" defaultRowHeight="12" x14ac:dyDescent="0.2"/>
  <cols>
    <col min="1" max="1" width="6" style="21" customWidth="1"/>
    <col min="2" max="3" width="11.42578125" style="21"/>
    <col min="4" max="4" width="13.42578125" style="21" customWidth="1"/>
    <col min="5" max="16384" width="11.42578125" style="21"/>
  </cols>
  <sheetData>
    <row r="2" spans="1:11" x14ac:dyDescent="0.2">
      <c r="A2" s="40" t="s">
        <v>58</v>
      </c>
      <c r="K2" s="246"/>
    </row>
    <row r="3" spans="1:11" x14ac:dyDescent="0.2">
      <c r="A3" s="40" t="s">
        <v>59</v>
      </c>
    </row>
    <row r="5" spans="1:11" ht="12.75" x14ac:dyDescent="0.2">
      <c r="B5" s="344" t="s">
        <v>487</v>
      </c>
      <c r="C5" s="344"/>
      <c r="D5" s="344"/>
      <c r="E5" s="344"/>
      <c r="F5" s="344"/>
      <c r="G5" s="344"/>
      <c r="H5" s="344"/>
      <c r="J5" s="105" t="s">
        <v>510</v>
      </c>
    </row>
    <row r="6" spans="1:11" ht="12.75" x14ac:dyDescent="0.2">
      <c r="B6" s="417" t="s">
        <v>630</v>
      </c>
      <c r="C6" s="417"/>
      <c r="D6" s="417"/>
      <c r="E6" s="417"/>
      <c r="F6" s="417"/>
      <c r="G6" s="417"/>
      <c r="H6" s="417"/>
    </row>
    <row r="8" spans="1:11" x14ac:dyDescent="0.2">
      <c r="B8" s="418" t="s">
        <v>411</v>
      </c>
      <c r="C8" s="421" t="s">
        <v>488</v>
      </c>
      <c r="D8" s="422"/>
      <c r="E8" s="423" t="s">
        <v>489</v>
      </c>
      <c r="F8" s="424"/>
      <c r="G8" s="424"/>
      <c r="H8" s="425"/>
    </row>
    <row r="9" spans="1:11" ht="26.25" customHeight="1" x14ac:dyDescent="0.2">
      <c r="B9" s="419"/>
      <c r="C9" s="426" t="s">
        <v>490</v>
      </c>
      <c r="D9" s="426" t="s">
        <v>491</v>
      </c>
      <c r="E9" s="428" t="s">
        <v>490</v>
      </c>
      <c r="F9" s="430" t="s">
        <v>492</v>
      </c>
      <c r="G9" s="431"/>
      <c r="H9" s="432"/>
    </row>
    <row r="10" spans="1:11" ht="36" customHeight="1" x14ac:dyDescent="0.2">
      <c r="B10" s="420"/>
      <c r="C10" s="427"/>
      <c r="D10" s="427"/>
      <c r="E10" s="429"/>
      <c r="F10" s="150" t="s">
        <v>493</v>
      </c>
      <c r="G10" s="150" t="s">
        <v>494</v>
      </c>
      <c r="H10" s="260" t="s">
        <v>470</v>
      </c>
    </row>
    <row r="11" spans="1:11" x14ac:dyDescent="0.2">
      <c r="B11" s="155">
        <v>39873</v>
      </c>
      <c r="C11" s="82">
        <v>10625</v>
      </c>
      <c r="D11" s="83">
        <v>174</v>
      </c>
      <c r="E11" s="83" t="s">
        <v>495</v>
      </c>
      <c r="F11" s="83"/>
      <c r="G11" s="83"/>
      <c r="H11" s="83"/>
    </row>
    <row r="12" spans="1:11" x14ac:dyDescent="0.2">
      <c r="B12" s="155">
        <v>39904</v>
      </c>
      <c r="C12" s="82">
        <v>6095</v>
      </c>
      <c r="D12" s="83">
        <v>194</v>
      </c>
      <c r="E12" s="83" t="s">
        <v>495</v>
      </c>
      <c r="F12" s="83"/>
      <c r="G12" s="83"/>
      <c r="H12" s="83"/>
    </row>
    <row r="13" spans="1:11" x14ac:dyDescent="0.2">
      <c r="B13" s="155">
        <v>39934</v>
      </c>
      <c r="C13" s="82">
        <v>7497</v>
      </c>
      <c r="D13" s="83">
        <v>290</v>
      </c>
      <c r="E13" s="83" t="s">
        <v>495</v>
      </c>
      <c r="F13" s="83"/>
      <c r="G13" s="83"/>
      <c r="H13" s="83"/>
    </row>
    <row r="14" spans="1:11" x14ac:dyDescent="0.2">
      <c r="B14" s="155">
        <v>39965</v>
      </c>
      <c r="C14" s="82">
        <v>8878</v>
      </c>
      <c r="D14" s="83">
        <v>241</v>
      </c>
      <c r="E14" s="83" t="s">
        <v>495</v>
      </c>
      <c r="F14" s="83"/>
      <c r="G14" s="83"/>
      <c r="H14" s="83"/>
    </row>
    <row r="15" spans="1:11" x14ac:dyDescent="0.2">
      <c r="B15" s="155">
        <v>39995</v>
      </c>
      <c r="C15" s="82">
        <v>13580</v>
      </c>
      <c r="D15" s="83">
        <v>349</v>
      </c>
      <c r="E15" s="83" t="s">
        <v>495</v>
      </c>
      <c r="F15" s="83"/>
      <c r="G15" s="83"/>
      <c r="H15" s="83"/>
    </row>
    <row r="16" spans="1:11" x14ac:dyDescent="0.2">
      <c r="B16" s="155">
        <v>40026</v>
      </c>
      <c r="C16" s="82">
        <v>9451</v>
      </c>
      <c r="D16" s="83">
        <v>290</v>
      </c>
      <c r="E16" s="83" t="s">
        <v>495</v>
      </c>
      <c r="F16" s="83"/>
      <c r="G16" s="83"/>
      <c r="H16" s="83"/>
    </row>
    <row r="17" spans="2:8" x14ac:dyDescent="0.2">
      <c r="B17" s="155">
        <v>40057</v>
      </c>
      <c r="C17" s="82">
        <v>16175</v>
      </c>
      <c r="D17" s="83">
        <v>423</v>
      </c>
      <c r="E17" s="83" t="s">
        <v>495</v>
      </c>
      <c r="F17" s="83"/>
      <c r="G17" s="83"/>
      <c r="H17" s="83"/>
    </row>
    <row r="18" spans="2:8" x14ac:dyDescent="0.2">
      <c r="B18" s="155">
        <v>40087</v>
      </c>
      <c r="C18" s="82">
        <v>21738</v>
      </c>
      <c r="D18" s="83">
        <v>442</v>
      </c>
      <c r="E18" s="83" t="s">
        <v>495</v>
      </c>
      <c r="F18" s="83"/>
      <c r="G18" s="83"/>
      <c r="H18" s="83"/>
    </row>
    <row r="19" spans="2:8" x14ac:dyDescent="0.2">
      <c r="B19" s="155">
        <v>40118</v>
      </c>
      <c r="C19" s="82">
        <v>20687</v>
      </c>
      <c r="D19" s="83">
        <v>464</v>
      </c>
      <c r="E19" s="83" t="s">
        <v>495</v>
      </c>
      <c r="F19" s="83"/>
      <c r="G19" s="83"/>
      <c r="H19" s="83"/>
    </row>
    <row r="20" spans="2:8" x14ac:dyDescent="0.2">
      <c r="B20" s="155">
        <v>40148</v>
      </c>
      <c r="C20" s="82">
        <v>19925</v>
      </c>
      <c r="D20" s="83">
        <v>464</v>
      </c>
      <c r="E20" s="83" t="s">
        <v>495</v>
      </c>
      <c r="F20" s="83"/>
      <c r="G20" s="83"/>
      <c r="H20" s="83"/>
    </row>
    <row r="21" spans="2:8" x14ac:dyDescent="0.2">
      <c r="B21" s="155">
        <v>40179</v>
      </c>
      <c r="C21" s="82">
        <v>14517</v>
      </c>
      <c r="D21" s="83">
        <v>460</v>
      </c>
      <c r="E21" s="83" t="s">
        <v>495</v>
      </c>
      <c r="F21" s="83"/>
      <c r="G21" s="83"/>
      <c r="H21" s="83"/>
    </row>
    <row r="22" spans="2:8" x14ac:dyDescent="0.2">
      <c r="B22" s="155">
        <v>40210</v>
      </c>
      <c r="C22" s="82">
        <v>21073</v>
      </c>
      <c r="D22" s="83">
        <v>461</v>
      </c>
      <c r="E22" s="83" t="s">
        <v>495</v>
      </c>
      <c r="F22" s="83"/>
      <c r="G22" s="83"/>
      <c r="H22" s="83"/>
    </row>
    <row r="23" spans="2:8" x14ac:dyDescent="0.2">
      <c r="B23" s="155">
        <v>40238</v>
      </c>
      <c r="C23" s="82">
        <v>1853</v>
      </c>
      <c r="D23" s="83">
        <v>230</v>
      </c>
      <c r="E23" s="83" t="s">
        <v>495</v>
      </c>
      <c r="F23" s="83"/>
      <c r="G23" s="83"/>
      <c r="H23" s="83"/>
    </row>
    <row r="24" spans="2:8" x14ac:dyDescent="0.2">
      <c r="B24" s="155">
        <v>40269</v>
      </c>
      <c r="C24" s="82">
        <v>34023</v>
      </c>
      <c r="D24" s="83">
        <v>448</v>
      </c>
      <c r="E24" s="83" t="s">
        <v>495</v>
      </c>
      <c r="F24" s="83"/>
      <c r="G24" s="83"/>
      <c r="H24" s="83"/>
    </row>
    <row r="25" spans="2:8" x14ac:dyDescent="0.2">
      <c r="B25" s="155">
        <v>40299</v>
      </c>
      <c r="C25" s="82">
        <v>12204</v>
      </c>
      <c r="D25" s="83">
        <v>424</v>
      </c>
      <c r="E25" s="83" t="s">
        <v>495</v>
      </c>
      <c r="F25" s="83"/>
      <c r="G25" s="83"/>
      <c r="H25" s="83"/>
    </row>
    <row r="26" spans="2:8" x14ac:dyDescent="0.2">
      <c r="B26" s="155">
        <v>40330</v>
      </c>
      <c r="C26" s="82">
        <v>1575</v>
      </c>
      <c r="D26" s="83">
        <v>167</v>
      </c>
      <c r="E26" s="83" t="s">
        <v>495</v>
      </c>
      <c r="F26" s="83"/>
      <c r="G26" s="83"/>
      <c r="H26" s="83"/>
    </row>
    <row r="27" spans="2:8" x14ac:dyDescent="0.2">
      <c r="B27" s="155">
        <v>40360</v>
      </c>
      <c r="C27" s="82">
        <v>1875</v>
      </c>
      <c r="D27" s="83">
        <v>166</v>
      </c>
      <c r="E27" s="83" t="s">
        <v>495</v>
      </c>
      <c r="F27" s="83"/>
      <c r="G27" s="83"/>
      <c r="H27" s="83"/>
    </row>
    <row r="28" spans="2:8" x14ac:dyDescent="0.2">
      <c r="B28" s="155">
        <v>40391</v>
      </c>
      <c r="C28" s="82">
        <v>7627</v>
      </c>
      <c r="D28" s="83">
        <v>189</v>
      </c>
      <c r="E28" s="83" t="s">
        <v>495</v>
      </c>
      <c r="F28" s="83"/>
      <c r="G28" s="83"/>
      <c r="H28" s="83"/>
    </row>
    <row r="29" spans="2:8" x14ac:dyDescent="0.2">
      <c r="B29" s="155">
        <v>40422</v>
      </c>
      <c r="C29" s="82">
        <v>1802</v>
      </c>
      <c r="D29" s="83">
        <v>151</v>
      </c>
      <c r="E29" s="83" t="s">
        <v>495</v>
      </c>
      <c r="F29" s="83"/>
      <c r="G29" s="83"/>
      <c r="H29" s="83"/>
    </row>
    <row r="30" spans="2:8" x14ac:dyDescent="0.2">
      <c r="B30" s="155">
        <v>40452</v>
      </c>
      <c r="C30" s="82">
        <v>3251</v>
      </c>
      <c r="D30" s="83">
        <v>152</v>
      </c>
      <c r="E30" s="83" t="s">
        <v>495</v>
      </c>
      <c r="F30" s="83"/>
      <c r="G30" s="83"/>
      <c r="H30" s="83"/>
    </row>
    <row r="31" spans="2:8" x14ac:dyDescent="0.2">
      <c r="B31" s="155">
        <v>40483</v>
      </c>
      <c r="C31" s="83">
        <v>986</v>
      </c>
      <c r="D31" s="83">
        <v>122</v>
      </c>
      <c r="E31" s="83" t="s">
        <v>495</v>
      </c>
      <c r="F31" s="83"/>
      <c r="G31" s="83"/>
      <c r="H31" s="83"/>
    </row>
    <row r="32" spans="2:8" x14ac:dyDescent="0.2">
      <c r="B32" s="155">
        <v>40513</v>
      </c>
      <c r="C32" s="82">
        <v>1370</v>
      </c>
      <c r="D32" s="83">
        <v>102</v>
      </c>
      <c r="E32" s="83" t="s">
        <v>495</v>
      </c>
      <c r="F32" s="83"/>
      <c r="G32" s="83"/>
      <c r="H32" s="83"/>
    </row>
    <row r="33" spans="2:8" x14ac:dyDescent="0.2">
      <c r="B33" s="155">
        <v>40544</v>
      </c>
      <c r="C33" s="83">
        <v>547</v>
      </c>
      <c r="D33" s="83">
        <v>96</v>
      </c>
      <c r="E33" s="83" t="s">
        <v>495</v>
      </c>
      <c r="F33" s="83"/>
      <c r="G33" s="83"/>
      <c r="H33" s="83"/>
    </row>
    <row r="34" spans="2:8" x14ac:dyDescent="0.2">
      <c r="B34" s="155">
        <v>40575</v>
      </c>
      <c r="C34" s="83">
        <v>986</v>
      </c>
      <c r="D34" s="83">
        <v>105</v>
      </c>
      <c r="E34" s="83" t="s">
        <v>495</v>
      </c>
      <c r="F34" s="83"/>
      <c r="G34" s="83"/>
      <c r="H34" s="83"/>
    </row>
    <row r="35" spans="2:8" x14ac:dyDescent="0.2">
      <c r="B35" s="155">
        <v>40603</v>
      </c>
      <c r="C35" s="83">
        <v>531</v>
      </c>
      <c r="D35" s="83">
        <v>76</v>
      </c>
      <c r="E35" s="83" t="s">
        <v>495</v>
      </c>
      <c r="F35" s="83"/>
      <c r="G35" s="83"/>
      <c r="H35" s="83"/>
    </row>
    <row r="36" spans="2:8" x14ac:dyDescent="0.2">
      <c r="B36" s="155">
        <v>40634</v>
      </c>
      <c r="C36" s="82">
        <v>1064</v>
      </c>
      <c r="D36" s="83">
        <v>129</v>
      </c>
      <c r="E36" s="83" t="s">
        <v>495</v>
      </c>
      <c r="F36" s="83"/>
      <c r="G36" s="83"/>
      <c r="H36" s="83"/>
    </row>
    <row r="37" spans="2:8" x14ac:dyDescent="0.2">
      <c r="B37" s="155">
        <v>40664</v>
      </c>
      <c r="C37" s="82">
        <v>1100</v>
      </c>
      <c r="D37" s="83">
        <v>91</v>
      </c>
      <c r="E37" s="83" t="s">
        <v>495</v>
      </c>
      <c r="F37" s="83"/>
      <c r="G37" s="83"/>
      <c r="H37" s="83"/>
    </row>
    <row r="38" spans="2:8" x14ac:dyDescent="0.2">
      <c r="B38" s="155">
        <v>40695</v>
      </c>
      <c r="C38" s="82">
        <v>1238</v>
      </c>
      <c r="D38" s="83">
        <v>106</v>
      </c>
      <c r="E38" s="83" t="s">
        <v>495</v>
      </c>
      <c r="F38" s="83"/>
      <c r="G38" s="83"/>
      <c r="H38" s="83"/>
    </row>
    <row r="39" spans="2:8" x14ac:dyDescent="0.2">
      <c r="B39" s="155">
        <v>40725</v>
      </c>
      <c r="C39" s="83">
        <v>173</v>
      </c>
      <c r="D39" s="83">
        <v>25</v>
      </c>
      <c r="E39" s="83" t="s">
        <v>495</v>
      </c>
      <c r="F39" s="83"/>
      <c r="G39" s="83"/>
      <c r="H39" s="83"/>
    </row>
    <row r="40" spans="2:8" x14ac:dyDescent="0.2">
      <c r="B40" s="155">
        <v>40756</v>
      </c>
      <c r="C40" s="83">
        <v>810</v>
      </c>
      <c r="D40" s="83">
        <v>59</v>
      </c>
      <c r="E40" s="83" t="s">
        <v>495</v>
      </c>
      <c r="F40" s="83"/>
      <c r="G40" s="83"/>
      <c r="H40" s="83"/>
    </row>
    <row r="41" spans="2:8" x14ac:dyDescent="0.2">
      <c r="B41" s="155">
        <v>40787</v>
      </c>
      <c r="C41" s="83">
        <v>476</v>
      </c>
      <c r="D41" s="83">
        <v>65</v>
      </c>
      <c r="E41" s="82">
        <v>1634</v>
      </c>
      <c r="F41" s="82"/>
      <c r="G41" s="82"/>
      <c r="H41" s="82">
        <v>1620</v>
      </c>
    </row>
    <row r="42" spans="2:8" x14ac:dyDescent="0.2">
      <c r="B42" s="155">
        <v>40817</v>
      </c>
      <c r="C42" s="82">
        <v>1568</v>
      </c>
      <c r="D42" s="83">
        <v>75</v>
      </c>
      <c r="E42" s="82">
        <v>5036</v>
      </c>
      <c r="F42" s="82"/>
      <c r="G42" s="82"/>
      <c r="H42" s="82">
        <v>4518</v>
      </c>
    </row>
    <row r="43" spans="2:8" x14ac:dyDescent="0.2">
      <c r="B43" s="155">
        <v>40848</v>
      </c>
      <c r="C43" s="83">
        <v>906</v>
      </c>
      <c r="D43" s="83">
        <v>39</v>
      </c>
      <c r="E43" s="82">
        <v>12015</v>
      </c>
      <c r="F43" s="82"/>
      <c r="G43" s="82"/>
      <c r="H43" s="82">
        <v>10939</v>
      </c>
    </row>
    <row r="44" spans="2:8" x14ac:dyDescent="0.2">
      <c r="B44" s="155">
        <v>40878</v>
      </c>
      <c r="C44" s="82">
        <v>1270</v>
      </c>
      <c r="D44" s="83">
        <v>71</v>
      </c>
      <c r="E44" s="82">
        <v>22261</v>
      </c>
      <c r="F44" s="82"/>
      <c r="G44" s="82"/>
      <c r="H44" s="82">
        <v>21512</v>
      </c>
    </row>
    <row r="45" spans="2:8" x14ac:dyDescent="0.2">
      <c r="B45" s="155">
        <v>40909</v>
      </c>
      <c r="C45" s="82">
        <v>1221</v>
      </c>
      <c r="D45" s="83">
        <v>65</v>
      </c>
      <c r="E45" s="82">
        <v>24129</v>
      </c>
      <c r="F45" s="82"/>
      <c r="G45" s="82"/>
      <c r="H45" s="82">
        <v>20099</v>
      </c>
    </row>
    <row r="46" spans="2:8" x14ac:dyDescent="0.2">
      <c r="B46" s="155">
        <v>40940</v>
      </c>
      <c r="C46" s="83">
        <v>902</v>
      </c>
      <c r="D46" s="83">
        <v>58</v>
      </c>
      <c r="E46" s="82">
        <v>22063</v>
      </c>
      <c r="F46" s="82"/>
      <c r="G46" s="82"/>
      <c r="H46" s="82">
        <v>19781</v>
      </c>
    </row>
    <row r="47" spans="2:8" x14ac:dyDescent="0.2">
      <c r="B47" s="155">
        <v>40969</v>
      </c>
      <c r="C47" s="82">
        <v>2605</v>
      </c>
      <c r="D47" s="83">
        <v>58</v>
      </c>
      <c r="E47" s="82">
        <v>36966</v>
      </c>
      <c r="F47" s="82"/>
      <c r="G47" s="82"/>
      <c r="H47" s="82">
        <v>28773</v>
      </c>
    </row>
    <row r="48" spans="2:8" x14ac:dyDescent="0.2">
      <c r="B48" s="155">
        <v>41000</v>
      </c>
      <c r="C48" s="83">
        <v>982</v>
      </c>
      <c r="D48" s="83">
        <v>44</v>
      </c>
      <c r="E48" s="82">
        <v>16479</v>
      </c>
      <c r="F48" s="82"/>
      <c r="G48" s="82"/>
      <c r="H48" s="82">
        <v>16232</v>
      </c>
    </row>
    <row r="49" spans="2:8" x14ac:dyDescent="0.2">
      <c r="B49" s="155">
        <v>41030</v>
      </c>
      <c r="C49" s="82">
        <v>3220</v>
      </c>
      <c r="D49" s="83">
        <v>72</v>
      </c>
      <c r="E49" s="82">
        <v>28814</v>
      </c>
      <c r="F49" s="82"/>
      <c r="G49" s="82"/>
      <c r="H49" s="82">
        <v>23849</v>
      </c>
    </row>
    <row r="50" spans="2:8" x14ac:dyDescent="0.2">
      <c r="B50" s="155">
        <v>41061</v>
      </c>
      <c r="C50" s="82">
        <v>1267</v>
      </c>
      <c r="D50" s="83">
        <v>49</v>
      </c>
      <c r="E50" s="82">
        <v>25375</v>
      </c>
      <c r="F50" s="82"/>
      <c r="G50" s="82"/>
      <c r="H50" s="82">
        <v>22057</v>
      </c>
    </row>
    <row r="51" spans="2:8" x14ac:dyDescent="0.2">
      <c r="B51" s="155">
        <v>41091</v>
      </c>
      <c r="C51" s="82">
        <v>1000</v>
      </c>
      <c r="D51" s="83">
        <v>53</v>
      </c>
      <c r="E51" s="82">
        <v>23209</v>
      </c>
      <c r="F51" s="82"/>
      <c r="G51" s="82"/>
      <c r="H51" s="82">
        <v>21672</v>
      </c>
    </row>
    <row r="52" spans="2:8" x14ac:dyDescent="0.2">
      <c r="B52" s="155">
        <v>41122</v>
      </c>
      <c r="C52" s="82">
        <v>1130</v>
      </c>
      <c r="D52" s="83">
        <v>58</v>
      </c>
      <c r="E52" s="82">
        <v>21429</v>
      </c>
      <c r="F52" s="82"/>
      <c r="G52" s="82"/>
      <c r="H52" s="82">
        <v>20285</v>
      </c>
    </row>
    <row r="53" spans="2:8" x14ac:dyDescent="0.2">
      <c r="B53" s="155">
        <v>41153</v>
      </c>
      <c r="C53" s="82">
        <v>1082</v>
      </c>
      <c r="D53" s="83">
        <v>56</v>
      </c>
      <c r="E53" s="82">
        <v>26360</v>
      </c>
      <c r="F53" s="82"/>
      <c r="G53" s="82"/>
      <c r="H53" s="82">
        <v>23448</v>
      </c>
    </row>
    <row r="54" spans="2:8" x14ac:dyDescent="0.2">
      <c r="B54" s="155">
        <v>41183</v>
      </c>
      <c r="C54" s="82">
        <v>1205</v>
      </c>
      <c r="D54" s="83">
        <v>63</v>
      </c>
      <c r="E54" s="82">
        <v>24056</v>
      </c>
      <c r="F54" s="82"/>
      <c r="G54" s="82"/>
      <c r="H54" s="82">
        <v>22693</v>
      </c>
    </row>
    <row r="55" spans="2:8" x14ac:dyDescent="0.2">
      <c r="B55" s="155">
        <v>41214</v>
      </c>
      <c r="C55" s="83">
        <v>637</v>
      </c>
      <c r="D55" s="83">
        <v>47</v>
      </c>
      <c r="E55" s="82">
        <v>19225</v>
      </c>
      <c r="F55" s="82"/>
      <c r="G55" s="82"/>
      <c r="H55" s="82">
        <v>18399</v>
      </c>
    </row>
    <row r="56" spans="2:8" x14ac:dyDescent="0.2">
      <c r="B56" s="155">
        <v>41244</v>
      </c>
      <c r="C56" s="83">
        <v>840</v>
      </c>
      <c r="D56" s="83">
        <v>32</v>
      </c>
      <c r="E56" s="82">
        <v>11256</v>
      </c>
      <c r="F56" s="82"/>
      <c r="G56" s="82"/>
      <c r="H56" s="82">
        <v>10911</v>
      </c>
    </row>
    <row r="57" spans="2:8" x14ac:dyDescent="0.2">
      <c r="B57" s="155">
        <v>41275</v>
      </c>
      <c r="C57" s="83">
        <v>931</v>
      </c>
      <c r="D57" s="83">
        <v>56</v>
      </c>
      <c r="E57" s="82">
        <v>40005</v>
      </c>
      <c r="F57" s="82"/>
      <c r="G57" s="82"/>
      <c r="H57" s="82">
        <v>27853</v>
      </c>
    </row>
    <row r="58" spans="2:8" x14ac:dyDescent="0.2">
      <c r="B58" s="155">
        <v>41306</v>
      </c>
      <c r="C58" s="82">
        <v>1270</v>
      </c>
      <c r="D58" s="83">
        <v>64</v>
      </c>
      <c r="E58" s="82">
        <v>24170</v>
      </c>
      <c r="F58" s="82"/>
      <c r="G58" s="82"/>
      <c r="H58" s="82">
        <v>22694</v>
      </c>
    </row>
    <row r="59" spans="2:8" x14ac:dyDescent="0.2">
      <c r="B59" s="155">
        <v>41334</v>
      </c>
      <c r="C59" s="83">
        <v>826</v>
      </c>
      <c r="D59" s="83">
        <v>41</v>
      </c>
      <c r="E59" s="82">
        <v>23845</v>
      </c>
      <c r="F59" s="82"/>
      <c r="G59" s="82"/>
      <c r="H59" s="82">
        <v>22309</v>
      </c>
    </row>
    <row r="60" spans="2:8" x14ac:dyDescent="0.2">
      <c r="B60" s="155">
        <v>41365</v>
      </c>
      <c r="C60" s="82">
        <v>1037</v>
      </c>
      <c r="D60" s="83">
        <v>51</v>
      </c>
      <c r="E60" s="82">
        <v>26008</v>
      </c>
      <c r="F60" s="82"/>
      <c r="G60" s="82"/>
      <c r="H60" s="82">
        <v>23693</v>
      </c>
    </row>
    <row r="61" spans="2:8" x14ac:dyDescent="0.2">
      <c r="B61" s="155">
        <v>41395</v>
      </c>
      <c r="C61" s="83">
        <v>436</v>
      </c>
      <c r="D61" s="83">
        <v>34</v>
      </c>
      <c r="E61" s="82">
        <v>21038</v>
      </c>
      <c r="F61" s="82"/>
      <c r="G61" s="82"/>
      <c r="H61" s="82">
        <v>19845</v>
      </c>
    </row>
    <row r="62" spans="2:8" x14ac:dyDescent="0.2">
      <c r="B62" s="155">
        <v>41426</v>
      </c>
      <c r="C62" s="83">
        <v>848</v>
      </c>
      <c r="D62" s="83">
        <v>44</v>
      </c>
      <c r="E62" s="82">
        <v>22037</v>
      </c>
      <c r="F62" s="82"/>
      <c r="G62" s="82"/>
      <c r="H62" s="82">
        <v>20065</v>
      </c>
    </row>
    <row r="63" spans="2:8" x14ac:dyDescent="0.2">
      <c r="B63" s="155">
        <v>41456</v>
      </c>
      <c r="C63" s="83">
        <v>747</v>
      </c>
      <c r="D63" s="83">
        <v>36</v>
      </c>
      <c r="E63" s="82">
        <v>22506</v>
      </c>
      <c r="F63" s="82"/>
      <c r="G63" s="82"/>
      <c r="H63" s="82">
        <v>20780</v>
      </c>
    </row>
    <row r="64" spans="2:8" x14ac:dyDescent="0.2">
      <c r="B64" s="155">
        <v>41487</v>
      </c>
      <c r="C64" s="83">
        <v>719</v>
      </c>
      <c r="D64" s="83">
        <v>35</v>
      </c>
      <c r="E64" s="82">
        <v>23869</v>
      </c>
      <c r="F64" s="82"/>
      <c r="G64" s="82"/>
      <c r="H64" s="82">
        <v>21924</v>
      </c>
    </row>
    <row r="65" spans="2:8" x14ac:dyDescent="0.2">
      <c r="B65" s="155">
        <v>41518</v>
      </c>
      <c r="C65" s="83">
        <v>908</v>
      </c>
      <c r="D65" s="83">
        <v>30</v>
      </c>
      <c r="E65" s="82">
        <v>22797</v>
      </c>
      <c r="F65" s="82"/>
      <c r="G65" s="82"/>
      <c r="H65" s="82">
        <v>21715</v>
      </c>
    </row>
    <row r="66" spans="2:8" x14ac:dyDescent="0.2">
      <c r="B66" s="155">
        <v>41548</v>
      </c>
      <c r="C66" s="83">
        <v>907</v>
      </c>
      <c r="D66" s="83">
        <v>34</v>
      </c>
      <c r="E66" s="82">
        <v>23258</v>
      </c>
      <c r="F66" s="82"/>
      <c r="G66" s="82"/>
      <c r="H66" s="82">
        <v>22266</v>
      </c>
    </row>
    <row r="67" spans="2:8" x14ac:dyDescent="0.2">
      <c r="B67" s="155">
        <v>41579</v>
      </c>
      <c r="C67" s="83">
        <v>684</v>
      </c>
      <c r="D67" s="83">
        <v>32</v>
      </c>
      <c r="E67" s="82">
        <v>21758</v>
      </c>
      <c r="F67" s="82"/>
      <c r="G67" s="82"/>
      <c r="H67" s="82">
        <v>20561</v>
      </c>
    </row>
    <row r="68" spans="2:8" x14ac:dyDescent="0.2">
      <c r="B68" s="155">
        <v>41609</v>
      </c>
      <c r="C68" s="83">
        <v>731</v>
      </c>
      <c r="D68" s="83">
        <v>40</v>
      </c>
      <c r="E68" s="82">
        <v>21567</v>
      </c>
      <c r="F68" s="82"/>
      <c r="G68" s="82"/>
      <c r="H68" s="82">
        <v>20466</v>
      </c>
    </row>
    <row r="69" spans="2:8" x14ac:dyDescent="0.2">
      <c r="B69" s="155">
        <v>41640</v>
      </c>
      <c r="C69" s="83">
        <v>642</v>
      </c>
      <c r="D69" s="83">
        <v>27</v>
      </c>
      <c r="E69" s="82">
        <v>16702</v>
      </c>
      <c r="F69" s="82"/>
      <c r="G69" s="82"/>
      <c r="H69" s="82">
        <v>15794</v>
      </c>
    </row>
    <row r="70" spans="2:8" x14ac:dyDescent="0.2">
      <c r="B70" s="155">
        <v>41671</v>
      </c>
      <c r="C70" s="84">
        <v>687</v>
      </c>
      <c r="D70" s="84">
        <v>25</v>
      </c>
      <c r="E70" s="85">
        <v>23938</v>
      </c>
      <c r="F70" s="85"/>
      <c r="G70" s="85"/>
      <c r="H70" s="82">
        <v>20912</v>
      </c>
    </row>
    <row r="71" spans="2:8" x14ac:dyDescent="0.2">
      <c r="B71" s="155">
        <v>41699</v>
      </c>
      <c r="C71" s="82">
        <v>1022</v>
      </c>
      <c r="D71" s="83">
        <v>47</v>
      </c>
      <c r="E71" s="82">
        <v>28622</v>
      </c>
      <c r="F71" s="82"/>
      <c r="G71" s="82"/>
      <c r="H71" s="82">
        <v>24920</v>
      </c>
    </row>
    <row r="72" spans="2:8" x14ac:dyDescent="0.2">
      <c r="B72" s="155">
        <v>41730</v>
      </c>
      <c r="C72" s="83">
        <v>645</v>
      </c>
      <c r="D72" s="83">
        <v>29</v>
      </c>
      <c r="E72" s="82">
        <v>22470</v>
      </c>
      <c r="F72" s="82"/>
      <c r="G72" s="82"/>
      <c r="H72" s="82">
        <v>20858</v>
      </c>
    </row>
    <row r="73" spans="2:8" x14ac:dyDescent="0.2">
      <c r="B73" s="155">
        <v>41760</v>
      </c>
      <c r="C73" s="83">
        <v>697</v>
      </c>
      <c r="D73" s="83">
        <v>31</v>
      </c>
      <c r="E73" s="82">
        <v>14929</v>
      </c>
      <c r="F73" s="82"/>
      <c r="G73" s="82"/>
      <c r="H73" s="82">
        <v>13783</v>
      </c>
    </row>
    <row r="74" spans="2:8" x14ac:dyDescent="0.2">
      <c r="B74" s="155">
        <v>41791</v>
      </c>
      <c r="C74" s="83">
        <v>708</v>
      </c>
      <c r="D74" s="83">
        <v>29</v>
      </c>
      <c r="E74" s="82">
        <v>28107</v>
      </c>
      <c r="F74" s="82"/>
      <c r="G74" s="82"/>
      <c r="H74" s="82">
        <v>22029</v>
      </c>
    </row>
    <row r="75" spans="2:8" x14ac:dyDescent="0.2">
      <c r="B75" s="155">
        <v>41821</v>
      </c>
      <c r="C75" s="83">
        <v>848</v>
      </c>
      <c r="D75" s="83">
        <v>30</v>
      </c>
      <c r="E75" s="82">
        <v>20305</v>
      </c>
      <c r="F75" s="82"/>
      <c r="G75" s="82"/>
      <c r="H75" s="82">
        <v>18703</v>
      </c>
    </row>
    <row r="76" spans="2:8" x14ac:dyDescent="0.2">
      <c r="B76" s="155">
        <v>41852</v>
      </c>
      <c r="C76" s="83">
        <v>418</v>
      </c>
      <c r="D76" s="83">
        <v>21</v>
      </c>
      <c r="E76" s="82">
        <v>20026</v>
      </c>
      <c r="F76" s="82"/>
      <c r="G76" s="82"/>
      <c r="H76" s="82">
        <v>17896</v>
      </c>
    </row>
    <row r="77" spans="2:8" x14ac:dyDescent="0.2">
      <c r="B77" s="155">
        <v>41883</v>
      </c>
      <c r="C77" s="83">
        <v>449</v>
      </c>
      <c r="D77" s="83">
        <v>20</v>
      </c>
      <c r="E77" s="82">
        <v>17518</v>
      </c>
      <c r="F77" s="82"/>
      <c r="G77" s="82"/>
      <c r="H77" s="82">
        <v>15614</v>
      </c>
    </row>
    <row r="78" spans="2:8" x14ac:dyDescent="0.2">
      <c r="B78" s="155">
        <v>41913</v>
      </c>
      <c r="C78" s="83">
        <v>386</v>
      </c>
      <c r="D78" s="83">
        <v>21</v>
      </c>
      <c r="E78" s="82">
        <v>25867</v>
      </c>
      <c r="F78" s="82"/>
      <c r="G78" s="82"/>
      <c r="H78" s="82">
        <v>21002</v>
      </c>
    </row>
    <row r="79" spans="2:8" x14ac:dyDescent="0.2">
      <c r="B79" s="155">
        <v>41944</v>
      </c>
      <c r="C79" s="83">
        <v>614</v>
      </c>
      <c r="D79" s="83">
        <v>17</v>
      </c>
      <c r="E79" s="82">
        <v>16769</v>
      </c>
      <c r="F79" s="82"/>
      <c r="G79" s="82"/>
      <c r="H79" s="82">
        <v>15842</v>
      </c>
    </row>
    <row r="80" spans="2:8" x14ac:dyDescent="0.2">
      <c r="B80" s="155">
        <v>41974</v>
      </c>
      <c r="C80" s="83">
        <v>534</v>
      </c>
      <c r="D80" s="83">
        <v>22</v>
      </c>
      <c r="E80" s="82">
        <v>23318</v>
      </c>
      <c r="F80" s="82"/>
      <c r="G80" s="82"/>
      <c r="H80" s="82">
        <v>20226</v>
      </c>
    </row>
    <row r="81" spans="2:8" x14ac:dyDescent="0.2">
      <c r="B81" s="155">
        <v>42005</v>
      </c>
      <c r="C81" s="83">
        <v>478</v>
      </c>
      <c r="D81" s="83">
        <v>21</v>
      </c>
      <c r="E81" s="82">
        <v>23056</v>
      </c>
      <c r="F81" s="82"/>
      <c r="G81" s="82"/>
      <c r="H81" s="82">
        <v>21061</v>
      </c>
    </row>
    <row r="82" spans="2:8" x14ac:dyDescent="0.2">
      <c r="B82" s="155">
        <v>42036</v>
      </c>
      <c r="C82" s="83">
        <v>361</v>
      </c>
      <c r="D82" s="83">
        <v>24</v>
      </c>
      <c r="E82" s="82">
        <v>18524</v>
      </c>
      <c r="F82" s="82"/>
      <c r="G82" s="82"/>
      <c r="H82" s="82">
        <v>17192</v>
      </c>
    </row>
    <row r="83" spans="2:8" x14ac:dyDescent="0.2">
      <c r="B83" s="155">
        <v>42064</v>
      </c>
      <c r="C83" s="83">
        <v>712</v>
      </c>
      <c r="D83" s="83">
        <v>28</v>
      </c>
      <c r="E83" s="82">
        <v>26002</v>
      </c>
      <c r="F83" s="82"/>
      <c r="G83" s="82"/>
      <c r="H83" s="82">
        <v>22027</v>
      </c>
    </row>
    <row r="84" spans="2:8" x14ac:dyDescent="0.2">
      <c r="B84" s="155">
        <v>42095</v>
      </c>
      <c r="C84" s="83">
        <v>255</v>
      </c>
      <c r="D84" s="83">
        <v>22</v>
      </c>
      <c r="E84" s="82">
        <v>23093</v>
      </c>
      <c r="F84" s="82"/>
      <c r="G84" s="82"/>
      <c r="H84" s="82">
        <v>21546</v>
      </c>
    </row>
    <row r="85" spans="2:8" x14ac:dyDescent="0.2">
      <c r="B85" s="155">
        <v>42125</v>
      </c>
      <c r="C85" s="83">
        <v>891</v>
      </c>
      <c r="D85" s="83">
        <v>21</v>
      </c>
      <c r="E85" s="82">
        <v>22362</v>
      </c>
      <c r="F85" s="82"/>
      <c r="G85" s="82"/>
      <c r="H85" s="82">
        <v>20850</v>
      </c>
    </row>
    <row r="86" spans="2:8" x14ac:dyDescent="0.2">
      <c r="B86" s="155">
        <v>42156</v>
      </c>
      <c r="C86" s="83">
        <v>117</v>
      </c>
      <c r="D86" s="83">
        <v>14</v>
      </c>
      <c r="E86" s="82">
        <v>12627</v>
      </c>
      <c r="F86" s="82"/>
      <c r="G86" s="82"/>
      <c r="H86" s="82">
        <v>11681</v>
      </c>
    </row>
    <row r="87" spans="2:8" x14ac:dyDescent="0.2">
      <c r="B87" s="155">
        <v>42186</v>
      </c>
      <c r="C87" s="83">
        <v>181</v>
      </c>
      <c r="D87" s="83">
        <v>18</v>
      </c>
      <c r="E87" s="82">
        <v>19638</v>
      </c>
      <c r="F87" s="82"/>
      <c r="G87" s="82"/>
      <c r="H87" s="82">
        <v>18282</v>
      </c>
    </row>
    <row r="88" spans="2:8" x14ac:dyDescent="0.2">
      <c r="B88" s="155">
        <v>42217</v>
      </c>
      <c r="C88" s="83">
        <v>128</v>
      </c>
      <c r="D88" s="83">
        <v>14</v>
      </c>
      <c r="E88" s="82">
        <v>21146</v>
      </c>
      <c r="F88" s="82"/>
      <c r="G88" s="82"/>
      <c r="H88" s="82">
        <v>19598</v>
      </c>
    </row>
    <row r="89" spans="2:8" x14ac:dyDescent="0.2">
      <c r="B89" s="155">
        <v>42248</v>
      </c>
      <c r="C89" s="83">
        <v>161</v>
      </c>
      <c r="D89" s="83">
        <v>18</v>
      </c>
      <c r="E89" s="82">
        <v>27499</v>
      </c>
      <c r="F89" s="82"/>
      <c r="G89" s="82"/>
      <c r="H89" s="82">
        <v>21738</v>
      </c>
    </row>
    <row r="90" spans="2:8" x14ac:dyDescent="0.2">
      <c r="B90" s="155">
        <v>42278</v>
      </c>
      <c r="C90" s="83">
        <v>195</v>
      </c>
      <c r="D90" s="83">
        <v>21</v>
      </c>
      <c r="E90" s="82">
        <v>25195</v>
      </c>
      <c r="F90" s="82"/>
      <c r="G90" s="82"/>
      <c r="H90" s="82">
        <v>20911</v>
      </c>
    </row>
    <row r="91" spans="2:8" x14ac:dyDescent="0.2">
      <c r="B91" s="155">
        <v>42309</v>
      </c>
      <c r="C91" s="83">
        <v>225</v>
      </c>
      <c r="D91" s="83">
        <v>20</v>
      </c>
      <c r="E91" s="82">
        <v>22695</v>
      </c>
      <c r="F91" s="82"/>
      <c r="G91" s="82"/>
      <c r="H91" s="82">
        <v>19610</v>
      </c>
    </row>
    <row r="92" spans="2:8" x14ac:dyDescent="0.2">
      <c r="B92" s="155">
        <v>42339</v>
      </c>
      <c r="C92" s="83">
        <v>212</v>
      </c>
      <c r="D92" s="83">
        <v>27</v>
      </c>
      <c r="E92" s="82">
        <v>22984</v>
      </c>
      <c r="F92" s="82"/>
      <c r="G92" s="82"/>
      <c r="H92" s="82">
        <v>20973</v>
      </c>
    </row>
    <row r="93" spans="2:8" x14ac:dyDescent="0.2">
      <c r="B93" s="155">
        <v>42370</v>
      </c>
      <c r="C93" s="83">
        <v>352</v>
      </c>
      <c r="D93" s="83">
        <v>37</v>
      </c>
      <c r="E93" s="82">
        <v>22006</v>
      </c>
      <c r="F93" s="82"/>
      <c r="G93" s="82"/>
      <c r="H93" s="82">
        <v>20462</v>
      </c>
    </row>
    <row r="94" spans="2:8" x14ac:dyDescent="0.2">
      <c r="B94" s="155">
        <v>42401</v>
      </c>
      <c r="C94" s="83">
        <v>370</v>
      </c>
      <c r="D94" s="83">
        <v>34</v>
      </c>
      <c r="E94" s="82">
        <v>21509</v>
      </c>
      <c r="F94" s="82"/>
      <c r="G94" s="82"/>
      <c r="H94" s="82">
        <v>20333</v>
      </c>
    </row>
    <row r="95" spans="2:8" x14ac:dyDescent="0.2">
      <c r="B95" s="155">
        <v>42430</v>
      </c>
      <c r="C95" s="83">
        <v>389</v>
      </c>
      <c r="D95" s="83">
        <v>23</v>
      </c>
      <c r="E95" s="82">
        <v>21336</v>
      </c>
      <c r="F95" s="82"/>
      <c r="G95" s="82"/>
      <c r="H95" s="82">
        <v>19910</v>
      </c>
    </row>
    <row r="96" spans="2:8" x14ac:dyDescent="0.2">
      <c r="B96" s="155">
        <v>42461</v>
      </c>
      <c r="C96" s="83">
        <v>285</v>
      </c>
      <c r="D96" s="83">
        <v>18</v>
      </c>
      <c r="E96" s="82">
        <v>5659</v>
      </c>
      <c r="F96" s="82"/>
      <c r="G96" s="82"/>
      <c r="H96" s="82">
        <v>5480</v>
      </c>
    </row>
    <row r="97" spans="2:8" x14ac:dyDescent="0.2">
      <c r="B97" s="155">
        <v>42491</v>
      </c>
      <c r="C97" s="83">
        <v>288</v>
      </c>
      <c r="D97" s="83">
        <v>16</v>
      </c>
      <c r="E97" s="82">
        <v>6651</v>
      </c>
      <c r="F97" s="261">
        <v>3426</v>
      </c>
      <c r="G97" s="261">
        <v>2372</v>
      </c>
      <c r="H97" s="82">
        <f t="shared" ref="H97:H126" si="0">F97+G97</f>
        <v>5798</v>
      </c>
    </row>
    <row r="98" spans="2:8" x14ac:dyDescent="0.2">
      <c r="B98" s="155" t="s">
        <v>496</v>
      </c>
      <c r="C98" s="83">
        <v>21</v>
      </c>
      <c r="D98" s="83">
        <v>15</v>
      </c>
      <c r="E98" s="82">
        <v>5426</v>
      </c>
      <c r="F98" s="261">
        <v>2014</v>
      </c>
      <c r="G98" s="261">
        <v>2742</v>
      </c>
      <c r="H98" s="82">
        <f t="shared" si="0"/>
        <v>4756</v>
      </c>
    </row>
    <row r="99" spans="2:8" x14ac:dyDescent="0.2">
      <c r="B99" s="155">
        <v>42552</v>
      </c>
      <c r="C99" s="83">
        <v>9</v>
      </c>
      <c r="D99" s="83">
        <v>9</v>
      </c>
      <c r="E99" s="82">
        <v>3253</v>
      </c>
      <c r="F99" s="261">
        <v>1416</v>
      </c>
      <c r="G99" s="261">
        <v>1620</v>
      </c>
      <c r="H99" s="82">
        <f t="shared" si="0"/>
        <v>3036</v>
      </c>
    </row>
    <row r="100" spans="2:8" x14ac:dyDescent="0.2">
      <c r="B100" s="155">
        <v>42583</v>
      </c>
      <c r="C100" s="83">
        <v>13</v>
      </c>
      <c r="D100" s="83">
        <v>10</v>
      </c>
      <c r="E100" s="82">
        <v>3343</v>
      </c>
      <c r="F100" s="261">
        <v>1336</v>
      </c>
      <c r="G100" s="261">
        <v>1688</v>
      </c>
      <c r="H100" s="82">
        <f t="shared" si="0"/>
        <v>3024</v>
      </c>
    </row>
    <row r="101" spans="2:8" x14ac:dyDescent="0.2">
      <c r="B101" s="155">
        <v>42614</v>
      </c>
      <c r="C101" s="83">
        <v>16</v>
      </c>
      <c r="D101" s="83">
        <v>11</v>
      </c>
      <c r="E101" s="82">
        <v>3298</v>
      </c>
      <c r="F101" s="261">
        <v>1358</v>
      </c>
      <c r="G101" s="261">
        <v>1715</v>
      </c>
      <c r="H101" s="82">
        <f t="shared" si="0"/>
        <v>3073</v>
      </c>
    </row>
    <row r="102" spans="2:8" x14ac:dyDescent="0.2">
      <c r="B102" s="155">
        <v>42644</v>
      </c>
      <c r="C102" s="83">
        <v>28</v>
      </c>
      <c r="D102" s="83">
        <v>12</v>
      </c>
      <c r="E102" s="82">
        <v>3465</v>
      </c>
      <c r="F102" s="261">
        <v>1455</v>
      </c>
      <c r="G102" s="261">
        <v>1819</v>
      </c>
      <c r="H102" s="82">
        <f t="shared" si="0"/>
        <v>3274</v>
      </c>
    </row>
    <row r="103" spans="2:8" x14ac:dyDescent="0.2">
      <c r="B103" s="155">
        <v>42675</v>
      </c>
      <c r="C103" s="83">
        <v>38</v>
      </c>
      <c r="D103" s="83">
        <v>13</v>
      </c>
      <c r="E103" s="82">
        <v>3225</v>
      </c>
      <c r="F103" s="261">
        <v>1369</v>
      </c>
      <c r="G103" s="261">
        <v>1699</v>
      </c>
      <c r="H103" s="82">
        <f t="shared" si="0"/>
        <v>3068</v>
      </c>
    </row>
    <row r="104" spans="2:8" x14ac:dyDescent="0.2">
      <c r="B104" s="155">
        <v>42705</v>
      </c>
      <c r="C104" s="83">
        <v>48</v>
      </c>
      <c r="D104" s="83">
        <v>20</v>
      </c>
      <c r="E104" s="82">
        <v>2951</v>
      </c>
      <c r="F104" s="261">
        <v>1273</v>
      </c>
      <c r="G104" s="261">
        <v>1530</v>
      </c>
      <c r="H104" s="82">
        <f t="shared" si="0"/>
        <v>2803</v>
      </c>
    </row>
    <row r="105" spans="2:8" x14ac:dyDescent="0.2">
      <c r="B105" s="155">
        <v>42736</v>
      </c>
      <c r="C105" s="83">
        <v>28</v>
      </c>
      <c r="D105" s="83">
        <v>16</v>
      </c>
      <c r="E105" s="82">
        <v>4231</v>
      </c>
      <c r="F105" s="261">
        <v>1377</v>
      </c>
      <c r="G105" s="261">
        <v>2288</v>
      </c>
      <c r="H105" s="82">
        <f t="shared" si="0"/>
        <v>3665</v>
      </c>
    </row>
    <row r="106" spans="2:8" x14ac:dyDescent="0.2">
      <c r="B106" s="155">
        <v>42767</v>
      </c>
      <c r="C106" s="83">
        <v>40</v>
      </c>
      <c r="D106" s="83">
        <v>21</v>
      </c>
      <c r="E106" s="82">
        <v>2725</v>
      </c>
      <c r="F106" s="261">
        <v>1152</v>
      </c>
      <c r="G106" s="261">
        <v>1411</v>
      </c>
      <c r="H106" s="82">
        <f t="shared" si="0"/>
        <v>2563</v>
      </c>
    </row>
    <row r="107" spans="2:8" x14ac:dyDescent="0.2">
      <c r="B107" s="155">
        <v>42795</v>
      </c>
      <c r="C107" s="83">
        <v>51</v>
      </c>
      <c r="D107" s="83">
        <v>19</v>
      </c>
      <c r="E107" s="82">
        <v>2482</v>
      </c>
      <c r="F107" s="261">
        <v>1042</v>
      </c>
      <c r="G107" s="261">
        <v>1321</v>
      </c>
      <c r="H107" s="82">
        <f t="shared" si="0"/>
        <v>2363</v>
      </c>
    </row>
    <row r="108" spans="2:8" x14ac:dyDescent="0.2">
      <c r="B108" s="155">
        <v>42826</v>
      </c>
      <c r="C108" s="83">
        <v>52</v>
      </c>
      <c r="D108" s="83">
        <v>16</v>
      </c>
      <c r="E108" s="82">
        <v>2908</v>
      </c>
      <c r="F108" s="261">
        <v>1301</v>
      </c>
      <c r="G108" s="261">
        <v>1304</v>
      </c>
      <c r="H108" s="82">
        <f t="shared" si="0"/>
        <v>2605</v>
      </c>
    </row>
    <row r="109" spans="2:8" x14ac:dyDescent="0.2">
      <c r="B109" s="155">
        <v>42856</v>
      </c>
      <c r="C109" s="83">
        <v>33</v>
      </c>
      <c r="D109" s="83">
        <v>11</v>
      </c>
      <c r="E109" s="82">
        <v>2762</v>
      </c>
      <c r="F109" s="261">
        <v>1203</v>
      </c>
      <c r="G109" s="261">
        <v>1396</v>
      </c>
      <c r="H109" s="82">
        <f t="shared" si="0"/>
        <v>2599</v>
      </c>
    </row>
    <row r="110" spans="2:8" x14ac:dyDescent="0.2">
      <c r="B110" s="155" t="s">
        <v>497</v>
      </c>
      <c r="C110" s="82">
        <v>4096</v>
      </c>
      <c r="D110" s="83">
        <v>40</v>
      </c>
      <c r="E110" s="82">
        <v>176735</v>
      </c>
      <c r="F110" s="261">
        <v>21206</v>
      </c>
      <c r="G110" s="261">
        <v>29918</v>
      </c>
      <c r="H110" s="82">
        <f t="shared" si="0"/>
        <v>51124</v>
      </c>
    </row>
    <row r="111" spans="2:8" x14ac:dyDescent="0.2">
      <c r="B111" s="155">
        <v>42917</v>
      </c>
      <c r="C111" s="82">
        <v>6517</v>
      </c>
      <c r="D111" s="83">
        <v>46</v>
      </c>
      <c r="E111" s="82">
        <v>93102</v>
      </c>
      <c r="F111" s="261">
        <v>16060</v>
      </c>
      <c r="G111" s="261">
        <v>22383</v>
      </c>
      <c r="H111" s="82">
        <f t="shared" si="0"/>
        <v>38443</v>
      </c>
    </row>
    <row r="112" spans="2:8" x14ac:dyDescent="0.2">
      <c r="B112" s="155">
        <v>42948</v>
      </c>
      <c r="C112" s="82">
        <v>7909</v>
      </c>
      <c r="D112" s="83">
        <v>49</v>
      </c>
      <c r="E112" s="82">
        <v>2314</v>
      </c>
      <c r="F112" s="261">
        <v>1181</v>
      </c>
      <c r="G112" s="261">
        <v>999</v>
      </c>
      <c r="H112" s="82">
        <f t="shared" si="0"/>
        <v>2180</v>
      </c>
    </row>
    <row r="113" spans="2:8" x14ac:dyDescent="0.2">
      <c r="B113" s="155">
        <v>42979</v>
      </c>
      <c r="C113" s="82">
        <v>2045</v>
      </c>
      <c r="D113" s="83">
        <v>33</v>
      </c>
      <c r="E113" s="82">
        <v>37486</v>
      </c>
      <c r="F113" s="261">
        <v>9638</v>
      </c>
      <c r="G113" s="261">
        <v>14569</v>
      </c>
      <c r="H113" s="82">
        <f t="shared" si="0"/>
        <v>24207</v>
      </c>
    </row>
    <row r="114" spans="2:8" x14ac:dyDescent="0.2">
      <c r="B114" s="155">
        <v>43009</v>
      </c>
      <c r="C114" s="82">
        <v>1138</v>
      </c>
      <c r="D114" s="83">
        <v>31</v>
      </c>
      <c r="E114" s="82">
        <v>33256</v>
      </c>
      <c r="F114" s="261">
        <v>9130</v>
      </c>
      <c r="G114" s="261">
        <v>15883</v>
      </c>
      <c r="H114" s="82">
        <f t="shared" si="0"/>
        <v>25013</v>
      </c>
    </row>
    <row r="115" spans="2:8" x14ac:dyDescent="0.2">
      <c r="B115" s="155">
        <v>43040</v>
      </c>
      <c r="C115" s="82">
        <v>989</v>
      </c>
      <c r="D115" s="83">
        <v>32</v>
      </c>
      <c r="E115" s="82">
        <v>26590</v>
      </c>
      <c r="F115" s="261">
        <v>8080</v>
      </c>
      <c r="G115" s="261">
        <v>12842</v>
      </c>
      <c r="H115" s="82">
        <f t="shared" si="0"/>
        <v>20922</v>
      </c>
    </row>
    <row r="116" spans="2:8" x14ac:dyDescent="0.2">
      <c r="B116" s="155">
        <v>43070</v>
      </c>
      <c r="C116" s="82">
        <v>1027</v>
      </c>
      <c r="D116" s="83">
        <v>26</v>
      </c>
      <c r="E116" s="82">
        <v>18586</v>
      </c>
      <c r="F116" s="261">
        <v>7147</v>
      </c>
      <c r="G116" s="261">
        <v>10315</v>
      </c>
      <c r="H116" s="82">
        <f t="shared" si="0"/>
        <v>17462</v>
      </c>
    </row>
    <row r="117" spans="2:8" x14ac:dyDescent="0.2">
      <c r="B117" s="155">
        <v>43101</v>
      </c>
      <c r="C117" s="82">
        <v>1354</v>
      </c>
      <c r="D117" s="83">
        <v>30</v>
      </c>
      <c r="E117" s="82">
        <v>18570</v>
      </c>
      <c r="F117" s="261">
        <v>7039</v>
      </c>
      <c r="G117" s="261">
        <v>10476</v>
      </c>
      <c r="H117" s="82">
        <f t="shared" si="0"/>
        <v>17515</v>
      </c>
    </row>
    <row r="118" spans="2:8" x14ac:dyDescent="0.2">
      <c r="B118" s="155">
        <v>43132</v>
      </c>
      <c r="C118" s="82">
        <v>1044</v>
      </c>
      <c r="D118" s="111">
        <v>26</v>
      </c>
      <c r="E118" s="82">
        <v>12624</v>
      </c>
      <c r="F118" s="261">
        <v>7245</v>
      </c>
      <c r="G118" s="261">
        <v>4546</v>
      </c>
      <c r="H118" s="82">
        <f t="shared" si="0"/>
        <v>11791</v>
      </c>
    </row>
    <row r="119" spans="2:8" x14ac:dyDescent="0.2">
      <c r="B119" s="155">
        <v>43160</v>
      </c>
      <c r="C119" s="82">
        <v>923</v>
      </c>
      <c r="D119" s="111">
        <v>42</v>
      </c>
      <c r="E119" s="82">
        <v>19233</v>
      </c>
      <c r="F119" s="261">
        <v>7306</v>
      </c>
      <c r="G119" s="261">
        <v>10727</v>
      </c>
      <c r="H119" s="82">
        <f t="shared" si="0"/>
        <v>18033</v>
      </c>
    </row>
    <row r="120" spans="2:8" x14ac:dyDescent="0.2">
      <c r="B120" s="155">
        <v>43191</v>
      </c>
      <c r="C120" s="82">
        <v>1496</v>
      </c>
      <c r="D120" s="111">
        <v>53</v>
      </c>
      <c r="E120" s="82">
        <v>27469</v>
      </c>
      <c r="F120" s="261">
        <v>12706</v>
      </c>
      <c r="G120" s="261">
        <v>9262</v>
      </c>
      <c r="H120" s="82">
        <f t="shared" si="0"/>
        <v>21968</v>
      </c>
    </row>
    <row r="121" spans="2:8" x14ac:dyDescent="0.2">
      <c r="B121" s="155">
        <v>43221</v>
      </c>
      <c r="C121" s="82">
        <v>1099</v>
      </c>
      <c r="D121" s="82">
        <v>44</v>
      </c>
      <c r="E121" s="82">
        <v>19923</v>
      </c>
      <c r="F121" s="261">
        <v>7814</v>
      </c>
      <c r="G121" s="261">
        <v>11003</v>
      </c>
      <c r="H121" s="82">
        <f t="shared" si="0"/>
        <v>18817</v>
      </c>
    </row>
    <row r="122" spans="2:8" x14ac:dyDescent="0.2">
      <c r="B122" s="155">
        <v>43252</v>
      </c>
      <c r="C122" s="82">
        <v>2919</v>
      </c>
      <c r="D122" s="112">
        <v>53</v>
      </c>
      <c r="E122" s="82">
        <v>33135</v>
      </c>
      <c r="F122" s="261">
        <v>8927</v>
      </c>
      <c r="G122" s="261">
        <v>12977</v>
      </c>
      <c r="H122" s="82">
        <f t="shared" si="0"/>
        <v>21904</v>
      </c>
    </row>
    <row r="123" spans="2:8" x14ac:dyDescent="0.2">
      <c r="B123" s="155">
        <v>43282</v>
      </c>
      <c r="C123" s="82">
        <v>643</v>
      </c>
      <c r="D123" s="112">
        <v>53</v>
      </c>
      <c r="E123" s="82">
        <v>16559</v>
      </c>
      <c r="F123" s="261">
        <v>6259</v>
      </c>
      <c r="G123" s="261">
        <v>9397</v>
      </c>
      <c r="H123" s="82">
        <f t="shared" si="0"/>
        <v>15656</v>
      </c>
    </row>
    <row r="124" spans="2:8" x14ac:dyDescent="0.2">
      <c r="B124" s="155">
        <v>43313</v>
      </c>
      <c r="C124" s="82">
        <v>542</v>
      </c>
      <c r="D124" s="112">
        <v>55</v>
      </c>
      <c r="E124" s="82">
        <v>16468</v>
      </c>
      <c r="F124" s="261">
        <v>9380</v>
      </c>
      <c r="G124" s="261">
        <v>6293</v>
      </c>
      <c r="H124" s="82">
        <f t="shared" si="0"/>
        <v>15673</v>
      </c>
    </row>
    <row r="125" spans="2:8" x14ac:dyDescent="0.2">
      <c r="B125" s="155">
        <v>43344</v>
      </c>
      <c r="C125" s="82">
        <v>542</v>
      </c>
      <c r="D125" s="112">
        <v>47</v>
      </c>
      <c r="E125" s="82">
        <v>20636</v>
      </c>
      <c r="F125" s="261">
        <v>10966</v>
      </c>
      <c r="G125" s="261">
        <v>7467</v>
      </c>
      <c r="H125" s="82">
        <f t="shared" si="0"/>
        <v>18433</v>
      </c>
    </row>
    <row r="126" spans="2:8" x14ac:dyDescent="0.2">
      <c r="B126" s="155">
        <v>43374</v>
      </c>
      <c r="C126" s="82">
        <v>1166</v>
      </c>
      <c r="D126" s="112">
        <v>64</v>
      </c>
      <c r="E126" s="82">
        <v>18153</v>
      </c>
      <c r="F126" s="261">
        <v>6728</v>
      </c>
      <c r="G126" s="261">
        <v>9884</v>
      </c>
      <c r="H126" s="82">
        <f t="shared" si="0"/>
        <v>16612</v>
      </c>
    </row>
    <row r="127" spans="2:8" x14ac:dyDescent="0.2">
      <c r="B127" s="155">
        <v>43405</v>
      </c>
      <c r="C127" s="82">
        <v>684</v>
      </c>
      <c r="D127" s="112">
        <v>59</v>
      </c>
      <c r="E127" s="82">
        <v>22023</v>
      </c>
      <c r="F127" s="261">
        <v>10985</v>
      </c>
      <c r="G127" s="261">
        <v>7542</v>
      </c>
      <c r="H127" s="82">
        <f>F127+G127</f>
        <v>18527</v>
      </c>
    </row>
    <row r="128" spans="2:8" x14ac:dyDescent="0.2">
      <c r="B128" s="155">
        <v>43435</v>
      </c>
      <c r="C128" s="157">
        <v>1306</v>
      </c>
      <c r="D128" s="158">
        <v>51</v>
      </c>
      <c r="E128" s="159">
        <v>25922</v>
      </c>
      <c r="F128" s="258">
        <v>12754</v>
      </c>
      <c r="G128" s="258">
        <v>8814</v>
      </c>
      <c r="H128" s="157">
        <v>21568</v>
      </c>
    </row>
    <row r="129" spans="2:8" x14ac:dyDescent="0.2">
      <c r="B129" s="155">
        <v>43466</v>
      </c>
      <c r="C129" s="157">
        <v>800</v>
      </c>
      <c r="D129" s="158">
        <v>51</v>
      </c>
      <c r="E129" s="159">
        <v>28255</v>
      </c>
      <c r="F129" s="258">
        <v>13972</v>
      </c>
      <c r="G129" s="258">
        <v>9596</v>
      </c>
      <c r="H129" s="157">
        <v>23568</v>
      </c>
    </row>
    <row r="130" spans="2:8" x14ac:dyDescent="0.2">
      <c r="B130" s="155">
        <v>43497</v>
      </c>
      <c r="C130" s="157">
        <v>819</v>
      </c>
      <c r="D130" s="158">
        <v>47</v>
      </c>
      <c r="E130" s="159">
        <v>24473</v>
      </c>
      <c r="F130" s="258">
        <v>12346</v>
      </c>
      <c r="G130" s="258">
        <v>8362</v>
      </c>
      <c r="H130" s="157">
        <v>20708</v>
      </c>
    </row>
    <row r="131" spans="2:8" x14ac:dyDescent="0.2">
      <c r="B131" s="155">
        <v>43525</v>
      </c>
      <c r="C131" s="157">
        <v>1105</v>
      </c>
      <c r="D131" s="158">
        <v>42</v>
      </c>
      <c r="E131" s="159">
        <v>20396</v>
      </c>
      <c r="F131" s="258">
        <v>11217</v>
      </c>
      <c r="G131" s="258">
        <v>7436</v>
      </c>
      <c r="H131" s="157">
        <v>18653</v>
      </c>
    </row>
    <row r="132" spans="2:8" x14ac:dyDescent="0.2">
      <c r="B132" s="155">
        <v>43556</v>
      </c>
      <c r="C132" s="157">
        <v>1016</v>
      </c>
      <c r="D132" s="158">
        <v>35</v>
      </c>
      <c r="E132" s="159">
        <v>17319</v>
      </c>
      <c r="F132" s="258">
        <v>9829</v>
      </c>
      <c r="G132" s="258">
        <v>6577</v>
      </c>
      <c r="H132" s="157">
        <v>16406</v>
      </c>
    </row>
    <row r="133" spans="2:8" x14ac:dyDescent="0.2">
      <c r="B133" s="155">
        <v>43586</v>
      </c>
      <c r="C133" s="157">
        <v>1094</v>
      </c>
      <c r="D133" s="333">
        <v>44</v>
      </c>
      <c r="E133" s="159">
        <v>26936</v>
      </c>
      <c r="F133" s="258">
        <v>8619</v>
      </c>
      <c r="G133" s="258">
        <v>12910</v>
      </c>
      <c r="H133" s="157">
        <v>21529</v>
      </c>
    </row>
    <row r="134" spans="2:8" x14ac:dyDescent="0.2">
      <c r="B134" s="155">
        <v>43617</v>
      </c>
      <c r="C134" s="181">
        <v>962</v>
      </c>
      <c r="D134" s="158">
        <v>41</v>
      </c>
      <c r="E134" s="182">
        <v>17186</v>
      </c>
      <c r="F134" s="262">
        <v>6205</v>
      </c>
      <c r="G134" s="262">
        <v>9829</v>
      </c>
      <c r="H134" s="181">
        <v>16034</v>
      </c>
    </row>
    <row r="135" spans="2:8" x14ac:dyDescent="0.2">
      <c r="B135" s="155">
        <v>43647</v>
      </c>
      <c r="C135" s="181">
        <v>1148</v>
      </c>
      <c r="D135" s="158">
        <v>41</v>
      </c>
      <c r="E135" s="182">
        <v>17113</v>
      </c>
      <c r="F135" s="262">
        <v>9788</v>
      </c>
      <c r="G135" s="262">
        <v>6179</v>
      </c>
      <c r="H135" s="181">
        <v>15967</v>
      </c>
    </row>
    <row r="136" spans="2:8" x14ac:dyDescent="0.2">
      <c r="B136" s="155">
        <v>43678</v>
      </c>
      <c r="C136" s="181">
        <v>896</v>
      </c>
      <c r="D136" s="158">
        <v>34</v>
      </c>
      <c r="E136" s="182">
        <v>17644</v>
      </c>
      <c r="F136" s="262">
        <v>10151</v>
      </c>
      <c r="G136" s="262">
        <v>6422</v>
      </c>
      <c r="H136" s="181">
        <v>16573</v>
      </c>
    </row>
    <row r="137" spans="2:8" x14ac:dyDescent="0.2">
      <c r="B137" s="155">
        <v>43709</v>
      </c>
      <c r="C137" s="181">
        <v>926</v>
      </c>
      <c r="D137" s="158">
        <v>31</v>
      </c>
      <c r="E137" s="182">
        <v>17905</v>
      </c>
      <c r="F137" s="262">
        <v>10281</v>
      </c>
      <c r="G137" s="262">
        <v>6541</v>
      </c>
      <c r="H137" s="181">
        <v>16573</v>
      </c>
    </row>
    <row r="138" spans="2:8" x14ac:dyDescent="0.2">
      <c r="B138" s="155">
        <v>43739</v>
      </c>
      <c r="C138" s="181">
        <v>1371</v>
      </c>
      <c r="D138" s="158">
        <v>30</v>
      </c>
      <c r="E138" s="182">
        <v>18586</v>
      </c>
      <c r="F138" s="262">
        <v>6769</v>
      </c>
      <c r="G138" s="262">
        <v>10563</v>
      </c>
      <c r="H138" s="181">
        <v>17332</v>
      </c>
    </row>
    <row r="139" spans="2:8" x14ac:dyDescent="0.2">
      <c r="B139" s="155">
        <v>43770</v>
      </c>
      <c r="C139" s="181">
        <v>1269</v>
      </c>
      <c r="D139" s="333">
        <v>37</v>
      </c>
      <c r="E139" s="182">
        <v>18254</v>
      </c>
      <c r="F139" s="262">
        <v>10266</v>
      </c>
      <c r="G139" s="262">
        <v>6534</v>
      </c>
      <c r="H139" s="181">
        <v>16800</v>
      </c>
    </row>
    <row r="140" spans="2:8" x14ac:dyDescent="0.2">
      <c r="B140" s="155">
        <v>43800</v>
      </c>
      <c r="C140" s="181">
        <v>819</v>
      </c>
      <c r="D140" s="333">
        <v>36</v>
      </c>
      <c r="E140" s="182">
        <v>18254</v>
      </c>
      <c r="F140" s="262">
        <v>10460</v>
      </c>
      <c r="G140" s="262">
        <v>6540</v>
      </c>
      <c r="H140" s="181">
        <v>17000</v>
      </c>
    </row>
    <row r="141" spans="2:8" x14ac:dyDescent="0.2">
      <c r="B141" s="155">
        <v>43831</v>
      </c>
      <c r="C141" s="157">
        <v>834</v>
      </c>
      <c r="D141" s="158">
        <v>42</v>
      </c>
      <c r="E141" s="159">
        <v>18617</v>
      </c>
      <c r="F141" s="258">
        <v>6664</v>
      </c>
      <c r="G141" s="258">
        <v>10715</v>
      </c>
      <c r="H141" s="157">
        <v>17379</v>
      </c>
    </row>
    <row r="142" spans="2:8" x14ac:dyDescent="0.2">
      <c r="B142" s="155">
        <v>43862</v>
      </c>
      <c r="C142" s="157">
        <v>698</v>
      </c>
      <c r="D142" s="334">
        <v>37</v>
      </c>
      <c r="E142" s="159">
        <v>18087</v>
      </c>
      <c r="F142" s="258">
        <v>6398</v>
      </c>
      <c r="G142" s="258">
        <v>10470</v>
      </c>
      <c r="H142" s="157">
        <v>16868</v>
      </c>
    </row>
    <row r="143" spans="2:8" x14ac:dyDescent="0.2">
      <c r="B143" s="155" t="s">
        <v>527</v>
      </c>
      <c r="C143" s="157">
        <v>335</v>
      </c>
      <c r="D143" s="334">
        <v>11</v>
      </c>
      <c r="E143" s="159">
        <v>2479</v>
      </c>
      <c r="F143" s="258">
        <v>833</v>
      </c>
      <c r="G143" s="258">
        <v>1333</v>
      </c>
      <c r="H143" s="157">
        <v>2166</v>
      </c>
    </row>
    <row r="144" spans="2:8" x14ac:dyDescent="0.2">
      <c r="B144" s="155" t="s">
        <v>529</v>
      </c>
      <c r="C144" s="157">
        <v>1807</v>
      </c>
      <c r="D144" s="334">
        <v>46</v>
      </c>
      <c r="E144" s="159">
        <v>35380</v>
      </c>
      <c r="F144" s="258">
        <v>8953</v>
      </c>
      <c r="G144" s="258">
        <v>13726</v>
      </c>
      <c r="H144" s="157">
        <f>SUM(F144:G144)</f>
        <v>22679</v>
      </c>
    </row>
    <row r="145" spans="2:8" x14ac:dyDescent="0.2">
      <c r="B145" s="155">
        <v>43952</v>
      </c>
      <c r="C145" s="157">
        <v>812</v>
      </c>
      <c r="D145" s="334">
        <v>43</v>
      </c>
      <c r="E145" s="159">
        <v>19198</v>
      </c>
      <c r="F145" s="258">
        <v>7081</v>
      </c>
      <c r="G145" s="258">
        <v>10993</v>
      </c>
      <c r="H145" s="157">
        <f>SUM(F145:G145)</f>
        <v>18074</v>
      </c>
    </row>
    <row r="146" spans="2:8" x14ac:dyDescent="0.2">
      <c r="B146" s="155">
        <v>43983</v>
      </c>
      <c r="C146" s="157">
        <v>717</v>
      </c>
      <c r="D146" s="334">
        <v>40</v>
      </c>
      <c r="E146" s="159">
        <v>21037</v>
      </c>
      <c r="F146" s="258">
        <v>6751</v>
      </c>
      <c r="G146" s="258">
        <v>10650</v>
      </c>
      <c r="H146" s="157">
        <f t="shared" ref="H146:H164" si="1">SUM(F146:G146)</f>
        <v>17401</v>
      </c>
    </row>
    <row r="147" spans="2:8" x14ac:dyDescent="0.2">
      <c r="B147" s="263" t="s">
        <v>532</v>
      </c>
      <c r="C147" s="157">
        <v>403</v>
      </c>
      <c r="D147" s="334">
        <v>40</v>
      </c>
      <c r="E147" s="159">
        <v>15217</v>
      </c>
      <c r="F147" s="258">
        <v>5506</v>
      </c>
      <c r="G147" s="258">
        <v>8781</v>
      </c>
      <c r="H147" s="157">
        <f t="shared" si="1"/>
        <v>14287</v>
      </c>
    </row>
    <row r="148" spans="2:8" x14ac:dyDescent="0.2">
      <c r="B148" s="155">
        <v>44044</v>
      </c>
      <c r="C148" s="157">
        <v>226</v>
      </c>
      <c r="D148" s="334">
        <v>29</v>
      </c>
      <c r="E148" s="159">
        <v>16560</v>
      </c>
      <c r="F148" s="258">
        <v>9684</v>
      </c>
      <c r="G148" s="258">
        <v>6022</v>
      </c>
      <c r="H148" s="157">
        <f t="shared" si="1"/>
        <v>15706</v>
      </c>
    </row>
    <row r="149" spans="2:8" x14ac:dyDescent="0.2">
      <c r="B149" s="155">
        <v>44075</v>
      </c>
      <c r="C149" s="157">
        <v>130</v>
      </c>
      <c r="D149" s="334">
        <v>26</v>
      </c>
      <c r="E149" s="159">
        <v>17807</v>
      </c>
      <c r="F149" s="258">
        <v>6374</v>
      </c>
      <c r="G149" s="258">
        <v>10337</v>
      </c>
      <c r="H149" s="157">
        <f t="shared" si="1"/>
        <v>16711</v>
      </c>
    </row>
    <row r="150" spans="2:8" x14ac:dyDescent="0.2">
      <c r="B150" s="155">
        <v>44105</v>
      </c>
      <c r="C150" s="157">
        <v>85</v>
      </c>
      <c r="D150" s="334">
        <v>26</v>
      </c>
      <c r="E150" s="159">
        <v>19642</v>
      </c>
      <c r="F150" s="258">
        <v>7053</v>
      </c>
      <c r="G150" s="258">
        <v>11284</v>
      </c>
      <c r="H150" s="157">
        <f t="shared" si="1"/>
        <v>18337</v>
      </c>
    </row>
    <row r="151" spans="2:8" x14ac:dyDescent="0.2">
      <c r="B151" s="155">
        <v>44136</v>
      </c>
      <c r="C151" s="157">
        <v>64</v>
      </c>
      <c r="D151" s="334">
        <v>27</v>
      </c>
      <c r="E151" s="159">
        <v>20331</v>
      </c>
      <c r="F151" s="258">
        <v>7299</v>
      </c>
      <c r="G151" s="258">
        <v>11518</v>
      </c>
      <c r="H151" s="157">
        <f t="shared" si="1"/>
        <v>18817</v>
      </c>
    </row>
    <row r="152" spans="2:8" x14ac:dyDescent="0.2">
      <c r="B152" s="155">
        <v>44166</v>
      </c>
      <c r="C152" s="157">
        <v>61</v>
      </c>
      <c r="D152" s="334">
        <v>28</v>
      </c>
      <c r="E152" s="159">
        <v>22733</v>
      </c>
      <c r="F152" s="258">
        <v>8214</v>
      </c>
      <c r="G152" s="258">
        <v>12811</v>
      </c>
      <c r="H152" s="157">
        <f t="shared" si="1"/>
        <v>21025</v>
      </c>
    </row>
    <row r="153" spans="2:8" x14ac:dyDescent="0.2">
      <c r="B153" s="155">
        <v>44197</v>
      </c>
      <c r="C153" s="157">
        <v>61</v>
      </c>
      <c r="D153" s="334">
        <v>23</v>
      </c>
      <c r="E153" s="159">
        <v>24914</v>
      </c>
      <c r="F153" s="258">
        <v>8732</v>
      </c>
      <c r="G153" s="258">
        <v>14109</v>
      </c>
      <c r="H153" s="157">
        <f t="shared" si="1"/>
        <v>22841</v>
      </c>
    </row>
    <row r="154" spans="2:8" x14ac:dyDescent="0.2">
      <c r="B154" s="155">
        <v>44228</v>
      </c>
      <c r="C154" s="157">
        <v>52</v>
      </c>
      <c r="D154" s="334">
        <v>18</v>
      </c>
      <c r="E154" s="159">
        <v>25495</v>
      </c>
      <c r="F154" s="258">
        <v>8692</v>
      </c>
      <c r="G154" s="258">
        <v>14503</v>
      </c>
      <c r="H154" s="157">
        <f t="shared" si="1"/>
        <v>23195</v>
      </c>
    </row>
    <row r="155" spans="2:8" x14ac:dyDescent="0.2">
      <c r="B155" s="155">
        <v>44256</v>
      </c>
      <c r="C155" s="157">
        <v>89</v>
      </c>
      <c r="D155" s="334">
        <v>22</v>
      </c>
      <c r="E155" s="159">
        <v>26451</v>
      </c>
      <c r="F155" s="258">
        <v>9196</v>
      </c>
      <c r="G155" s="258">
        <v>14960</v>
      </c>
      <c r="H155" s="157">
        <f t="shared" si="1"/>
        <v>24156</v>
      </c>
    </row>
    <row r="156" spans="2:8" x14ac:dyDescent="0.2">
      <c r="B156" s="155">
        <v>44287</v>
      </c>
      <c r="C156" s="157">
        <v>35</v>
      </c>
      <c r="D156" s="334">
        <v>19</v>
      </c>
      <c r="E156" s="258">
        <v>27062</v>
      </c>
      <c r="F156" s="258">
        <v>9299</v>
      </c>
      <c r="G156" s="258">
        <v>15603</v>
      </c>
      <c r="H156" s="157">
        <f t="shared" si="1"/>
        <v>24902</v>
      </c>
    </row>
    <row r="157" spans="2:8" x14ac:dyDescent="0.2">
      <c r="B157" s="155">
        <v>44317</v>
      </c>
      <c r="C157" s="157">
        <v>43</v>
      </c>
      <c r="D157" s="334">
        <v>18</v>
      </c>
      <c r="E157" s="159">
        <v>30323</v>
      </c>
      <c r="F157" s="258">
        <v>9912</v>
      </c>
      <c r="G157" s="258">
        <v>16497</v>
      </c>
      <c r="H157" s="157">
        <f t="shared" si="1"/>
        <v>26409</v>
      </c>
    </row>
    <row r="158" spans="2:8" x14ac:dyDescent="0.2">
      <c r="B158" s="264">
        <v>44348</v>
      </c>
      <c r="C158" s="157">
        <v>49</v>
      </c>
      <c r="D158" s="334">
        <v>20</v>
      </c>
      <c r="E158" s="258">
        <v>25728</v>
      </c>
      <c r="F158" s="258">
        <v>8894</v>
      </c>
      <c r="G158" s="258">
        <v>14936</v>
      </c>
      <c r="H158" s="157">
        <f t="shared" si="1"/>
        <v>23830</v>
      </c>
    </row>
    <row r="159" spans="2:8" x14ac:dyDescent="0.2">
      <c r="B159" s="155">
        <v>44378</v>
      </c>
      <c r="C159" s="157">
        <v>54</v>
      </c>
      <c r="D159" s="334">
        <v>25</v>
      </c>
      <c r="E159" s="159">
        <v>27581</v>
      </c>
      <c r="F159" s="159">
        <v>9481</v>
      </c>
      <c r="G159" s="159">
        <v>16038</v>
      </c>
      <c r="H159" s="157">
        <f t="shared" si="1"/>
        <v>25519</v>
      </c>
    </row>
    <row r="160" spans="2:8" x14ac:dyDescent="0.2">
      <c r="B160" s="155">
        <v>44409</v>
      </c>
      <c r="C160" s="157">
        <v>36</v>
      </c>
      <c r="D160" s="334">
        <v>24</v>
      </c>
      <c r="E160" s="159">
        <v>28456</v>
      </c>
      <c r="F160" s="159">
        <v>9849</v>
      </c>
      <c r="G160" s="159">
        <v>16277</v>
      </c>
      <c r="H160" s="157">
        <f t="shared" si="1"/>
        <v>26126</v>
      </c>
    </row>
    <row r="161" spans="2:8" x14ac:dyDescent="0.2">
      <c r="B161" s="155">
        <v>44440</v>
      </c>
      <c r="C161" s="157">
        <v>35</v>
      </c>
      <c r="D161" s="334">
        <v>24</v>
      </c>
      <c r="E161" s="159">
        <v>29198</v>
      </c>
      <c r="F161" s="159">
        <v>9726</v>
      </c>
      <c r="G161" s="159">
        <v>16702</v>
      </c>
      <c r="H161" s="157">
        <f t="shared" si="1"/>
        <v>26428</v>
      </c>
    </row>
    <row r="162" spans="2:8" x14ac:dyDescent="0.2">
      <c r="B162" s="155">
        <v>44470</v>
      </c>
      <c r="C162" s="157">
        <v>55</v>
      </c>
      <c r="D162" s="334">
        <v>24</v>
      </c>
      <c r="E162" s="159">
        <v>31131</v>
      </c>
      <c r="F162" s="159">
        <v>10352</v>
      </c>
      <c r="G162" s="159">
        <v>18028</v>
      </c>
      <c r="H162" s="157">
        <f t="shared" si="1"/>
        <v>28380</v>
      </c>
    </row>
    <row r="163" spans="2:8" x14ac:dyDescent="0.2">
      <c r="B163" s="155">
        <v>44501</v>
      </c>
      <c r="C163" s="157">
        <v>45</v>
      </c>
      <c r="D163" s="334">
        <v>18</v>
      </c>
      <c r="E163" s="159">
        <v>30171</v>
      </c>
      <c r="F163" s="159">
        <v>9798</v>
      </c>
      <c r="G163" s="159">
        <v>17755</v>
      </c>
      <c r="H163" s="157">
        <f t="shared" si="1"/>
        <v>27553</v>
      </c>
    </row>
    <row r="164" spans="2:8" x14ac:dyDescent="0.2">
      <c r="B164" s="155">
        <v>44531</v>
      </c>
      <c r="C164" s="157">
        <v>26</v>
      </c>
      <c r="D164" s="334">
        <v>17</v>
      </c>
      <c r="E164" s="159">
        <v>30869</v>
      </c>
      <c r="F164" s="159">
        <v>10052</v>
      </c>
      <c r="G164" s="159">
        <v>18529</v>
      </c>
      <c r="H164" s="157">
        <f t="shared" si="1"/>
        <v>28581</v>
      </c>
    </row>
    <row r="165" spans="2:8" x14ac:dyDescent="0.2">
      <c r="B165" s="155">
        <v>44562</v>
      </c>
      <c r="C165" s="157">
        <v>46</v>
      </c>
      <c r="D165" s="334">
        <v>20</v>
      </c>
      <c r="E165" s="159">
        <v>32712</v>
      </c>
      <c r="F165" s="159">
        <v>10458</v>
      </c>
      <c r="G165" s="159">
        <v>19591</v>
      </c>
      <c r="H165" s="157">
        <v>30049</v>
      </c>
    </row>
    <row r="166" spans="2:8" x14ac:dyDescent="0.2">
      <c r="B166" s="155">
        <v>44593</v>
      </c>
      <c r="C166" s="157">
        <v>63</v>
      </c>
      <c r="D166" s="334">
        <v>28</v>
      </c>
      <c r="E166" s="159">
        <v>31230</v>
      </c>
      <c r="F166" s="159">
        <v>9626</v>
      </c>
      <c r="G166" s="159">
        <v>18893</v>
      </c>
      <c r="H166" s="157">
        <f t="shared" ref="H166:H170" si="2">SUM(F166:G166)</f>
        <v>28519</v>
      </c>
    </row>
    <row r="167" spans="2:8" x14ac:dyDescent="0.2">
      <c r="B167" s="155">
        <v>44621</v>
      </c>
      <c r="C167" s="157">
        <v>118</v>
      </c>
      <c r="D167" s="334">
        <v>46</v>
      </c>
      <c r="E167" s="159">
        <v>31857</v>
      </c>
      <c r="F167" s="159">
        <v>10028</v>
      </c>
      <c r="G167" s="159">
        <v>19428</v>
      </c>
      <c r="H167" s="157">
        <f t="shared" si="2"/>
        <v>29456</v>
      </c>
    </row>
    <row r="168" spans="2:8" x14ac:dyDescent="0.2">
      <c r="B168" s="155" t="s">
        <v>599</v>
      </c>
      <c r="C168" s="157">
        <v>20</v>
      </c>
      <c r="D168" s="334">
        <v>12</v>
      </c>
      <c r="E168" s="159">
        <v>4626</v>
      </c>
      <c r="F168" s="159">
        <v>1247</v>
      </c>
      <c r="G168" s="159">
        <v>2850</v>
      </c>
      <c r="H168" s="157">
        <f t="shared" si="2"/>
        <v>4097</v>
      </c>
    </row>
    <row r="169" spans="2:8" x14ac:dyDescent="0.2">
      <c r="B169" s="155" t="s">
        <v>613</v>
      </c>
      <c r="C169" s="157">
        <v>1528</v>
      </c>
      <c r="D169" s="334">
        <v>104</v>
      </c>
      <c r="E169" s="159">
        <v>52617</v>
      </c>
      <c r="F169" s="159">
        <v>12016</v>
      </c>
      <c r="G169" s="159">
        <v>23615</v>
      </c>
      <c r="H169" s="157">
        <f t="shared" si="2"/>
        <v>35631</v>
      </c>
    </row>
    <row r="170" spans="2:8" x14ac:dyDescent="0.2">
      <c r="B170" s="155">
        <v>44713</v>
      </c>
      <c r="C170" s="157">
        <v>720</v>
      </c>
      <c r="D170" s="334">
        <v>113</v>
      </c>
      <c r="E170" s="159">
        <v>34898</v>
      </c>
      <c r="F170" s="159">
        <v>9940</v>
      </c>
      <c r="G170" s="159">
        <v>19746</v>
      </c>
      <c r="H170" s="157">
        <f t="shared" si="2"/>
        <v>29686</v>
      </c>
    </row>
    <row r="171" spans="2:8" x14ac:dyDescent="0.2">
      <c r="B171" s="254" t="s">
        <v>419</v>
      </c>
      <c r="C171" s="255"/>
      <c r="D171" s="256"/>
      <c r="E171" s="259"/>
      <c r="F171" s="257"/>
      <c r="G171" s="257"/>
      <c r="H171" s="255"/>
    </row>
    <row r="172" spans="2:8" x14ac:dyDescent="0.2">
      <c r="B172" s="213" t="s">
        <v>498</v>
      </c>
      <c r="C172" s="213"/>
      <c r="D172" s="213"/>
      <c r="E172" s="213"/>
      <c r="F172" s="213"/>
      <c r="G172" s="213"/>
      <c r="H172" s="220"/>
    </row>
    <row r="173" spans="2:8" x14ac:dyDescent="0.2">
      <c r="B173" s="220" t="s">
        <v>499</v>
      </c>
      <c r="C173" s="220"/>
      <c r="D173" s="220"/>
      <c r="E173" s="220"/>
      <c r="F173" s="220"/>
      <c r="G173" s="220"/>
    </row>
    <row r="174" spans="2:8" x14ac:dyDescent="0.2">
      <c r="B174" s="213" t="s">
        <v>500</v>
      </c>
    </row>
    <row r="175" spans="2:8" x14ac:dyDescent="0.2">
      <c r="B175" s="109" t="s">
        <v>526</v>
      </c>
      <c r="H175" s="221"/>
    </row>
    <row r="176" spans="2:8" x14ac:dyDescent="0.2">
      <c r="B176" s="221" t="s">
        <v>501</v>
      </c>
      <c r="C176" s="221"/>
      <c r="D176" s="221"/>
      <c r="E176" s="221"/>
      <c r="F176" s="221"/>
      <c r="G176" s="221"/>
      <c r="H176" s="221"/>
    </row>
    <row r="177" spans="2:7" x14ac:dyDescent="0.2">
      <c r="B177" s="221" t="s">
        <v>502</v>
      </c>
      <c r="C177" s="221"/>
      <c r="D177" s="221"/>
      <c r="E177" s="221"/>
      <c r="F177" s="221"/>
      <c r="G177" s="221"/>
    </row>
    <row r="178" spans="2:7" x14ac:dyDescent="0.2">
      <c r="B178" s="241" t="s">
        <v>530</v>
      </c>
    </row>
    <row r="179" spans="2:7" x14ac:dyDescent="0.2">
      <c r="B179" s="21" t="s">
        <v>531</v>
      </c>
    </row>
    <row r="180" spans="2:7" x14ac:dyDescent="0.2">
      <c r="B180" s="21" t="s">
        <v>600</v>
      </c>
    </row>
    <row r="181" spans="2:7" x14ac:dyDescent="0.2">
      <c r="B181" s="21" t="s">
        <v>614</v>
      </c>
    </row>
    <row r="183" spans="2:7" x14ac:dyDescent="0.2">
      <c r="D183" s="247"/>
    </row>
    <row r="184" spans="2:7" x14ac:dyDescent="0.2">
      <c r="D184" s="248"/>
    </row>
  </sheetData>
  <mergeCells count="9">
    <mergeCell ref="B5:H5"/>
    <mergeCell ref="B6:H6"/>
    <mergeCell ref="B8:B10"/>
    <mergeCell ref="C8:D8"/>
    <mergeCell ref="E8:H8"/>
    <mergeCell ref="C9:C10"/>
    <mergeCell ref="D9:D10"/>
    <mergeCell ref="E9:E10"/>
    <mergeCell ref="F9:H9"/>
  </mergeCells>
  <hyperlinks>
    <hyperlink ref="J5" location="'Índice STJ'!A1" display="'Índice STJ'!A1" xr:uid="{00000000-0004-0000-2000-000000000000}"/>
  </hyperlinks>
  <pageMargins left="0.7" right="0.7" top="0.75" bottom="0.75" header="0.3" footer="0.3"/>
  <pageSetup orientation="portrait" r:id="rId1"/>
  <ignoredErrors>
    <ignoredError sqref="H171 H150:H162"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15</vt:i4>
      </vt:variant>
    </vt:vector>
  </HeadingPairs>
  <TitlesOfParts>
    <vt:vector size="48" baseType="lpstr">
      <vt:lpstr>datos</vt:lpstr>
      <vt:lpstr>Índice</vt:lpstr>
      <vt:lpstr>Índice PGU y SPS</vt:lpstr>
      <vt:lpstr>Solicitudes Nacional</vt:lpstr>
      <vt:lpstr>Concesiones Nacional</vt:lpstr>
      <vt:lpstr>Solicitudes Regiones</vt:lpstr>
      <vt:lpstr>Concesiones Regiones</vt:lpstr>
      <vt:lpstr>XV</vt:lpstr>
      <vt:lpstr>I</vt:lpstr>
      <vt:lpstr>II</vt:lpstr>
      <vt:lpstr>III</vt:lpstr>
      <vt:lpstr>IV</vt:lpstr>
      <vt:lpstr>V</vt:lpstr>
      <vt:lpstr>VI</vt:lpstr>
      <vt:lpstr>VII</vt:lpstr>
      <vt:lpstr>XVI</vt:lpstr>
      <vt:lpstr>VIII</vt:lpstr>
      <vt:lpstr>IX</vt:lpstr>
      <vt:lpstr>XIV</vt:lpstr>
      <vt:lpstr>X</vt:lpstr>
      <vt:lpstr>XI</vt:lpstr>
      <vt:lpstr>XII</vt:lpstr>
      <vt:lpstr>XIII</vt:lpstr>
      <vt:lpstr>Índice BxH</vt:lpstr>
      <vt:lpstr>Concesiones Mensuales BxH</vt:lpstr>
      <vt:lpstr>Solicitudes y Rechazos BxH</vt:lpstr>
      <vt:lpstr>Concesiones Mensuales Regional</vt:lpstr>
      <vt:lpstr>Índice STJ</vt:lpstr>
      <vt:lpstr>Contratación Solicitudes</vt:lpstr>
      <vt:lpstr>Contratación Trámite</vt:lpstr>
      <vt:lpstr>Cotización Solicitudes</vt:lpstr>
      <vt:lpstr>Cotización Trámite</vt:lpstr>
      <vt:lpstr>Subsidios Pagados</vt:lpstr>
      <vt:lpstr>I!Área_de_impresión</vt:lpstr>
      <vt:lpstr>II!Área_de_impresión</vt:lpstr>
      <vt:lpstr>III!Área_de_impresión</vt:lpstr>
      <vt:lpstr>IV!Área_de_impresión</vt:lpstr>
      <vt:lpstr>IX!Área_de_impresión</vt:lpstr>
      <vt:lpstr>V!Área_de_impresión</vt:lpstr>
      <vt:lpstr>VI!Área_de_impresión</vt:lpstr>
      <vt:lpstr>VII!Área_de_impresión</vt:lpstr>
      <vt:lpstr>VIII!Área_de_impresión</vt:lpstr>
      <vt:lpstr>X!Área_de_impresión</vt:lpstr>
      <vt:lpstr>XI!Área_de_impresión</vt:lpstr>
      <vt:lpstr>XII!Área_de_impresión</vt:lpstr>
      <vt:lpstr>XIII!Área_de_impresión</vt:lpstr>
      <vt:lpstr>XIV!Área_de_impresión</vt:lpstr>
      <vt:lpstr>XVI!Área_de_impresión</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Amanda Margarita Martinez Becerra</dc:creator>
  <cp:lastModifiedBy>Amanda Margarita Martinez Becerra</cp:lastModifiedBy>
  <dcterms:created xsi:type="dcterms:W3CDTF">2018-05-04T15:44:38Z</dcterms:created>
  <dcterms:modified xsi:type="dcterms:W3CDTF">2022-12-30T17:59:54Z</dcterms:modified>
</cp:coreProperties>
</file>